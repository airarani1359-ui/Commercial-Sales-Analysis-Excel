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Commercial-Sales-Analysis\"/>
    </mc:Choice>
  </mc:AlternateContent>
  <bookViews>
    <workbookView xWindow="0" yWindow="0" windowWidth="23040" windowHeight="9072" firstSheet="1" activeTab="7"/>
  </bookViews>
  <sheets>
    <sheet name="Instructions" sheetId="1" r:id="rId1"/>
    <sheet name="Sales" sheetId="2" r:id="rId2"/>
    <sheet name="Products" sheetId="3" r:id="rId3"/>
    <sheet name="Summary" sheetId="4" r:id="rId4"/>
    <sheet name="Discount Impact" sheetId="6" r:id="rId5"/>
    <sheet name="Monthly" sheetId="7" r:id="rId6"/>
    <sheet name="Product Profit" sheetId="5" r:id="rId7"/>
    <sheet name="Dashboard" sheetId="9" r:id="rId8"/>
  </sheets>
  <calcPr calcId="162913"/>
  <pivotCaches>
    <pivotCache cacheId="0" r:id="rId9"/>
  </pivotCaches>
</workbook>
</file>

<file path=xl/calcChain.xml><?xml version="1.0" encoding="utf-8"?>
<calcChain xmlns="http://schemas.openxmlformats.org/spreadsheetml/2006/main">
  <c r="F31" i="9" l="1"/>
  <c r="F30" i="9"/>
  <c r="F29" i="9"/>
  <c r="F28" i="9"/>
  <c r="F27" i="9"/>
  <c r="H5" i="9"/>
  <c r="D5" i="9"/>
  <c r="F5" i="9"/>
  <c r="B5" i="9"/>
  <c r="H31" i="9"/>
  <c r="H30" i="9"/>
  <c r="H29" i="9"/>
  <c r="H28" i="9"/>
  <c r="H27" i="9"/>
  <c r="D11" i="4" l="1"/>
  <c r="D12" i="4"/>
  <c r="D13" i="4"/>
  <c r="D14" i="4"/>
  <c r="D10" i="4"/>
  <c r="C11" i="4"/>
  <c r="C12" i="4"/>
  <c r="C13" i="4"/>
  <c r="C14" i="4"/>
  <c r="C10" i="4"/>
  <c r="B11" i="4"/>
  <c r="B12" i="4"/>
  <c r="B13" i="4"/>
  <c r="B14" i="4"/>
  <c r="B10" i="4"/>
  <c r="D7" i="4"/>
  <c r="C7" i="4"/>
  <c r="B7" i="4"/>
  <c r="D3" i="4"/>
  <c r="D4" i="4"/>
  <c r="D5" i="4"/>
  <c r="D6" i="4"/>
  <c r="C3" i="4"/>
  <c r="C4" i="4"/>
  <c r="C5" i="4"/>
  <c r="C6" i="4"/>
  <c r="B3" i="4"/>
  <c r="B4" i="4"/>
  <c r="B5" i="4"/>
  <c r="B6" i="4"/>
  <c r="D2" i="4"/>
  <c r="C2" i="4"/>
  <c r="B2" i="4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</calcChain>
</file>

<file path=xl/sharedStrings.xml><?xml version="1.0" encoding="utf-8"?>
<sst xmlns="http://schemas.openxmlformats.org/spreadsheetml/2006/main" count="12863" uniqueCount="4358">
  <si>
    <t>Commercial Sales Analysis | Dubai Retail Chain, 2025</t>
  </si>
  <si>
    <t>Sheets in this workbook</t>
  </si>
  <si>
    <t>Sales: 4,200 order lines (Jan-Dec 2025) across 5 stores. Raw data, one row per order line.</t>
  </si>
  <si>
    <t>Products: 36 products with name, category, sub-category and unit cost (AED). Used as the lookup table.</t>
  </si>
  <si>
    <t>Cells to fill in</t>
  </si>
  <si>
    <t>Yellow header cells on the Sales sheet (columns H to N) are empty. You add formulas there, step by step.</t>
  </si>
  <si>
    <t>Example (first data row, ORD50478): Product_Name = Women's Summer Dress, Category = Fashion, Unit_Cost_AED = 120,</t>
  </si>
  <si>
    <t>Revenue_AED = 194.65, Cost_AED = 120, Profit_AED = 74.65, Month = Jan</t>
  </si>
  <si>
    <t>Column definitions</t>
  </si>
  <si>
    <t>Revenue_AED = Quantity x Unit_Price_AED x (1 - Discount_Pct)</t>
  </si>
  <si>
    <t>Cost_AED = Quantity x Unit_Cost_AED</t>
  </si>
  <si>
    <t>Profit_AED = Revenue_AED - Cost_AED</t>
  </si>
  <si>
    <t>Data note: simulated data for a fictional Dubai retail chain, created for a portfolio project.</t>
  </si>
  <si>
    <t>Order_ID</t>
  </si>
  <si>
    <t>Order_Date</t>
  </si>
  <si>
    <t>Store</t>
  </si>
  <si>
    <t>Product_ID</t>
  </si>
  <si>
    <t>Quantity</t>
  </si>
  <si>
    <t>Unit_Price_AED</t>
  </si>
  <si>
    <t>Discount_Pct</t>
  </si>
  <si>
    <t>Product_Name</t>
  </si>
  <si>
    <t>Category</t>
  </si>
  <si>
    <t>Unit_Cost_AED</t>
  </si>
  <si>
    <t>Revenue_AED</t>
  </si>
  <si>
    <t>Cost_AED</t>
  </si>
  <si>
    <t>Profit_AED</t>
  </si>
  <si>
    <t>Month</t>
  </si>
  <si>
    <t>ORD50478</t>
  </si>
  <si>
    <t>Mall of the Emirates</t>
  </si>
  <si>
    <t>P308</t>
  </si>
  <si>
    <t>ORD50602</t>
  </si>
  <si>
    <t>City Centre Deira</t>
  </si>
  <si>
    <t>ORD51438</t>
  </si>
  <si>
    <t>P104</t>
  </si>
  <si>
    <t>ORD52069</t>
  </si>
  <si>
    <t>P301</t>
  </si>
  <si>
    <t>ORD52175</t>
  </si>
  <si>
    <t>P306</t>
  </si>
  <si>
    <t>ORD52186</t>
  </si>
  <si>
    <t>P406</t>
  </si>
  <si>
    <t>ORD53044</t>
  </si>
  <si>
    <t>Online</t>
  </si>
  <si>
    <t>P101</t>
  </si>
  <si>
    <t>ORD53052</t>
  </si>
  <si>
    <t>Dubai Mall</t>
  </si>
  <si>
    <t>ORD53339</t>
  </si>
  <si>
    <t>P404</t>
  </si>
  <si>
    <t>ORD53546</t>
  </si>
  <si>
    <t>Ibn Battuta Mall</t>
  </si>
  <si>
    <t>P303</t>
  </si>
  <si>
    <t>ORD54087</t>
  </si>
  <si>
    <t>ORD54094</t>
  </si>
  <si>
    <t>P403</t>
  </si>
  <si>
    <t>ORD50151</t>
  </si>
  <si>
    <t>ORD50430</t>
  </si>
  <si>
    <t>ORD50963</t>
  </si>
  <si>
    <t>P205</t>
  </si>
  <si>
    <t>ORD51704</t>
  </si>
  <si>
    <t>P302</t>
  </si>
  <si>
    <t>ORD51897</t>
  </si>
  <si>
    <t>P505</t>
  </si>
  <si>
    <t>ORD51973</t>
  </si>
  <si>
    <t>ORD52090</t>
  </si>
  <si>
    <t>ORD52214</t>
  </si>
  <si>
    <t>ORD52601</t>
  </si>
  <si>
    <t>P501</t>
  </si>
  <si>
    <t>ORD52683</t>
  </si>
  <si>
    <t>ORD52918</t>
  </si>
  <si>
    <t>P102</t>
  </si>
  <si>
    <t>ORD53589</t>
  </si>
  <si>
    <t>P305</t>
  </si>
  <si>
    <t>ORD50589</t>
  </si>
  <si>
    <t>ORD51219</t>
  </si>
  <si>
    <t>ORD51246</t>
  </si>
  <si>
    <t>ORD51408</t>
  </si>
  <si>
    <t>P401</t>
  </si>
  <si>
    <t>ORD52562</t>
  </si>
  <si>
    <t>ORD52573</t>
  </si>
  <si>
    <t>P201</t>
  </si>
  <si>
    <t>ORD54138</t>
  </si>
  <si>
    <t>P402</t>
  </si>
  <si>
    <t>ORD50311</t>
  </si>
  <si>
    <t>ORD50691</t>
  </si>
  <si>
    <t>P503</t>
  </si>
  <si>
    <t>ORD50998</t>
  </si>
  <si>
    <t>ORD51052</t>
  </si>
  <si>
    <t>ORD51122</t>
  </si>
  <si>
    <t>P502</t>
  </si>
  <si>
    <t>ORD51229</t>
  </si>
  <si>
    <t>P307</t>
  </si>
  <si>
    <t>ORD51567</t>
  </si>
  <si>
    <t>ORD51665</t>
  </si>
  <si>
    <t>P203</t>
  </si>
  <si>
    <t>ORD51733</t>
  </si>
  <si>
    <t>ORD51929</t>
  </si>
  <si>
    <t>P208</t>
  </si>
  <si>
    <t>ORD52097</t>
  </si>
  <si>
    <t>ORD52325</t>
  </si>
  <si>
    <t>ORD52354</t>
  </si>
  <si>
    <t>P108</t>
  </si>
  <si>
    <t>ORD52514</t>
  </si>
  <si>
    <t>ORD53791</t>
  </si>
  <si>
    <t>ORD54028</t>
  </si>
  <si>
    <t>P405</t>
  </si>
  <si>
    <t>ORD54066</t>
  </si>
  <si>
    <t>ORD50135</t>
  </si>
  <si>
    <t>P103</t>
  </si>
  <si>
    <t>ORD51271</t>
  </si>
  <si>
    <t>ORD52519</t>
  </si>
  <si>
    <t>P202</t>
  </si>
  <si>
    <t>ORD52836</t>
  </si>
  <si>
    <t>ORD53297</t>
  </si>
  <si>
    <t>ORD53865</t>
  </si>
  <si>
    <t>P204</t>
  </si>
  <si>
    <t>ORD50043</t>
  </si>
  <si>
    <t>P206</t>
  </si>
  <si>
    <t>ORD50107</t>
  </si>
  <si>
    <t>ORD50176</t>
  </si>
  <si>
    <t>ORD50623</t>
  </si>
  <si>
    <t>ORD50835</t>
  </si>
  <si>
    <t>ORD50960</t>
  </si>
  <si>
    <t>ORD51129</t>
  </si>
  <si>
    <t>ORD51474</t>
  </si>
  <si>
    <t>ORD51669</t>
  </si>
  <si>
    <t>ORD51689</t>
  </si>
  <si>
    <t>ORD52390</t>
  </si>
  <si>
    <t>P107</t>
  </si>
  <si>
    <t>ORD53446</t>
  </si>
  <si>
    <t>ORD53903</t>
  </si>
  <si>
    <t>P106</t>
  </si>
  <si>
    <t>ORD53909</t>
  </si>
  <si>
    <t>P105</t>
  </si>
  <si>
    <t>ORD53912</t>
  </si>
  <si>
    <t>ORD53985</t>
  </si>
  <si>
    <t>ORD51117</t>
  </si>
  <si>
    <t>ORD52455</t>
  </si>
  <si>
    <t>ORD52462</t>
  </si>
  <si>
    <t>ORD53374</t>
  </si>
  <si>
    <t>ORD53474</t>
  </si>
  <si>
    <t>ORD51223</t>
  </si>
  <si>
    <t>ORD51603</t>
  </si>
  <si>
    <t>ORD51824</t>
  </si>
  <si>
    <t>ORD52584</t>
  </si>
  <si>
    <t>ORD53493</t>
  </si>
  <si>
    <t>ORD53574</t>
  </si>
  <si>
    <t>ORD53604</t>
  </si>
  <si>
    <t>ORD53612</t>
  </si>
  <si>
    <t>ORD53650</t>
  </si>
  <si>
    <t>ORD50364</t>
  </si>
  <si>
    <t>P207</t>
  </si>
  <si>
    <t>ORD50846</t>
  </si>
  <si>
    <t>ORD52063</t>
  </si>
  <si>
    <t>ORD52331</t>
  </si>
  <si>
    <t>ORD52676</t>
  </si>
  <si>
    <t>ORD51085</t>
  </si>
  <si>
    <t>ORD51318</t>
  </si>
  <si>
    <t>ORD52708</t>
  </si>
  <si>
    <t>ORD52847</t>
  </si>
  <si>
    <t>ORD52849</t>
  </si>
  <si>
    <t>ORD53686</t>
  </si>
  <si>
    <t>ORD53777</t>
  </si>
  <si>
    <t>ORD54031</t>
  </si>
  <si>
    <t>ORD54129</t>
  </si>
  <si>
    <t>P504</t>
  </si>
  <si>
    <t>ORD50367</t>
  </si>
  <si>
    <t>P506</t>
  </si>
  <si>
    <t>ORD50438</t>
  </si>
  <si>
    <t>ORD50715</t>
  </si>
  <si>
    <t>ORD51060</t>
  </si>
  <si>
    <t>ORD51176</t>
  </si>
  <si>
    <t>ORD51207</t>
  </si>
  <si>
    <t>ORD51387</t>
  </si>
  <si>
    <t>ORD51452</t>
  </si>
  <si>
    <t>ORD51545</t>
  </si>
  <si>
    <t>ORD51822</t>
  </si>
  <si>
    <t>ORD51839</t>
  </si>
  <si>
    <t>ORD52005</t>
  </si>
  <si>
    <t>ORD52060</t>
  </si>
  <si>
    <t>ORD52937</t>
  </si>
  <si>
    <t>ORD53169</t>
  </si>
  <si>
    <t>ORD53889</t>
  </si>
  <si>
    <t>ORD54194</t>
  </si>
  <si>
    <t>ORD50327</t>
  </si>
  <si>
    <t>ORD50365</t>
  </si>
  <si>
    <t>ORD50529</t>
  </si>
  <si>
    <t>ORD51888</t>
  </si>
  <si>
    <t>ORD52766</t>
  </si>
  <si>
    <t>ORD53286</t>
  </si>
  <si>
    <t>ORD53544</t>
  </si>
  <si>
    <t>ORD53712</t>
  </si>
  <si>
    <t>ORD50206</t>
  </si>
  <si>
    <t>ORD50373</t>
  </si>
  <si>
    <t>ORD50528</t>
  </si>
  <si>
    <t>ORD50535</t>
  </si>
  <si>
    <t>P304</t>
  </si>
  <si>
    <t>ORD50763</t>
  </si>
  <si>
    <t>ORD50843</t>
  </si>
  <si>
    <t>ORD51239</t>
  </si>
  <si>
    <t>ORD51315</t>
  </si>
  <si>
    <t>ORD51528</t>
  </si>
  <si>
    <t>ORD51995</t>
  </si>
  <si>
    <t>ORD52672</t>
  </si>
  <si>
    <t>ORD53064</t>
  </si>
  <si>
    <t>ORD53149</t>
  </si>
  <si>
    <t>ORD53331</t>
  </si>
  <si>
    <t>ORD53420</t>
  </si>
  <si>
    <t>ORD53799</t>
  </si>
  <si>
    <t>ORD50899</t>
  </si>
  <si>
    <t>ORD51050</t>
  </si>
  <si>
    <t>ORD51532</t>
  </si>
  <si>
    <t>ORD51580</t>
  </si>
  <si>
    <t>ORD51748</t>
  </si>
  <si>
    <t>ORD51755</t>
  </si>
  <si>
    <t>ORD51832</t>
  </si>
  <si>
    <t>ORD52002</t>
  </si>
  <si>
    <t>ORD53602</t>
  </si>
  <si>
    <t>ORD53649</t>
  </si>
  <si>
    <t>ORD54010</t>
  </si>
  <si>
    <t>ORD54069</t>
  </si>
  <si>
    <t>ORD50065</t>
  </si>
  <si>
    <t>ORD51359</t>
  </si>
  <si>
    <t>ORD51651</t>
  </si>
  <si>
    <t>ORD51943</t>
  </si>
  <si>
    <t>ORD52029</t>
  </si>
  <si>
    <t>ORD52248</t>
  </si>
  <si>
    <t>ORD52752</t>
  </si>
  <si>
    <t>ORD53518</t>
  </si>
  <si>
    <t>ORD50216</t>
  </si>
  <si>
    <t>ORD50600</t>
  </si>
  <si>
    <t>ORD50820</t>
  </si>
  <si>
    <t>ORD51057</t>
  </si>
  <si>
    <t>ORD52618</t>
  </si>
  <si>
    <t>ORD52839</t>
  </si>
  <si>
    <t>ORD53761</t>
  </si>
  <si>
    <t>ORD54093</t>
  </si>
  <si>
    <t>ORD50313</t>
  </si>
  <si>
    <t>ORD51044</t>
  </si>
  <si>
    <t>ORD51353</t>
  </si>
  <si>
    <t>ORD51391</t>
  </si>
  <si>
    <t>ORD51450</t>
  </si>
  <si>
    <t>ORD52139</t>
  </si>
  <si>
    <t>ORD52211</t>
  </si>
  <si>
    <t>ORD52275</t>
  </si>
  <si>
    <t>ORD52640</t>
  </si>
  <si>
    <t>ORD53269</t>
  </si>
  <si>
    <t>ORD53681</t>
  </si>
  <si>
    <t>ORD50582</t>
  </si>
  <si>
    <t>ORD51560</t>
  </si>
  <si>
    <t>ORD51861</t>
  </si>
  <si>
    <t>ORD51870</t>
  </si>
  <si>
    <t>ORD52509</t>
  </si>
  <si>
    <t>ORD53114</t>
  </si>
  <si>
    <t>ORD53182</t>
  </si>
  <si>
    <t>ORD53298</t>
  </si>
  <si>
    <t>ORD50157</t>
  </si>
  <si>
    <t>ORD50347</t>
  </si>
  <si>
    <t>ORD50498</t>
  </si>
  <si>
    <t>ORD50913</t>
  </si>
  <si>
    <t>ORD52011</t>
  </si>
  <si>
    <t>ORD52195</t>
  </si>
  <si>
    <t>ORD52237</t>
  </si>
  <si>
    <t>ORD52406</t>
  </si>
  <si>
    <t>ORD52619</t>
  </si>
  <si>
    <t>ORD52690</t>
  </si>
  <si>
    <t>ORD52726</t>
  </si>
  <si>
    <t>ORD53354</t>
  </si>
  <si>
    <t>ORD50064</t>
  </si>
  <si>
    <t>ORD50342</t>
  </si>
  <si>
    <t>ORD50586</t>
  </si>
  <si>
    <t>ORD50627</t>
  </si>
  <si>
    <t>ORD50707</t>
  </si>
  <si>
    <t>ORD51031</t>
  </si>
  <si>
    <t>ORD51107</t>
  </si>
  <si>
    <t>ORD51214</t>
  </si>
  <si>
    <t>ORD51244</t>
  </si>
  <si>
    <t>ORD51522</t>
  </si>
  <si>
    <t>ORD51714</t>
  </si>
  <si>
    <t>ORD51742</t>
  </si>
  <si>
    <t>ORD52203</t>
  </si>
  <si>
    <t>ORD52448</t>
  </si>
  <si>
    <t>ORD52534</t>
  </si>
  <si>
    <t>ORD52613</t>
  </si>
  <si>
    <t>ORD53101</t>
  </si>
  <si>
    <t>ORD53212</t>
  </si>
  <si>
    <t>ORD53663</t>
  </si>
  <si>
    <t>ORD53763</t>
  </si>
  <si>
    <t>ORD53923</t>
  </si>
  <si>
    <t>ORD50250</t>
  </si>
  <si>
    <t>ORD50262</t>
  </si>
  <si>
    <t>ORD50267</t>
  </si>
  <si>
    <t>ORD50557</t>
  </si>
  <si>
    <t>ORD50631</t>
  </si>
  <si>
    <t>ORD50994</t>
  </si>
  <si>
    <t>ORD51906</t>
  </si>
  <si>
    <t>ORD52336</t>
  </si>
  <si>
    <t>ORD52496</t>
  </si>
  <si>
    <t>ORD52612</t>
  </si>
  <si>
    <t>ORD52673</t>
  </si>
  <si>
    <t>ORD52806</t>
  </si>
  <si>
    <t>ORD52977</t>
  </si>
  <si>
    <t>ORD53334</t>
  </si>
  <si>
    <t>ORD53368</t>
  </si>
  <si>
    <t>ORD53617</t>
  </si>
  <si>
    <t>ORD50004</t>
  </si>
  <si>
    <t>ORD50244</t>
  </si>
  <si>
    <t>ORD50458</t>
  </si>
  <si>
    <t>ORD50470</t>
  </si>
  <si>
    <t>ORD50959</t>
  </si>
  <si>
    <t>ORD51162</t>
  </si>
  <si>
    <t>ORD51719</t>
  </si>
  <si>
    <t>ORD53110</t>
  </si>
  <si>
    <t>ORD53215</t>
  </si>
  <si>
    <t>ORD53224</t>
  </si>
  <si>
    <t>ORD53619</t>
  </si>
  <si>
    <t>ORD54155</t>
  </si>
  <si>
    <t>ORD51296</t>
  </si>
  <si>
    <t>ORD51319</t>
  </si>
  <si>
    <t>ORD51667</t>
  </si>
  <si>
    <t>ORD51833</t>
  </si>
  <si>
    <t>ORD51998</t>
  </si>
  <si>
    <t>ORD52368</t>
  </si>
  <si>
    <t>ORD52443</t>
  </si>
  <si>
    <t>ORD52449</t>
  </si>
  <si>
    <t>ORD52626</t>
  </si>
  <si>
    <t>ORD52631</t>
  </si>
  <si>
    <t>ORD52963</t>
  </si>
  <si>
    <t>ORD53050</t>
  </si>
  <si>
    <t>ORD53292</t>
  </si>
  <si>
    <t>ORD53395</t>
  </si>
  <si>
    <t>ORD53556</t>
  </si>
  <si>
    <t>ORD50030</t>
  </si>
  <si>
    <t>ORD50511</t>
  </si>
  <si>
    <t>ORD50620</t>
  </si>
  <si>
    <t>ORD50812</t>
  </si>
  <si>
    <t>ORD51389</t>
  </si>
  <si>
    <t>ORD51769</t>
  </si>
  <si>
    <t>ORD51856</t>
  </si>
  <si>
    <t>ORD51940</t>
  </si>
  <si>
    <t>ORD52066</t>
  </si>
  <si>
    <t>ORD52143</t>
  </si>
  <si>
    <t>ORD52361</t>
  </si>
  <si>
    <t>ORD52515</t>
  </si>
  <si>
    <t>ORD52581</t>
  </si>
  <si>
    <t>ORD52899</t>
  </si>
  <si>
    <t>ORD53251</t>
  </si>
  <si>
    <t>ORD54020</t>
  </si>
  <si>
    <t>ORD54185</t>
  </si>
  <si>
    <t>ORD50316</t>
  </si>
  <si>
    <t>ORD50626</t>
  </si>
  <si>
    <t>ORD50655</t>
  </si>
  <si>
    <t>ORD51517</t>
  </si>
  <si>
    <t>ORD51729</t>
  </si>
  <si>
    <t>ORD51899</t>
  </si>
  <si>
    <t>ORD52009</t>
  </si>
  <si>
    <t>ORD52268</t>
  </si>
  <si>
    <t>ORD52306</t>
  </si>
  <si>
    <t>ORD52615</t>
  </si>
  <si>
    <t>ORD52781</t>
  </si>
  <si>
    <t>ORD52784</t>
  </si>
  <si>
    <t>ORD52859</t>
  </si>
  <si>
    <t>ORD52943</t>
  </si>
  <si>
    <t>ORD53540</t>
  </si>
  <si>
    <t>ORD53728</t>
  </si>
  <si>
    <t>ORD50253</t>
  </si>
  <si>
    <t>ORD50481</t>
  </si>
  <si>
    <t>ORD50759</t>
  </si>
  <si>
    <t>ORD51722</t>
  </si>
  <si>
    <t>ORD51727</t>
  </si>
  <si>
    <t>ORD51760</t>
  </si>
  <si>
    <t>ORD52036</t>
  </si>
  <si>
    <t>ORD52110</t>
  </si>
  <si>
    <t>ORD52238</t>
  </si>
  <si>
    <t>ORD52353</t>
  </si>
  <si>
    <t>ORD52389</t>
  </si>
  <si>
    <t>ORD52423</t>
  </si>
  <si>
    <t>ORD52858</t>
  </si>
  <si>
    <t>ORD53004</t>
  </si>
  <si>
    <t>ORD53140</t>
  </si>
  <si>
    <t>ORD50012</t>
  </si>
  <si>
    <t>ORD50209</t>
  </si>
  <si>
    <t>ORD50455</t>
  </si>
  <si>
    <t>ORD50533</t>
  </si>
  <si>
    <t>ORD51588</t>
  </si>
  <si>
    <t>ORD51619</t>
  </si>
  <si>
    <t>ORD52126</t>
  </si>
  <si>
    <t>ORD52350</t>
  </si>
  <si>
    <t>ORD52366</t>
  </si>
  <si>
    <t>ORD52892</t>
  </si>
  <si>
    <t>ORD53183</t>
  </si>
  <si>
    <t>ORD53200</t>
  </si>
  <si>
    <t>ORD53408</t>
  </si>
  <si>
    <t>ORD53630</t>
  </si>
  <si>
    <t>ORD53661</t>
  </si>
  <si>
    <t>ORD53884</t>
  </si>
  <si>
    <t>ORD50496</t>
  </si>
  <si>
    <t>ORD50550</t>
  </si>
  <si>
    <t>ORD50717</t>
  </si>
  <si>
    <t>ORD51409</t>
  </si>
  <si>
    <t>ORD52094</t>
  </si>
  <si>
    <t>ORD52142</t>
  </si>
  <si>
    <t>ORD52706</t>
  </si>
  <si>
    <t>ORD53451</t>
  </si>
  <si>
    <t>ORD50767</t>
  </si>
  <si>
    <t>ORD50988</t>
  </si>
  <si>
    <t>ORD52052</t>
  </si>
  <si>
    <t>ORD52123</t>
  </si>
  <si>
    <t>ORD52241</t>
  </si>
  <si>
    <t>ORD52655</t>
  </si>
  <si>
    <t>ORD52669</t>
  </si>
  <si>
    <t>ORD53632</t>
  </si>
  <si>
    <t>ORD50505</t>
  </si>
  <si>
    <t>ORD50538</t>
  </si>
  <si>
    <t>ORD51237</t>
  </si>
  <si>
    <t>ORD51350</t>
  </si>
  <si>
    <t>ORD51476</t>
  </si>
  <si>
    <t>ORD51577</t>
  </si>
  <si>
    <t>ORD51636</t>
  </si>
  <si>
    <t>ORD52202</t>
  </si>
  <si>
    <t>ORD53249</t>
  </si>
  <si>
    <t>ORD53512</t>
  </si>
  <si>
    <t>ORD53535</t>
  </si>
  <si>
    <t>ORD53547</t>
  </si>
  <si>
    <t>ORD53932</t>
  </si>
  <si>
    <t>ORD54018</t>
  </si>
  <si>
    <t>ORD50015</t>
  </si>
  <si>
    <t>ORD50155</t>
  </si>
  <si>
    <t>ORD50218</t>
  </si>
  <si>
    <t>ORD50660</t>
  </si>
  <si>
    <t>ORD51417</t>
  </si>
  <si>
    <t>ORD51458</t>
  </si>
  <si>
    <t>ORD51531</t>
  </si>
  <si>
    <t>ORD52166</t>
  </si>
  <si>
    <t>ORD52551</t>
  </si>
  <si>
    <t>ORD53081</t>
  </si>
  <si>
    <t>ORD50738</t>
  </si>
  <si>
    <t>ORD50962</t>
  </si>
  <si>
    <t>ORD51063</t>
  </si>
  <si>
    <t>ORD51825</t>
  </si>
  <si>
    <t>ORD52174</t>
  </si>
  <si>
    <t>ORD53077</t>
  </si>
  <si>
    <t>ORD53377</t>
  </si>
  <si>
    <t>ORD53425</t>
  </si>
  <si>
    <t>ORD53718</t>
  </si>
  <si>
    <t>ORD53842</t>
  </si>
  <si>
    <t>ORD50292</t>
  </si>
  <si>
    <t>ORD51708</t>
  </si>
  <si>
    <t>ORD51772</t>
  </si>
  <si>
    <t>ORD52411</t>
  </si>
  <si>
    <t>ORD52540</t>
  </si>
  <si>
    <t>ORD52556</t>
  </si>
  <si>
    <t>ORD52593</t>
  </si>
  <si>
    <t>ORD52646</t>
  </si>
  <si>
    <t>ORD52767</t>
  </si>
  <si>
    <t>ORD53877</t>
  </si>
  <si>
    <t>ORD50346</t>
  </si>
  <si>
    <t>ORD51097</t>
  </si>
  <si>
    <t>ORD51255</t>
  </si>
  <si>
    <t>ORD51548</t>
  </si>
  <si>
    <t>ORD52483</t>
  </si>
  <si>
    <t>ORD52755</t>
  </si>
  <si>
    <t>ORD53128</t>
  </si>
  <si>
    <t>ORD53693</t>
  </si>
  <si>
    <t>ORD53828</t>
  </si>
  <si>
    <t>ORD53847</t>
  </si>
  <si>
    <t>ORD50011</t>
  </si>
  <si>
    <t>ORD50324</t>
  </si>
  <si>
    <t>ORD50329</t>
  </si>
  <si>
    <t>ORD50584</t>
  </si>
  <si>
    <t>ORD50752</t>
  </si>
  <si>
    <t>ORD50785</t>
  </si>
  <si>
    <t>ORD50847</t>
  </si>
  <si>
    <t>ORD51201</t>
  </si>
  <si>
    <t>ORD51360</t>
  </si>
  <si>
    <t>ORD51495</t>
  </si>
  <si>
    <t>ORD51990</t>
  </si>
  <si>
    <t>ORD52106</t>
  </si>
  <si>
    <t>ORD52485</t>
  </si>
  <si>
    <t>ORD53008</t>
  </si>
  <si>
    <t>ORD53786</t>
  </si>
  <si>
    <t>ORD54078</t>
  </si>
  <si>
    <t>ORD50010</t>
  </si>
  <si>
    <t>ORD50208</t>
  </si>
  <si>
    <t>ORD50331</t>
  </si>
  <si>
    <t>ORD50500</t>
  </si>
  <si>
    <t>ORD50876</t>
  </si>
  <si>
    <t>ORD51827</t>
  </si>
  <si>
    <t>ORD51978</t>
  </si>
  <si>
    <t>ORD52861</t>
  </si>
  <si>
    <t>ORD52900</t>
  </si>
  <si>
    <t>ORD53549</t>
  </si>
  <si>
    <t>ORD53576</t>
  </si>
  <si>
    <t>ORD53767</t>
  </si>
  <si>
    <t>ORD53910</t>
  </si>
  <si>
    <t>ORD50039</t>
  </si>
  <si>
    <t>ORD50355</t>
  </si>
  <si>
    <t>ORD50460</t>
  </si>
  <si>
    <t>ORD51142</t>
  </si>
  <si>
    <t>ORD51372</t>
  </si>
  <si>
    <t>ORD52028</t>
  </si>
  <si>
    <t>ORD52229</t>
  </si>
  <si>
    <t>ORD52327</t>
  </si>
  <si>
    <t>ORD53382</t>
  </si>
  <si>
    <t>ORD50452</t>
  </si>
  <si>
    <t>ORD51519</t>
  </si>
  <si>
    <t>ORD51649</t>
  </si>
  <si>
    <t>ORD51983</t>
  </si>
  <si>
    <t>ORD53133</t>
  </si>
  <si>
    <t>ORD53144</t>
  </si>
  <si>
    <t>ORD53162</t>
  </si>
  <si>
    <t>ORD53302</t>
  </si>
  <si>
    <t>ORD53466</t>
  </si>
  <si>
    <t>ORD53900</t>
  </si>
  <si>
    <t>ORD54168</t>
  </si>
  <si>
    <t>ORD50280</t>
  </si>
  <si>
    <t>ORD50317</t>
  </si>
  <si>
    <t>ORD50562</t>
  </si>
  <si>
    <t>ORD50708</t>
  </si>
  <si>
    <t>ORD50942</t>
  </si>
  <si>
    <t>ORD51236</t>
  </si>
  <si>
    <t>ORD51245</t>
  </si>
  <si>
    <t>ORD51426</t>
  </si>
  <si>
    <t>ORD51552</t>
  </si>
  <si>
    <t>ORD51594</t>
  </si>
  <si>
    <t>ORD52137</t>
  </si>
  <si>
    <t>ORD52454</t>
  </si>
  <si>
    <t>ORD52538</t>
  </si>
  <si>
    <t>ORD52737</t>
  </si>
  <si>
    <t>ORD52759</t>
  </si>
  <si>
    <t>ORD53603</t>
  </si>
  <si>
    <t>ORD53874</t>
  </si>
  <si>
    <t>ORD54027</t>
  </si>
  <si>
    <t>ORD54183</t>
  </si>
  <si>
    <t>ORD54196</t>
  </si>
  <si>
    <t>ORD50037</t>
  </si>
  <si>
    <t>ORD50109</t>
  </si>
  <si>
    <t>ORD50197</t>
  </si>
  <si>
    <t>ORD50227</t>
  </si>
  <si>
    <t>ORD50247</t>
  </si>
  <si>
    <t>ORD50647</t>
  </si>
  <si>
    <t>ORD50858</t>
  </si>
  <si>
    <t>ORD50997</t>
  </si>
  <si>
    <t>ORD51045</t>
  </si>
  <si>
    <t>ORD51198</t>
  </si>
  <si>
    <t>ORD51309</t>
  </si>
  <si>
    <t>ORD51596</t>
  </si>
  <si>
    <t>ORD51608</t>
  </si>
  <si>
    <t>ORD52493</t>
  </si>
  <si>
    <t>ORD52738</t>
  </si>
  <si>
    <t>ORD53745</t>
  </si>
  <si>
    <t>ORD53803</t>
  </si>
  <si>
    <t>ORD50286</t>
  </si>
  <si>
    <t>ORD50382</t>
  </si>
  <si>
    <t>ORD50502</t>
  </si>
  <si>
    <t>ORD50881</t>
  </si>
  <si>
    <t>ORD51299</t>
  </si>
  <si>
    <t>ORD51460</t>
  </si>
  <si>
    <t>ORD51844</t>
  </si>
  <si>
    <t>ORD52685</t>
  </si>
  <si>
    <t>ORD53388</t>
  </si>
  <si>
    <t>ORD53428</t>
  </si>
  <si>
    <t>ORD53753</t>
  </si>
  <si>
    <t>ORD54110</t>
  </si>
  <si>
    <t>ORD50146</t>
  </si>
  <si>
    <t>ORD51101</t>
  </si>
  <si>
    <t>ORD51386</t>
  </si>
  <si>
    <t>ORD51775</t>
  </si>
  <si>
    <t>ORD51850</t>
  </si>
  <si>
    <t>ORD52309</t>
  </si>
  <si>
    <t>ORD52674</t>
  </si>
  <si>
    <t>ORD52850</t>
  </si>
  <si>
    <t>ORD53616</t>
  </si>
  <si>
    <t>ORD54045</t>
  </si>
  <si>
    <t>ORD50009</t>
  </si>
  <si>
    <t>ORD50191</t>
  </si>
  <si>
    <t>ORD50442</t>
  </si>
  <si>
    <t>ORD50672</t>
  </si>
  <si>
    <t>ORD50753</t>
  </si>
  <si>
    <t>ORD53461</t>
  </si>
  <si>
    <t>ORD53667</t>
  </si>
  <si>
    <t>ORD50537</t>
  </si>
  <si>
    <t>ORD51717</t>
  </si>
  <si>
    <t>ORD52486</t>
  </si>
  <si>
    <t>ORD52645</t>
  </si>
  <si>
    <t>ORD52777</t>
  </si>
  <si>
    <t>ORD53175</t>
  </si>
  <si>
    <t>ORD53187</t>
  </si>
  <si>
    <t>ORD53214</t>
  </si>
  <si>
    <t>ORD53406</t>
  </si>
  <si>
    <t>ORD53819</t>
  </si>
  <si>
    <t>ORD53851</t>
  </si>
  <si>
    <t>ORD53858</t>
  </si>
  <si>
    <t>ORD54082</t>
  </si>
  <si>
    <t>ORD50801</t>
  </si>
  <si>
    <t>ORD51226</t>
  </si>
  <si>
    <t>ORD51257</t>
  </si>
  <si>
    <t>ORD51425</t>
  </si>
  <si>
    <t>ORD51518</t>
  </si>
  <si>
    <t>ORD51541</t>
  </si>
  <si>
    <t>ORD51628</t>
  </si>
  <si>
    <t>ORD51883</t>
  </si>
  <si>
    <t>ORD52407</t>
  </si>
  <si>
    <t>ORD52815</t>
  </si>
  <si>
    <t>ORD52822</t>
  </si>
  <si>
    <t>ORD53332</t>
  </si>
  <si>
    <t>ORD53737</t>
  </si>
  <si>
    <t>ORD53772</t>
  </si>
  <si>
    <t>ORD53894</t>
  </si>
  <si>
    <t>ORD50375</t>
  </si>
  <si>
    <t>ORD50736</t>
  </si>
  <si>
    <t>ORD51397</t>
  </si>
  <si>
    <t>ORD52210</t>
  </si>
  <si>
    <t>ORD52372</t>
  </si>
  <si>
    <t>ORD53529</t>
  </si>
  <si>
    <t>ORD53904</t>
  </si>
  <si>
    <t>ORD54116</t>
  </si>
  <si>
    <t>ORD50192</t>
  </si>
  <si>
    <t>ORD50637</t>
  </si>
  <si>
    <t>ORD50970</t>
  </si>
  <si>
    <t>ORD51022</t>
  </si>
  <si>
    <t>ORD52408</t>
  </si>
  <si>
    <t>ORD52471</t>
  </si>
  <si>
    <t>ORD52955</t>
  </si>
  <si>
    <t>ORD53480</t>
  </si>
  <si>
    <t>ORD50273</t>
  </si>
  <si>
    <t>ORD50393</t>
  </si>
  <si>
    <t>ORD50450</t>
  </si>
  <si>
    <t>ORD50516</t>
  </si>
  <si>
    <t>ORD51018</t>
  </si>
  <si>
    <t>ORD51240</t>
  </si>
  <si>
    <t>ORD51527</t>
  </si>
  <si>
    <t>ORD51661</t>
  </si>
  <si>
    <t>ORD53583</t>
  </si>
  <si>
    <t>ORD50374</t>
  </si>
  <si>
    <t>ORD51010</t>
  </si>
  <si>
    <t>ORD51093</t>
  </si>
  <si>
    <t>ORD51242</t>
  </si>
  <si>
    <t>ORD51873</t>
  </si>
  <si>
    <t>ORD51996</t>
  </si>
  <si>
    <t>ORD52265</t>
  </si>
  <si>
    <t>ORD52362</t>
  </si>
  <si>
    <t>ORD52649</t>
  </si>
  <si>
    <t>ORD52917</t>
  </si>
  <si>
    <t>ORD52941</t>
  </si>
  <si>
    <t>ORD53118</t>
  </si>
  <si>
    <t>ORD53252</t>
  </si>
  <si>
    <t>ORD53256</t>
  </si>
  <si>
    <t>ORD53329</t>
  </si>
  <si>
    <t>ORD53459</t>
  </si>
  <si>
    <t>ORD53757</t>
  </si>
  <si>
    <t>ORD53898</t>
  </si>
  <si>
    <t>ORD54130</t>
  </si>
  <si>
    <t>ORD54166</t>
  </si>
  <si>
    <t>ORD50094</t>
  </si>
  <si>
    <t>ORD50169</t>
  </si>
  <si>
    <t>ORD50404</t>
  </si>
  <si>
    <t>ORD50724</t>
  </si>
  <si>
    <t>ORD51151</t>
  </si>
  <si>
    <t>ORD52347</t>
  </si>
  <si>
    <t>ORD52629</t>
  </si>
  <si>
    <t>ORD52804</t>
  </si>
  <si>
    <t>ORD52845</t>
  </si>
  <si>
    <t>ORD53036</t>
  </si>
  <si>
    <t>ORD53992</t>
  </si>
  <si>
    <t>ORD50388</t>
  </si>
  <si>
    <t>ORD51217</t>
  </si>
  <si>
    <t>ORD51713</t>
  </si>
  <si>
    <t>ORD52756</t>
  </si>
  <si>
    <t>ORD52934</t>
  </si>
  <si>
    <t>ORD50321</t>
  </si>
  <si>
    <t>ORD50702</t>
  </si>
  <si>
    <t>ORD51876</t>
  </si>
  <si>
    <t>ORD52067</t>
  </si>
  <si>
    <t>ORD52291</t>
  </si>
  <si>
    <t>ORD52324</t>
  </si>
  <si>
    <t>ORD52614</t>
  </si>
  <si>
    <t>ORD53102</t>
  </si>
  <si>
    <t>ORD53150</t>
  </si>
  <si>
    <t>ORD53303</t>
  </si>
  <si>
    <t>ORD53679</t>
  </si>
  <si>
    <t>ORD54049</t>
  </si>
  <si>
    <t>ORD54115</t>
  </si>
  <si>
    <t>ORD54192</t>
  </si>
  <si>
    <t>ORD50703</t>
  </si>
  <si>
    <t>ORD51119</t>
  </si>
  <si>
    <t>ORD51172</t>
  </si>
  <si>
    <t>ORD51571</t>
  </si>
  <si>
    <t>ORD51591</t>
  </si>
  <si>
    <t>ORD51686</t>
  </si>
  <si>
    <t>ORD52099</t>
  </si>
  <si>
    <t>ORD52292</t>
  </si>
  <si>
    <t>ORD52531</t>
  </si>
  <si>
    <t>ORD53025</t>
  </si>
  <si>
    <t>ORD53037</t>
  </si>
  <si>
    <t>ORD53359</t>
  </si>
  <si>
    <t>ORD53621</t>
  </si>
  <si>
    <t>ORD53886</t>
  </si>
  <si>
    <t>ORD50390</t>
  </si>
  <si>
    <t>ORD52470</t>
  </si>
  <si>
    <t>ORD53120</t>
  </si>
  <si>
    <t>ORD53135</t>
  </si>
  <si>
    <t>ORD53691</t>
  </si>
  <si>
    <t>ORD53722</t>
  </si>
  <si>
    <t>ORD50091</t>
  </si>
  <si>
    <t>ORD50887</t>
  </si>
  <si>
    <t>ORD51147</t>
  </si>
  <si>
    <t>ORD51288</t>
  </si>
  <si>
    <t>ORD51946</t>
  </si>
  <si>
    <t>ORD53048</t>
  </si>
  <si>
    <t>ORD53629</t>
  </si>
  <si>
    <t>ORD50440</t>
  </si>
  <si>
    <t>ORD50993</t>
  </si>
  <si>
    <t>ORD51375</t>
  </si>
  <si>
    <t>ORD51721</t>
  </si>
  <si>
    <t>ORD51801</t>
  </si>
  <si>
    <t>ORD52152</t>
  </si>
  <si>
    <t>ORD52190</t>
  </si>
  <si>
    <t>ORD52827</t>
  </si>
  <si>
    <t>ORD53051</t>
  </si>
  <si>
    <t>ORD53472</t>
  </si>
  <si>
    <t>ORD50429</t>
  </si>
  <si>
    <t>ORD50489</t>
  </si>
  <si>
    <t>ORD50697</t>
  </si>
  <si>
    <t>ORD50910</t>
  </si>
  <si>
    <t>ORD51376</t>
  </si>
  <si>
    <t>ORD51524</t>
  </si>
  <si>
    <t>ORD51544</t>
  </si>
  <si>
    <t>ORD51696</t>
  </si>
  <si>
    <t>ORD52658</t>
  </si>
  <si>
    <t>ORD52702</t>
  </si>
  <si>
    <t>ORD52984</t>
  </si>
  <si>
    <t>ORD53601</t>
  </si>
  <si>
    <t>ORD53740</t>
  </si>
  <si>
    <t>ORD50477</t>
  </si>
  <si>
    <t>ORD51053</t>
  </si>
  <si>
    <t>ORD52171</t>
  </si>
  <si>
    <t>ORD52205</t>
  </si>
  <si>
    <t>ORD52317</t>
  </si>
  <si>
    <t>ORD52701</t>
  </si>
  <si>
    <t>ORD53505</t>
  </si>
  <si>
    <t>ORD53806</t>
  </si>
  <si>
    <t>ORD53876</t>
  </si>
  <si>
    <t>ORD50341</t>
  </si>
  <si>
    <t>ORD50572</t>
  </si>
  <si>
    <t>ORD50624</t>
  </si>
  <si>
    <t>ORD51066</t>
  </si>
  <si>
    <t>ORD51113</t>
  </si>
  <si>
    <t>ORD51156</t>
  </si>
  <si>
    <t>ORD51330</t>
  </si>
  <si>
    <t>ORD51620</t>
  </si>
  <si>
    <t>ORD51709</t>
  </si>
  <si>
    <t>ORD52316</t>
  </si>
  <si>
    <t>ORD53155</t>
  </si>
  <si>
    <t>ORD53326</t>
  </si>
  <si>
    <t>ORD50017</t>
  </si>
  <si>
    <t>ORD51190</t>
  </si>
  <si>
    <t>ORD52216</t>
  </si>
  <si>
    <t>ORD52352</t>
  </si>
  <si>
    <t>ORD53419</t>
  </si>
  <si>
    <t>ORD53595</t>
  </si>
  <si>
    <t>ORD50302</t>
  </si>
  <si>
    <t>ORD50414</t>
  </si>
  <si>
    <t>ORD50987</t>
  </si>
  <si>
    <t>ORD51110</t>
  </si>
  <si>
    <t>ORD51121</t>
  </si>
  <si>
    <t>ORD51287</t>
  </si>
  <si>
    <t>ORD51525</t>
  </si>
  <si>
    <t>ORD51600</t>
  </si>
  <si>
    <t>ORD51752</t>
  </si>
  <si>
    <t>ORD52217</t>
  </si>
  <si>
    <t>ORD52964</t>
  </si>
  <si>
    <t>ORD52995</t>
  </si>
  <si>
    <t>ORD53528</t>
  </si>
  <si>
    <t>ORD53532</t>
  </si>
  <si>
    <t>ORD53644</t>
  </si>
  <si>
    <t>ORD50303</t>
  </si>
  <si>
    <t>ORD50595</t>
  </si>
  <si>
    <t>ORD50613</t>
  </si>
  <si>
    <t>ORD51171</t>
  </si>
  <si>
    <t>ORD51307</t>
  </si>
  <si>
    <t>ORD51396</t>
  </si>
  <si>
    <t>ORD51658</t>
  </si>
  <si>
    <t>ORD51770</t>
  </si>
  <si>
    <t>ORD51927</t>
  </si>
  <si>
    <t>ORD52339</t>
  </si>
  <si>
    <t>ORD52428</t>
  </si>
  <si>
    <t>ORD52475</t>
  </si>
  <si>
    <t>ORD52652</t>
  </si>
  <si>
    <t>ORD52656</t>
  </si>
  <si>
    <t>ORD52974</t>
  </si>
  <si>
    <t>ORD54029</t>
  </si>
  <si>
    <t>ORD54176</t>
  </si>
  <si>
    <t>ORD50937</t>
  </si>
  <si>
    <t>ORD51512</t>
  </si>
  <si>
    <t>ORD51593</t>
  </si>
  <si>
    <t>ORD52111</t>
  </si>
  <si>
    <t>ORD52345</t>
  </si>
  <si>
    <t>ORD52592</t>
  </si>
  <si>
    <t>ORD53054</t>
  </si>
  <si>
    <t>ORD50213</t>
  </si>
  <si>
    <t>ORD50819</t>
  </si>
  <si>
    <t>ORD50975</t>
  </si>
  <si>
    <t>ORD51153</t>
  </si>
  <si>
    <t>ORD52013</t>
  </si>
  <si>
    <t>ORD52236</t>
  </si>
  <si>
    <t>ORD52283</t>
  </si>
  <si>
    <t>ORD52627</t>
  </si>
  <si>
    <t>ORD53282</t>
  </si>
  <si>
    <t>ORD50650</t>
  </si>
  <si>
    <t>ORD51076</t>
  </si>
  <si>
    <t>ORD51484</t>
  </si>
  <si>
    <t>ORD51540</t>
  </si>
  <si>
    <t>ORD51912</t>
  </si>
  <si>
    <t>ORD52015</t>
  </si>
  <si>
    <t>ORD52480</t>
  </si>
  <si>
    <t>ORD52504</t>
  </si>
  <si>
    <t>ORD52535</t>
  </si>
  <si>
    <t>ORD52642</t>
  </si>
  <si>
    <t>ORD52927</t>
  </si>
  <si>
    <t>ORD53496</t>
  </si>
  <si>
    <t>ORD53613</t>
  </si>
  <si>
    <t>ORD54190</t>
  </si>
  <si>
    <t>ORD50704</t>
  </si>
  <si>
    <t>ORD51116</t>
  </si>
  <si>
    <t>ORD52006</t>
  </si>
  <si>
    <t>ORD53070</t>
  </si>
  <si>
    <t>ORD51164</t>
  </si>
  <si>
    <t>ORD51335</t>
  </si>
  <si>
    <t>ORD51690</t>
  </si>
  <si>
    <t>ORD51803</t>
  </si>
  <si>
    <t>ORD51910</t>
  </si>
  <si>
    <t>ORD51920</t>
  </si>
  <si>
    <t>ORD52881</t>
  </si>
  <si>
    <t>ORD52988</t>
  </si>
  <si>
    <t>ORD53594</t>
  </si>
  <si>
    <t>ORD53774</t>
  </si>
  <si>
    <t>ORD53852</t>
  </si>
  <si>
    <t>ORD50950</t>
  </si>
  <si>
    <t>ORD51009</t>
  </si>
  <si>
    <t>ORD51152</t>
  </si>
  <si>
    <t>ORD51304</t>
  </si>
  <si>
    <t>ORD51420</t>
  </si>
  <si>
    <t>ORD51473</t>
  </si>
  <si>
    <t>ORD51884</t>
  </si>
  <si>
    <t>ORD51994</t>
  </si>
  <si>
    <t>ORD52723</t>
  </si>
  <si>
    <t>ORD53157</t>
  </si>
  <si>
    <t>ORD53921</t>
  </si>
  <si>
    <t>ORD53993</t>
  </si>
  <si>
    <t>ORD54189</t>
  </si>
  <si>
    <t>ORD50086</t>
  </si>
  <si>
    <t>ORD50300</t>
  </si>
  <si>
    <t>ORD50649</t>
  </si>
  <si>
    <t>ORD50698</t>
  </si>
  <si>
    <t>ORD51158</t>
  </si>
  <si>
    <t>ORD52333</t>
  </si>
  <si>
    <t>ORD52335</t>
  </si>
  <si>
    <t>ORD52433</t>
  </si>
  <si>
    <t>ORD52603</t>
  </si>
  <si>
    <t>ORD52715</t>
  </si>
  <si>
    <t>ORD52896</t>
  </si>
  <si>
    <t>ORD53413</t>
  </si>
  <si>
    <t>ORD53534</t>
  </si>
  <si>
    <t>ORD53697</t>
  </si>
  <si>
    <t>ORD54023</t>
  </si>
  <si>
    <t>ORD54134</t>
  </si>
  <si>
    <t>ORD50193</t>
  </si>
  <si>
    <t>ORD51681</t>
  </si>
  <si>
    <t>ORD52138</t>
  </si>
  <si>
    <t>ORD52159</t>
  </si>
  <si>
    <t>ORD52611</t>
  </si>
  <si>
    <t>ORD50764</t>
  </si>
  <si>
    <t>ORD50944</t>
  </si>
  <si>
    <t>ORD52026</t>
  </si>
  <si>
    <t>ORD52124</t>
  </si>
  <si>
    <t>ORD52201</t>
  </si>
  <si>
    <t>ORD52729</t>
  </si>
  <si>
    <t>ORD52838</t>
  </si>
  <si>
    <t>ORD53093</t>
  </si>
  <si>
    <t>ORD53106</t>
  </si>
  <si>
    <t>ORD53234</t>
  </si>
  <si>
    <t>ORD53929</t>
  </si>
  <si>
    <t>ORD53975</t>
  </si>
  <si>
    <t>ORD50120</t>
  </si>
  <si>
    <t>ORD50656</t>
  </si>
  <si>
    <t>ORD50922</t>
  </si>
  <si>
    <t>ORD50941</t>
  </si>
  <si>
    <t>ORD51377</t>
  </si>
  <si>
    <t>ORD51504</t>
  </si>
  <si>
    <t>ORD51794</t>
  </si>
  <si>
    <t>ORD51836</t>
  </si>
  <si>
    <t>ORD51864</t>
  </si>
  <si>
    <t>ORD52054</t>
  </si>
  <si>
    <t>ORD52140</t>
  </si>
  <si>
    <t>ORD52322</t>
  </si>
  <si>
    <t>ORD53014</t>
  </si>
  <si>
    <t>ORD53210</t>
  </si>
  <si>
    <t>ORD53259</t>
  </si>
  <si>
    <t>ORD53415</t>
  </si>
  <si>
    <t>ORD53536</t>
  </si>
  <si>
    <t>ORD54100</t>
  </si>
  <si>
    <t>ORD50053</t>
  </si>
  <si>
    <t>ORD50431</t>
  </si>
  <si>
    <t>ORD50688</t>
  </si>
  <si>
    <t>ORD50757</t>
  </si>
  <si>
    <t>ORD51276</t>
  </si>
  <si>
    <t>ORD52030</t>
  </si>
  <si>
    <t>ORD52962</t>
  </si>
  <si>
    <t>ORD53046</t>
  </si>
  <si>
    <t>ORD53148</t>
  </si>
  <si>
    <t>ORD53567</t>
  </si>
  <si>
    <t>ORD53623</t>
  </si>
  <si>
    <t>ORD54121</t>
  </si>
  <si>
    <t>ORD54149</t>
  </si>
  <si>
    <t>ORD50378</t>
  </si>
  <si>
    <t>ORD50456</t>
  </si>
  <si>
    <t>ORD50946</t>
  </si>
  <si>
    <t>ORD51023</t>
  </si>
  <si>
    <t>ORD51470</t>
  </si>
  <si>
    <t>ORD51535</t>
  </si>
  <si>
    <t>ORD51951</t>
  </si>
  <si>
    <t>ORD52001</t>
  </si>
  <si>
    <t>ORD52187</t>
  </si>
  <si>
    <t>ORD52982</t>
  </si>
  <si>
    <t>ORD53206</t>
  </si>
  <si>
    <t>ORD53319</t>
  </si>
  <si>
    <t>ORD53358</t>
  </si>
  <si>
    <t>ORD53808</t>
  </si>
  <si>
    <t>ORD54007</t>
  </si>
  <si>
    <t>ORD50153</t>
  </si>
  <si>
    <t>ORD50195</t>
  </si>
  <si>
    <t>ORD50240</t>
  </si>
  <si>
    <t>ORD51431</t>
  </si>
  <si>
    <t>ORD51720</t>
  </si>
  <si>
    <t>ORD52076</t>
  </si>
  <si>
    <t>ORD52244</t>
  </si>
  <si>
    <t>ORD52310</t>
  </si>
  <si>
    <t>ORD52359</t>
  </si>
  <si>
    <t>ORD52472</t>
  </si>
  <si>
    <t>ORD52522</t>
  </si>
  <si>
    <t>ORD53814</t>
  </si>
  <si>
    <t>ORD53899</t>
  </si>
  <si>
    <t>ORD50307</t>
  </si>
  <si>
    <t>ORD50838</t>
  </si>
  <si>
    <t>ORD51148</t>
  </si>
  <si>
    <t>ORD51392</t>
  </si>
  <si>
    <t>ORD51488</t>
  </si>
  <si>
    <t>ORD51779</t>
  </si>
  <si>
    <t>ORD52434</t>
  </si>
  <si>
    <t>ORD52435</t>
  </si>
  <si>
    <t>ORD52457</t>
  </si>
  <si>
    <t>ORD53124</t>
  </si>
  <si>
    <t>ORD53189</t>
  </si>
  <si>
    <t>ORD53460</t>
  </si>
  <si>
    <t>ORD53515</t>
  </si>
  <si>
    <t>ORD53825</t>
  </si>
  <si>
    <t>ORD53967</t>
  </si>
  <si>
    <t>ORD50168</t>
  </si>
  <si>
    <t>ORD50415</t>
  </si>
  <si>
    <t>ORD50900</t>
  </si>
  <si>
    <t>ORD51047</t>
  </si>
  <si>
    <t>ORD51493</t>
  </si>
  <si>
    <t>ORD51499</t>
  </si>
  <si>
    <t>ORD52621</t>
  </si>
  <si>
    <t>ORD53844</t>
  </si>
  <si>
    <t>ORD54085</t>
  </si>
  <si>
    <t>ORD50177</t>
  </si>
  <si>
    <t>ORD50230</t>
  </si>
  <si>
    <t>ORD50437</t>
  </si>
  <si>
    <t>ORD51175</t>
  </si>
  <si>
    <t>ORD51443</t>
  </si>
  <si>
    <t>ORD51505</t>
  </si>
  <si>
    <t>ORD51874</t>
  </si>
  <si>
    <t>ORD52495</t>
  </si>
  <si>
    <t>ORD52526</t>
  </si>
  <si>
    <t>ORD53117</t>
  </si>
  <si>
    <t>ORD53122</t>
  </si>
  <si>
    <t>ORD53254</t>
  </si>
  <si>
    <t>ORD53273</t>
  </si>
  <si>
    <t>ORD53641</t>
  </si>
  <si>
    <t>ORD53885</t>
  </si>
  <si>
    <t>ORD50023</t>
  </si>
  <si>
    <t>ORD50806</t>
  </si>
  <si>
    <t>ORD51216</t>
  </si>
  <si>
    <t>ORD51533</t>
  </si>
  <si>
    <t>ORD51679</t>
  </si>
  <si>
    <t>ORD52232</t>
  </si>
  <si>
    <t>ORD53293</t>
  </si>
  <si>
    <t>ORD53832</t>
  </si>
  <si>
    <t>ORD54105</t>
  </si>
  <si>
    <t>ORD50995</t>
  </si>
  <si>
    <t>ORD51336</t>
  </si>
  <si>
    <t>ORD51741</t>
  </si>
  <si>
    <t>ORD52083</t>
  </si>
  <si>
    <t>ORD52580</t>
  </si>
  <si>
    <t>ORD53059</t>
  </si>
  <si>
    <t>ORD53113</t>
  </si>
  <si>
    <t>ORD53123</t>
  </si>
  <si>
    <t>ORD53242</t>
  </si>
  <si>
    <t>ORD54003</t>
  </si>
  <si>
    <t>ORD50114</t>
  </si>
  <si>
    <t>ORD50713</t>
  </si>
  <si>
    <t>ORD50731</t>
  </si>
  <si>
    <t>ORD50873</t>
  </si>
  <si>
    <t>ORD52980</t>
  </si>
  <si>
    <t>ORD53138</t>
  </si>
  <si>
    <t>ORD53156</t>
  </si>
  <si>
    <t>ORD53261</t>
  </si>
  <si>
    <t>ORD53290</t>
  </si>
  <si>
    <t>ORD53572</t>
  </si>
  <si>
    <t>ORD53634</t>
  </si>
  <si>
    <t>ORD53838</t>
  </si>
  <si>
    <t>ORD53927</t>
  </si>
  <si>
    <t>ORD54000</t>
  </si>
  <si>
    <t>ORD50024</t>
  </si>
  <si>
    <t>ORD50110</t>
  </si>
  <si>
    <t>ORD50188</t>
  </si>
  <si>
    <t>ORD50289</t>
  </si>
  <si>
    <t>ORD50884</t>
  </si>
  <si>
    <t>ORD50914</t>
  </si>
  <si>
    <t>ORD51059</t>
  </si>
  <si>
    <t>ORD51290</t>
  </si>
  <si>
    <t>ORD51757</t>
  </si>
  <si>
    <t>ORD52285</t>
  </si>
  <si>
    <t>ORD52400</t>
  </si>
  <si>
    <t>ORD52437</t>
  </si>
  <si>
    <t>ORD53986</t>
  </si>
  <si>
    <t>ORD50298</t>
  </si>
  <si>
    <t>ORD51243</t>
  </si>
  <si>
    <t>ORD51660</t>
  </si>
  <si>
    <t>ORD51988</t>
  </si>
  <si>
    <t>ORD52047</t>
  </si>
  <si>
    <t>ORD52635</t>
  </si>
  <si>
    <t>ORD53477</t>
  </si>
  <si>
    <t>ORD53565</t>
  </si>
  <si>
    <t>ORD50254</t>
  </si>
  <si>
    <t>ORD50387</t>
  </si>
  <si>
    <t>ORD50474</t>
  </si>
  <si>
    <t>ORD50969</t>
  </si>
  <si>
    <t>ORD51523</t>
  </si>
  <si>
    <t>ORD51553</t>
  </si>
  <si>
    <t>ORD52438</t>
  </si>
  <si>
    <t>ORD52854</t>
  </si>
  <si>
    <t>ORD52916</t>
  </si>
  <si>
    <t>ORD53098</t>
  </si>
  <si>
    <t>ORD53112</t>
  </si>
  <si>
    <t>ORD53729</t>
  </si>
  <si>
    <t>ORD50234</t>
  </si>
  <si>
    <t>ORD50569</t>
  </si>
  <si>
    <t>ORD51037</t>
  </si>
  <si>
    <t>ORD51197</t>
  </si>
  <si>
    <t>ORD51433</t>
  </si>
  <si>
    <t>ORD52686</t>
  </si>
  <si>
    <t>ORD53314</t>
  </si>
  <si>
    <t>ORD53637</t>
  </si>
  <si>
    <t>ORD53816</t>
  </si>
  <si>
    <t>ORD54039</t>
  </si>
  <si>
    <t>ORD50530</t>
  </si>
  <si>
    <t>ORD50789</t>
  </si>
  <si>
    <t>ORD50805</t>
  </si>
  <si>
    <t>ORD50905</t>
  </si>
  <si>
    <t>ORD51168</t>
  </si>
  <si>
    <t>ORD51332</t>
  </si>
  <si>
    <t>ORD52846</t>
  </si>
  <si>
    <t>ORD53344</t>
  </si>
  <si>
    <t>ORD53953</t>
  </si>
  <si>
    <t>ORD50633</t>
  </si>
  <si>
    <t>ORD50936</t>
  </si>
  <si>
    <t>ORD52170</t>
  </si>
  <si>
    <t>ORD52503</t>
  </si>
  <si>
    <t>ORD52572</t>
  </si>
  <si>
    <t>ORD52594</t>
  </si>
  <si>
    <t>ORD52919</t>
  </si>
  <si>
    <t>ORD53000</t>
  </si>
  <si>
    <t>ORD53495</t>
  </si>
  <si>
    <t>ORD54033</t>
  </si>
  <si>
    <t>ORD50304</t>
  </si>
  <si>
    <t>ORD50352</t>
  </si>
  <si>
    <t>ORD50734</t>
  </si>
  <si>
    <t>ORD50938</t>
  </si>
  <si>
    <t>ORD51509</t>
  </si>
  <si>
    <t>ORD51610</t>
  </si>
  <si>
    <t>ORD51809</t>
  </si>
  <si>
    <t>ORD52258</t>
  </si>
  <si>
    <t>ORD53263</t>
  </si>
  <si>
    <t>ORD50159</t>
  </si>
  <si>
    <t>ORD50219</t>
  </si>
  <si>
    <t>ORD50787</t>
  </si>
  <si>
    <t>ORD51361</t>
  </si>
  <si>
    <t>ORD51773</t>
  </si>
  <si>
    <t>ORD51829</t>
  </si>
  <si>
    <t>ORD51898</t>
  </si>
  <si>
    <t>ORD51901</t>
  </si>
  <si>
    <t>ORD51935</t>
  </si>
  <si>
    <t>ORD52326</t>
  </si>
  <si>
    <t>ORD53116</t>
  </si>
  <si>
    <t>ORD53141</t>
  </si>
  <si>
    <t>ORD53168</t>
  </si>
  <si>
    <t>ORD54137</t>
  </si>
  <si>
    <t>ORD50716</t>
  </si>
  <si>
    <t>ORD51346</t>
  </si>
  <si>
    <t>ORD52078</t>
  </si>
  <si>
    <t>ORD52567</t>
  </si>
  <si>
    <t>ORD52775</t>
  </si>
  <si>
    <t>ORD52879</t>
  </si>
  <si>
    <t>ORD53079</t>
  </si>
  <si>
    <t>ORD53669</t>
  </si>
  <si>
    <t>ORD53845</t>
  </si>
  <si>
    <t>ORD50326</t>
  </si>
  <si>
    <t>ORD50486</t>
  </si>
  <si>
    <t>ORD50549</t>
  </si>
  <si>
    <t>ORD50930</t>
  </si>
  <si>
    <t>ORD51196</t>
  </si>
  <si>
    <t>ORD51247</t>
  </si>
  <si>
    <t>ORD51312</t>
  </si>
  <si>
    <t>ORD51469</t>
  </si>
  <si>
    <t>ORD51624</t>
  </si>
  <si>
    <t>ORD51817</t>
  </si>
  <si>
    <t>ORD52698</t>
  </si>
  <si>
    <t>ORD52885</t>
  </si>
  <si>
    <t>ORD52948</t>
  </si>
  <si>
    <t>ORD53423</t>
  </si>
  <si>
    <t>ORD50156</t>
  </si>
  <si>
    <t>ORD50239</t>
  </si>
  <si>
    <t>ORD50860</t>
  </si>
  <si>
    <t>ORD50902</t>
  </si>
  <si>
    <t>ORD51003</t>
  </si>
  <si>
    <t>ORD51090</t>
  </si>
  <si>
    <t>ORD52386</t>
  </si>
  <si>
    <t>ORD52561</t>
  </si>
  <si>
    <t>ORD52870</t>
  </si>
  <si>
    <t>ORD53714</t>
  </si>
  <si>
    <t>ORD53926</t>
  </si>
  <si>
    <t>ORD50226</t>
  </si>
  <si>
    <t>ORD50237</t>
  </si>
  <si>
    <t>ORD50325</t>
  </si>
  <si>
    <t>ORD50864</t>
  </si>
  <si>
    <t>ORD50909</t>
  </si>
  <si>
    <t>ORD51146</t>
  </si>
  <si>
    <t>ORD52226</t>
  </si>
  <si>
    <t>ORD52356</t>
  </si>
  <si>
    <t>ORD52638</t>
  </si>
  <si>
    <t>ORD52713</t>
  </si>
  <si>
    <t>ORD53401</t>
  </si>
  <si>
    <t>ORD54091</t>
  </si>
  <si>
    <t>ORD54151</t>
  </si>
  <si>
    <t>ORD50608</t>
  </si>
  <si>
    <t>ORD50981</t>
  </si>
  <si>
    <t>ORD51038</t>
  </si>
  <si>
    <t>ORD51192</t>
  </si>
  <si>
    <t>ORD52508</t>
  </si>
  <si>
    <t>ORD52975</t>
  </si>
  <si>
    <t>ORD53243</t>
  </si>
  <si>
    <t>ORD53272</t>
  </si>
  <si>
    <t>ORD53363</t>
  </si>
  <si>
    <t>ORD53813</t>
  </si>
  <si>
    <t>ORD53969</t>
  </si>
  <si>
    <t>ORD50299</t>
  </si>
  <si>
    <t>ORD50392</t>
  </si>
  <si>
    <t>ORD50671</t>
  </si>
  <si>
    <t>ORD51579</t>
  </si>
  <si>
    <t>ORD51885</t>
  </si>
  <si>
    <t>ORD52798</t>
  </si>
  <si>
    <t>ORD52844</t>
  </si>
  <si>
    <t>ORD52953</t>
  </si>
  <si>
    <t>ORD53327</t>
  </si>
  <si>
    <t>ORD53335</t>
  </si>
  <si>
    <t>ORD53381</t>
  </si>
  <si>
    <t>ORD53453</t>
  </si>
  <si>
    <t>ORD53455</t>
  </si>
  <si>
    <t>ORD54160</t>
  </si>
  <si>
    <t>ORD50003</t>
  </si>
  <si>
    <t>ORD50441</t>
  </si>
  <si>
    <t>ORD51936</t>
  </si>
  <si>
    <t>ORD53010</t>
  </si>
  <si>
    <t>ORD53071</t>
  </si>
  <si>
    <t>ORD53462</t>
  </si>
  <si>
    <t>ORD53640</t>
  </si>
  <si>
    <t>ORD53666</t>
  </si>
  <si>
    <t>ORD53801</t>
  </si>
  <si>
    <t>ORD53863</t>
  </si>
  <si>
    <t>ORD54136</t>
  </si>
  <si>
    <t>ORD54145</t>
  </si>
  <si>
    <t>ORD50811</t>
  </si>
  <si>
    <t>ORD51395</t>
  </si>
  <si>
    <t>ORD51753</t>
  </si>
  <si>
    <t>ORD53172</t>
  </si>
  <si>
    <t>ORD53247</t>
  </si>
  <si>
    <t>ORD54032</t>
  </si>
  <si>
    <t>ORD50229</t>
  </si>
  <si>
    <t>ORD52059</t>
  </si>
  <si>
    <t>ORD52413</t>
  </si>
  <si>
    <t>ORD53058</t>
  </si>
  <si>
    <t>ORD53076</t>
  </si>
  <si>
    <t>ORD53227</t>
  </si>
  <si>
    <t>ORD53608</t>
  </si>
  <si>
    <t>ORD53882</t>
  </si>
  <si>
    <t>ORD51070</t>
  </si>
  <si>
    <t>ORD51569</t>
  </si>
  <si>
    <t>ORD52070</t>
  </si>
  <si>
    <t>ORD52194</t>
  </si>
  <si>
    <t>ORD52256</t>
  </si>
  <si>
    <t>ORD52346</t>
  </si>
  <si>
    <t>ORD52461</t>
  </si>
  <si>
    <t>ORD52687</t>
  </si>
  <si>
    <t>ORD53190</t>
  </si>
  <si>
    <t>ORD54075</t>
  </si>
  <si>
    <t>ORD50560</t>
  </si>
  <si>
    <t>ORD51224</t>
  </si>
  <si>
    <t>ORD52418</t>
  </si>
  <si>
    <t>ORD52525</t>
  </si>
  <si>
    <t>ORD52568</t>
  </si>
  <si>
    <t>ORD52778</t>
  </si>
  <si>
    <t>ORD52883</t>
  </si>
  <si>
    <t>ORD52891</t>
  </si>
  <si>
    <t>ORD53580</t>
  </si>
  <si>
    <t>ORD53653</t>
  </si>
  <si>
    <t>ORD53984</t>
  </si>
  <si>
    <t>ORD54127</t>
  </si>
  <si>
    <t>ORD50007</t>
  </si>
  <si>
    <t>ORD50484</t>
  </si>
  <si>
    <t>ORD50726</t>
  </si>
  <si>
    <t>ORD50871</t>
  </si>
  <si>
    <t>ORD51256</t>
  </si>
  <si>
    <t>ORD51756</t>
  </si>
  <si>
    <t>ORD52598</t>
  </si>
  <si>
    <t>ORD52624</t>
  </si>
  <si>
    <t>ORD52956</t>
  </si>
  <si>
    <t>ORD53307</t>
  </si>
  <si>
    <t>ORD53378</t>
  </si>
  <si>
    <t>ORD53561</t>
  </si>
  <si>
    <t>ORD54112</t>
  </si>
  <si>
    <t>ORD50081</t>
  </si>
  <si>
    <t>ORD50359</t>
  </si>
  <si>
    <t>ORD51120</t>
  </si>
  <si>
    <t>ORD51206</t>
  </si>
  <si>
    <t>ORD51212</t>
  </si>
  <si>
    <t>ORD51281</t>
  </si>
  <si>
    <t>ORD51895</t>
  </si>
  <si>
    <t>ORD51923</t>
  </si>
  <si>
    <t>ORD51986</t>
  </si>
  <si>
    <t>ORD52033</t>
  </si>
  <si>
    <t>ORD52651</t>
  </si>
  <si>
    <t>ORD53032</t>
  </si>
  <si>
    <t>ORD53324</t>
  </si>
  <si>
    <t>ORD53373</t>
  </si>
  <si>
    <t>ORD53635</t>
  </si>
  <si>
    <t>ORD50055</t>
  </si>
  <si>
    <t>ORD50072</t>
  </si>
  <si>
    <t>ORD50575</t>
  </si>
  <si>
    <t>ORD50849</t>
  </si>
  <si>
    <t>ORD51819</t>
  </si>
  <si>
    <t>ORD52403</t>
  </si>
  <si>
    <t>ORD52743</t>
  </si>
  <si>
    <t>ORD52812</t>
  </si>
  <si>
    <t>ORD52821</t>
  </si>
  <si>
    <t>ORD53017</t>
  </si>
  <si>
    <t>ORD53057</t>
  </si>
  <si>
    <t>ORD53646</t>
  </si>
  <si>
    <t>ORD50272</t>
  </si>
  <si>
    <t>ORD50570</t>
  </si>
  <si>
    <t>ORD50607</t>
  </si>
  <si>
    <t>ORD50750</t>
  </si>
  <si>
    <t>ORD52043</t>
  </si>
  <si>
    <t>ORD52219</t>
  </si>
  <si>
    <t>ORD52240</t>
  </si>
  <si>
    <t>ORD52304</t>
  </si>
  <si>
    <t>ORD52869</t>
  </si>
  <si>
    <t>ORD52954</t>
  </si>
  <si>
    <t>ORD52979</t>
  </si>
  <si>
    <t>ORD53177</t>
  </si>
  <si>
    <t>ORD54178</t>
  </si>
  <si>
    <t>ORD50029</t>
  </si>
  <si>
    <t>ORD50061</t>
  </si>
  <si>
    <t>ORD50119</t>
  </si>
  <si>
    <t>ORD50256</t>
  </si>
  <si>
    <t>ORD50923</t>
  </si>
  <si>
    <t>ORD51108</t>
  </si>
  <si>
    <t>ORD51260</t>
  </si>
  <si>
    <t>ORD51261</t>
  </si>
  <si>
    <t>ORD51511</t>
  </si>
  <si>
    <t>ORD52162</t>
  </si>
  <si>
    <t>ORD52653</t>
  </si>
  <si>
    <t>ORD52776</t>
  </si>
  <si>
    <t>ORD52826</t>
  </si>
  <si>
    <t>ORD52959</t>
  </si>
  <si>
    <t>ORD53188</t>
  </si>
  <si>
    <t>ORD53937</t>
  </si>
  <si>
    <t>ORD54097</t>
  </si>
  <si>
    <t>ORD50628</t>
  </si>
  <si>
    <t>ORD50712</t>
  </si>
  <si>
    <t>ORD50866</t>
  </si>
  <si>
    <t>ORD50912</t>
  </si>
  <si>
    <t>ORD51074</t>
  </si>
  <si>
    <t>ORD51590</t>
  </si>
  <si>
    <t>ORD51668</t>
  </si>
  <si>
    <t>ORD51880</t>
  </si>
  <si>
    <t>ORD51965</t>
  </si>
  <si>
    <t>ORD52141</t>
  </si>
  <si>
    <t>ORD52578</t>
  </si>
  <si>
    <t>ORD53087</t>
  </si>
  <si>
    <t>ORD50288</t>
  </si>
  <si>
    <t>ORD50599</t>
  </si>
  <si>
    <t>ORD50813</t>
  </si>
  <si>
    <t>ORD52185</t>
  </si>
  <si>
    <t>ORD52887</t>
  </si>
  <si>
    <t>ORD53219</t>
  </si>
  <si>
    <t>ORD53222</t>
  </si>
  <si>
    <t>ORD53355</t>
  </si>
  <si>
    <t>ORD53356</t>
  </si>
  <si>
    <t>ORD53955</t>
  </si>
  <si>
    <t>ORD54197</t>
  </si>
  <si>
    <t>ORD50701</t>
  </si>
  <si>
    <t>ORD50735</t>
  </si>
  <si>
    <t>ORD51337</t>
  </si>
  <si>
    <t>ORD51445</t>
  </si>
  <si>
    <t>ORD51716</t>
  </si>
  <si>
    <t>ORD51795</t>
  </si>
  <si>
    <t>ORD52343</t>
  </si>
  <si>
    <t>ORD52484</t>
  </si>
  <si>
    <t>ORD53504</t>
  </si>
  <si>
    <t>ORD53837</t>
  </si>
  <si>
    <t>ORD50398</t>
  </si>
  <si>
    <t>ORD50446</t>
  </si>
  <si>
    <t>ORD50468</t>
  </si>
  <si>
    <t>ORD50539</t>
  </si>
  <si>
    <t>ORD50658</t>
  </si>
  <si>
    <t>ORD51556</t>
  </si>
  <si>
    <t>ORD51645</t>
  </si>
  <si>
    <t>ORD51931</t>
  </si>
  <si>
    <t>ORD51955</t>
  </si>
  <si>
    <t>ORD52440</t>
  </si>
  <si>
    <t>ORD52447</t>
  </si>
  <si>
    <t>ORD52501</t>
  </si>
  <si>
    <t>ORD53239</t>
  </si>
  <si>
    <t>ORD54012</t>
  </si>
  <si>
    <t>ORD54154</t>
  </si>
  <si>
    <t>ORD50046</t>
  </si>
  <si>
    <t>ORD50105</t>
  </si>
  <si>
    <t>ORD50625</t>
  </si>
  <si>
    <t>ORD51021</t>
  </si>
  <si>
    <t>ORD51249</t>
  </si>
  <si>
    <t>ORD52383</t>
  </si>
  <si>
    <t>ORD52536</t>
  </si>
  <si>
    <t>ORD53809</t>
  </si>
  <si>
    <t>ORD50534</t>
  </si>
  <si>
    <t>ORD50751</t>
  </si>
  <si>
    <t>ORD51639</t>
  </si>
  <si>
    <t>ORD52602</t>
  </si>
  <si>
    <t>ORD53207</t>
  </si>
  <si>
    <t>ORD54042</t>
  </si>
  <si>
    <t>ORD50083</t>
  </si>
  <si>
    <t>ORD50540</t>
  </si>
  <si>
    <t>ORD51130</t>
  </si>
  <si>
    <t>ORD51344</t>
  </si>
  <si>
    <t>ORD51875</t>
  </si>
  <si>
    <t>ORD52146</t>
  </si>
  <si>
    <t>ORD52395</t>
  </si>
  <si>
    <t>ORD53041</t>
  </si>
  <si>
    <t>ORD53476</t>
  </si>
  <si>
    <t>ORD53478</t>
  </si>
  <si>
    <t>ORD53586</t>
  </si>
  <si>
    <t>ORD53631</t>
  </si>
  <si>
    <t>ORD53946</t>
  </si>
  <si>
    <t>ORD54043</t>
  </si>
  <si>
    <t>ORD50137</t>
  </si>
  <si>
    <t>ORD50330</t>
  </si>
  <si>
    <t>ORD50385</t>
  </si>
  <si>
    <t>ORD50940</t>
  </si>
  <si>
    <t>ORD50949</t>
  </si>
  <si>
    <t>ORD51264</t>
  </si>
  <si>
    <t>ORD51812</t>
  </si>
  <si>
    <t>ORD51961</t>
  </si>
  <si>
    <t>ORD52075</t>
  </si>
  <si>
    <t>ORD52375</t>
  </si>
  <si>
    <t>ORD52853</t>
  </si>
  <si>
    <t>ORD53365</t>
  </si>
  <si>
    <t>ORD53785</t>
  </si>
  <si>
    <t>ORD50714</t>
  </si>
  <si>
    <t>ORD50746</t>
  </si>
  <si>
    <t>ORD51364</t>
  </si>
  <si>
    <t>ORD51893</t>
  </si>
  <si>
    <t>ORD51958</t>
  </si>
  <si>
    <t>ORD52600</t>
  </si>
  <si>
    <t>ORD53390</t>
  </si>
  <si>
    <t>ORD54180</t>
  </si>
  <si>
    <t>ORD50116</t>
  </si>
  <si>
    <t>ORD50223</t>
  </si>
  <si>
    <t>ORD50556</t>
  </si>
  <si>
    <t>ORD50669</t>
  </si>
  <si>
    <t>ORD50676</t>
  </si>
  <si>
    <t>ORD51852</t>
  </si>
  <si>
    <t>ORD51949</t>
  </si>
  <si>
    <t>ORD52092</t>
  </si>
  <si>
    <t>ORD52415</t>
  </si>
  <si>
    <t>ORD52469</t>
  </si>
  <si>
    <t>ORD52691</t>
  </si>
  <si>
    <t>ORD53197</t>
  </si>
  <si>
    <t>ORD53624</t>
  </si>
  <si>
    <t>ORD54065</t>
  </si>
  <si>
    <t>ORD50395</t>
  </si>
  <si>
    <t>ORD50545</t>
  </si>
  <si>
    <t>ORD50644</t>
  </si>
  <si>
    <t>ORD51086</t>
  </si>
  <si>
    <t>ORD51177</t>
  </si>
  <si>
    <t>ORD51987</t>
  </si>
  <si>
    <t>ORD52992</t>
  </si>
  <si>
    <t>ORD53180</t>
  </si>
  <si>
    <t>ORD53226</t>
  </si>
  <si>
    <t>ORD53734</t>
  </si>
  <si>
    <t>ORD54148</t>
  </si>
  <si>
    <t>ORD54187</t>
  </si>
  <si>
    <t>ORD50079</t>
  </si>
  <si>
    <t>ORD50249</t>
  </si>
  <si>
    <t>ORD50520</t>
  </si>
  <si>
    <t>ORD50986</t>
  </si>
  <si>
    <t>ORD51180</t>
  </si>
  <si>
    <t>ORD51866</t>
  </si>
  <si>
    <t>ORD51959</t>
  </si>
  <si>
    <t>ORD52197</t>
  </si>
  <si>
    <t>ORD52228</t>
  </si>
  <si>
    <t>ORD52257</t>
  </si>
  <si>
    <t>ORD52938</t>
  </si>
  <si>
    <t>ORD53171</t>
  </si>
  <si>
    <t>ORD54034</t>
  </si>
  <si>
    <t>ORD50042</t>
  </si>
  <si>
    <t>ORD50802</t>
  </si>
  <si>
    <t>ORD51065</t>
  </si>
  <si>
    <t>ORD53369</t>
  </si>
  <si>
    <t>ORD53748</t>
  </si>
  <si>
    <t>ORD53964</t>
  </si>
  <si>
    <t>ORD50443</t>
  </si>
  <si>
    <t>ORD50664</t>
  </si>
  <si>
    <t>ORD51030</t>
  </si>
  <si>
    <t>ORD51333</t>
  </si>
  <si>
    <t>ORD51762</t>
  </si>
  <si>
    <t>ORD52027</t>
  </si>
  <si>
    <t>ORD52402</t>
  </si>
  <si>
    <t>ORD52476</t>
  </si>
  <si>
    <t>ORD52678</t>
  </si>
  <si>
    <t>ORD52851</t>
  </si>
  <si>
    <t>ORD53013</t>
  </si>
  <si>
    <t>ORD53078</t>
  </si>
  <si>
    <t>ORD53130</t>
  </si>
  <si>
    <t>ORD53205</t>
  </si>
  <si>
    <t>ORD53245</t>
  </si>
  <si>
    <t>ORD53317</t>
  </si>
  <si>
    <t>ORD53507</t>
  </si>
  <si>
    <t>ORD53609</t>
  </si>
  <si>
    <t>ORD53928</t>
  </si>
  <si>
    <t>ORD54142</t>
  </si>
  <si>
    <t>ORD50084</t>
  </si>
  <si>
    <t>ORD50427</t>
  </si>
  <si>
    <t>ORD50453</t>
  </si>
  <si>
    <t>ORD50845</t>
  </si>
  <si>
    <t>ORD50856</t>
  </si>
  <si>
    <t>ORD50952</t>
  </si>
  <si>
    <t>ORD51140</t>
  </si>
  <si>
    <t>ORD51724</t>
  </si>
  <si>
    <t>ORD52394</t>
  </si>
  <si>
    <t>ORD52785</t>
  </si>
  <si>
    <t>ORD52814</t>
  </si>
  <si>
    <t>ORD53294</t>
  </si>
  <si>
    <t>ORD50128</t>
  </si>
  <si>
    <t>ORD50220</t>
  </si>
  <si>
    <t>ORD50224</t>
  </si>
  <si>
    <t>ORD50235</t>
  </si>
  <si>
    <t>ORD51303</t>
  </si>
  <si>
    <t>ORD51574</t>
  </si>
  <si>
    <t>ORD51789</t>
  </si>
  <si>
    <t>ORD51984</t>
  </si>
  <si>
    <t>ORD52046</t>
  </si>
  <si>
    <t>ORD52770</t>
  </si>
  <si>
    <t>ORD52835</t>
  </si>
  <si>
    <t>ORD52855</t>
  </si>
  <si>
    <t>ORD53864</t>
  </si>
  <si>
    <t>ORD54076</t>
  </si>
  <si>
    <t>ORD50164</t>
  </si>
  <si>
    <t>ORD50447</t>
  </si>
  <si>
    <t>ORD50684</t>
  </si>
  <si>
    <t>ORD51341</t>
  </si>
  <si>
    <t>ORD51412</t>
  </si>
  <si>
    <t>ORD51459</t>
  </si>
  <si>
    <t>ORD52198</t>
  </si>
  <si>
    <t>ORD52298</t>
  </si>
  <si>
    <t>ORD52417</t>
  </si>
  <si>
    <t>ORD52427</t>
  </si>
  <si>
    <t>ORD52481</t>
  </si>
  <si>
    <t>ORD52489</t>
  </si>
  <si>
    <t>ORD53300</t>
  </si>
  <si>
    <t>ORD53306</t>
  </si>
  <si>
    <t>ORD50344</t>
  </si>
  <si>
    <t>ORD50823</t>
  </si>
  <si>
    <t>ORD50979</t>
  </si>
  <si>
    <t>ORD51274</t>
  </si>
  <si>
    <t>ORD51697</t>
  </si>
  <si>
    <t>ORD51739</t>
  </si>
  <si>
    <t>ORD52516</t>
  </si>
  <si>
    <t>ORD52520</t>
  </si>
  <si>
    <t>ORD52748</t>
  </si>
  <si>
    <t>ORD53131</t>
  </si>
  <si>
    <t>ORD53677</t>
  </si>
  <si>
    <t>ORD50006</t>
  </si>
  <si>
    <t>ORD50196</t>
  </si>
  <si>
    <t>ORD50345</t>
  </si>
  <si>
    <t>ORD50444</t>
  </si>
  <si>
    <t>ORD51124</t>
  </si>
  <si>
    <t>ORD51568</t>
  </si>
  <si>
    <t>ORD51703</t>
  </si>
  <si>
    <t>ORD51814</t>
  </si>
  <si>
    <t>ORD51969</t>
  </si>
  <si>
    <t>ORD52654</t>
  </si>
  <si>
    <t>ORD52860</t>
  </si>
  <si>
    <t>ORD53223</t>
  </si>
  <si>
    <t>ORD53270</t>
  </si>
  <si>
    <t>ORD53315</t>
  </si>
  <si>
    <t>ORD54182</t>
  </si>
  <si>
    <t>ORD50021</t>
  </si>
  <si>
    <t>ORD50062</t>
  </si>
  <si>
    <t>ORD50565</t>
  </si>
  <si>
    <t>ORD50635</t>
  </si>
  <si>
    <t>ORD50955</t>
  </si>
  <si>
    <t>ORD51394</t>
  </si>
  <si>
    <t>ORD52192</t>
  </si>
  <si>
    <t>ORD52243</t>
  </si>
  <si>
    <t>ORD53083</t>
  </si>
  <si>
    <t>ORD53268</t>
  </si>
  <si>
    <t>ORD53484</t>
  </si>
  <si>
    <t>ORD53548</t>
  </si>
  <si>
    <t>ORD50118</t>
  </si>
  <si>
    <t>ORD50510</t>
  </si>
  <si>
    <t>ORD50513</t>
  </si>
  <si>
    <t>ORD51178</t>
  </si>
  <si>
    <t>ORD51326</t>
  </si>
  <si>
    <t>ORD51765</t>
  </si>
  <si>
    <t>ORD52278</t>
  </si>
  <si>
    <t>ORD52786</t>
  </si>
  <si>
    <t>ORD52976</t>
  </si>
  <si>
    <t>ORD53209</t>
  </si>
  <si>
    <t>ORD53906</t>
  </si>
  <si>
    <t>ORD54123</t>
  </si>
  <si>
    <t>ORD50165</t>
  </si>
  <si>
    <t>ORD50730</t>
  </si>
  <si>
    <t>ORD51643</t>
  </si>
  <si>
    <t>ORD51715</t>
  </si>
  <si>
    <t>ORD51837</t>
  </si>
  <si>
    <t>ORD52177</t>
  </si>
  <si>
    <t>ORD52426</t>
  </si>
  <si>
    <t>ORD52692</t>
  </si>
  <si>
    <t>ORD53584</t>
  </si>
  <si>
    <t>ORD53848</t>
  </si>
  <si>
    <t>ORD50125</t>
  </si>
  <si>
    <t>ORD50291</t>
  </si>
  <si>
    <t>ORD51007</t>
  </si>
  <si>
    <t>ORD51526</t>
  </si>
  <si>
    <t>ORD51805</t>
  </si>
  <si>
    <t>ORD51878</t>
  </si>
  <si>
    <t>ORD52053</t>
  </si>
  <si>
    <t>ORD52180</t>
  </si>
  <si>
    <t>ORD52643</t>
  </si>
  <si>
    <t>ORD52818</t>
  </si>
  <si>
    <t>ORD53012</t>
  </si>
  <si>
    <t>ORD53654</t>
  </si>
  <si>
    <t>ORD53735</t>
  </si>
  <si>
    <t>ORD50362</t>
  </si>
  <si>
    <t>ORD50471</t>
  </si>
  <si>
    <t>ORD51079</t>
  </si>
  <si>
    <t>ORD51103</t>
  </si>
  <si>
    <t>ORD51166</t>
  </si>
  <si>
    <t>ORD51222</t>
  </si>
  <si>
    <t>ORD51744</t>
  </si>
  <si>
    <t>ORD51928</t>
  </si>
  <si>
    <t>ORD52320</t>
  </si>
  <si>
    <t>ORD52332</t>
  </si>
  <si>
    <t>ORD52783</t>
  </si>
  <si>
    <t>ORD53109</t>
  </si>
  <si>
    <t>ORD53399</t>
  </si>
  <si>
    <t>ORD53688</t>
  </si>
  <si>
    <t>ORD50277</t>
  </si>
  <si>
    <t>ORD50371</t>
  </si>
  <si>
    <t>ORD50422</t>
  </si>
  <si>
    <t>ORD50508</t>
  </si>
  <si>
    <t>ORD51464</t>
  </si>
  <si>
    <t>ORD51634</t>
  </si>
  <si>
    <t>ORD52100</t>
  </si>
  <si>
    <t>ORD52571</t>
  </si>
  <si>
    <t>ORD52789</t>
  </si>
  <si>
    <t>ORD52931</t>
  </si>
  <si>
    <t>ORD52949</t>
  </si>
  <si>
    <t>ORD53333</t>
  </si>
  <si>
    <t>ORD53897</t>
  </si>
  <si>
    <t>ORD53981</t>
  </si>
  <si>
    <t>ORD53994</t>
  </si>
  <si>
    <t>ORD54198</t>
  </si>
  <si>
    <t>ORD50026</t>
  </si>
  <si>
    <t>ORD50412</t>
  </si>
  <si>
    <t>ORD51128</t>
  </si>
  <si>
    <t>ORD51354</t>
  </si>
  <si>
    <t>ORD51402</t>
  </si>
  <si>
    <t>ORD51820</t>
  </si>
  <si>
    <t>ORD52044</t>
  </si>
  <si>
    <t>ORD52314</t>
  </si>
  <si>
    <t>ORD52505</t>
  </si>
  <si>
    <t>ORD52616</t>
  </si>
  <si>
    <t>ORD53143</t>
  </si>
  <si>
    <t>ORD50261</t>
  </si>
  <si>
    <t>ORD50274</t>
  </si>
  <si>
    <t>ORD50706</t>
  </si>
  <si>
    <t>ORD50862</t>
  </si>
  <si>
    <t>ORD51092</t>
  </si>
  <si>
    <t>ORD51238</t>
  </si>
  <si>
    <t>ORD51453</t>
  </si>
  <si>
    <t>ORD51663</t>
  </si>
  <si>
    <t>ORD52081</t>
  </si>
  <si>
    <t>ORD52121</t>
  </si>
  <si>
    <t>ORD52523</t>
  </si>
  <si>
    <t>ORD52873</t>
  </si>
  <si>
    <t>ORD53028</t>
  </si>
  <si>
    <t>ORD53962</t>
  </si>
  <si>
    <t>ORD53982</t>
  </si>
  <si>
    <t>ORD54090</t>
  </si>
  <si>
    <t>ORD50099</t>
  </si>
  <si>
    <t>ORD50284</t>
  </si>
  <si>
    <t>ORD50778</t>
  </si>
  <si>
    <t>ORD50927</t>
  </si>
  <si>
    <t>ORD51347</t>
  </si>
  <si>
    <t>ORD51615</t>
  </si>
  <si>
    <t>ORD51865</t>
  </si>
  <si>
    <t>ORD52188</t>
  </si>
  <si>
    <t>ORD52264</t>
  </si>
  <si>
    <t>ORD52305</t>
  </si>
  <si>
    <t>ORD52747</t>
  </si>
  <si>
    <t>ORD53019</t>
  </si>
  <si>
    <t>ORD53107</t>
  </si>
  <si>
    <t>ORD53146</t>
  </si>
  <si>
    <t>ORD53352</t>
  </si>
  <si>
    <t>ORD53920</t>
  </si>
  <si>
    <t>ORD50078</t>
  </si>
  <si>
    <t>ORD50186</t>
  </si>
  <si>
    <t>ORD50236</t>
  </si>
  <si>
    <t>ORD50264</t>
  </si>
  <si>
    <t>ORD51633</t>
  </si>
  <si>
    <t>ORD51834</t>
  </si>
  <si>
    <t>ORD52577</t>
  </si>
  <si>
    <t>ORD52595</t>
  </si>
  <si>
    <t>ORD52710</t>
  </si>
  <si>
    <t>ORD53229</t>
  </si>
  <si>
    <t>ORD53747</t>
  </si>
  <si>
    <t>ORD53952</t>
  </si>
  <si>
    <t>ORD53968</t>
  </si>
  <si>
    <t>ORD50601</t>
  </si>
  <si>
    <t>ORD50616</t>
  </si>
  <si>
    <t>ORD50674</t>
  </si>
  <si>
    <t>ORD50755</t>
  </si>
  <si>
    <t>ORD50782</t>
  </si>
  <si>
    <t>ORD50830</t>
  </si>
  <si>
    <t>ORD51137</t>
  </si>
  <si>
    <t>ORD51213</t>
  </si>
  <si>
    <t>ORD51273</t>
  </si>
  <si>
    <t>ORD51322</t>
  </si>
  <si>
    <t>ORD52420</t>
  </si>
  <si>
    <t>ORD52824</t>
  </si>
  <si>
    <t>ORD53475</t>
  </si>
  <si>
    <t>ORD53511</t>
  </si>
  <si>
    <t>ORD54133</t>
  </si>
  <si>
    <t>ORD50194</t>
  </si>
  <si>
    <t>ORD50756</t>
  </si>
  <si>
    <t>ORD51627</t>
  </si>
  <si>
    <t>ORD51788</t>
  </si>
  <si>
    <t>ORD52051</t>
  </si>
  <si>
    <t>ORD52431</t>
  </si>
  <si>
    <t>ORD53089</t>
  </si>
  <si>
    <t>ORD53276</t>
  </si>
  <si>
    <t>ORD53444</t>
  </si>
  <si>
    <t>ORD53931</t>
  </si>
  <si>
    <t>ORD54060</t>
  </si>
  <si>
    <t>ORD50728</t>
  </si>
  <si>
    <t>ORD50867</t>
  </si>
  <si>
    <t>ORD50889</t>
  </si>
  <si>
    <t>ORD51327</t>
  </si>
  <si>
    <t>ORD51414</t>
  </si>
  <si>
    <t>ORD51463</t>
  </si>
  <si>
    <t>ORD52128</t>
  </si>
  <si>
    <t>ORD52511</t>
  </si>
  <si>
    <t>ORD53351</t>
  </si>
  <si>
    <t>ORD53755</t>
  </si>
  <si>
    <t>ORD53759</t>
  </si>
  <si>
    <t>ORD50605</t>
  </si>
  <si>
    <t>ORD50640</t>
  </si>
  <si>
    <t>ORD51194</t>
  </si>
  <si>
    <t>ORD51232</t>
  </si>
  <si>
    <t>ORD51248</t>
  </si>
  <si>
    <t>ORD51275</t>
  </si>
  <si>
    <t>ORD52057</t>
  </si>
  <si>
    <t>ORD52196</t>
  </si>
  <si>
    <t>ORD52245</t>
  </si>
  <si>
    <t>ORD52574</t>
  </si>
  <si>
    <t>ORD53403</t>
  </si>
  <si>
    <t>ORD53668</t>
  </si>
  <si>
    <t>ORD53873</t>
  </si>
  <si>
    <t>ORD53966</t>
  </si>
  <si>
    <t>ORD50683</t>
  </si>
  <si>
    <t>ORD50875</t>
  </si>
  <si>
    <t>ORD51348</t>
  </si>
  <si>
    <t>ORD51894</t>
  </si>
  <si>
    <t>ORD51938</t>
  </si>
  <si>
    <t>ORD52488</t>
  </si>
  <si>
    <t>ORD52585</t>
  </si>
  <si>
    <t>ORD54144</t>
  </si>
  <si>
    <t>ORD50103</t>
  </si>
  <si>
    <t>ORD50769</t>
  </si>
  <si>
    <t>ORD50825</t>
  </si>
  <si>
    <t>ORD51295</t>
  </si>
  <si>
    <t>ORD51342</t>
  </si>
  <si>
    <t>ORD51355</t>
  </si>
  <si>
    <t>ORD51404</t>
  </si>
  <si>
    <t>ORD51418</t>
  </si>
  <si>
    <t>ORD51440</t>
  </si>
  <si>
    <t>ORD51671</t>
  </si>
  <si>
    <t>ORD51793</t>
  </si>
  <si>
    <t>ORD52797</t>
  </si>
  <si>
    <t>ORD52997</t>
  </si>
  <si>
    <t>ORD53165</t>
  </si>
  <si>
    <t>ORD53185</t>
  </si>
  <si>
    <t>ORD54122</t>
  </si>
  <si>
    <t>ORD50257</t>
  </si>
  <si>
    <t>ORD50405</t>
  </si>
  <si>
    <t>ORD50768</t>
  </si>
  <si>
    <t>ORD51537</t>
  </si>
  <si>
    <t>ORD51570</t>
  </si>
  <si>
    <t>ORD52441</t>
  </si>
  <si>
    <t>ORD52848</t>
  </si>
  <si>
    <t>ORD53021</t>
  </si>
  <si>
    <t>ORD53483</t>
  </si>
  <si>
    <t>ORD54099</t>
  </si>
  <si>
    <t>ORD54101</t>
  </si>
  <si>
    <t>ORD50048</t>
  </si>
  <si>
    <t>ORD50281</t>
  </si>
  <si>
    <t>ORD50742</t>
  </si>
  <si>
    <t>ORD51184</t>
  </si>
  <si>
    <t>ORD51745</t>
  </si>
  <si>
    <t>ORD52125</t>
  </si>
  <si>
    <t>ORD52634</t>
  </si>
  <si>
    <t>ORD53011</t>
  </si>
  <si>
    <t>ORD53554</t>
  </si>
  <si>
    <t>ORD54179</t>
  </si>
  <si>
    <t>ORD50351</t>
  </si>
  <si>
    <t>ORD50423</t>
  </si>
  <si>
    <t>ORD50857</t>
  </si>
  <si>
    <t>ORD51306</t>
  </si>
  <si>
    <t>ORD52365</t>
  </si>
  <si>
    <t>ORD52597</t>
  </si>
  <si>
    <t>ORD52716</t>
  </si>
  <si>
    <t>ORD53291</t>
  </si>
  <si>
    <t>ORD53342</t>
  </si>
  <si>
    <t>ORD53412</t>
  </si>
  <si>
    <t>ORD53491</t>
  </si>
  <si>
    <t>ORD53773</t>
  </si>
  <si>
    <t>ORD54026</t>
  </si>
  <si>
    <t>ORD50265</t>
  </si>
  <si>
    <t>ORD50973</t>
  </si>
  <si>
    <t>ORD51549</t>
  </si>
  <si>
    <t>ORD51676</t>
  </si>
  <si>
    <t>ORD53029</t>
  </si>
  <si>
    <t>ORD53103</t>
  </si>
  <si>
    <t>ORD53386</t>
  </si>
  <si>
    <t>ORD53411</t>
  </si>
  <si>
    <t>ORD53706</t>
  </si>
  <si>
    <t>ORD53990</t>
  </si>
  <si>
    <t>ORD54068</t>
  </si>
  <si>
    <t>ORD50093</t>
  </si>
  <si>
    <t>ORD50758</t>
  </si>
  <si>
    <t>ORD51472</t>
  </si>
  <si>
    <t>ORD51564</t>
  </si>
  <si>
    <t>ORD52153</t>
  </si>
  <si>
    <t>ORD52527</t>
  </si>
  <si>
    <t>ORD53049</t>
  </si>
  <si>
    <t>ORD53115</t>
  </si>
  <si>
    <t>ORD53230</t>
  </si>
  <si>
    <t>ORD53432</t>
  </si>
  <si>
    <t>ORD53539</t>
  </si>
  <si>
    <t>ORD53596</t>
  </si>
  <si>
    <t>ORD50305</t>
  </si>
  <si>
    <t>ORD50476</t>
  </si>
  <si>
    <t>ORD52093</t>
  </si>
  <si>
    <t>ORD52308</t>
  </si>
  <si>
    <t>ORD52311</t>
  </si>
  <si>
    <t>ORD53404</t>
  </si>
  <si>
    <t>ORD53860</t>
  </si>
  <si>
    <t>ORD54038</t>
  </si>
  <si>
    <t>ORD50358</t>
  </si>
  <si>
    <t>ORD50396</t>
  </si>
  <si>
    <t>ORD50615</t>
  </si>
  <si>
    <t>ORD51398</t>
  </si>
  <si>
    <t>ORD51774</t>
  </si>
  <si>
    <t>ORD52068</t>
  </si>
  <si>
    <t>ORD52297</t>
  </si>
  <si>
    <t>ORD53164</t>
  </si>
  <si>
    <t>ORD54050</t>
  </si>
  <si>
    <t>ORD50499</t>
  </si>
  <si>
    <t>ORD51179</t>
  </si>
  <si>
    <t>ORD51297</t>
  </si>
  <si>
    <t>ORD51982</t>
  </si>
  <si>
    <t>ORD52355</t>
  </si>
  <si>
    <t>ORD52957</t>
  </si>
  <si>
    <t>ORD53387</t>
  </si>
  <si>
    <t>ORD53738</t>
  </si>
  <si>
    <t>ORD50122</t>
  </si>
  <si>
    <t>ORD50315</t>
  </si>
  <si>
    <t>ORD50420</t>
  </si>
  <si>
    <t>ORD50576</t>
  </si>
  <si>
    <t>ORD50591</t>
  </si>
  <si>
    <t>ORD50618</t>
  </si>
  <si>
    <t>ORD50892</t>
  </si>
  <si>
    <t>ORD51685</t>
  </si>
  <si>
    <t>ORD52788</t>
  </si>
  <si>
    <t>ORD52939</t>
  </si>
  <si>
    <t>ORD53241</t>
  </si>
  <si>
    <t>ORD53433</t>
  </si>
  <si>
    <t>ORD53555</t>
  </si>
  <si>
    <t>ORD53756</t>
  </si>
  <si>
    <t>ORD53960</t>
  </si>
  <si>
    <t>ORD50792</t>
  </si>
  <si>
    <t>ORD50807</t>
  </si>
  <si>
    <t>ORD51020</t>
  </si>
  <si>
    <t>ORD51139</t>
  </si>
  <si>
    <t>ORD51160</t>
  </si>
  <si>
    <t>ORD52086</t>
  </si>
  <si>
    <t>ORD52156</t>
  </si>
  <si>
    <t>ORD53394</t>
  </si>
  <si>
    <t>ORD53398</t>
  </si>
  <si>
    <t>ORD54004</t>
  </si>
  <si>
    <t>ORD50652</t>
  </si>
  <si>
    <t>ORD50793</t>
  </si>
  <si>
    <t>ORD51075</t>
  </si>
  <si>
    <t>ORD52391</t>
  </si>
  <si>
    <t>ORD52780</t>
  </si>
  <si>
    <t>ORD53181</t>
  </si>
  <si>
    <t>ORD53336</t>
  </si>
  <si>
    <t>ORD53559</t>
  </si>
  <si>
    <t>ORD53636</t>
  </si>
  <si>
    <t>ORD53956</t>
  </si>
  <si>
    <t>ORD54139</t>
  </si>
  <si>
    <t>ORD50678</t>
  </si>
  <si>
    <t>ORD51028</t>
  </si>
  <si>
    <t>ORD52215</t>
  </si>
  <si>
    <t>ORD52576</t>
  </si>
  <si>
    <t>ORD52582</t>
  </si>
  <si>
    <t>ORD52586</t>
  </si>
  <si>
    <t>ORD52663</t>
  </si>
  <si>
    <t>ORD52832</t>
  </si>
  <si>
    <t>ORD53854</t>
  </si>
  <si>
    <t>ORD54128</t>
  </si>
  <si>
    <t>ORD50268</t>
  </si>
  <si>
    <t>ORD50278</t>
  </si>
  <si>
    <t>ORD50593</t>
  </si>
  <si>
    <t>ORD50841</t>
  </si>
  <si>
    <t>ORD50859</t>
  </si>
  <si>
    <t>ORD50934</t>
  </si>
  <si>
    <t>ORD51017</t>
  </si>
  <si>
    <t>ORD51357</t>
  </si>
  <si>
    <t>ORD52657</t>
  </si>
  <si>
    <t>ORD52867</t>
  </si>
  <si>
    <t>ORD53343</t>
  </si>
  <si>
    <t>ORD54015</t>
  </si>
  <si>
    <t>ORD50214</t>
  </si>
  <si>
    <t>ORD51712</t>
  </si>
  <si>
    <t>ORD53304</t>
  </si>
  <si>
    <t>ORD53370</t>
  </si>
  <si>
    <t>ORD53416</t>
  </si>
  <si>
    <t>ORD53527</t>
  </si>
  <si>
    <t>ORD54125</t>
  </si>
  <si>
    <t>ORD50417</t>
  </si>
  <si>
    <t>ORD50642</t>
  </si>
  <si>
    <t>ORD52169</t>
  </si>
  <si>
    <t>ORD52714</t>
  </si>
  <si>
    <t>ORD53237</t>
  </si>
  <si>
    <t>ORD54014</t>
  </si>
  <si>
    <t>ORD50136</t>
  </si>
  <si>
    <t>ORD50673</t>
  </si>
  <si>
    <t>ORD50852</t>
  </si>
  <si>
    <t>ORD51393</t>
  </si>
  <si>
    <t>ORD51479</t>
  </si>
  <si>
    <t>ORD51637</t>
  </si>
  <si>
    <t>ORD51698</t>
  </si>
  <si>
    <t>ORD51766</t>
  </si>
  <si>
    <t>ORD52167</t>
  </si>
  <si>
    <t>ORD52349</t>
  </si>
  <si>
    <t>ORD52367</t>
  </si>
  <si>
    <t>ORD52555</t>
  </si>
  <si>
    <t>ORD52771</t>
  </si>
  <si>
    <t>ORD52790</t>
  </si>
  <si>
    <t>ORD53027</t>
  </si>
  <si>
    <t>ORD53184</t>
  </si>
  <si>
    <t>ORD53199</t>
  </si>
  <si>
    <t>ORD53465</t>
  </si>
  <si>
    <t>ORD53713</t>
  </si>
  <si>
    <t>ORD54143</t>
  </si>
  <si>
    <t>ORD50426</t>
  </si>
  <si>
    <t>ORD51365</t>
  </si>
  <si>
    <t>ORD51475</t>
  </si>
  <si>
    <t>ORD51554</t>
  </si>
  <si>
    <t>ORD51853</t>
  </si>
  <si>
    <t>ORD51925</t>
  </si>
  <si>
    <t>ORD52498</t>
  </si>
  <si>
    <t>ORD52589</t>
  </si>
  <si>
    <t>ORD52950</t>
  </si>
  <si>
    <t>ORD53129</t>
  </si>
  <si>
    <t>ORD50320</t>
  </si>
  <si>
    <t>ORD50629</t>
  </si>
  <si>
    <t>ORD51231</t>
  </si>
  <si>
    <t>ORD51706</t>
  </si>
  <si>
    <t>ORD51732</t>
  </si>
  <si>
    <t>ORD51917</t>
  </si>
  <si>
    <t>ORD52660</t>
  </si>
  <si>
    <t>ORD52866</t>
  </si>
  <si>
    <t>ORD52965</t>
  </si>
  <si>
    <t>ORD53009</t>
  </si>
  <si>
    <t>ORD53961</t>
  </si>
  <si>
    <t>ORD50403</t>
  </si>
  <si>
    <t>ORD50951</t>
  </si>
  <si>
    <t>ORD51277</t>
  </si>
  <si>
    <t>ORD51435</t>
  </si>
  <si>
    <t>ORD51605</t>
  </si>
  <si>
    <t>ORD51612</t>
  </si>
  <si>
    <t>ORD51871</t>
  </si>
  <si>
    <t>ORD51933</t>
  </si>
  <si>
    <t>ORD52031</t>
  </si>
  <si>
    <t>ORD52348</t>
  </si>
  <si>
    <t>ORD52650</t>
  </si>
  <si>
    <t>ORD52725</t>
  </si>
  <si>
    <t>ORD53043</t>
  </si>
  <si>
    <t>ORD53160</t>
  </si>
  <si>
    <t>ORD53440</t>
  </si>
  <si>
    <t>ORD53520</t>
  </si>
  <si>
    <t>ORD53818</t>
  </si>
  <si>
    <t>ORD53972</t>
  </si>
  <si>
    <t>ORD54191</t>
  </si>
  <si>
    <t>ORD50172</t>
  </si>
  <si>
    <t>ORD50670</t>
  </si>
  <si>
    <t>ORD50945</t>
  </si>
  <si>
    <t>ORD51692</t>
  </si>
  <si>
    <t>ORD51838</t>
  </si>
  <si>
    <t>ORD52281</t>
  </si>
  <si>
    <t>ORD53066</t>
  </si>
  <si>
    <t>ORD53119</t>
  </si>
  <si>
    <t>ORD53509</t>
  </si>
  <si>
    <t>ORD53775</t>
  </si>
  <si>
    <t>ORD53790</t>
  </si>
  <si>
    <t>ORD53841</t>
  </si>
  <si>
    <t>ORD54103</t>
  </si>
  <si>
    <t>ORD50221</t>
  </si>
  <si>
    <t>ORD50475</t>
  </si>
  <si>
    <t>ORD50996</t>
  </si>
  <si>
    <t>ORD53045</t>
  </si>
  <si>
    <t>ORD53062</t>
  </si>
  <si>
    <t>ORD53513</t>
  </si>
  <si>
    <t>ORD51215</t>
  </si>
  <si>
    <t>ORD52119</t>
  </si>
  <si>
    <t>ORD52452</t>
  </si>
  <si>
    <t>ORD52805</t>
  </si>
  <si>
    <t>ORD51001</t>
  </si>
  <si>
    <t>ORD51019</t>
  </si>
  <si>
    <t>ORD51048</t>
  </si>
  <si>
    <t>ORD51069</t>
  </si>
  <si>
    <t>ORD51191</t>
  </si>
  <si>
    <t>ORD51314</t>
  </si>
  <si>
    <t>ORD51494</t>
  </si>
  <si>
    <t>ORD52080</t>
  </si>
  <si>
    <t>ORD52148</t>
  </si>
  <si>
    <t>ORD52163</t>
  </si>
  <si>
    <t>ORD52222</t>
  </si>
  <si>
    <t>ORD52422</t>
  </si>
  <si>
    <t>ORD52787</t>
  </si>
  <si>
    <t>ORD52907</t>
  </si>
  <si>
    <t>ORD53108</t>
  </si>
  <si>
    <t>ORD53364</t>
  </si>
  <si>
    <t>ORD53517</t>
  </si>
  <si>
    <t>ORD53871</t>
  </si>
  <si>
    <t>ORD53943</t>
  </si>
  <si>
    <t>ORD54095</t>
  </si>
  <si>
    <t>ORD50401</t>
  </si>
  <si>
    <t>ORD50457</t>
  </si>
  <si>
    <t>ORD50839</t>
  </si>
  <si>
    <t>ORD50929</t>
  </si>
  <si>
    <t>ORD51631</t>
  </si>
  <si>
    <t>ORD51810</t>
  </si>
  <si>
    <t>ORD52376</t>
  </si>
  <si>
    <t>ORD52566</t>
  </si>
  <si>
    <t>ORD52878</t>
  </si>
  <si>
    <t>ORD53309</t>
  </si>
  <si>
    <t>ORD53780</t>
  </si>
  <si>
    <t>ORD53798</t>
  </si>
  <si>
    <t>ORD53820</t>
  </si>
  <si>
    <t>ORD54005</t>
  </si>
  <si>
    <t>ORD54172</t>
  </si>
  <si>
    <t>ORD54195</t>
  </si>
  <si>
    <t>ORD50063</t>
  </si>
  <si>
    <t>ORD50154</t>
  </si>
  <si>
    <t>ORD50166</t>
  </si>
  <si>
    <t>ORD50260</t>
  </si>
  <si>
    <t>ORD50461</t>
  </si>
  <si>
    <t>ORD50571</t>
  </si>
  <si>
    <t>ORD51185</t>
  </si>
  <si>
    <t>ORD51266</t>
  </si>
  <si>
    <t>ORD51595</t>
  </si>
  <si>
    <t>ORD51707</t>
  </si>
  <si>
    <t>ORD51847</t>
  </si>
  <si>
    <t>ORD53645</t>
  </si>
  <si>
    <t>ORD54171</t>
  </si>
  <si>
    <t>ORD50547</t>
  </si>
  <si>
    <t>ORD50788</t>
  </si>
  <si>
    <t>ORD50880</t>
  </si>
  <si>
    <t>ORD51482</t>
  </si>
  <si>
    <t>ORD51682</t>
  </si>
  <si>
    <t>ORD52543</t>
  </si>
  <si>
    <t>ORD52546</t>
  </si>
  <si>
    <t>ORD53111</t>
  </si>
  <si>
    <t>ORD53811</t>
  </si>
  <si>
    <t>ORD53933</t>
  </si>
  <si>
    <t>ORD54081</t>
  </si>
  <si>
    <t>ORD50836</t>
  </si>
  <si>
    <t>ORD51368</t>
  </si>
  <si>
    <t>ORD51828</t>
  </si>
  <si>
    <t>ORD51957</t>
  </si>
  <si>
    <t>ORD52807</t>
  </si>
  <si>
    <t>ORD53026</t>
  </si>
  <si>
    <t>ORD53407</t>
  </si>
  <si>
    <t>ORD53468</t>
  </si>
  <si>
    <t>ORD54064</t>
  </si>
  <si>
    <t>ORD54188</t>
  </si>
  <si>
    <t>ORD50821</t>
  </si>
  <si>
    <t>ORD51461</t>
  </si>
  <si>
    <t>ORD51623</t>
  </si>
  <si>
    <t>ORD51952</t>
  </si>
  <si>
    <t>ORD52719</t>
  </si>
  <si>
    <t>ORD52960</t>
  </si>
  <si>
    <t>ORD52990</t>
  </si>
  <si>
    <t>ORD53179</t>
  </si>
  <si>
    <t>ORD53670</t>
  </si>
  <si>
    <t>ORD53770</t>
  </si>
  <si>
    <t>ORD53951</t>
  </si>
  <si>
    <t>ORD50271</t>
  </si>
  <si>
    <t>ORD50449</t>
  </si>
  <si>
    <t>ORD50741</t>
  </si>
  <si>
    <t>ORD51042</t>
  </si>
  <si>
    <t>ORD51308</t>
  </si>
  <si>
    <t>ORD53430</t>
  </si>
  <si>
    <t>ORD54118</t>
  </si>
  <si>
    <t>ORD50657</t>
  </si>
  <si>
    <t>ORD50826</t>
  </si>
  <si>
    <t>ORD51401</t>
  </si>
  <si>
    <t>ORD51521</t>
  </si>
  <si>
    <t>ORD52596</t>
  </si>
  <si>
    <t>ORD53195</t>
  </si>
  <si>
    <t>ORD53211</t>
  </si>
  <si>
    <t>ORD53503</t>
  </si>
  <si>
    <t>ORD53675</t>
  </si>
  <si>
    <t>ORD53796</t>
  </si>
  <si>
    <t>ORD50149</t>
  </si>
  <si>
    <t>ORD50201</t>
  </si>
  <si>
    <t>ORD50287</t>
  </si>
  <si>
    <t>ORD50296</t>
  </si>
  <si>
    <t>ORD50416</t>
  </si>
  <si>
    <t>ORD50861</t>
  </si>
  <si>
    <t>ORD51496</t>
  </si>
  <si>
    <t>ORD51702</t>
  </si>
  <si>
    <t>ORD52609</t>
  </si>
  <si>
    <t>ORD53498</t>
  </si>
  <si>
    <t>ORD53771</t>
  </si>
  <si>
    <t>ORD53823</t>
  </si>
  <si>
    <t>ORD50222</t>
  </si>
  <si>
    <t>ORD50590</t>
  </si>
  <si>
    <t>ORD50745</t>
  </si>
  <si>
    <t>ORD51465</t>
  </si>
  <si>
    <t>ORD51487</t>
  </si>
  <si>
    <t>ORD52154</t>
  </si>
  <si>
    <t>ORD52221</t>
  </si>
  <si>
    <t>ORD52280</t>
  </si>
  <si>
    <t>ORD52637</t>
  </si>
  <si>
    <t>ORD52703</t>
  </si>
  <si>
    <t>ORD52746</t>
  </si>
  <si>
    <t>ORD52856</t>
  </si>
  <si>
    <t>ORD53158</t>
  </si>
  <si>
    <t>ORD50178</t>
  </si>
  <si>
    <t>ORD50566</t>
  </si>
  <si>
    <t>ORD51024</t>
  </si>
  <si>
    <t>ORD51320</t>
  </si>
  <si>
    <t>ORD51379</t>
  </si>
  <si>
    <t>ORD51868</t>
  </si>
  <si>
    <t>ORD52045</t>
  </si>
  <si>
    <t>ORD52145</t>
  </si>
  <si>
    <t>ORD52774</t>
  </si>
  <si>
    <t>ORD53154</t>
  </si>
  <si>
    <t>ORD53202</t>
  </si>
  <si>
    <t>ORD53337</t>
  </si>
  <si>
    <t>ORD53720</t>
  </si>
  <si>
    <t>ORD53875</t>
  </si>
  <si>
    <t>ORD54184</t>
  </si>
  <si>
    <t>ORD50935</t>
  </si>
  <si>
    <t>ORD51163</t>
  </si>
  <si>
    <t>ORD51378</t>
  </si>
  <si>
    <t>ORD51586</t>
  </si>
  <si>
    <t>ORD51680</t>
  </si>
  <si>
    <t>ORD51718</t>
  </si>
  <si>
    <t>ORD51750</t>
  </si>
  <si>
    <t>ORD52041</t>
  </si>
  <si>
    <t>ORD52246</t>
  </si>
  <si>
    <t>ORD52456</t>
  </si>
  <si>
    <t>ORD53278</t>
  </si>
  <si>
    <t>ORD53366</t>
  </si>
  <si>
    <t>ORD53605</t>
  </si>
  <si>
    <t>ORD50957</t>
  </si>
  <si>
    <t>ORD51340</t>
  </si>
  <si>
    <t>ORD51614</t>
  </si>
  <si>
    <t>ORD51960</t>
  </si>
  <si>
    <t>ORD52056</t>
  </si>
  <si>
    <t>ORD52294</t>
  </si>
  <si>
    <t>ORD52379</t>
  </si>
  <si>
    <t>ORD52387</t>
  </si>
  <si>
    <t>ORD52876</t>
  </si>
  <si>
    <t>ORD53007</t>
  </si>
  <si>
    <t>ORD53598</t>
  </si>
  <si>
    <t>ORD54006</t>
  </si>
  <si>
    <t>ORD50044</t>
  </si>
  <si>
    <t>ORD50090</t>
  </si>
  <si>
    <t>ORD50129</t>
  </si>
  <si>
    <t>ORD50161</t>
  </si>
  <si>
    <t>ORD50977</t>
  </si>
  <si>
    <t>ORD51029</t>
  </si>
  <si>
    <t>ORD51134</t>
  </si>
  <si>
    <t>ORD51293</t>
  </si>
  <si>
    <t>ORD51816</t>
  </si>
  <si>
    <t>ORD52074</t>
  </si>
  <si>
    <t>ORD52085</t>
  </si>
  <si>
    <t>ORD52474</t>
  </si>
  <si>
    <t>ORD52834</t>
  </si>
  <si>
    <t>ORD52874</t>
  </si>
  <si>
    <t>ORD53762</t>
  </si>
  <si>
    <t>ORD50353</t>
  </si>
  <si>
    <t>ORD51325</t>
  </si>
  <si>
    <t>ORD51654</t>
  </si>
  <si>
    <t>ORD51823</t>
  </si>
  <si>
    <t>ORD52018</t>
  </si>
  <si>
    <t>ORD52877</t>
  </si>
  <si>
    <t>ORD52894</t>
  </si>
  <si>
    <t>ORD53145</t>
  </si>
  <si>
    <t>ORD53490</t>
  </si>
  <si>
    <t>ORD50408</t>
  </si>
  <si>
    <t>ORD50777</t>
  </si>
  <si>
    <t>ORD51218</t>
  </si>
  <si>
    <t>ORD51334</t>
  </si>
  <si>
    <t>ORD51363</t>
  </si>
  <si>
    <t>ORD51490</t>
  </si>
  <si>
    <t>ORD51578</t>
  </si>
  <si>
    <t>ORD52095</t>
  </si>
  <si>
    <t>ORD52323</t>
  </si>
  <si>
    <t>ORD52502</t>
  </si>
  <si>
    <t>ORD52517</t>
  </si>
  <si>
    <t>ORD52923</t>
  </si>
  <si>
    <t>ORD53039</t>
  </si>
  <si>
    <t>ORD53094</t>
  </si>
  <si>
    <t>ORD53715</t>
  </si>
  <si>
    <t>ORD53916</t>
  </si>
  <si>
    <t>ORD53973</t>
  </si>
  <si>
    <t>ORD51456</t>
  </si>
  <si>
    <t>ORD51539</t>
  </si>
  <si>
    <t>ORD52004</t>
  </si>
  <si>
    <t>ORD52134</t>
  </si>
  <si>
    <t>ORD52329</t>
  </si>
  <si>
    <t>ORD53833</t>
  </si>
  <si>
    <t>ORD53944</t>
  </si>
  <si>
    <t>ORD54108</t>
  </si>
  <si>
    <t>ORD50723</t>
  </si>
  <si>
    <t>ORD51125</t>
  </si>
  <si>
    <t>ORD51381</t>
  </si>
  <si>
    <t>ORD51618</t>
  </si>
  <si>
    <t>ORD52084</t>
  </si>
  <si>
    <t>ORD52340</t>
  </si>
  <si>
    <t>ORD52820</t>
  </si>
  <si>
    <t>ORD53473</t>
  </si>
  <si>
    <t>ORD53626</t>
  </si>
  <si>
    <t>ORD53744</t>
  </si>
  <si>
    <t>ORD53835</t>
  </si>
  <si>
    <t>ORD50269</t>
  </si>
  <si>
    <t>ORD50665</t>
  </si>
  <si>
    <t>ORD51058</t>
  </si>
  <si>
    <t>ORD51225</t>
  </si>
  <si>
    <t>ORD51515</t>
  </si>
  <si>
    <t>ORD51635</t>
  </si>
  <si>
    <t>ORD51691</t>
  </si>
  <si>
    <t>ORD52118</t>
  </si>
  <si>
    <t>ORD52392</t>
  </si>
  <si>
    <t>ORD52681</t>
  </si>
  <si>
    <t>ORD52762</t>
  </si>
  <si>
    <t>ORD53447</t>
  </si>
  <si>
    <t>ORD53500</t>
  </si>
  <si>
    <t>ORD53905</t>
  </si>
  <si>
    <t>ORD51259</t>
  </si>
  <si>
    <t>ORD51284</t>
  </si>
  <si>
    <t>ORD51466</t>
  </si>
  <si>
    <t>ORD52337</t>
  </si>
  <si>
    <t>ORD52605</t>
  </si>
  <si>
    <t>ORD53592</t>
  </si>
  <si>
    <t>ORD53979</t>
  </si>
  <si>
    <t>ORD50266</t>
  </si>
  <si>
    <t>ORD50332</t>
  </si>
  <si>
    <t>ORD50402</t>
  </si>
  <si>
    <t>ORD51014</t>
  </si>
  <si>
    <t>ORD51270</t>
  </si>
  <si>
    <t>ORD51644</t>
  </si>
  <si>
    <t>ORD51962</t>
  </si>
  <si>
    <t>ORD52946</t>
  </si>
  <si>
    <t>ORD53104</t>
  </si>
  <si>
    <t>ORD53132</t>
  </si>
  <si>
    <t>ORD53703</t>
  </si>
  <si>
    <t>ORD54107</t>
  </si>
  <si>
    <t>ORD50033</t>
  </si>
  <si>
    <t>ORD50089</t>
  </si>
  <si>
    <t>ORD50421</t>
  </si>
  <si>
    <t>ORD51424</t>
  </si>
  <si>
    <t>ORD52482</t>
  </si>
  <si>
    <t>ORD53003</t>
  </si>
  <si>
    <t>ORD53186</t>
  </si>
  <si>
    <t>ORD53508</t>
  </si>
  <si>
    <t>ORD50096</t>
  </si>
  <si>
    <t>ORD50259</t>
  </si>
  <si>
    <t>ORD50283</t>
  </si>
  <si>
    <t>ORD50551</t>
  </si>
  <si>
    <t>ORD50579</t>
  </si>
  <si>
    <t>ORD50685</t>
  </si>
  <si>
    <t>ORD51228</t>
  </si>
  <si>
    <t>ORD51253</t>
  </si>
  <si>
    <t>ORD51710</t>
  </si>
  <si>
    <t>ORD51723</t>
  </si>
  <si>
    <t>ORD52102</t>
  </si>
  <si>
    <t>ORD52252</t>
  </si>
  <si>
    <t>ORD52661</t>
  </si>
  <si>
    <t>ORD52912</t>
  </si>
  <si>
    <t>ORD53193</t>
  </si>
  <si>
    <t>ORD53320</t>
  </si>
  <si>
    <t>ORD53647</t>
  </si>
  <si>
    <t>ORD53866</t>
  </si>
  <si>
    <t>ORD53935</t>
  </si>
  <si>
    <t>ORD50031</t>
  </si>
  <si>
    <t>ORD50555</t>
  </si>
  <si>
    <t>ORD51173</t>
  </si>
  <si>
    <t>ORD51427</t>
  </si>
  <si>
    <t>ORD52920</t>
  </si>
  <si>
    <t>ORD52989</t>
  </si>
  <si>
    <t>ORD53092</t>
  </si>
  <si>
    <t>ORD53486</t>
  </si>
  <si>
    <t>ORD53732</t>
  </si>
  <si>
    <t>ORD53947</t>
  </si>
  <si>
    <t>ORD50552</t>
  </si>
  <si>
    <t>ORD50786</t>
  </si>
  <si>
    <t>ORD51210</t>
  </si>
  <si>
    <t>ORD51542</t>
  </si>
  <si>
    <t>ORD51616</t>
  </si>
  <si>
    <t>ORD52218</t>
  </si>
  <si>
    <t>ORD52705</t>
  </si>
  <si>
    <t>ORD54037</t>
  </si>
  <si>
    <t>ORD54111</t>
  </si>
  <si>
    <t>ORD50112</t>
  </si>
  <si>
    <t>ORD50639</t>
  </si>
  <si>
    <t>ORD50720</t>
  </si>
  <si>
    <t>ORD51489</t>
  </si>
  <si>
    <t>ORD51993</t>
  </si>
  <si>
    <t>ORD52274</t>
  </si>
  <si>
    <t>ORD52358</t>
  </si>
  <si>
    <t>ORD52910</t>
  </si>
  <si>
    <t>ORD52996</t>
  </si>
  <si>
    <t>ORD53787</t>
  </si>
  <si>
    <t>ORD50419</t>
  </si>
  <si>
    <t>ORD50636</t>
  </si>
  <si>
    <t>ORD50840</t>
  </si>
  <si>
    <t>ORD50865</t>
  </si>
  <si>
    <t>ORD50990</t>
  </si>
  <si>
    <t>ORD51265</t>
  </si>
  <si>
    <t>ORD51362</t>
  </si>
  <si>
    <t>ORD51840</t>
  </si>
  <si>
    <t>ORD51889</t>
  </si>
  <si>
    <t>ORD52560</t>
  </si>
  <si>
    <t>ORD52893</t>
  </si>
  <si>
    <t>ORD53579</t>
  </si>
  <si>
    <t>ORD50133</t>
  </si>
  <si>
    <t>ORD50809</t>
  </si>
  <si>
    <t>ORD50834</t>
  </si>
  <si>
    <t>ORD50974</t>
  </si>
  <si>
    <t>ORD51842</t>
  </si>
  <si>
    <t>ORD51903</t>
  </si>
  <si>
    <t>ORD52382</t>
  </si>
  <si>
    <t>ORD52410</t>
  </si>
  <si>
    <t>ORD52749</t>
  </si>
  <si>
    <t>ORD52926</t>
  </si>
  <si>
    <t>ORD53240</t>
  </si>
  <si>
    <t>ORD53288</t>
  </si>
  <si>
    <t>ORD53445</t>
  </si>
  <si>
    <t>ORD53664</t>
  </si>
  <si>
    <t>ORD53673</t>
  </si>
  <si>
    <t>ORD51095</t>
  </si>
  <si>
    <t>ORD51462</t>
  </si>
  <si>
    <t>ORD51557</t>
  </si>
  <si>
    <t>ORD51746</t>
  </si>
  <si>
    <t>ORD51915</t>
  </si>
  <si>
    <t>ORD52288</t>
  </si>
  <si>
    <t>ORD52542</t>
  </si>
  <si>
    <t>ORD53097</t>
  </si>
  <si>
    <t>ORD53746</t>
  </si>
  <si>
    <t>ORD53778</t>
  </si>
  <si>
    <t>ORD50886</t>
  </si>
  <si>
    <t>ORD51677</t>
  </si>
  <si>
    <t>ORD51688</t>
  </si>
  <si>
    <t>ORD51872</t>
  </si>
  <si>
    <t>ORD51939</t>
  </si>
  <si>
    <t>ORD52277</t>
  </si>
  <si>
    <t>ORD52740</t>
  </si>
  <si>
    <t>ORD52913</t>
  </si>
  <si>
    <t>ORD53322</t>
  </si>
  <si>
    <t>ORD53977</t>
  </si>
  <si>
    <t>ORD50179</t>
  </si>
  <si>
    <t>ORD50207</t>
  </si>
  <si>
    <t>ORD50336</t>
  </si>
  <si>
    <t>ORD50583</t>
  </si>
  <si>
    <t>ORD50928</t>
  </si>
  <si>
    <t>ORD51441</t>
  </si>
  <si>
    <t>ORD51695</t>
  </si>
  <si>
    <t>ORD53086</t>
  </si>
  <si>
    <t>ORD53807</t>
  </si>
  <si>
    <t>ORD54077</t>
  </si>
  <si>
    <t>ORD50175</t>
  </si>
  <si>
    <t>ORD50187</t>
  </si>
  <si>
    <t>ORD50242</t>
  </si>
  <si>
    <t>ORD50276</t>
  </si>
  <si>
    <t>ORD50693</t>
  </si>
  <si>
    <t>ORD50968</t>
  </si>
  <si>
    <t>ORD51754</t>
  </si>
  <si>
    <t>ORD52016</t>
  </si>
  <si>
    <t>ORD52768</t>
  </si>
  <si>
    <t>ORD53789</t>
  </si>
  <si>
    <t>ORD54181</t>
  </si>
  <si>
    <t>ORD50932</t>
  </si>
  <si>
    <t>ORD50933</t>
  </si>
  <si>
    <t>ORD51082</t>
  </si>
  <si>
    <t>ORD51446</t>
  </si>
  <si>
    <t>ORD51638</t>
  </si>
  <si>
    <t>ORD51791</t>
  </si>
  <si>
    <t>ORD51913</t>
  </si>
  <si>
    <t>ORD52120</t>
  </si>
  <si>
    <t>ORD52208</t>
  </si>
  <si>
    <t>ORD52250</t>
  </si>
  <si>
    <t>ORD52259</t>
  </si>
  <si>
    <t>ORD52293</t>
  </si>
  <si>
    <t>ORD51830</t>
  </si>
  <si>
    <t>ORD51855</t>
  </si>
  <si>
    <t>ORD51867</t>
  </si>
  <si>
    <t>ORD52378</t>
  </si>
  <si>
    <t>ORD53121</t>
  </si>
  <si>
    <t>ORD53296</t>
  </si>
  <si>
    <t>ORD53479</t>
  </si>
  <si>
    <t>ORD53615</t>
  </si>
  <si>
    <t>ORD53727</t>
  </si>
  <si>
    <t>ORD53867</t>
  </si>
  <si>
    <t>ORD53907</t>
  </si>
  <si>
    <t>ORD54074</t>
  </si>
  <si>
    <t>ORD54193</t>
  </si>
  <si>
    <t>ORD50231</t>
  </si>
  <si>
    <t>ORD50512</t>
  </si>
  <si>
    <t>ORD50573</t>
  </si>
  <si>
    <t>ORD50732</t>
  </si>
  <si>
    <t>ORD51204</t>
  </si>
  <si>
    <t>ORD51687</t>
  </si>
  <si>
    <t>ORD52107</t>
  </si>
  <si>
    <t>ORD52414</t>
  </si>
  <si>
    <t>ORD52659</t>
  </si>
  <si>
    <t>ORD52682</t>
  </si>
  <si>
    <t>ORD52696</t>
  </si>
  <si>
    <t>ORD53880</t>
  </si>
  <si>
    <t>ORD53896</t>
  </si>
  <si>
    <t>ORD50200</t>
  </si>
  <si>
    <t>ORD50282</t>
  </si>
  <si>
    <t>ORD50301</t>
  </si>
  <si>
    <t>ORD50548</t>
  </si>
  <si>
    <t>ORD50733</t>
  </si>
  <si>
    <t>ORD50872</t>
  </si>
  <si>
    <t>ORD50893</t>
  </si>
  <si>
    <t>ORD50943</t>
  </si>
  <si>
    <t>ORD51520</t>
  </si>
  <si>
    <t>ORD52269</t>
  </si>
  <si>
    <t>ORD52286</t>
  </si>
  <si>
    <t>ORD52607</t>
  </si>
  <si>
    <t>ORD52697</t>
  </si>
  <si>
    <t>ORD52928</t>
  </si>
  <si>
    <t>ORD53225</t>
  </si>
  <si>
    <t>ORD53805</t>
  </si>
  <si>
    <t>ORD53881</t>
  </si>
  <si>
    <t>ORD53948</t>
  </si>
  <si>
    <t>ORD53980</t>
  </si>
  <si>
    <t>ORD50040</t>
  </si>
  <si>
    <t>ORD51285</t>
  </si>
  <si>
    <t>ORD52620</t>
  </si>
  <si>
    <t>ORD53084</t>
  </si>
  <si>
    <t>ORD53526</t>
  </si>
  <si>
    <t>ORD53950</t>
  </si>
  <si>
    <t>ORD50142</t>
  </si>
  <si>
    <t>ORD50760</t>
  </si>
  <si>
    <t>ORD50891</t>
  </si>
  <si>
    <t>ORD51268</t>
  </si>
  <si>
    <t>ORD51328</t>
  </si>
  <si>
    <t>ORD52181</t>
  </si>
  <si>
    <t>ORD53284</t>
  </si>
  <si>
    <t>ORD50275</t>
  </si>
  <si>
    <t>ORD50837</t>
  </si>
  <si>
    <t>ORD51439</t>
  </si>
  <si>
    <t>ORD51743</t>
  </si>
  <si>
    <t>ORD52550</t>
  </si>
  <si>
    <t>ORD52552</t>
  </si>
  <si>
    <t>ORD52925</t>
  </si>
  <si>
    <t>ORD53804</t>
  </si>
  <si>
    <t>ORD50285</t>
  </si>
  <si>
    <t>ORD50709</t>
  </si>
  <si>
    <t>ORD50817</t>
  </si>
  <si>
    <t>ORD51621</t>
  </si>
  <si>
    <t>ORD51650</t>
  </si>
  <si>
    <t>ORD52058</t>
  </si>
  <si>
    <t>ORD52825</t>
  </si>
  <si>
    <t>ORD53095</t>
  </si>
  <si>
    <t>ORD53481</t>
  </si>
  <si>
    <t>ORD53862</t>
  </si>
  <si>
    <t>ORD54113</t>
  </si>
  <si>
    <t>ORD50141</t>
  </si>
  <si>
    <t>ORD50370</t>
  </si>
  <si>
    <t>ORD50743</t>
  </si>
  <si>
    <t>ORD51150</t>
  </si>
  <si>
    <t>ORD51311</t>
  </si>
  <si>
    <t>ORD51480</t>
  </si>
  <si>
    <t>ORD51587</t>
  </si>
  <si>
    <t>ORD51975</t>
  </si>
  <si>
    <t>ORD52147</t>
  </si>
  <si>
    <t>ORD52905</t>
  </si>
  <si>
    <t>ORD53082</t>
  </si>
  <si>
    <t>ORD53244</t>
  </si>
  <si>
    <t>ORD53426</t>
  </si>
  <si>
    <t>ORD54177</t>
  </si>
  <si>
    <t>ORD50115</t>
  </si>
  <si>
    <t>ORD50524</t>
  </si>
  <si>
    <t>ORD50559</t>
  </si>
  <si>
    <t>ORD51442</t>
  </si>
  <si>
    <t>ORD51792</t>
  </si>
  <si>
    <t>ORD52168</t>
  </si>
  <si>
    <t>ORD52903</t>
  </si>
  <si>
    <t>ORD53073</t>
  </si>
  <si>
    <t>ORD53379</t>
  </si>
  <si>
    <t>ORD53590</t>
  </si>
  <si>
    <t>ORD54009</t>
  </si>
  <si>
    <t>ORD50162</t>
  </si>
  <si>
    <t>ORD50488</t>
  </si>
  <si>
    <t>ORD50989</t>
  </si>
  <si>
    <t>ORD51298</t>
  </si>
  <si>
    <t>ORD51858</t>
  </si>
  <si>
    <t>ORD52341</t>
  </si>
  <si>
    <t>ORD52671</t>
  </si>
  <si>
    <t>ORD52909</t>
  </si>
  <si>
    <t>ORD53072</t>
  </si>
  <si>
    <t>ORD53600</t>
  </si>
  <si>
    <t>ORD50686</t>
  </si>
  <si>
    <t>ORD50780</t>
  </si>
  <si>
    <t>ORD51008</t>
  </si>
  <si>
    <t>ORD51159</t>
  </si>
  <si>
    <t>ORD51291</t>
  </si>
  <si>
    <t>ORD51584</t>
  </si>
  <si>
    <t>ORD52512</t>
  </si>
  <si>
    <t>ORD53856</t>
  </si>
  <si>
    <t>ORD50088</t>
  </si>
  <si>
    <t>ORD50202</t>
  </si>
  <si>
    <t>ORD51338</t>
  </si>
  <si>
    <t>ORD52363</t>
  </si>
  <si>
    <t>ORD52837</t>
  </si>
  <si>
    <t>ORD53063</t>
  </si>
  <si>
    <t>ORD53431</t>
  </si>
  <si>
    <t>ORD53685</t>
  </si>
  <si>
    <t>ORD54040</t>
  </si>
  <si>
    <t>ORD50052</t>
  </si>
  <si>
    <t>ORD50100</t>
  </si>
  <si>
    <t>ORD51562</t>
  </si>
  <si>
    <t>ORD51675</t>
  </si>
  <si>
    <t>ORD51799</t>
  </si>
  <si>
    <t>ORD51881</t>
  </si>
  <si>
    <t>ORD52247</t>
  </si>
  <si>
    <t>ORD52270</t>
  </si>
  <si>
    <t>ORD52888</t>
  </si>
  <si>
    <t>ORD53281</t>
  </si>
  <si>
    <t>ORD53457</t>
  </si>
  <si>
    <t>ORD53510</t>
  </si>
  <si>
    <t>ORD53702</t>
  </si>
  <si>
    <t>ORD54088</t>
  </si>
  <si>
    <t>ORD50773</t>
  </si>
  <si>
    <t>ORD51316</t>
  </si>
  <si>
    <t>ORD51626</t>
  </si>
  <si>
    <t>ORD52204</t>
  </si>
  <si>
    <t>ORD52284</t>
  </si>
  <si>
    <t>ORD52444</t>
  </si>
  <si>
    <t>ORD52599</t>
  </si>
  <si>
    <t>ORD52811</t>
  </si>
  <si>
    <t>ORD54002</t>
  </si>
  <si>
    <t>ORD54158</t>
  </si>
  <si>
    <t>ORD50014</t>
  </si>
  <si>
    <t>ORD50992</t>
  </si>
  <si>
    <t>ORD51498</t>
  </si>
  <si>
    <t>ORD51630</t>
  </si>
  <si>
    <t>ORD51736</t>
  </si>
  <si>
    <t>ORD51763</t>
  </si>
  <si>
    <t>ORD52530</t>
  </si>
  <si>
    <t>ORD52750</t>
  </si>
  <si>
    <t>ORD52985</t>
  </si>
  <si>
    <t>ORD53812</t>
  </si>
  <si>
    <t>ORD50263</t>
  </si>
  <si>
    <t>ORD50515</t>
  </si>
  <si>
    <t>ORD50999</t>
  </si>
  <si>
    <t>ORD51161</t>
  </si>
  <si>
    <t>ORD51302</t>
  </si>
  <si>
    <t>ORD51429</t>
  </si>
  <si>
    <t>ORD51478</t>
  </si>
  <si>
    <t>ORD52017</t>
  </si>
  <si>
    <t>ORD52742</t>
  </si>
  <si>
    <t>ORD53523</t>
  </si>
  <si>
    <t>ORD50049</t>
  </si>
  <si>
    <t>ORD50294</t>
  </si>
  <si>
    <t>ORD50747</t>
  </si>
  <si>
    <t>ORD51091</t>
  </si>
  <si>
    <t>ORD51211</t>
  </si>
  <si>
    <t>ORD51510</t>
  </si>
  <si>
    <t>ORD51980</t>
  </si>
  <si>
    <t>ORD52254</t>
  </si>
  <si>
    <t>ORD52290</t>
  </si>
  <si>
    <t>ORD52373</t>
  </si>
  <si>
    <t>ORD52773</t>
  </si>
  <si>
    <t>ORD52986</t>
  </si>
  <si>
    <t>ORD52994</t>
  </si>
  <si>
    <t>ORD53301</t>
  </si>
  <si>
    <t>ORD54186</t>
  </si>
  <si>
    <t>ORD50290</t>
  </si>
  <si>
    <t>ORD50451</t>
  </si>
  <si>
    <t>ORD50574</t>
  </si>
  <si>
    <t>ORD51666</t>
  </si>
  <si>
    <t>ORD51768</t>
  </si>
  <si>
    <t>ORD52794</t>
  </si>
  <si>
    <t>ORD53414</t>
  </si>
  <si>
    <t>ORD54083</t>
  </si>
  <si>
    <t>ORD50357</t>
  </si>
  <si>
    <t>ORD50523</t>
  </si>
  <si>
    <t>ORD50727</t>
  </si>
  <si>
    <t>ORD50771</t>
  </si>
  <si>
    <t>ORD51907</t>
  </si>
  <si>
    <t>ORD51914</t>
  </si>
  <si>
    <t>ORD52307</t>
  </si>
  <si>
    <t>ORD52545</t>
  </si>
  <si>
    <t>ORD52677</t>
  </si>
  <si>
    <t>ORD52882</t>
  </si>
  <si>
    <t>ORD53437</t>
  </si>
  <si>
    <t>ORD53687</t>
  </si>
  <si>
    <t>ORD53742</t>
  </si>
  <si>
    <t>ORD50121</t>
  </si>
  <si>
    <t>ORD50360</t>
  </si>
  <si>
    <t>ORD50883</t>
  </si>
  <si>
    <t>ORD50958</t>
  </si>
  <si>
    <t>ORD51934</t>
  </si>
  <si>
    <t>ORD51967</t>
  </si>
  <si>
    <t>ORD52206</t>
  </si>
  <si>
    <t>ORD52744</t>
  </si>
  <si>
    <t>ORD52782</t>
  </si>
  <si>
    <t>ORD52828</t>
  </si>
  <si>
    <t>ORD53067</t>
  </si>
  <si>
    <t>ORD53253</t>
  </si>
  <si>
    <t>ORD53283</t>
  </si>
  <si>
    <t>ORD53643</t>
  </si>
  <si>
    <t>ORD53680</t>
  </si>
  <si>
    <t>ORD50212</t>
  </si>
  <si>
    <t>ORD50297</t>
  </si>
  <si>
    <t>ORD50531</t>
  </si>
  <si>
    <t>ORD51055</t>
  </si>
  <si>
    <t>ORD51174</t>
  </si>
  <si>
    <t>ORD51419</t>
  </si>
  <si>
    <t>ORD51432</t>
  </si>
  <si>
    <t>ORD51604</t>
  </si>
  <si>
    <t>ORD51606</t>
  </si>
  <si>
    <t>ORD51726</t>
  </si>
  <si>
    <t>ORD51854</t>
  </si>
  <si>
    <t>ORD52103</t>
  </si>
  <si>
    <t>ORD52680</t>
  </si>
  <si>
    <t>ORD53002</t>
  </si>
  <si>
    <t>ORD53429</t>
  </si>
  <si>
    <t>ORD53470</t>
  </si>
  <si>
    <t>ORD50145</t>
  </si>
  <si>
    <t>ORD51589</t>
  </si>
  <si>
    <t>ORD51705</t>
  </si>
  <si>
    <t>ORD52039</t>
  </si>
  <si>
    <t>ORD52401</t>
  </si>
  <si>
    <t>ORD52451</t>
  </si>
  <si>
    <t>ORD52494</t>
  </si>
  <si>
    <t>ORD52840</t>
  </si>
  <si>
    <t>ORD53005</t>
  </si>
  <si>
    <t>ORD53137</t>
  </si>
  <si>
    <t>ORD53487</t>
  </si>
  <si>
    <t>ORD53831</t>
  </si>
  <si>
    <t>ORD50131</t>
  </si>
  <si>
    <t>ORD50334</t>
  </si>
  <si>
    <t>ORD50645</t>
  </si>
  <si>
    <t>ORD51790</t>
  </si>
  <si>
    <t>ORD51808</t>
  </si>
  <si>
    <t>ORD51971</t>
  </si>
  <si>
    <t>ORD52071</t>
  </si>
  <si>
    <t>ORD52072</t>
  </si>
  <si>
    <t>ORD52209</t>
  </si>
  <si>
    <t>ORD52731</t>
  </si>
  <si>
    <t>ORD52857</t>
  </si>
  <si>
    <t>ORD53380</t>
  </si>
  <si>
    <t>ORD53531</t>
  </si>
  <si>
    <t>ORD54021</t>
  </si>
  <si>
    <t>ORD50183</t>
  </si>
  <si>
    <t>ORD50824</t>
  </si>
  <si>
    <t>ORD51405</t>
  </si>
  <si>
    <t>ORD53625</t>
  </si>
  <si>
    <t>ORD53917</t>
  </si>
  <si>
    <t>ORD51096</t>
  </si>
  <si>
    <t>ORD51282</t>
  </si>
  <si>
    <t>ORD51924</t>
  </si>
  <si>
    <t>ORD52176</t>
  </si>
  <si>
    <t>ORD53233</t>
  </si>
  <si>
    <t>ORD53383</t>
  </si>
  <si>
    <t>ORD53914</t>
  </si>
  <si>
    <t>ORD54080</t>
  </si>
  <si>
    <t>ORD50386</t>
  </si>
  <si>
    <t>ORD50543</t>
  </si>
  <si>
    <t>ORD50832</t>
  </si>
  <si>
    <t>ORD50947</t>
  </si>
  <si>
    <t>ORD51112</t>
  </si>
  <si>
    <t>ORD51352</t>
  </si>
  <si>
    <t>ORD52021</t>
  </si>
  <si>
    <t>ORD52628</t>
  </si>
  <si>
    <t>ORD52688</t>
  </si>
  <si>
    <t>ORD53023</t>
  </si>
  <si>
    <t>ORD53024</t>
  </si>
  <si>
    <t>ORD53400</t>
  </si>
  <si>
    <t>ORD50101</t>
  </si>
  <si>
    <t>ORD50134</t>
  </si>
  <si>
    <t>ORD50372</t>
  </si>
  <si>
    <t>ORD51221</t>
  </si>
  <si>
    <t>ORD51561</t>
  </si>
  <si>
    <t>ORD51785</t>
  </si>
  <si>
    <t>ORD52446</t>
  </si>
  <si>
    <t>ORD52699</t>
  </si>
  <si>
    <t>ORD53091</t>
  </si>
  <si>
    <t>ORD53489</t>
  </si>
  <si>
    <t>ORD53765</t>
  </si>
  <si>
    <t>ORD54059</t>
  </si>
  <si>
    <t>ORD54163</t>
  </si>
  <si>
    <t>ORD54167</t>
  </si>
  <si>
    <t>ORD50087</t>
  </si>
  <si>
    <t>ORD50790</t>
  </si>
  <si>
    <t>ORD51625</t>
  </si>
  <si>
    <t>ORD51902</t>
  </si>
  <si>
    <t>ORD52178</t>
  </si>
  <si>
    <t>ORD52405</t>
  </si>
  <si>
    <t>ORD52425</t>
  </si>
  <si>
    <t>ORD53469</t>
  </si>
  <si>
    <t>ORD53542</t>
  </si>
  <si>
    <t>ORD53582</t>
  </si>
  <si>
    <t>ORD50587</t>
  </si>
  <si>
    <t>ORD51323</t>
  </si>
  <si>
    <t>ORD51950</t>
  </si>
  <si>
    <t>ORD52906</t>
  </si>
  <si>
    <t>ORD52924</t>
  </si>
  <si>
    <t>ORD53427</t>
  </si>
  <si>
    <t>ORD53704</t>
  </si>
  <si>
    <t>ORD54161</t>
  </si>
  <si>
    <t>ORD50467</t>
  </si>
  <si>
    <t>ORD50680</t>
  </si>
  <si>
    <t>ORD51098</t>
  </si>
  <si>
    <t>ORD51373</t>
  </si>
  <si>
    <t>ORD52338</t>
  </si>
  <si>
    <t>ORD52793</t>
  </si>
  <si>
    <t>ORD54011</t>
  </si>
  <si>
    <t>ORD54140</t>
  </si>
  <si>
    <t>ORD51000</t>
  </si>
  <si>
    <t>ORD51339</t>
  </si>
  <si>
    <t>ORD51454</t>
  </si>
  <si>
    <t>ORD51641</t>
  </si>
  <si>
    <t>ORD51956</t>
  </si>
  <si>
    <t>ORD52249</t>
  </si>
  <si>
    <t>ORD53030</t>
  </si>
  <si>
    <t>ORD53376</t>
  </si>
  <si>
    <t>ORD53405</t>
  </si>
  <si>
    <t>ORD53716</t>
  </si>
  <si>
    <t>ORD53839</t>
  </si>
  <si>
    <t>ORD50695</t>
  </si>
  <si>
    <t>ORD50890</t>
  </si>
  <si>
    <t>ORD51025</t>
  </si>
  <si>
    <t>ORD51088</t>
  </si>
  <si>
    <t>ORD52263</t>
  </si>
  <si>
    <t>ORD53323</t>
  </si>
  <si>
    <t>ORD53776</t>
  </si>
  <si>
    <t>ORD53857</t>
  </si>
  <si>
    <t>ORD50621</t>
  </si>
  <si>
    <t>ORD50622</t>
  </si>
  <si>
    <t>ORD50775</t>
  </si>
  <si>
    <t>ORD51061</t>
  </si>
  <si>
    <t>ORD51289</t>
  </si>
  <si>
    <t>ORD51806</t>
  </si>
  <si>
    <t>ORD52064</t>
  </si>
  <si>
    <t>ORD52115</t>
  </si>
  <si>
    <t>ORD53942</t>
  </si>
  <si>
    <t>ORD54058</t>
  </si>
  <si>
    <t>ORD50855</t>
  </si>
  <si>
    <t>ORD50916</t>
  </si>
  <si>
    <t>ORD51437</t>
  </si>
  <si>
    <t>ORD51904</t>
  </si>
  <si>
    <t>ORD52606</t>
  </si>
  <si>
    <t>ORD52817</t>
  </si>
  <si>
    <t>ORD53006</t>
  </si>
  <si>
    <t>ORD53105</t>
  </si>
  <si>
    <t>ORD53606</t>
  </si>
  <si>
    <t>ORD53671</t>
  </si>
  <si>
    <t>ORD53766</t>
  </si>
  <si>
    <t>ORD53878</t>
  </si>
  <si>
    <t>ORD53939</t>
  </si>
  <si>
    <t>ORD54164</t>
  </si>
  <si>
    <t>ORD50130</t>
  </si>
  <si>
    <t>ORD50808</t>
  </si>
  <si>
    <t>ORD50879</t>
  </si>
  <si>
    <t>ORD51485</t>
  </si>
  <si>
    <t>ORD51648</t>
  </si>
  <si>
    <t>ORD51941</t>
  </si>
  <si>
    <t>ORD52344</t>
  </si>
  <si>
    <t>ORD52665</t>
  </si>
  <si>
    <t>ORD52668</t>
  </si>
  <si>
    <t>ORD52967</t>
  </si>
  <si>
    <t>ORD53255</t>
  </si>
  <si>
    <t>ORD53717</t>
  </si>
  <si>
    <t>ORD53824</t>
  </si>
  <si>
    <t>ORD53954</t>
  </si>
  <si>
    <t>ORD51380</t>
  </si>
  <si>
    <t>ORD51585</t>
  </si>
  <si>
    <t>ORD52968</t>
  </si>
  <si>
    <t>ORD53633</t>
  </si>
  <si>
    <t>ORD53987</t>
  </si>
  <si>
    <t>ORD54019</t>
  </si>
  <si>
    <t>ORD50001</t>
  </si>
  <si>
    <t>ORD50035</t>
  </si>
  <si>
    <t>ORD50293</t>
  </si>
  <si>
    <t>ORD50517</t>
  </si>
  <si>
    <t>ORD51114</t>
  </si>
  <si>
    <t>ORD51252</t>
  </si>
  <si>
    <t>ORD51656</t>
  </si>
  <si>
    <t>ORD52460</t>
  </si>
  <si>
    <t>ORD52769</t>
  </si>
  <si>
    <t>ORD52929</t>
  </si>
  <si>
    <t>ORD53360</t>
  </si>
  <si>
    <t>ORD53371</t>
  </si>
  <si>
    <t>ORD53463</t>
  </si>
  <si>
    <t>ORD53560</t>
  </si>
  <si>
    <t>ORD50059</t>
  </si>
  <si>
    <t>ORD50143</t>
  </si>
  <si>
    <t>ORD50243</t>
  </si>
  <si>
    <t>ORD51272</t>
  </si>
  <si>
    <t>ORD51947</t>
  </si>
  <si>
    <t>ORD52104</t>
  </si>
  <si>
    <t>ORD52273</t>
  </si>
  <si>
    <t>ORD52809</t>
  </si>
  <si>
    <t>ORD52830</t>
  </si>
  <si>
    <t>ORD53099</t>
  </si>
  <si>
    <t>ORD53357</t>
  </si>
  <si>
    <t>ORD53392</t>
  </si>
  <si>
    <t>ORD53530</t>
  </si>
  <si>
    <t>ORD53684</t>
  </si>
  <si>
    <t>ORD53696</t>
  </si>
  <si>
    <t>ORD53719</t>
  </si>
  <si>
    <t>ORD54072</t>
  </si>
  <si>
    <t>ORD50245</t>
  </si>
  <si>
    <t>ORD50356</t>
  </si>
  <si>
    <t>ORD50666</t>
  </si>
  <si>
    <t>ORD50682</t>
  </si>
  <si>
    <t>ORD50888</t>
  </si>
  <si>
    <t>ORD51027</t>
  </si>
  <si>
    <t>ORD51613</t>
  </si>
  <si>
    <t>ORD51740</t>
  </si>
  <si>
    <t>ORD51749</t>
  </si>
  <si>
    <t>ORD51787</t>
  </si>
  <si>
    <t>ORD52158</t>
  </si>
  <si>
    <t>ORD52693</t>
  </si>
  <si>
    <t>ORD50008</t>
  </si>
  <si>
    <t>ORD50075</t>
  </si>
  <si>
    <t>ORD50630</t>
  </si>
  <si>
    <t>ORD51165</t>
  </si>
  <si>
    <t>ORD52191</t>
  </si>
  <si>
    <t>ORD52393</t>
  </si>
  <si>
    <t>ORD52843</t>
  </si>
  <si>
    <t>ORD53552</t>
  </si>
  <si>
    <t>ORD53752</t>
  </si>
  <si>
    <t>ORD53891</t>
  </si>
  <si>
    <t>ORD53908</t>
  </si>
  <si>
    <t>ORD53965</t>
  </si>
  <si>
    <t>ORD53976</t>
  </si>
  <si>
    <t>ORD54152</t>
  </si>
  <si>
    <t>ORD50719</t>
  </si>
  <si>
    <t>ORD51230</t>
  </si>
  <si>
    <t>ORD52037</t>
  </si>
  <si>
    <t>ORD52131</t>
  </si>
  <si>
    <t>ORD52490</t>
  </si>
  <si>
    <t>ORD52972</t>
  </si>
  <si>
    <t>ORD53843</t>
  </si>
  <si>
    <t>ORD50174</t>
  </si>
  <si>
    <t>ORD50252</t>
  </si>
  <si>
    <t>ORD50696</t>
  </si>
  <si>
    <t>ORD50722</t>
  </si>
  <si>
    <t>ORD51202</t>
  </si>
  <si>
    <t>ORD51583</t>
  </si>
  <si>
    <t>ORD51701</t>
  </si>
  <si>
    <t>ORD52235</t>
  </si>
  <si>
    <t>ORD52741</t>
  </si>
  <si>
    <t>ORD53153</t>
  </si>
  <si>
    <t>ORD53652</t>
  </si>
  <si>
    <t>ORD50204</t>
  </si>
  <si>
    <t>ORD50497</t>
  </si>
  <si>
    <t>ORD50606</t>
  </si>
  <si>
    <t>ORD52473</t>
  </si>
  <si>
    <t>ORD52507</t>
  </si>
  <si>
    <t>ORD53208</t>
  </si>
  <si>
    <t>ORD53402</t>
  </si>
  <si>
    <t>ORD53563</t>
  </si>
  <si>
    <t>ORD53568</t>
  </si>
  <si>
    <t>ORD53938</t>
  </si>
  <si>
    <t>ORD50318</t>
  </si>
  <si>
    <t>ORD50466</t>
  </si>
  <si>
    <t>ORD51269</t>
  </si>
  <si>
    <t>ORD52385</t>
  </si>
  <si>
    <t>ORD52468</t>
  </si>
  <si>
    <t>ORD52981</t>
  </si>
  <si>
    <t>ORD53220</t>
  </si>
  <si>
    <t>ORD53350</t>
  </si>
  <si>
    <t>ORD53769</t>
  </si>
  <si>
    <t>ORD53846</t>
  </si>
  <si>
    <t>ORD54067</t>
  </si>
  <si>
    <t>ORD50740</t>
  </si>
  <si>
    <t>ORD50953</t>
  </si>
  <si>
    <t>ORD50956</t>
  </si>
  <si>
    <t>ORD51370</t>
  </si>
  <si>
    <t>ORD51383</t>
  </si>
  <si>
    <t>ORD51777</t>
  </si>
  <si>
    <t>ORD51860</t>
  </si>
  <si>
    <t>ORD52641</t>
  </si>
  <si>
    <t>ORD53090</t>
  </si>
  <si>
    <t>ORD53139</t>
  </si>
  <si>
    <t>ORD53494</t>
  </si>
  <si>
    <t>ORD53575</t>
  </si>
  <si>
    <t>ORD53959</t>
  </si>
  <si>
    <t>ORD50102</t>
  </si>
  <si>
    <t>ORD50339</t>
  </si>
  <si>
    <t>ORD50553</t>
  </si>
  <si>
    <t>ORD50964</t>
  </si>
  <si>
    <t>ORD51068</t>
  </si>
  <si>
    <t>ORD51123</t>
  </si>
  <si>
    <t>ORD51783</t>
  </si>
  <si>
    <t>ORD52000</t>
  </si>
  <si>
    <t>ORD52357</t>
  </si>
  <si>
    <t>ORD52412</t>
  </si>
  <si>
    <t>ORD52751</t>
  </si>
  <si>
    <t>ORD52880</t>
  </si>
  <si>
    <t>ORD53191</t>
  </si>
  <si>
    <t>ORD53235</t>
  </si>
  <si>
    <t>ORD53396</t>
  </si>
  <si>
    <t>ORD50217</t>
  </si>
  <si>
    <t>ORD50255</t>
  </si>
  <si>
    <t>ORD50810</t>
  </si>
  <si>
    <t>ORD51351</t>
  </si>
  <si>
    <t>ORD51483</t>
  </si>
  <si>
    <t>ORD51905</t>
  </si>
  <si>
    <t>ORD52884</t>
  </si>
  <si>
    <t>ORD53271</t>
  </si>
  <si>
    <t>ORD54153</t>
  </si>
  <si>
    <t>ORD50076</t>
  </si>
  <si>
    <t>ORD50544</t>
  </si>
  <si>
    <t>ORD51497</t>
  </si>
  <si>
    <t>ORD52318</t>
  </si>
  <si>
    <t>ORD52639</t>
  </si>
  <si>
    <t>ORD52739</t>
  </si>
  <si>
    <t>ORD52761</t>
  </si>
  <si>
    <t>ORD52852</t>
  </si>
  <si>
    <t>ORD53015</t>
  </si>
  <si>
    <t>ORD50077</t>
  </si>
  <si>
    <t>ORD51051</t>
  </si>
  <si>
    <t>ORD51849</t>
  </si>
  <si>
    <t>ORD52230</t>
  </si>
  <si>
    <t>ORD52569</t>
  </si>
  <si>
    <t>ORD53196</t>
  </si>
  <si>
    <t>ORD53730</t>
  </si>
  <si>
    <t>ORD54070</t>
  </si>
  <si>
    <t>ORD50527</t>
  </si>
  <si>
    <t>ORD51064</t>
  </si>
  <si>
    <t>ORD51399</t>
  </si>
  <si>
    <t>ORD51449</t>
  </si>
  <si>
    <t>ORD51778</t>
  </si>
  <si>
    <t>ORD52144</t>
  </si>
  <si>
    <t>ORD53700</t>
  </si>
  <si>
    <t>ORD53924</t>
  </si>
  <si>
    <t>ORD50028</t>
  </si>
  <si>
    <t>ORD50796</t>
  </si>
  <si>
    <t>ORD50863</t>
  </si>
  <si>
    <t>ORD50926</t>
  </si>
  <si>
    <t>ORD51077</t>
  </si>
  <si>
    <t>ORD51143</t>
  </si>
  <si>
    <t>ORD51155</t>
  </si>
  <si>
    <t>ORD51388</t>
  </si>
  <si>
    <t>ORD51601</t>
  </si>
  <si>
    <t>ORD52101</t>
  </si>
  <si>
    <t>ORD52439</t>
  </si>
  <si>
    <t>ORD52829</t>
  </si>
  <si>
    <t>ORD52904</t>
  </si>
  <si>
    <t>ORD53570</t>
  </si>
  <si>
    <t>ORD53709</t>
  </si>
  <si>
    <t>ORD50034</t>
  </si>
  <si>
    <t>ORD50092</t>
  </si>
  <si>
    <t>ORD50310</t>
  </si>
  <si>
    <t>ORD50407</t>
  </si>
  <si>
    <t>ORD50410</t>
  </si>
  <si>
    <t>ORD50483</t>
  </si>
  <si>
    <t>ORD50604</t>
  </si>
  <si>
    <t>ORD50828</t>
  </si>
  <si>
    <t>ORD51279</t>
  </si>
  <si>
    <t>ORD51305</t>
  </si>
  <si>
    <t>ORD51761</t>
  </si>
  <si>
    <t>ORD52666</t>
  </si>
  <si>
    <t>ORD53725</t>
  </si>
  <si>
    <t>ORD50025</t>
  </si>
  <si>
    <t>ORD50184</t>
  </si>
  <si>
    <t>ORD50312</t>
  </si>
  <si>
    <t>ORD50465</t>
  </si>
  <si>
    <t>ORD50597</t>
  </si>
  <si>
    <t>ORD51966</t>
  </si>
  <si>
    <t>ORD50435</t>
  </si>
  <si>
    <t>ORD50718</t>
  </si>
  <si>
    <t>ORD50721</t>
  </si>
  <si>
    <t>ORD51430</t>
  </si>
  <si>
    <t>ORD51500</t>
  </si>
  <si>
    <t>ORD51506</t>
  </si>
  <si>
    <t>ORD51735</t>
  </si>
  <si>
    <t>ORD51851</t>
  </si>
  <si>
    <t>ORD51991</t>
  </si>
  <si>
    <t>ORD52554</t>
  </si>
  <si>
    <t>ORD53213</t>
  </si>
  <si>
    <t>ORD53279</t>
  </si>
  <si>
    <t>ORD53464</t>
  </si>
  <si>
    <t>ORD53674</t>
  </si>
  <si>
    <t>ORD53995</t>
  </si>
  <si>
    <t>ORD50308</t>
  </si>
  <si>
    <t>ORD50648</t>
  </si>
  <si>
    <t>ORD50971</t>
  </si>
  <si>
    <t>ORD51006</t>
  </si>
  <si>
    <t>ORD51538</t>
  </si>
  <si>
    <t>ORD51711</t>
  </si>
  <si>
    <t>ORD52579</t>
  </si>
  <si>
    <t>ORD53482</t>
  </si>
  <si>
    <t>ORD53622</t>
  </si>
  <si>
    <t>ORD53689</t>
  </si>
  <si>
    <t>ORD53872</t>
  </si>
  <si>
    <t>ORD53919</t>
  </si>
  <si>
    <t>ORD50383</t>
  </si>
  <si>
    <t>ORD50692</t>
  </si>
  <si>
    <t>ORD50877</t>
  </si>
  <si>
    <t>ORD50896</t>
  </si>
  <si>
    <t>ORD52272</t>
  </si>
  <si>
    <t>ORD52707</t>
  </si>
  <si>
    <t>ORD52757</t>
  </si>
  <si>
    <t>ORD52764</t>
  </si>
  <si>
    <t>ORD52792</t>
  </si>
  <si>
    <t>ORD53708</t>
  </si>
  <si>
    <t>ORD50340</t>
  </si>
  <si>
    <t>ORD50473</t>
  </si>
  <si>
    <t>ORD50578</t>
  </si>
  <si>
    <t>ORD51131</t>
  </si>
  <si>
    <t>ORD51345</t>
  </si>
  <si>
    <t>ORD51771</t>
  </si>
  <si>
    <t>ORD51780</t>
  </si>
  <si>
    <t>ORD51843</t>
  </si>
  <si>
    <t>ORD51981</t>
  </si>
  <si>
    <t>ORD53492</t>
  </si>
  <si>
    <t>ORD53662</t>
  </si>
  <si>
    <t>ORD53711</t>
  </si>
  <si>
    <t>ORD54057</t>
  </si>
  <si>
    <t>ORD50068</t>
  </si>
  <si>
    <t>ORD50766</t>
  </si>
  <si>
    <t>ORD50799</t>
  </si>
  <si>
    <t>ORD52112</t>
  </si>
  <si>
    <t>ORD52303</t>
  </si>
  <si>
    <t>ORD52450</t>
  </si>
  <si>
    <t>ORD52933</t>
  </si>
  <si>
    <t>ORD52952</t>
  </si>
  <si>
    <t>ORD53562</t>
  </si>
  <si>
    <t>ORD53665</t>
  </si>
  <si>
    <t>ORD53721</t>
  </si>
  <si>
    <t>ORD53743</t>
  </si>
  <si>
    <t>ORD53768</t>
  </si>
  <si>
    <t>ORD54199</t>
  </si>
  <si>
    <t>ORD50663</t>
  </si>
  <si>
    <t>ORD50739</t>
  </si>
  <si>
    <t>ORD50844</t>
  </si>
  <si>
    <t>ORD50918</t>
  </si>
  <si>
    <t>ORD51546</t>
  </si>
  <si>
    <t>ORD51559</t>
  </si>
  <si>
    <t>ORD52129</t>
  </si>
  <si>
    <t>ORD52630</t>
  </si>
  <si>
    <t>ORD52998</t>
  </si>
  <si>
    <t>ORD53277</t>
  </si>
  <si>
    <t>ORD53779</t>
  </si>
  <si>
    <t>ORD53945</t>
  </si>
  <si>
    <t>ORD50047</t>
  </si>
  <si>
    <t>ORD51581</t>
  </si>
  <si>
    <t>ORD51977</t>
  </si>
  <si>
    <t>ORD52528</t>
  </si>
  <si>
    <t>ORD53299</t>
  </si>
  <si>
    <t>ORD53557</t>
  </si>
  <si>
    <t>ORD50080</t>
  </si>
  <si>
    <t>ORD50525</t>
  </si>
  <si>
    <t>ORD51118</t>
  </si>
  <si>
    <t>ORD51725</t>
  </si>
  <si>
    <t>ORD52151</t>
  </si>
  <si>
    <t>ORD52604</t>
  </si>
  <si>
    <t>ORD52865</t>
  </si>
  <si>
    <t>ORD53127</t>
  </si>
  <si>
    <t>ORD53246</t>
  </si>
  <si>
    <t>ORD54053</t>
  </si>
  <si>
    <t>ORD54126</t>
  </si>
  <si>
    <t>ORD50384</t>
  </si>
  <si>
    <t>ORD51072</t>
  </si>
  <si>
    <t>ORD51203</t>
  </si>
  <si>
    <t>ORD51886</t>
  </si>
  <si>
    <t>ORD52224</t>
  </si>
  <si>
    <t>ORD52319</t>
  </si>
  <si>
    <t>ORD52459</t>
  </si>
  <si>
    <t>ORD50238</t>
  </si>
  <si>
    <t>ORD50464</t>
  </si>
  <si>
    <t>ORD50651</t>
  </si>
  <si>
    <t>ORD50687</t>
  </si>
  <si>
    <t>ORD51492</t>
  </si>
  <si>
    <t>ORD51730</t>
  </si>
  <si>
    <t>ORD52841</t>
  </si>
  <si>
    <t>ORD53038</t>
  </si>
  <si>
    <t>ORD53151</t>
  </si>
  <si>
    <t>ORD53659</t>
  </si>
  <si>
    <t>ORD53836</t>
  </si>
  <si>
    <t>ORD53949</t>
  </si>
  <si>
    <t>ORD50366</t>
  </si>
  <si>
    <t>ORD50519</t>
  </si>
  <si>
    <t>ORD50772</t>
  </si>
  <si>
    <t>ORD50800</t>
  </si>
  <si>
    <t>ORD51083</t>
  </si>
  <si>
    <t>ORD53705</t>
  </si>
  <si>
    <t>ORD53902</t>
  </si>
  <si>
    <t>ORD53915</t>
  </si>
  <si>
    <t>ORD54119</t>
  </si>
  <si>
    <t>ORD50123</t>
  </si>
  <si>
    <t>ORD50603</t>
  </si>
  <si>
    <t>ORD50833</t>
  </si>
  <si>
    <t>ORD50853</t>
  </si>
  <si>
    <t>ORD50966</t>
  </si>
  <si>
    <t>ORD51026</t>
  </si>
  <si>
    <t>ORD51807</t>
  </si>
  <si>
    <t>ORD51813</t>
  </si>
  <si>
    <t>ORD52117</t>
  </si>
  <si>
    <t>ORD52282</t>
  </si>
  <si>
    <t>ORD52478</t>
  </si>
  <si>
    <t>ORD53321</t>
  </si>
  <si>
    <t>ORD53393</t>
  </si>
  <si>
    <t>ORD53538</t>
  </si>
  <si>
    <t>ORD53890</t>
  </si>
  <si>
    <t>ORD53963</t>
  </si>
  <si>
    <t>ORD54056</t>
  </si>
  <si>
    <t>ORD50016</t>
  </si>
  <si>
    <t>ORD50774</t>
  </si>
  <si>
    <t>ORD50904</t>
  </si>
  <si>
    <t>ORD51132</t>
  </si>
  <si>
    <t>ORD51652</t>
  </si>
  <si>
    <t>ORD52116</t>
  </si>
  <si>
    <t>ORD52172</t>
  </si>
  <si>
    <t>ORD52537</t>
  </si>
  <si>
    <t>ORD52717</t>
  </si>
  <si>
    <t>ORD52833</t>
  </si>
  <si>
    <t>ORD53375</t>
  </si>
  <si>
    <t>ORD53497</t>
  </si>
  <si>
    <t>ORD50725</t>
  </si>
  <si>
    <t>ORD50898</t>
  </si>
  <si>
    <t>ORD52073</t>
  </si>
  <si>
    <t>ORD52533</t>
  </si>
  <si>
    <t>ORD52901</t>
  </si>
  <si>
    <t>ORD53731</t>
  </si>
  <si>
    <t>ORD54035</t>
  </si>
  <si>
    <t>ORD54135</t>
  </si>
  <si>
    <t>ORD50097</t>
  </si>
  <si>
    <t>ORD50487</t>
  </si>
  <si>
    <t>ORD50779</t>
  </si>
  <si>
    <t>ORD51400</t>
  </si>
  <si>
    <t>ORD51423</t>
  </si>
  <si>
    <t>ORD51448</t>
  </si>
  <si>
    <t>ORD51632</t>
  </si>
  <si>
    <t>ORD51974</t>
  </si>
  <si>
    <t>ORD52003</t>
  </si>
  <si>
    <t>ORD52034</t>
  </si>
  <si>
    <t>ORD53262</t>
  </si>
  <si>
    <t>ORD53266</t>
  </si>
  <si>
    <t>ORD53588</t>
  </si>
  <si>
    <t>ORD53656</t>
  </si>
  <si>
    <t>ORD53672</t>
  </si>
  <si>
    <t>ORD53692</t>
  </si>
  <si>
    <t>ORD50561</t>
  </si>
  <si>
    <t>ORD50749</t>
  </si>
  <si>
    <t>ORD51300</t>
  </si>
  <si>
    <t>ORD51434</t>
  </si>
  <si>
    <t>ORD52079</t>
  </si>
  <si>
    <t>ORD52271</t>
  </si>
  <si>
    <t>ORD52301</t>
  </si>
  <si>
    <t>ORD52334</t>
  </si>
  <si>
    <t>ORD53194</t>
  </si>
  <si>
    <t>ORD53285</t>
  </si>
  <si>
    <t>ORD53450</t>
  </si>
  <si>
    <t>ORD53940</t>
  </si>
  <si>
    <t>ORD50067</t>
  </si>
  <si>
    <t>ORD50140</t>
  </si>
  <si>
    <t>ORD51738</t>
  </si>
  <si>
    <t>ORD51764</t>
  </si>
  <si>
    <t>ORD52491</t>
  </si>
  <si>
    <t>ORD52679</t>
  </si>
  <si>
    <t>ORD53978</t>
  </si>
  <si>
    <t>ORD50369</t>
  </si>
  <si>
    <t>ORD51145</t>
  </si>
  <si>
    <t>ORD51301</t>
  </si>
  <si>
    <t>ORD51664</t>
  </si>
  <si>
    <t>ORD51811</t>
  </si>
  <si>
    <t>ORD52421</t>
  </si>
  <si>
    <t>ORD52936</t>
  </si>
  <si>
    <t>ORD53192</t>
  </si>
  <si>
    <t>ORD53569</t>
  </si>
  <si>
    <t>ORD50108</t>
  </si>
  <si>
    <t>ORD50389</t>
  </si>
  <si>
    <t>ORD50433</t>
  </si>
  <si>
    <t>ORD51056</t>
  </si>
  <si>
    <t>ORD51234</t>
  </si>
  <si>
    <t>ORD51896</t>
  </si>
  <si>
    <t>ORD52557</t>
  </si>
  <si>
    <t>ORD52564</t>
  </si>
  <si>
    <t>ORD52736</t>
  </si>
  <si>
    <t>ORD53238</t>
  </si>
  <si>
    <t>ORD53397</t>
  </si>
  <si>
    <t>ORD53695</t>
  </si>
  <si>
    <t>ORD53751</t>
  </si>
  <si>
    <t>ORD50032</t>
  </si>
  <si>
    <t>ORD50117</t>
  </si>
  <si>
    <t>ORD50148</t>
  </si>
  <si>
    <t>ORD50568</t>
  </si>
  <si>
    <t>ORD50925</t>
  </si>
  <si>
    <t>ORD50972</t>
  </si>
  <si>
    <t>ORD51513</t>
  </si>
  <si>
    <t>ORD51659</t>
  </si>
  <si>
    <t>ORD51835</t>
  </si>
  <si>
    <t>ORD52157</t>
  </si>
  <si>
    <t>ORD52234</t>
  </si>
  <si>
    <t>ORD52914</t>
  </si>
  <si>
    <t>ORD53409</t>
  </si>
  <si>
    <t>ORD53826</t>
  </si>
  <si>
    <t>ORD53918</t>
  </si>
  <si>
    <t>ORD50225</t>
  </si>
  <si>
    <t>ORD50689</t>
  </si>
  <si>
    <t>ORD50705</t>
  </si>
  <si>
    <t>ORD50795</t>
  </si>
  <si>
    <t>ORD51189</t>
  </si>
  <si>
    <t>ORD52801</t>
  </si>
  <si>
    <t>ORD52970</t>
  </si>
  <si>
    <t>ORD53020</t>
  </si>
  <si>
    <t>ORD53033</t>
  </si>
  <si>
    <t>ORD54114</t>
  </si>
  <si>
    <t>ORD50241</t>
  </si>
  <si>
    <t>ORD50246</t>
  </si>
  <si>
    <t>ORD50319</t>
  </si>
  <si>
    <t>ORD50797</t>
  </si>
  <si>
    <t>ORD51796</t>
  </si>
  <si>
    <t>ORD51985</t>
  </si>
  <si>
    <t>ORD52062</t>
  </si>
  <si>
    <t>ORD52220</t>
  </si>
  <si>
    <t>ORD52419</t>
  </si>
  <si>
    <t>ORD52548</t>
  </si>
  <si>
    <t>ORD52633</t>
  </si>
  <si>
    <t>ORD52667</t>
  </si>
  <si>
    <t>ORD52695</t>
  </si>
  <si>
    <t>ORD52728</t>
  </si>
  <si>
    <t>ORD52831</t>
  </si>
  <si>
    <t>ORD52978</t>
  </si>
  <si>
    <t>ORD53434</t>
  </si>
  <si>
    <t>ORD53571</t>
  </si>
  <si>
    <t>ORD54036</t>
  </si>
  <si>
    <t>ORD50163</t>
  </si>
  <si>
    <t>ORD51968</t>
  </si>
  <si>
    <t>ORD52796</t>
  </si>
  <si>
    <t>ORD54046</t>
  </si>
  <si>
    <t>ORD50082</t>
  </si>
  <si>
    <t>ORD50139</t>
  </si>
  <si>
    <t>ORD50215</t>
  </si>
  <si>
    <t>ORD50643</t>
  </si>
  <si>
    <t>ORD50675</t>
  </si>
  <si>
    <t>ORD50699</t>
  </si>
  <si>
    <t>ORD51149</t>
  </si>
  <si>
    <t>ORD51734</t>
  </si>
  <si>
    <t>ORD52164</t>
  </si>
  <si>
    <t>ORD53170</t>
  </si>
  <si>
    <t>ORD53310</t>
  </si>
  <si>
    <t>ORD53340</t>
  </si>
  <si>
    <t>ORD53678</t>
  </si>
  <si>
    <t>ORD50066</t>
  </si>
  <si>
    <t>ORD50612</t>
  </si>
  <si>
    <t>ORD50661</t>
  </si>
  <si>
    <t>ORD50748</t>
  </si>
  <si>
    <t>ORD50931</t>
  </si>
  <si>
    <t>ORD51241</t>
  </si>
  <si>
    <t>ORD51530</t>
  </si>
  <si>
    <t>ORD51831</t>
  </si>
  <si>
    <t>ORD50056</t>
  </si>
  <si>
    <t>ORD50425</t>
  </si>
  <si>
    <t>ORD51167</t>
  </si>
  <si>
    <t>ORD51598</t>
  </si>
  <si>
    <t>ORD51737</t>
  </si>
  <si>
    <t>ORD52184</t>
  </si>
  <si>
    <t>ORD52636</t>
  </si>
  <si>
    <t>ORD52816</t>
  </si>
  <si>
    <t>ORD53614</t>
  </si>
  <si>
    <t>ORD50054</t>
  </si>
  <si>
    <t>ORD50338</t>
  </si>
  <si>
    <t>ORD50343</t>
  </si>
  <si>
    <t>ORD50588</t>
  </si>
  <si>
    <t>ORD51099</t>
  </si>
  <si>
    <t>ORD51640</t>
  </si>
  <si>
    <t>ORD52371</t>
  </si>
  <si>
    <t>ORD52648</t>
  </si>
  <si>
    <t>ORD53096</t>
  </si>
  <si>
    <t>ORD53231</t>
  </si>
  <si>
    <t>ORD50073</t>
  </si>
  <si>
    <t>ORD50328</t>
  </si>
  <si>
    <t>ORD50617</t>
  </si>
  <si>
    <t>ORD51507</t>
  </si>
  <si>
    <t>ORD52763</t>
  </si>
  <si>
    <t>ORD52944</t>
  </si>
  <si>
    <t>ORD53436</t>
  </si>
  <si>
    <t>ORD53599</t>
  </si>
  <si>
    <t>ORD53970</t>
  </si>
  <si>
    <t>ORD54102</t>
  </si>
  <si>
    <t>ORD50894</t>
  </si>
  <si>
    <t>ORD51428</t>
  </si>
  <si>
    <t>ORD52242</t>
  </si>
  <si>
    <t>ORD52760</t>
  </si>
  <si>
    <t>ORD53204</t>
  </si>
  <si>
    <t>ORD54052</t>
  </si>
  <si>
    <t>ORD50041</t>
  </si>
  <si>
    <t>ORD50127</t>
  </si>
  <si>
    <t>ORD50965</t>
  </si>
  <si>
    <t>ORD51280</t>
  </si>
  <si>
    <t>ORD51406</t>
  </si>
  <si>
    <t>ORD51892</t>
  </si>
  <si>
    <t>ORD51944</t>
  </si>
  <si>
    <t>ORD52212</t>
  </si>
  <si>
    <t>ORD52813</t>
  </si>
  <si>
    <t>ORD53618</t>
  </si>
  <si>
    <t>ORD53957</t>
  </si>
  <si>
    <t>ORD50144</t>
  </si>
  <si>
    <t>ORD50170</t>
  </si>
  <si>
    <t>ORD50381</t>
  </si>
  <si>
    <t>ORD50424</t>
  </si>
  <si>
    <t>ORD51089</t>
  </si>
  <si>
    <t>ORD52127</t>
  </si>
  <si>
    <t>ORD52136</t>
  </si>
  <si>
    <t>ORD52231</t>
  </si>
  <si>
    <t>ORD52463</t>
  </si>
  <si>
    <t>ORD52915</t>
  </si>
  <si>
    <t>ORD53989</t>
  </si>
  <si>
    <t>ORD50564</t>
  </si>
  <si>
    <t>ORD50632</t>
  </si>
  <si>
    <t>ORD50681</t>
  </si>
  <si>
    <t>ORD51135</t>
  </si>
  <si>
    <t>ORD51220</t>
  </si>
  <si>
    <t>ORD51321</t>
  </si>
  <si>
    <t>ORD51403</t>
  </si>
  <si>
    <t>ORD52991</t>
  </si>
  <si>
    <t>ORD53061</t>
  </si>
  <si>
    <t>ORD53258</t>
  </si>
  <si>
    <t>ORD53385</t>
  </si>
  <si>
    <t>ORD53830</t>
  </si>
  <si>
    <t>ORD53861</t>
  </si>
  <si>
    <t>ORD54146</t>
  </si>
  <si>
    <t>ORD54162</t>
  </si>
  <si>
    <t>ORD50803</t>
  </si>
  <si>
    <t>ORD50804</t>
  </si>
  <si>
    <t>ORD51317</t>
  </si>
  <si>
    <t>ORD51558</t>
  </si>
  <si>
    <t>ORD52014</t>
  </si>
  <si>
    <t>ORD52049</t>
  </si>
  <si>
    <t>ORD52313</t>
  </si>
  <si>
    <t>ORD53100</t>
  </si>
  <si>
    <t>ORD53228</t>
  </si>
  <si>
    <t>ORD53525</t>
  </si>
  <si>
    <t>ORD53533</t>
  </si>
  <si>
    <t>ORD53802</t>
  </si>
  <si>
    <t>ORD50160</t>
  </si>
  <si>
    <t>ORD50314</t>
  </si>
  <si>
    <t>ORD50783</t>
  </si>
  <si>
    <t>ORD50961</t>
  </si>
  <si>
    <t>ORD51502</t>
  </si>
  <si>
    <t>ORD51821</t>
  </si>
  <si>
    <t>ORD51972</t>
  </si>
  <si>
    <t>ORD52969</t>
  </si>
  <si>
    <t>ORD53879</t>
  </si>
  <si>
    <t>ORD50850</t>
  </si>
  <si>
    <t>ORD50921</t>
  </si>
  <si>
    <t>ORD51094</t>
  </si>
  <si>
    <t>ORD51455</t>
  </si>
  <si>
    <t>ORD51767</t>
  </si>
  <si>
    <t>ORD52360</t>
  </si>
  <si>
    <t>ORD52872</t>
  </si>
  <si>
    <t>ORD53018</t>
  </si>
  <si>
    <t>ORD53316</t>
  </si>
  <si>
    <t>ORD53506</t>
  </si>
  <si>
    <t>ORD53593</t>
  </si>
  <si>
    <t>ORD53829</t>
  </si>
  <si>
    <t>ORD53850</t>
  </si>
  <si>
    <t>ORD53974</t>
  </si>
  <si>
    <t>ORD50791</t>
  </si>
  <si>
    <t>ORD50831</t>
  </si>
  <si>
    <t>ORD50854</t>
  </si>
  <si>
    <t>ORD51032</t>
  </si>
  <si>
    <t>ORD51343</t>
  </si>
  <si>
    <t>ORD51622</t>
  </si>
  <si>
    <t>ORD51642</t>
  </si>
  <si>
    <t>ORD51859</t>
  </si>
  <si>
    <t>ORD52497</t>
  </si>
  <si>
    <t>ORD52889</t>
  </si>
  <si>
    <t>ORD52930</t>
  </si>
  <si>
    <t>ORD53275</t>
  </si>
  <si>
    <t>ORD53467</t>
  </si>
  <si>
    <t>ORD53564</t>
  </si>
  <si>
    <t>ORD54104</t>
  </si>
  <si>
    <t>ORD50503</t>
  </si>
  <si>
    <t>ORD51011</t>
  </si>
  <si>
    <t>ORD52122</t>
  </si>
  <si>
    <t>ORD53152</t>
  </si>
  <si>
    <t>ORD53311</t>
  </si>
  <si>
    <t>ORD54200</t>
  </si>
  <si>
    <t>ORD50377</t>
  </si>
  <si>
    <t>ORD50532</t>
  </si>
  <si>
    <t>ORD50558</t>
  </si>
  <si>
    <t>ORD51040</t>
  </si>
  <si>
    <t>ORD51349</t>
  </si>
  <si>
    <t>ORD51385</t>
  </si>
  <si>
    <t>ORD52445</t>
  </si>
  <si>
    <t>ORD52487</t>
  </si>
  <si>
    <t>ORD53065</t>
  </si>
  <si>
    <t>ORD53174</t>
  </si>
  <si>
    <t>ORD53178</t>
  </si>
  <si>
    <t>ORD53452</t>
  </si>
  <si>
    <t>ORD53859</t>
  </si>
  <si>
    <t>ORD53922</t>
  </si>
  <si>
    <t>ORD50069</t>
  </si>
  <si>
    <t>ORD50070</t>
  </si>
  <si>
    <t>ORD50413</t>
  </si>
  <si>
    <t>ORD51358</t>
  </si>
  <si>
    <t>ORD51503</t>
  </si>
  <si>
    <t>ORD52023</t>
  </si>
  <si>
    <t>ORD52296</t>
  </si>
  <si>
    <t>ORD52712</t>
  </si>
  <si>
    <t>ORD52868</t>
  </si>
  <si>
    <t>ORD53642</t>
  </si>
  <si>
    <t>ORD50436</t>
  </si>
  <si>
    <t>ORD50761</t>
  </si>
  <si>
    <t>ORD50818</t>
  </si>
  <si>
    <t>ORD51209</t>
  </si>
  <si>
    <t>ORD51992</t>
  </si>
  <si>
    <t>ORD52108</t>
  </si>
  <si>
    <t>ORD52328</t>
  </si>
  <si>
    <t>ORD52993</t>
  </si>
  <si>
    <t>ORD53289</t>
  </si>
  <si>
    <t>ORD53883</t>
  </si>
  <si>
    <t>ORD54030</t>
  </si>
  <si>
    <t>ORD50074</t>
  </si>
  <si>
    <t>ORD50598</t>
  </si>
  <si>
    <t>ORD50668</t>
  </si>
  <si>
    <t>ORD51127</t>
  </si>
  <si>
    <t>ORD51283</t>
  </si>
  <si>
    <t>ORD51369</t>
  </si>
  <si>
    <t>ORD51390</t>
  </si>
  <si>
    <t>ORD51451</t>
  </si>
  <si>
    <t>ORD51617</t>
  </si>
  <si>
    <t>ORD52105</t>
  </si>
  <si>
    <t>ORD52709</t>
  </si>
  <si>
    <t>ORD50124</t>
  </si>
  <si>
    <t>ORD50205</t>
  </si>
  <si>
    <t>ORD50915</t>
  </si>
  <si>
    <t>ORD51953</t>
  </si>
  <si>
    <t>ORD52398</t>
  </si>
  <si>
    <t>ORD52684</t>
  </si>
  <si>
    <t>ORD52862</t>
  </si>
  <si>
    <t>ORD52932</t>
  </si>
  <si>
    <t>ORD53367</t>
  </si>
  <si>
    <t>ORD53553</t>
  </si>
  <si>
    <t>ORD50251</t>
  </si>
  <si>
    <t>ORD50258</t>
  </si>
  <si>
    <t>ORD50462</t>
  </si>
  <si>
    <t>ORD51415</t>
  </si>
  <si>
    <t>ORD51672</t>
  </si>
  <si>
    <t>ORD52544</t>
  </si>
  <si>
    <t>ORD53035</t>
  </si>
  <si>
    <t>ORD53441</t>
  </si>
  <si>
    <t>ORD53519</t>
  </si>
  <si>
    <t>ORD53611</t>
  </si>
  <si>
    <t>ORD50104</t>
  </si>
  <si>
    <t>ORD50309</t>
  </si>
  <si>
    <t>ORD50479</t>
  </si>
  <si>
    <t>ORD50492</t>
  </si>
  <si>
    <t>ORD50541</t>
  </si>
  <si>
    <t>ORD50646</t>
  </si>
  <si>
    <t>ORD51016</t>
  </si>
  <si>
    <t>ORD51407</t>
  </si>
  <si>
    <t>ORD51547</t>
  </si>
  <si>
    <t>ORD51804</t>
  </si>
  <si>
    <t>ORD51845</t>
  </si>
  <si>
    <t>ORD51954</t>
  </si>
  <si>
    <t>ORD52114</t>
  </si>
  <si>
    <t>ORD53176</t>
  </si>
  <si>
    <t>ORD53545</t>
  </si>
  <si>
    <t>ORD53627</t>
  </si>
  <si>
    <t>ORD53792</t>
  </si>
  <si>
    <t>ORD50432</t>
  </si>
  <si>
    <t>ORD51193</t>
  </si>
  <si>
    <t>ORD51731</t>
  </si>
  <si>
    <t>ORD51751</t>
  </si>
  <si>
    <t>ORD52266</t>
  </si>
  <si>
    <t>ORD52958</t>
  </si>
  <si>
    <t>ORD53216</t>
  </si>
  <si>
    <t>ORD53587</t>
  </si>
  <si>
    <t>ORD53607</t>
  </si>
  <si>
    <t>ORD53736</t>
  </si>
  <si>
    <t>ORD50038</t>
  </si>
  <si>
    <t>ORD50448</t>
  </si>
  <si>
    <t>ORD50842</t>
  </si>
  <si>
    <t>ORD51416</t>
  </si>
  <si>
    <t>ORD51670</t>
  </si>
  <si>
    <t>ORD51818</t>
  </si>
  <si>
    <t>ORD52239</t>
  </si>
  <si>
    <t>ORD52506</t>
  </si>
  <si>
    <t>ORD53040</t>
  </si>
  <si>
    <t>ORD53088</t>
  </si>
  <si>
    <t>ORD53250</t>
  </si>
  <si>
    <t>ORD53280</t>
  </si>
  <si>
    <t>ORD53295</t>
  </si>
  <si>
    <t>ORD53676</t>
  </si>
  <si>
    <t>ORD53733</t>
  </si>
  <si>
    <t>ORD51067</t>
  </si>
  <si>
    <t>ORD51084</t>
  </si>
  <si>
    <t>ORD51100</t>
  </si>
  <si>
    <t>ORD51467</t>
  </si>
  <si>
    <t>ORD51481</t>
  </si>
  <si>
    <t>ORD51597</t>
  </si>
  <si>
    <t>ORD51609</t>
  </si>
  <si>
    <t>ORD51683</t>
  </si>
  <si>
    <t>ORD51882</t>
  </si>
  <si>
    <t>ORD52617</t>
  </si>
  <si>
    <t>ORD53372</t>
  </si>
  <si>
    <t>ORD53384</t>
  </si>
  <si>
    <t>ORD53502</t>
  </si>
  <si>
    <t>ORD53784</t>
  </si>
  <si>
    <t>ORD53827</t>
  </si>
  <si>
    <t>ORD53888</t>
  </si>
  <si>
    <t>ORD53988</t>
  </si>
  <si>
    <t>ORD50306</t>
  </si>
  <si>
    <t>ORD50596</t>
  </si>
  <si>
    <t>ORD51109</t>
  </si>
  <si>
    <t>ORD51329</t>
  </si>
  <si>
    <t>ORD51700</t>
  </si>
  <si>
    <t>ORD52133</t>
  </si>
  <si>
    <t>ORD52492</t>
  </si>
  <si>
    <t>ORD52558</t>
  </si>
  <si>
    <t>ORD53034</t>
  </si>
  <si>
    <t>ORD53232</t>
  </si>
  <si>
    <t>ORD53543</t>
  </si>
  <si>
    <t>ORD54025</t>
  </si>
  <si>
    <t>ORD52007</t>
  </si>
  <si>
    <t>ORD52048</t>
  </si>
  <si>
    <t>ORD52165</t>
  </si>
  <si>
    <t>ORD52262</t>
  </si>
  <si>
    <t>ORD52623</t>
  </si>
  <si>
    <t>ORD52632</t>
  </si>
  <si>
    <t>ORD52754</t>
  </si>
  <si>
    <t>ORD53887</t>
  </si>
  <si>
    <t>ORD54022</t>
  </si>
  <si>
    <t>ORD54109</t>
  </si>
  <si>
    <t>ORD50472</t>
  </si>
  <si>
    <t>ORD50868</t>
  </si>
  <si>
    <t>ORD51331</t>
  </si>
  <si>
    <t>ORD51471</t>
  </si>
  <si>
    <t>ORD51863</t>
  </si>
  <si>
    <t>ORD51908</t>
  </si>
  <si>
    <t>ORD52233</t>
  </si>
  <si>
    <t>ORD53417</t>
  </si>
  <si>
    <t>ORD53524</t>
  </si>
  <si>
    <t>ORD51080</t>
  </si>
  <si>
    <t>ORD51186</t>
  </si>
  <si>
    <t>ORD51371</t>
  </si>
  <si>
    <t>ORD51411</t>
  </si>
  <si>
    <t>ORD51592</t>
  </si>
  <si>
    <t>ORD52008</t>
  </si>
  <si>
    <t>ORD53085</t>
  </si>
  <si>
    <t>ORD54084</t>
  </si>
  <si>
    <t>ORD50506</t>
  </si>
  <si>
    <t>ORD50776</t>
  </si>
  <si>
    <t>ORD50980</t>
  </si>
  <si>
    <t>ORD51563</t>
  </si>
  <si>
    <t>ORD52370</t>
  </si>
  <si>
    <t>ORD52377</t>
  </si>
  <si>
    <t>ORD52465</t>
  </si>
  <si>
    <t>ORD53134</t>
  </si>
  <si>
    <t>ORD53782</t>
  </si>
  <si>
    <t>ORD54124</t>
  </si>
  <si>
    <t>ORD50002</t>
  </si>
  <si>
    <t>ORD50022</t>
  </si>
  <si>
    <t>ORD50504</t>
  </si>
  <si>
    <t>ORD50522</t>
  </si>
  <si>
    <t>ORD50827</t>
  </si>
  <si>
    <t>ORD51013</t>
  </si>
  <si>
    <t>ORD51154</t>
  </si>
  <si>
    <t>ORD52040</t>
  </si>
  <si>
    <t>ORD52050</t>
  </si>
  <si>
    <t>ORD52251</t>
  </si>
  <si>
    <t>ORD52289</t>
  </si>
  <si>
    <t>ORD52758</t>
  </si>
  <si>
    <t>ORD53218</t>
  </si>
  <si>
    <t>ORD53521</t>
  </si>
  <si>
    <t>ORD53682</t>
  </si>
  <si>
    <t>ORD53726</t>
  </si>
  <si>
    <t>ORD53793</t>
  </si>
  <si>
    <t>ORD50744</t>
  </si>
  <si>
    <t>ORD51550</t>
  </si>
  <si>
    <t>ORD51653</t>
  </si>
  <si>
    <t>ORD52179</t>
  </si>
  <si>
    <t>ORD53056</t>
  </si>
  <si>
    <t>ORD53338</t>
  </si>
  <si>
    <t>ORD53341</t>
  </si>
  <si>
    <t>ORD53410</t>
  </si>
  <si>
    <t>ORD53585</t>
  </si>
  <si>
    <t>ORD50363</t>
  </si>
  <si>
    <t>ORD50376</t>
  </si>
  <si>
    <t>ORD50526</t>
  </si>
  <si>
    <t>ORD51262</t>
  </si>
  <si>
    <t>ORD51576</t>
  </si>
  <si>
    <t>ORD52020</t>
  </si>
  <si>
    <t>ORD52733</t>
  </si>
  <si>
    <t>ORD53053</t>
  </si>
  <si>
    <t>ORD53159</t>
  </si>
  <si>
    <t>ORD53198</t>
  </si>
  <si>
    <t>ORD53724</t>
  </si>
  <si>
    <t>ORD53749</t>
  </si>
  <si>
    <t>ORD50018</t>
  </si>
  <si>
    <t>ORD50454</t>
  </si>
  <si>
    <t>ORD50580</t>
  </si>
  <si>
    <t>ORD51138</t>
  </si>
  <si>
    <t>ORD52342</t>
  </si>
  <si>
    <t>ORD52384</t>
  </si>
  <si>
    <t>ORD52396</t>
  </si>
  <si>
    <t>ORD52819</t>
  </si>
  <si>
    <t>ORD52864</t>
  </si>
  <si>
    <t>ORD53312</t>
  </si>
  <si>
    <t>ORD53541</t>
  </si>
  <si>
    <t>ORD54096</t>
  </si>
  <si>
    <t>ORD50679</t>
  </si>
  <si>
    <t>ORD51254</t>
  </si>
  <si>
    <t>ORD52065</t>
  </si>
  <si>
    <t>ORD53060</t>
  </si>
  <si>
    <t>ORD53648</t>
  </si>
  <si>
    <t>ORD50027</t>
  </si>
  <si>
    <t>ORD50111</t>
  </si>
  <si>
    <t>ORD50132</t>
  </si>
  <si>
    <t>ORD51049</t>
  </si>
  <si>
    <t>ORD51781</t>
  </si>
  <si>
    <t>ORD51786</t>
  </si>
  <si>
    <t>ORD52019</t>
  </si>
  <si>
    <t>ORD52253</t>
  </si>
  <si>
    <t>ORD52279</t>
  </si>
  <si>
    <t>ORD52513</t>
  </si>
  <si>
    <t>ORD52875</t>
  </si>
  <si>
    <t>ORD52983</t>
  </si>
  <si>
    <t>ORD53047</t>
  </si>
  <si>
    <t>ORD53346</t>
  </si>
  <si>
    <t>ORD53999</t>
  </si>
  <si>
    <t>ORD50391</t>
  </si>
  <si>
    <t>ORD51599</t>
  </si>
  <si>
    <t>ORD51699</t>
  </si>
  <si>
    <t>ORD51926</t>
  </si>
  <si>
    <t>ORD52055</t>
  </si>
  <si>
    <t>ORD52155</t>
  </si>
  <si>
    <t>ORD52521</t>
  </si>
  <si>
    <t>ORD52644</t>
  </si>
  <si>
    <t>ORD53031</t>
  </si>
  <si>
    <t>ORD53125</t>
  </si>
  <si>
    <t>ORD53274</t>
  </si>
  <si>
    <t>ORD53911</t>
  </si>
  <si>
    <t>ORD54051</t>
  </si>
  <si>
    <t>ORD50095</t>
  </si>
  <si>
    <t>ORD50158</t>
  </si>
  <si>
    <t>ORD50228</t>
  </si>
  <si>
    <t>ORD50908</t>
  </si>
  <si>
    <t>ORD51566</t>
  </si>
  <si>
    <t>ORD51758</t>
  </si>
  <si>
    <t>ORD52510</t>
  </si>
  <si>
    <t>ORD52718</t>
  </si>
  <si>
    <t>ORD53161</t>
  </si>
  <si>
    <t>ORD53330</t>
  </si>
  <si>
    <t>ORD50085</t>
  </si>
  <si>
    <t>ORD50542</t>
  </si>
  <si>
    <t>ORD51324</t>
  </si>
  <si>
    <t>ORD51647</t>
  </si>
  <si>
    <t>ORD51662</t>
  </si>
  <si>
    <t>ORD52010</t>
  </si>
  <si>
    <t>ORD52466</t>
  </si>
  <si>
    <t>ORD52625</t>
  </si>
  <si>
    <t>ORD53448</t>
  </si>
  <si>
    <t>ORD53501</t>
  </si>
  <si>
    <t>ORD51071</t>
  </si>
  <si>
    <t>ORD51815</t>
  </si>
  <si>
    <t>ORD51909</t>
  </si>
  <si>
    <t>ORD51916</t>
  </si>
  <si>
    <t>ORD52087</t>
  </si>
  <si>
    <t>ORD52098</t>
  </si>
  <si>
    <t>ORD53458</t>
  </si>
  <si>
    <t>ORD50700</t>
  </si>
  <si>
    <t>ORD50762</t>
  </si>
  <si>
    <t>ORD51286</t>
  </si>
  <si>
    <t>ORD51572</t>
  </si>
  <si>
    <t>ORD51963</t>
  </si>
  <si>
    <t>ORD52225</t>
  </si>
  <si>
    <t>ORD52399</t>
  </si>
  <si>
    <t>ORD52524</t>
  </si>
  <si>
    <t>ORD52772</t>
  </si>
  <si>
    <t>ORD52800</t>
  </si>
  <si>
    <t>ORD53822</t>
  </si>
  <si>
    <t>ORD50638</t>
  </si>
  <si>
    <t>ORD51413</t>
  </si>
  <si>
    <t>ORD51602</t>
  </si>
  <si>
    <t>ORD52547</t>
  </si>
  <si>
    <t>ORD53578</t>
  </si>
  <si>
    <t>ORD50020</t>
  </si>
  <si>
    <t>ORD50071</t>
  </si>
  <si>
    <t>ORD50418</t>
  </si>
  <si>
    <t>ORD50490</t>
  </si>
  <si>
    <t>ORD51802</t>
  </si>
  <si>
    <t>ORD51942</t>
  </si>
  <si>
    <t>ORD52183</t>
  </si>
  <si>
    <t>ORD52321</t>
  </si>
  <si>
    <t>ORD52999</t>
  </si>
  <si>
    <t>ORD53167</t>
  </si>
  <si>
    <t>ORD53488</t>
  </si>
  <si>
    <t>ORD54120</t>
  </si>
  <si>
    <t>ORD50189</t>
  </si>
  <si>
    <t>ORD50248</t>
  </si>
  <si>
    <t>ORD50439</t>
  </si>
  <si>
    <t>ORD50469</t>
  </si>
  <si>
    <t>ORD50794</t>
  </si>
  <si>
    <t>ORD50948</t>
  </si>
  <si>
    <t>ORD51004</t>
  </si>
  <si>
    <t>ORD51087</t>
  </si>
  <si>
    <t>ORD51826</t>
  </si>
  <si>
    <t>ORD52409</t>
  </si>
  <si>
    <t>ORD52587</t>
  </si>
  <si>
    <t>ORD53442</t>
  </si>
  <si>
    <t>ORD53764</t>
  </si>
  <si>
    <t>ORD54048</t>
  </si>
  <si>
    <t>ORD50348</t>
  </si>
  <si>
    <t>ORD50781</t>
  </si>
  <si>
    <t>ORD50903</t>
  </si>
  <si>
    <t>ORD51200</t>
  </si>
  <si>
    <t>ORD51989</t>
  </si>
  <si>
    <t>ORD52193</t>
  </si>
  <si>
    <t>ORD52479</t>
  </si>
  <si>
    <t>ORD52570</t>
  </si>
  <si>
    <t>ORD53257</t>
  </si>
  <si>
    <t>ORD53313</t>
  </si>
  <si>
    <t>ORD53639</t>
  </si>
  <si>
    <t>ORD53855</t>
  </si>
  <si>
    <t>ORD54117</t>
  </si>
  <si>
    <t>ORD54165</t>
  </si>
  <si>
    <t>ORD54175</t>
  </si>
  <si>
    <t>ORD50106</t>
  </si>
  <si>
    <t>ORD50279</t>
  </si>
  <si>
    <t>ORD50690</t>
  </si>
  <si>
    <t>ORD50798</t>
  </si>
  <si>
    <t>ORD50822</t>
  </si>
  <si>
    <t>ORD50939</t>
  </si>
  <si>
    <t>ORD51673</t>
  </si>
  <si>
    <t>ORD52549</t>
  </si>
  <si>
    <t>ORD53638</t>
  </si>
  <si>
    <t>ORD53683</t>
  </si>
  <si>
    <t>ORD53788</t>
  </si>
  <si>
    <t>ORD53800</t>
  </si>
  <si>
    <t>ORD53840</t>
  </si>
  <si>
    <t>ORD54055</t>
  </si>
  <si>
    <t>ORD51062</t>
  </si>
  <si>
    <t>ORD51102</t>
  </si>
  <si>
    <t>ORD51534</t>
  </si>
  <si>
    <t>ORD51694</t>
  </si>
  <si>
    <t>ORD51970</t>
  </si>
  <si>
    <t>ORD52364</t>
  </si>
  <si>
    <t>ORD52541</t>
  </si>
  <si>
    <t>ORD52588</t>
  </si>
  <si>
    <t>ORD52664</t>
  </si>
  <si>
    <t>ORD53260</t>
  </si>
  <si>
    <t>ORD53435</t>
  </si>
  <si>
    <t>ORD53758</t>
  </si>
  <si>
    <t>ORD53869</t>
  </si>
  <si>
    <t>ORD54013</t>
  </si>
  <si>
    <t>ORD50167</t>
  </si>
  <si>
    <t>ORD50770</t>
  </si>
  <si>
    <t>ORD50814</t>
  </si>
  <si>
    <t>ORD50919</t>
  </si>
  <si>
    <t>ORD51294</t>
  </si>
  <si>
    <t>ORD51784</t>
  </si>
  <si>
    <t>ORD52130</t>
  </si>
  <si>
    <t>ORD52374</t>
  </si>
  <si>
    <t>ORD53221</t>
  </si>
  <si>
    <t>ORD53485</t>
  </si>
  <si>
    <t>ORD53694</t>
  </si>
  <si>
    <t>ORD50518</t>
  </si>
  <si>
    <t>ORD50554</t>
  </si>
  <si>
    <t>ORD51182</t>
  </si>
  <si>
    <t>ORD51607</t>
  </si>
  <si>
    <t>ORD53345</t>
  </si>
  <si>
    <t>ORD53573</t>
  </si>
  <si>
    <t>ORD53781</t>
  </si>
  <si>
    <t>ORD53797</t>
  </si>
  <si>
    <t>ORD50050</t>
  </si>
  <si>
    <t>ORD50203</t>
  </si>
  <si>
    <t>ORD50322</t>
  </si>
  <si>
    <t>ORD50397</t>
  </si>
  <si>
    <t>ORD50897</t>
  </si>
  <si>
    <t>ORD50954</t>
  </si>
  <si>
    <t>ORD51033</t>
  </si>
  <si>
    <t>ORD51041</t>
  </si>
  <si>
    <t>ORD51551</t>
  </si>
  <si>
    <t>ORD51869</t>
  </si>
  <si>
    <t>ORD52720</t>
  </si>
  <si>
    <t>ORD52722</t>
  </si>
  <si>
    <t>ORD52947</t>
  </si>
  <si>
    <t>ORD53069</t>
  </si>
  <si>
    <t>ORD53136</t>
  </si>
  <si>
    <t>ORD54061</t>
  </si>
  <si>
    <t>ORD50536</t>
  </si>
  <si>
    <t>ORD51536</t>
  </si>
  <si>
    <t>ORD51932</t>
  </si>
  <si>
    <t>ORD52689</t>
  </si>
  <si>
    <t>ORD52732</t>
  </si>
  <si>
    <t>ORD52735</t>
  </si>
  <si>
    <t>ORD53934</t>
  </si>
  <si>
    <t>ORD50126</t>
  </si>
  <si>
    <t>ORD50337</t>
  </si>
  <si>
    <t>ORD50895</t>
  </si>
  <si>
    <t>ORD51227</t>
  </si>
  <si>
    <t>ORD51921</t>
  </si>
  <si>
    <t>ORD52945</t>
  </si>
  <si>
    <t>ORD53042</t>
  </si>
  <si>
    <t>ORD53068</t>
  </si>
  <si>
    <t>ORD50013</t>
  </si>
  <si>
    <t>ORD50098</t>
  </si>
  <si>
    <t>ORD51035</t>
  </si>
  <si>
    <t>ORD51073</t>
  </si>
  <si>
    <t>ORD51208</t>
  </si>
  <si>
    <t>ORD51258</t>
  </si>
  <si>
    <t>ORD51382</t>
  </si>
  <si>
    <t>ORD51529</t>
  </si>
  <si>
    <t>ORD52380</t>
  </si>
  <si>
    <t>ORD52895</t>
  </si>
  <si>
    <t>ORD53126</t>
  </si>
  <si>
    <t>ORD53142</t>
  </si>
  <si>
    <t>ORD53701</t>
  </si>
  <si>
    <t>ORD54041</t>
  </si>
  <si>
    <t>ORD50270</t>
  </si>
  <si>
    <t>ORD50411</t>
  </si>
  <si>
    <t>ORD50765</t>
  </si>
  <si>
    <t>ORD50878</t>
  </si>
  <si>
    <t>ORD51678</t>
  </si>
  <si>
    <t>ORD51797</t>
  </si>
  <si>
    <t>ORD52200</t>
  </si>
  <si>
    <t>ORD52213</t>
  </si>
  <si>
    <t>ORD52388</t>
  </si>
  <si>
    <t>ORD52436</t>
  </si>
  <si>
    <t>ORD52442</t>
  </si>
  <si>
    <t>ORD52802</t>
  </si>
  <si>
    <t>ORD50233</t>
  </si>
  <si>
    <t>ORD50482</t>
  </si>
  <si>
    <t>ORD51922</t>
  </si>
  <si>
    <t>ORD51979</t>
  </si>
  <si>
    <t>ORD52113</t>
  </si>
  <si>
    <t>ORD52161</t>
  </si>
  <si>
    <t>ORD52662</t>
  </si>
  <si>
    <t>ORD52700</t>
  </si>
  <si>
    <t>ORD52935</t>
  </si>
  <si>
    <t>ORD53853</t>
  </si>
  <si>
    <t>ORD50848</t>
  </si>
  <si>
    <t>ORD50851</t>
  </si>
  <si>
    <t>ORD51002</t>
  </si>
  <si>
    <t>ORD51106</t>
  </si>
  <si>
    <t>ORD51188</t>
  </si>
  <si>
    <t>ORD51997</t>
  </si>
  <si>
    <t>ORD52135</t>
  </si>
  <si>
    <t>ORD52583</t>
  </si>
  <si>
    <t>ORD52591</t>
  </si>
  <si>
    <t>ORD53166</t>
  </si>
  <si>
    <t>ORD53248</t>
  </si>
  <si>
    <t>ORD53418</t>
  </si>
  <si>
    <t>ORD53610</t>
  </si>
  <si>
    <t>ORD53739</t>
  </si>
  <si>
    <t>ORD53895</t>
  </si>
  <si>
    <t>ORD54098</t>
  </si>
  <si>
    <t>ORD50514</t>
  </si>
  <si>
    <t>ORD50614</t>
  </si>
  <si>
    <t>ORD50917</t>
  </si>
  <si>
    <t>ORD51384</t>
  </si>
  <si>
    <t>ORD51477</t>
  </si>
  <si>
    <t>ORD51890</t>
  </si>
  <si>
    <t>ORD52189</t>
  </si>
  <si>
    <t>ORD52369</t>
  </si>
  <si>
    <t>ORD52430</t>
  </si>
  <si>
    <t>ORD52745</t>
  </si>
  <si>
    <t>ORD53328</t>
  </si>
  <si>
    <t>ORD53449</t>
  </si>
  <si>
    <t>ORD54001</t>
  </si>
  <si>
    <t>ORD54062</t>
  </si>
  <si>
    <t>ORD50152</t>
  </si>
  <si>
    <t>ORD50180</t>
  </si>
  <si>
    <t>ORD50199</t>
  </si>
  <si>
    <t>ORD50428</t>
  </si>
  <si>
    <t>ORD50501</t>
  </si>
  <si>
    <t>ORD50563</t>
  </si>
  <si>
    <t>ORD50711</t>
  </si>
  <si>
    <t>ORD50869</t>
  </si>
  <si>
    <t>ORD50978</t>
  </si>
  <si>
    <t>ORD51367</t>
  </si>
  <si>
    <t>ORD51374</t>
  </si>
  <si>
    <t>ORD51421</t>
  </si>
  <si>
    <t>ORD51782</t>
  </si>
  <si>
    <t>ORD52042</t>
  </si>
  <si>
    <t>ORD52823</t>
  </si>
  <si>
    <t>ORD52842</t>
  </si>
  <si>
    <t>ORD53558</t>
  </si>
  <si>
    <t>ORD54008</t>
  </si>
  <si>
    <t>ORD50019</t>
  </si>
  <si>
    <t>ORD50480</t>
  </si>
  <si>
    <t>ORD50991</t>
  </si>
  <si>
    <t>ORD51046</t>
  </si>
  <si>
    <t>ORD51684</t>
  </si>
  <si>
    <t>ORD51900</t>
  </si>
  <si>
    <t>ORD53075</t>
  </si>
  <si>
    <t>ORD53551</t>
  </si>
  <si>
    <t>ORD53566</t>
  </si>
  <si>
    <t>ORD53628</t>
  </si>
  <si>
    <t>ORD54024</t>
  </si>
  <si>
    <t>ORD54086</t>
  </si>
  <si>
    <t>ORD50333</t>
  </si>
  <si>
    <t>ORD50594</t>
  </si>
  <si>
    <t>ORD50641</t>
  </si>
  <si>
    <t>ORD51141</t>
  </si>
  <si>
    <t>ORD51582</t>
  </si>
  <si>
    <t>ORD51800</t>
  </si>
  <si>
    <t>ORD51848</t>
  </si>
  <si>
    <t>ORD52077</t>
  </si>
  <si>
    <t>ORD52575</t>
  </si>
  <si>
    <t>ORD52610</t>
  </si>
  <si>
    <t>ORD53016</t>
  </si>
  <si>
    <t>ORD53690</t>
  </si>
  <si>
    <t>ORD53913</t>
  </si>
  <si>
    <t>ORD53971</t>
  </si>
  <si>
    <t>ORD50232</t>
  </si>
  <si>
    <t>ORD50609</t>
  </si>
  <si>
    <t>ORD50829</t>
  </si>
  <si>
    <t>ORD50982</t>
  </si>
  <si>
    <t>ORD51964</t>
  </si>
  <si>
    <t>ORD52675</t>
  </si>
  <si>
    <t>ORD52808</t>
  </si>
  <si>
    <t>ORD52908</t>
  </si>
  <si>
    <t>ORD50394</t>
  </si>
  <si>
    <t>ORD50585</t>
  </si>
  <si>
    <t>ORD50611</t>
  </si>
  <si>
    <t>ORD50784</t>
  </si>
  <si>
    <t>ORD50924</t>
  </si>
  <si>
    <t>ORD51366</t>
  </si>
  <si>
    <t>ORD51747</t>
  </si>
  <si>
    <t>ORD52287</t>
  </si>
  <si>
    <t>ORD52299</t>
  </si>
  <si>
    <t>ORD53422</t>
  </si>
  <si>
    <t>ORD53658</t>
  </si>
  <si>
    <t>ORD53760</t>
  </si>
  <si>
    <t>ORD50005</t>
  </si>
  <si>
    <t>ORD50349</t>
  </si>
  <si>
    <t>ORD51054</t>
  </si>
  <si>
    <t>ORD51144</t>
  </si>
  <si>
    <t>ORD51313</t>
  </si>
  <si>
    <t>ORD51457</t>
  </si>
  <si>
    <t>ORD51573</t>
  </si>
  <si>
    <t>ORD51646</t>
  </si>
  <si>
    <t>ORD51937</t>
  </si>
  <si>
    <t>ORD52734</t>
  </si>
  <si>
    <t>ORD53173</t>
  </si>
  <si>
    <t>ORD53347</t>
  </si>
  <si>
    <t>ORD53471</t>
  </si>
  <si>
    <t>ORD53834</t>
  </si>
  <si>
    <t>ORD54170</t>
  </si>
  <si>
    <t>ORD50577</t>
  </si>
  <si>
    <t>ORD50662</t>
  </si>
  <si>
    <t>ORD51292</t>
  </si>
  <si>
    <t>ORD52061</t>
  </si>
  <si>
    <t>ORD53264</t>
  </si>
  <si>
    <t>ORD53265</t>
  </si>
  <si>
    <t>ORD53287</t>
  </si>
  <si>
    <t>ORD53651</t>
  </si>
  <si>
    <t>ORD53893</t>
  </si>
  <si>
    <t>ORD54132</t>
  </si>
  <si>
    <t>ORD50060</t>
  </si>
  <si>
    <t>ORD50147</t>
  </si>
  <si>
    <t>ORD50463</t>
  </si>
  <si>
    <t>ORD50494</t>
  </si>
  <si>
    <t>ORD51410</t>
  </si>
  <si>
    <t>ORD51565</t>
  </si>
  <si>
    <t>ORD52038</t>
  </si>
  <si>
    <t>ORD52966</t>
  </si>
  <si>
    <t>ORD53698</t>
  </si>
  <si>
    <t>ORD53750</t>
  </si>
  <si>
    <t>ORD53849</t>
  </si>
  <si>
    <t>ORD53941</t>
  </si>
  <si>
    <t>ORD51036</t>
  </si>
  <si>
    <t>ORD51039</t>
  </si>
  <si>
    <t>ORD51126</t>
  </si>
  <si>
    <t>ORD51841</t>
  </si>
  <si>
    <t>ORD52109</t>
  </si>
  <si>
    <t>ORD52255</t>
  </si>
  <si>
    <t>ORD52694</t>
  </si>
  <si>
    <t>ORD53074</t>
  </si>
  <si>
    <t>ORD53522</t>
  </si>
  <si>
    <t>ORD53991</t>
  </si>
  <si>
    <t>ORD50210</t>
  </si>
  <si>
    <t>ORD50323</t>
  </si>
  <si>
    <t>ORD50567</t>
  </si>
  <si>
    <t>ORD50581</t>
  </si>
  <si>
    <t>ORD50754</t>
  </si>
  <si>
    <t>ORD51250</t>
  </si>
  <si>
    <t>ORD51759</t>
  </si>
  <si>
    <t>ORD52458</t>
  </si>
  <si>
    <t>ORD52765</t>
  </si>
  <si>
    <t>ORD53361</t>
  </si>
  <si>
    <t>ORD54017</t>
  </si>
  <si>
    <t>ORD50198</t>
  </si>
  <si>
    <t>ORD50870</t>
  </si>
  <si>
    <t>ORD50901</t>
  </si>
  <si>
    <t>ORD51267</t>
  </si>
  <si>
    <t>ORD52035</t>
  </si>
  <si>
    <t>ORD52223</t>
  </si>
  <si>
    <t>ORD52330</t>
  </si>
  <si>
    <t>ORD52795</t>
  </si>
  <si>
    <t>ORD52810</t>
  </si>
  <si>
    <t>ORD52940</t>
  </si>
  <si>
    <t>ORD53305</t>
  </si>
  <si>
    <t>ORD53754</t>
  </si>
  <si>
    <t>ORD54089</t>
  </si>
  <si>
    <t>ORD50361</t>
  </si>
  <si>
    <t>ORD50976</t>
  </si>
  <si>
    <t>ORD51081</t>
  </si>
  <si>
    <t>ORD51111</t>
  </si>
  <si>
    <t>ORD51422</t>
  </si>
  <si>
    <t>ORD51444</t>
  </si>
  <si>
    <t>ORD51491</t>
  </si>
  <si>
    <t>ORD52404</t>
  </si>
  <si>
    <t>ORD52590</t>
  </si>
  <si>
    <t>ORD52721</t>
  </si>
  <si>
    <t>ORD52799</t>
  </si>
  <si>
    <t>ORD53267</t>
  </si>
  <si>
    <t>ORD54173</t>
  </si>
  <si>
    <t>ORD50113</t>
  </si>
  <si>
    <t>ORD52207</t>
  </si>
  <si>
    <t>ORD53577</t>
  </si>
  <si>
    <t>ORD53958</t>
  </si>
  <si>
    <t>ORD54063</t>
  </si>
  <si>
    <t>ORD50045</t>
  </si>
  <si>
    <t>ORD50211</t>
  </si>
  <si>
    <t>ORD51005</t>
  </si>
  <si>
    <t>ORD52132</t>
  </si>
  <si>
    <t>ORD52432</t>
  </si>
  <si>
    <t>ORD53318</t>
  </si>
  <si>
    <t>ORD53514</t>
  </si>
  <si>
    <t>ORD53516</t>
  </si>
  <si>
    <t>ORD53550</t>
  </si>
  <si>
    <t>ORD53783</t>
  </si>
  <si>
    <t>ORD50173</t>
  </si>
  <si>
    <t>ORD50485</t>
  </si>
  <si>
    <t>ORD50659</t>
  </si>
  <si>
    <t>ORD50906</t>
  </si>
  <si>
    <t>ORD50967</t>
  </si>
  <si>
    <t>ORD51183</t>
  </si>
  <si>
    <t>ORD51251</t>
  </si>
  <si>
    <t>ORD51514</t>
  </si>
  <si>
    <t>ORD51945</t>
  </si>
  <si>
    <t>ORD52267</t>
  </si>
  <si>
    <t>ORD52312</t>
  </si>
  <si>
    <t>ORD52898</t>
  </si>
  <si>
    <t>ORD52922</t>
  </si>
  <si>
    <t>ORD53660</t>
  </si>
  <si>
    <t>ORD50350</t>
  </si>
  <si>
    <t>ORD50459</t>
  </si>
  <si>
    <t>ORD50491</t>
  </si>
  <si>
    <t>ORD50521</t>
  </si>
  <si>
    <t>ORD50653</t>
  </si>
  <si>
    <t>ORD51043</t>
  </si>
  <si>
    <t>ORD51436</t>
  </si>
  <si>
    <t>ORD52082</t>
  </si>
  <si>
    <t>ORD52351</t>
  </si>
  <si>
    <t>ORD52424</t>
  </si>
  <si>
    <t>ORD52902</t>
  </si>
  <si>
    <t>ORD53001</t>
  </si>
  <si>
    <t>ORD53348</t>
  </si>
  <si>
    <t>ORD53707</t>
  </si>
  <si>
    <t>ORD51187</t>
  </si>
  <si>
    <t>ORD51674</t>
  </si>
  <si>
    <t>ORD52315</t>
  </si>
  <si>
    <t>ORD52724</t>
  </si>
  <si>
    <t>ORD53022</t>
  </si>
  <si>
    <t>ORD53741</t>
  </si>
  <si>
    <t>ORD54079</t>
  </si>
  <si>
    <t>ORD51104</t>
  </si>
  <si>
    <t>ORD51133</t>
  </si>
  <si>
    <t>ORD51356</t>
  </si>
  <si>
    <t>ORD51911</t>
  </si>
  <si>
    <t>ORD51919</t>
  </si>
  <si>
    <t>ORD52024</t>
  </si>
  <si>
    <t>ORD52467</t>
  </si>
  <si>
    <t>ORD52477</t>
  </si>
  <si>
    <t>ORD52499</t>
  </si>
  <si>
    <t>ORD52791</t>
  </si>
  <si>
    <t>ORD52911</t>
  </si>
  <si>
    <t>ORD53353</t>
  </si>
  <si>
    <t>ORD53443</t>
  </si>
  <si>
    <t>ORD53936</t>
  </si>
  <si>
    <t>ORD54174</t>
  </si>
  <si>
    <t>ORD50406</t>
  </si>
  <si>
    <t>ORD50445</t>
  </si>
  <si>
    <t>ORD50882</t>
  </si>
  <si>
    <t>ORD51447</t>
  </si>
  <si>
    <t>ORD51877</t>
  </si>
  <si>
    <t>ORD51976</t>
  </si>
  <si>
    <t>ORD52088</t>
  </si>
  <si>
    <t>ORD52518</t>
  </si>
  <si>
    <t>ORD52897</t>
  </si>
  <si>
    <t>ORD52961</t>
  </si>
  <si>
    <t>ORD53421</t>
  </si>
  <si>
    <t>ORD54016</t>
  </si>
  <si>
    <t>ORD50181</t>
  </si>
  <si>
    <t>ORD50885</t>
  </si>
  <si>
    <t>ORD51728</t>
  </si>
  <si>
    <t>ORD51948</t>
  </si>
  <si>
    <t>ORD52012</t>
  </si>
  <si>
    <t>ORD52429</t>
  </si>
  <si>
    <t>ORD53499</t>
  </si>
  <si>
    <t>ORD53795</t>
  </si>
  <si>
    <t>ORD53815</t>
  </si>
  <si>
    <t>ORD53870</t>
  </si>
  <si>
    <t>ORD54141</t>
  </si>
  <si>
    <t>ORD54147</t>
  </si>
  <si>
    <t>ORD54169</t>
  </si>
  <si>
    <t>ORD50399</t>
  </si>
  <si>
    <t>ORD50984</t>
  </si>
  <si>
    <t>ORD51195</t>
  </si>
  <si>
    <t>ORD51263</t>
  </si>
  <si>
    <t>ORD51575</t>
  </si>
  <si>
    <t>ORD51887</t>
  </si>
  <si>
    <t>ORD52397</t>
  </si>
  <si>
    <t>ORD52464</t>
  </si>
  <si>
    <t>ORD52500</t>
  </si>
  <si>
    <t>ORD52753</t>
  </si>
  <si>
    <t>ORD53201</t>
  </si>
  <si>
    <t>ORD53620</t>
  </si>
  <si>
    <t>ORD53997</t>
  </si>
  <si>
    <t>ORD50677</t>
  </si>
  <si>
    <t>ORD50815</t>
  </si>
  <si>
    <t>ORD51078</t>
  </si>
  <si>
    <t>ORD51181</t>
  </si>
  <si>
    <t>ORD51233</t>
  </si>
  <si>
    <t>ORD51543</t>
  </si>
  <si>
    <t>ORD52416</t>
  </si>
  <si>
    <t>ORD53325</t>
  </si>
  <si>
    <t>ORD50171</t>
  </si>
  <si>
    <t>ORD51611</t>
  </si>
  <si>
    <t>ORD51693</t>
  </si>
  <si>
    <t>ORD51999</t>
  </si>
  <si>
    <t>ORD52173</t>
  </si>
  <si>
    <t>ORD52182</t>
  </si>
  <si>
    <t>ORD52227</t>
  </si>
  <si>
    <t>ORD52670</t>
  </si>
  <si>
    <t>ORD52730</t>
  </si>
  <si>
    <t>ORD52871</t>
  </si>
  <si>
    <t>ORD50400</t>
  </si>
  <si>
    <t>ORD50409</t>
  </si>
  <si>
    <t>ORD50610</t>
  </si>
  <si>
    <t>ORD50619</t>
  </si>
  <si>
    <t>ORD50816</t>
  </si>
  <si>
    <t>ORD51157</t>
  </si>
  <si>
    <t>ORD51846</t>
  </si>
  <si>
    <t>ORD52559</t>
  </si>
  <si>
    <t>ORD53597</t>
  </si>
  <si>
    <t>ORD50710</t>
  </si>
  <si>
    <t>ORD51468</t>
  </si>
  <si>
    <t>ORD51516</t>
  </si>
  <si>
    <t>ORD52711</t>
  </si>
  <si>
    <t>ORD53389</t>
  </si>
  <si>
    <t>ORD54092</t>
  </si>
  <si>
    <t>ORD54159</t>
  </si>
  <si>
    <t>ORD50654</t>
  </si>
  <si>
    <t>ORD50737</t>
  </si>
  <si>
    <t>ORD51015</t>
  </si>
  <si>
    <t>ORD51136</t>
  </si>
  <si>
    <t>ORD51857</t>
  </si>
  <si>
    <t>ORD51891</t>
  </si>
  <si>
    <t>ORD52160</t>
  </si>
  <si>
    <t>ORD52539</t>
  </si>
  <si>
    <t>ORD52727</t>
  </si>
  <si>
    <t>ORD53055</t>
  </si>
  <si>
    <t>ORD54150</t>
  </si>
  <si>
    <t>ORD50335</t>
  </si>
  <si>
    <t>ORD50495</t>
  </si>
  <si>
    <t>ORD51012</t>
  </si>
  <si>
    <t>ORD52025</t>
  </si>
  <si>
    <t>ORD52199</t>
  </si>
  <si>
    <t>ORD52973</t>
  </si>
  <si>
    <t>ORD53723</t>
  </si>
  <si>
    <t>ORD53868</t>
  </si>
  <si>
    <t>ORD54073</t>
  </si>
  <si>
    <t>ORD50354</t>
  </si>
  <si>
    <t>ORD52149</t>
  </si>
  <si>
    <t>ORD52261</t>
  </si>
  <si>
    <t>ORD52608</t>
  </si>
  <si>
    <t>ORD52921</t>
  </si>
  <si>
    <t>ORD53439</t>
  </si>
  <si>
    <t>ORD53456</t>
  </si>
  <si>
    <t>ORD53810</t>
  </si>
  <si>
    <t>ORD53901</t>
  </si>
  <si>
    <t>ORD54157</t>
  </si>
  <si>
    <t>ORD50295</t>
  </si>
  <si>
    <t>ORD50434</t>
  </si>
  <si>
    <t>ORD50509</t>
  </si>
  <si>
    <t>ORD51776</t>
  </si>
  <si>
    <t>ORD52150</t>
  </si>
  <si>
    <t>ORD52553</t>
  </si>
  <si>
    <t>ORD52803</t>
  </si>
  <si>
    <t>ORD52886</t>
  </si>
  <si>
    <t>ORD53349</t>
  </si>
  <si>
    <t>ORD53362</t>
  </si>
  <si>
    <t>ORD53655</t>
  </si>
  <si>
    <t>ORD53817</t>
  </si>
  <si>
    <t>ORD50546</t>
  </si>
  <si>
    <t>ORD50634</t>
  </si>
  <si>
    <t>ORD51034</t>
  </si>
  <si>
    <t>ORD51115</t>
  </si>
  <si>
    <t>ORD51170</t>
  </si>
  <si>
    <t>ORD51629</t>
  </si>
  <si>
    <t>ORD52295</t>
  </si>
  <si>
    <t>ORD52381</t>
  </si>
  <si>
    <t>ORD52863</t>
  </si>
  <si>
    <t>ORD52890</t>
  </si>
  <si>
    <t>ORD53657</t>
  </si>
  <si>
    <t>ORD54044</t>
  </si>
  <si>
    <t>ORD50057</t>
  </si>
  <si>
    <t>ORD50983</t>
  </si>
  <si>
    <t>ORD50985</t>
  </si>
  <si>
    <t>ORD51105</t>
  </si>
  <si>
    <t>ORD51199</t>
  </si>
  <si>
    <t>ORD51235</t>
  </si>
  <si>
    <t>ORD51508</t>
  </si>
  <si>
    <t>ORD52951</t>
  </si>
  <si>
    <t>ORD53203</t>
  </si>
  <si>
    <t>ORD53454</t>
  </si>
  <si>
    <t>ORD53983</t>
  </si>
  <si>
    <t>ORD53998</t>
  </si>
  <si>
    <t>ORD54047</t>
  </si>
  <si>
    <t>ORD54106</t>
  </si>
  <si>
    <t>ORD50058</t>
  </si>
  <si>
    <t>ORD50185</t>
  </si>
  <si>
    <t>ORD50368</t>
  </si>
  <si>
    <t>ORD50729</t>
  </si>
  <si>
    <t>ORD50907</t>
  </si>
  <si>
    <t>ORD50911</t>
  </si>
  <si>
    <t>ORD52096</t>
  </si>
  <si>
    <t>ORD52276</t>
  </si>
  <si>
    <t>ORD52529</t>
  </si>
  <si>
    <t>ORD52647</t>
  </si>
  <si>
    <t>ORD52704</t>
  </si>
  <si>
    <t>ORD52971</t>
  </si>
  <si>
    <t>ORD53147</t>
  </si>
  <si>
    <t>ORD53217</t>
  </si>
  <si>
    <t>ORD53236</t>
  </si>
  <si>
    <t>ORD53308</t>
  </si>
  <si>
    <t>ORD53438</t>
  </si>
  <si>
    <t>ORD52300</t>
  </si>
  <si>
    <t>ORD52302</t>
  </si>
  <si>
    <t>ORD53996</t>
  </si>
  <si>
    <t>ORD50036</t>
  </si>
  <si>
    <t>ORD50182</t>
  </si>
  <si>
    <t>ORD51278</t>
  </si>
  <si>
    <t>ORD51310</t>
  </si>
  <si>
    <t>ORD51486</t>
  </si>
  <si>
    <t>ORD51501</t>
  </si>
  <si>
    <t>ORD52622</t>
  </si>
  <si>
    <t>ORD52779</t>
  </si>
  <si>
    <t>ORD53794</t>
  </si>
  <si>
    <t>ORD50190</t>
  </si>
  <si>
    <t>ORD50507</t>
  </si>
  <si>
    <t>ORD51555</t>
  </si>
  <si>
    <t>ORD51862</t>
  </si>
  <si>
    <t>ORD52532</t>
  </si>
  <si>
    <t>ORD53424</t>
  </si>
  <si>
    <t>ORD53699</t>
  </si>
  <si>
    <t>ORD53892</t>
  </si>
  <si>
    <t>ORD53925</t>
  </si>
  <si>
    <t>ORD54131</t>
  </si>
  <si>
    <t>ORD50051</t>
  </si>
  <si>
    <t>ORD50150</t>
  </si>
  <si>
    <t>ORD50592</t>
  </si>
  <si>
    <t>ORD51657</t>
  </si>
  <si>
    <t>ORD51798</t>
  </si>
  <si>
    <t>ORD51930</t>
  </si>
  <si>
    <t>ORD52022</t>
  </si>
  <si>
    <t>ORD52032</t>
  </si>
  <si>
    <t>ORD52091</t>
  </si>
  <si>
    <t>ORD52260</t>
  </si>
  <si>
    <t>ORD52453</t>
  </si>
  <si>
    <t>ORD52987</t>
  </si>
  <si>
    <t>ORD53080</t>
  </si>
  <si>
    <t>ORD53391</t>
  </si>
  <si>
    <t>ORD50138</t>
  </si>
  <si>
    <t>ORD50694</t>
  </si>
  <si>
    <t>ORD50920</t>
  </si>
  <si>
    <t>ORD51169</t>
  </si>
  <si>
    <t>ORD51879</t>
  </si>
  <si>
    <t>ORD51918</t>
  </si>
  <si>
    <t>ORD52563</t>
  </si>
  <si>
    <t>ORD52565</t>
  </si>
  <si>
    <t>ORD53710</t>
  </si>
  <si>
    <t>ORD54054</t>
  </si>
  <si>
    <t>ORD54071</t>
  </si>
  <si>
    <t>ORD54156</t>
  </si>
  <si>
    <t>ORD50379</t>
  </si>
  <si>
    <t>ORD50380</t>
  </si>
  <si>
    <t>ORD50493</t>
  </si>
  <si>
    <t>ORD50667</t>
  </si>
  <si>
    <t>ORD50874</t>
  </si>
  <si>
    <t>ORD51205</t>
  </si>
  <si>
    <t>ORD51655</t>
  </si>
  <si>
    <t>ORD52089</t>
  </si>
  <si>
    <t>ORD52942</t>
  </si>
  <si>
    <t>ORD53163</t>
  </si>
  <si>
    <t>ORD53537</t>
  </si>
  <si>
    <t>ORD53581</t>
  </si>
  <si>
    <t>ORD53591</t>
  </si>
  <si>
    <t>ORD53821</t>
  </si>
  <si>
    <t>ORD53930</t>
  </si>
  <si>
    <t>Sub_Category</t>
  </si>
  <si>
    <t>Wireless Earbuds Pro</t>
  </si>
  <si>
    <t>Electronics</t>
  </si>
  <si>
    <t>Audio</t>
  </si>
  <si>
    <t>Bluetooth Speaker Mini</t>
  </si>
  <si>
    <t>Smart Watch Series 5</t>
  </si>
  <si>
    <t>Wearables</t>
  </si>
  <si>
    <t>Fitness Band Lite</t>
  </si>
  <si>
    <t>4K Action Camera</t>
  </si>
  <si>
    <t>Cameras</t>
  </si>
  <si>
    <t>Power Bank 20000mAh</t>
  </si>
  <si>
    <t>Accessories</t>
  </si>
  <si>
    <t>USB-C Fast Charger</t>
  </si>
  <si>
    <t>Gaming Headset X</t>
  </si>
  <si>
    <t>Air Fryer 5L</t>
  </si>
  <si>
    <t>Home &amp; Kitchen</t>
  </si>
  <si>
    <t>Appliances</t>
  </si>
  <si>
    <t>Espresso Machine</t>
  </si>
  <si>
    <t>Non-stick Cookware Set</t>
  </si>
  <si>
    <t>Cookware</t>
  </si>
  <si>
    <t>Robot Vacuum S3</t>
  </si>
  <si>
    <t>Ceramic Dinner Set</t>
  </si>
  <si>
    <t>Dining</t>
  </si>
  <si>
    <t>Electric Kettle</t>
  </si>
  <si>
    <t>Blender Pro 1200W</t>
  </si>
  <si>
    <t>Bed Linen Set (King)</t>
  </si>
  <si>
    <t>Home Textiles</t>
  </si>
  <si>
    <t>Men's Linen Shirt</t>
  </si>
  <si>
    <t>Fashion</t>
  </si>
  <si>
    <t>Menswear</t>
  </si>
  <si>
    <t>Women's Abaya Classic</t>
  </si>
  <si>
    <t>Womenswear</t>
  </si>
  <si>
    <t>Kids' Sneakers</t>
  </si>
  <si>
    <t>Footwear</t>
  </si>
  <si>
    <t>Leather Handbag</t>
  </si>
  <si>
    <t>Running Shoes Elite</t>
  </si>
  <si>
    <t>Sunglasses Polarised</t>
  </si>
  <si>
    <t>Men's Kandura Premium</t>
  </si>
  <si>
    <t>Women's Summer Dress</t>
  </si>
  <si>
    <t>Oud Perfume 100ml</t>
  </si>
  <si>
    <t>Beauty</t>
  </si>
  <si>
    <t>Fragrance</t>
  </si>
  <si>
    <t>Vitamin C Serum</t>
  </si>
  <si>
    <t>Skincare</t>
  </si>
  <si>
    <t>Hair Dryer Ionic</t>
  </si>
  <si>
    <t>Hair Care</t>
  </si>
  <si>
    <t>Makeup Palette</t>
  </si>
  <si>
    <t>Cosmetics</t>
  </si>
  <si>
    <t>Sunscreen SPF50</t>
  </si>
  <si>
    <t>Bakhoor Gift Set</t>
  </si>
  <si>
    <t>Yoga Mat Premium</t>
  </si>
  <si>
    <t>Sports</t>
  </si>
  <si>
    <t>Fitness</t>
  </si>
  <si>
    <t>Adjustable Dumbbells</t>
  </si>
  <si>
    <t>Cycling Helmet</t>
  </si>
  <si>
    <t>Cycling</t>
  </si>
  <si>
    <t>Treadmill Compact</t>
  </si>
  <si>
    <t>Football Size 5</t>
  </si>
  <si>
    <t>Team Sports</t>
  </si>
  <si>
    <t>Swim Goggles</t>
  </si>
  <si>
    <t>Swimming</t>
  </si>
  <si>
    <t>Revenue (AED)</t>
  </si>
  <si>
    <t>Profit (AED)</t>
  </si>
  <si>
    <t>Margin %</t>
  </si>
  <si>
    <t>Total</t>
  </si>
  <si>
    <t xml:space="preserve"> Profit (AED)</t>
  </si>
  <si>
    <t>Row Labels</t>
  </si>
  <si>
    <t>Grand Total</t>
  </si>
  <si>
    <t>Sum of Revenue_AED</t>
  </si>
  <si>
    <t>Sum of Profit_AED</t>
  </si>
  <si>
    <t>Sum of Margin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</si>
  <si>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</si>
  <si>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</si>
  <si>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</si>
  <si>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</si>
  <si>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</si>
  <si>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</si>
  <si>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</si>
  <si>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</si>
  <si>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</si>
  <si>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</si>
  <si>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</si>
  <si>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</si>
  <si>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 (AED)</t>
  </si>
  <si>
    <t>Total Profit (AED)</t>
  </si>
  <si>
    <t>Profit Margin</t>
  </si>
  <si>
    <t>Order Lines</t>
  </si>
  <si>
    <t>Commercial Sales Dashboard | Dubai Retail 2025</t>
  </si>
  <si>
    <t>Loss-Making Products (Bottom 5)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</si>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</sst>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yy"/>
    <numFmt numFmtId="165" formatCode="0.0%"/>
    <numFmt numFmtId="171" formatCode="[&gt;=1000000]#\,###\,###;[&gt;=1000]#\,###;0"/>
    <numFmt numFmtId="173" formatCode="#,##0_ ;[Red]\-#,##0\ 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9" fontId="2" fillId="0" borderId="0" xfId="0" applyNumberFormat="1" applyFont="1"/>
    <xf numFmtId="2" fontId="0" fillId="0" borderId="0" xfId="0" applyNumberFormat="1"/>
    <xf numFmtId="0" fontId="5" fillId="0" borderId="0" xfId="0" applyFont="1"/>
    <xf numFmtId="10" fontId="0" fillId="0" borderId="0" xfId="0" applyNumberFormat="1"/>
    <xf numFmtId="2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Font="1"/>
    <xf numFmtId="0" fontId="9" fillId="0" borderId="0" xfId="0" applyFont="1" applyAlignment="1">
      <alignment horizontal="centerContinuous"/>
    </xf>
    <xf numFmtId="0" fontId="7" fillId="4" borderId="0" xfId="0" applyFont="1" applyFill="1"/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0" borderId="0" xfId="0" applyFont="1"/>
    <xf numFmtId="165" fontId="11" fillId="4" borderId="0" xfId="0" applyNumberFormat="1" applyFont="1" applyFill="1" applyAlignment="1">
      <alignment horizontal="center" vertical="center"/>
    </xf>
    <xf numFmtId="171" fontId="11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173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Profit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Revenue (AED)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Fashion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Summary!$B$2:$B$6</c:f>
              <c:numCache>
                <c:formatCode>0.00</c:formatCode>
                <c:ptCount val="5"/>
                <c:pt idx="0">
                  <c:v>542663.94999999984</c:v>
                </c:pt>
                <c:pt idx="1">
                  <c:v>540405.49999999977</c:v>
                </c:pt>
                <c:pt idx="2">
                  <c:v>438429.45000000019</c:v>
                </c:pt>
                <c:pt idx="3">
                  <c:v>250150.25000000052</c:v>
                </c:pt>
                <c:pt idx="4">
                  <c:v>221143.10000000018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7-400E-BC25-AC9BFFA5F89A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Profit (AED)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Fashion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Summary!$C$2:$C$6</c:f>
              <c:numCache>
                <c:formatCode>General</c:formatCode>
                <c:ptCount val="5"/>
                <c:pt idx="0">
                  <c:v>247053.9500000003</c:v>
                </c:pt>
                <c:pt idx="1">
                  <c:v>160285.50000000055</c:v>
                </c:pt>
                <c:pt idx="2">
                  <c:v>137104.45000000007</c:v>
                </c:pt>
                <c:pt idx="3">
                  <c:v>106585.24999999997</c:v>
                </c:pt>
                <c:pt idx="4">
                  <c:v>23743.100000000017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7-400E-BC25-AC9BFFA5F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639679"/>
        <c:axId val="626636351"/>
      </c:barChart>
      <c:catAx>
        <c:axId val="62663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36351"/>
        <c:crosses val="autoZero"/>
        <c:auto val="1"/>
        <c:lblAlgn val="ctr"/>
        <c:lblOffset val="100"/>
        <c:noMultiLvlLbl val="0"/>
      </c:catAx>
      <c:valAx>
        <c:axId val="6266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[Commercial_Sales_Analysis.xlsx]Monthly!PivotTable3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&amp; Profit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Sum of Revenue_AED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Monthly!$B$4:$B$16</c:f>
              <c:numCache>
                <c:formatCode>General</c:formatCode>
                <c:ptCount val="12"/>
                <c:pt idx="0">
                  <c:v>186525.74999999997</c:v>
                </c:pt>
                <c:pt idx="1">
                  <c:v>156992.34999999995</c:v>
                </c:pt>
                <c:pt idx="2">
                  <c:v>163707.75</c:v>
                </c:pt>
                <c:pt idx="3">
                  <c:v>199434.14999999997</c:v>
                </c:pt>
                <c:pt idx="4">
                  <c:v>186293.30000000008</c:v>
                </c:pt>
                <c:pt idx="5">
                  <c:v>154533.60000000003</c:v>
                </c:pt>
                <c:pt idx="6">
                  <c:v>162833.85000000015</c:v>
                </c:pt>
                <c:pt idx="7">
                  <c:v>160798.60000000006</c:v>
                </c:pt>
                <c:pt idx="8">
                  <c:v>158335.5</c:v>
                </c:pt>
                <c:pt idx="9">
                  <c:v>173814.79999999987</c:v>
                </c:pt>
                <c:pt idx="10">
                  <c:v>134524.79999999984</c:v>
                </c:pt>
                <c:pt idx="11">
                  <c:v>154997.80000000008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3-467C-B7EB-C08583410112}"/>
            </c:ext>
          </c:extLst>
        </c:ser>
        <c:ser>
          <c:idx val="1"/>
          <c:order val="1"/>
          <c:tx>
            <c:strRef>
              <c:f>Monthly!$C$3</c:f>
              <c:strCache>
                <c:ptCount val="1"/>
                <c:pt idx="0">
                  <c:v>Sum of Profit_AED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Monthly!$C$4:$C$16</c:f>
              <c:numCache>
                <c:formatCode>General</c:formatCode>
                <c:ptCount val="12"/>
                <c:pt idx="0">
                  <c:v>64575.75</c:v>
                </c:pt>
                <c:pt idx="1">
                  <c:v>55377.350000000013</c:v>
                </c:pt>
                <c:pt idx="2">
                  <c:v>55912.750000000029</c:v>
                </c:pt>
                <c:pt idx="3">
                  <c:v>58009.15</c:v>
                </c:pt>
                <c:pt idx="4">
                  <c:v>63898.3</c:v>
                </c:pt>
                <c:pt idx="5">
                  <c:v>55118.599999999955</c:v>
                </c:pt>
                <c:pt idx="6">
                  <c:v>60618.849999999977</c:v>
                </c:pt>
                <c:pt idx="7">
                  <c:v>56633.599999999991</c:v>
                </c:pt>
                <c:pt idx="8">
                  <c:v>55445.499999999993</c:v>
                </c:pt>
                <c:pt idx="9">
                  <c:v>57314.800000000017</c:v>
                </c:pt>
                <c:pt idx="10">
                  <c:v>43534.799999999967</c:v>
                </c:pt>
                <c:pt idx="11">
                  <c:v>48332.799999999988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3-467C-B7EB-C08583410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005871"/>
        <c:axId val="506006703"/>
      </c:lineChart>
      <c:catAx>
        <c:axId val="50600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06703"/>
        <c:crosses val="autoZero"/>
        <c:auto val="1"/>
        <c:lblAlgn val="ctr"/>
        <c:lblOffset val="100"/>
        <c:noMultiLvlLbl val="0"/>
      </c:catAx>
      <c:valAx>
        <c:axId val="5060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0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[Commercial_Sales_Analysis.xlsx]Discount Impact!PivotTable2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Margin by Discount Level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C5-4095-98EC-2A10800AAD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Impact'!$A$4:$A$11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'Discount Impact'!$B$4:$B$11</c:f>
              <c:numCache>
                <c:formatCode>0.0%</c:formatCode>
                <c:ptCount val="7"/>
                <c:pt idx="0">
                  <c:v>0.4576855826601533</c:v>
                </c:pt>
                <c:pt idx="1">
                  <c:v>0.44192537237456514</c:v>
                </c:pt>
                <c:pt idx="2">
                  <c:v>0.33288394707579405</c:v>
                </c:pt>
                <c:pt idx="3">
                  <c:v>0.23478327845493493</c:v>
                </c:pt>
                <c:pt idx="4">
                  <c:v>0.20221348391078625</c:v>
                </c:pt>
                <c:pt idx="5">
                  <c:v>-0.15113831089351284</c:v>
                </c:pt>
                <c:pt idx="6">
                  <c:v>0.21126904480648218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5-4095-98EC-2A10800AAD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9240959"/>
        <c:axId val="729236383"/>
      </c:barChart>
      <c:catAx>
        <c:axId val="7292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36383"/>
        <c:crosses val="autoZero"/>
        <c:auto val="1"/>
        <c:lblAlgn val="ctr"/>
        <c:lblOffset val="100"/>
        <c:noMultiLvlLbl val="0"/>
      </c:catAx>
      <c:valAx>
        <c:axId val="7292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4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4</xdr:col>
      <xdr:colOff>22860</xdr:colOff>
      <xdr:row>22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8</xdr:col>
      <xdr:colOff>22860</xdr:colOff>
      <xdr:row>22</xdr:row>
      <xdr:rowOff>30480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4</xdr:col>
      <xdr:colOff>22860</xdr:colOff>
      <xdr:row>37</xdr:row>
      <xdr:rowOff>129540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</xdr:colOff>
      <xdr:row>32</xdr:row>
      <xdr:rowOff>15240</xdr:rowOff>
    </xdr:from>
    <xdr:to>
      <xdr:col>8</xdr:col>
      <xdr:colOff>99060</xdr:colOff>
      <xdr:row>38</xdr:row>
      <xdr:rowOff>91440</xdr:rowOff>
    </xdr:to>
    <xdr:sp macro="" textlink="">
      <xdr:nvSpPr>
        <xdr:cNvPr id="7" name="TextBox 6"/>
        <xdr:cNvSpPr txBox="1"/>
      </xdr:nvSpPr>
      <xdr:spPr>
        <a:xfrm>
          <a:off x="7307580" y="6347460"/>
          <a:ext cx="6659880" cy="11734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/>
              </a:solidFill>
            </a:rPr>
            <a:t>Key Insights</a:t>
          </a:r>
        </a:p>
        <a:p>
          <a:r>
            <a:rPr lang="en-IN" sz="1100">
              <a:solidFill>
                <a:schemeClr val="bg1"/>
              </a:solidFill>
            </a:rPr>
            <a:t>- Fashion is the top category: AED 542,664 revenue at 45.5% margin.</a:t>
          </a:r>
        </a:p>
        <a:p>
          <a:r>
            <a:rPr lang="en-IN" sz="1100">
              <a:solidFill>
                <a:schemeClr val="bg1"/>
              </a:solidFill>
            </a:rPr>
            <a:t>- Sports earns only 10.7% margin because Treadmill and Dumbbells lose money.</a:t>
          </a:r>
        </a:p>
        <a:p>
          <a:r>
            <a:rPr lang="en-IN" sz="1100">
              <a:solidFill>
                <a:schemeClr val="bg1"/>
              </a:solidFill>
            </a:rPr>
            <a:t>- 4 products lose money (about AED 20,000 total). Review cost price or stop discounting them.</a:t>
          </a:r>
        </a:p>
        <a:p>
          <a:r>
            <a:rPr lang="en-IN" sz="1100">
              <a:solidFill>
                <a:schemeClr val="bg1"/>
              </a:solidFill>
            </a:rPr>
            <a:t>- 25% discounts push margin to -15.1%. Cap discounts at 15% (margin still 23.5%).</a:t>
          </a:r>
        </a:p>
        <a:p>
          <a:r>
            <a:rPr lang="en-IN" sz="1100">
              <a:solidFill>
                <a:schemeClr val="bg1"/>
              </a:solidFill>
            </a:rPr>
            <a:t>- April was the best month (AED 199,434); November the weakest (AED 134,525).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09.483295949074" createdVersion="6" refreshedVersion="6" minRefreshableVersion="3" recordCount="4200">
  <cacheSource type="worksheet">
    <worksheetSource name="tblSales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Store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_AED" numFmtId="3">
      <sharedItems containsSemiMixedTypes="0" containsString="0" containsNumber="1" containsInteger="1" minValue="69" maxValue="2499"/>
    </cacheField>
    <cacheField name="Discount_Pct" numFmtId="9">
      <sharedItems containsSemiMixedTypes="0" containsString="0" containsNumber="1" minValue="0" maxValue="0.3" count="7">
        <n v="0.15"/>
        <n v="0.05"/>
        <n v="0.1"/>
        <n v="0"/>
        <n v="0.3"/>
        <n v="0.2"/>
        <n v="0.25"/>
      </sharedItems>
    </cacheField>
    <cacheField name="Product_Name" numFmtId="2">
      <sharedItems count="36">
        <s v="Women's Summer Dress"/>
        <s v="Fitness Band Lite"/>
        <s v="Men's Linen Shirt"/>
        <s v="Sunglasses Polarised"/>
        <s v="Bakhoor Gift Set"/>
        <s v="Wireless Earbuds Pro"/>
        <s v="Makeup Palette"/>
        <s v="Kids' Sneakers"/>
        <s v="Hair Dryer Ionic"/>
        <s v="Ceramic Dinner Set"/>
        <s v="Women's Abaya Classic"/>
        <s v="Football Size 5"/>
        <s v="Yoga Mat Premium"/>
        <s v="Bluetooth Speaker Mini"/>
        <s v="Running Shoes Elite"/>
        <s v="Oud Perfume 100ml"/>
        <s v="Air Fryer 5L"/>
        <s v="Vitamin C Serum"/>
        <s v="Cycling Helmet"/>
        <s v="Adjustable Dumbbells"/>
        <s v="Men's Kandura Premium"/>
        <s v="Non-stick Cookware Set"/>
        <s v="Bed Linen Set (King)"/>
        <s v="Gaming Headset X"/>
        <s v="Sunscreen SPF50"/>
        <s v="Smart Watch Series 5"/>
        <s v="Espresso Machine"/>
        <s v="Robot Vacuum S3"/>
        <s v="Electric Kettle"/>
        <s v="USB-C Fast Charger"/>
        <s v="Power Bank 20000mAh"/>
        <s v="4K Action Camera"/>
        <s v="Blender Pro 1200W"/>
        <s v="Treadmill Compact"/>
        <s v="Swim Goggles"/>
        <s v="Leather Handbag"/>
      </sharedItems>
    </cacheField>
    <cacheField name="Category" numFmtId="0">
      <sharedItems/>
    </cacheField>
    <cacheField name="Unit_Cost_AED" numFmtId="0">
      <sharedItems containsSemiMixedTypes="0" containsString="0" containsNumber="1" containsInteger="1" minValue="25" maxValue="2150"/>
    </cacheField>
    <cacheField name="Revenue_AED" numFmtId="2">
      <sharedItems containsSemiMixedTypes="0" containsString="0" containsNumber="1" minValue="48.3" maxValue="8496.6"/>
    </cacheField>
    <cacheField name="Cost_AED" numFmtId="0">
      <sharedItems containsSemiMixedTypes="0" containsString="0" containsNumber="1" containsInteger="1" minValue="25" maxValue="8600"/>
    </cacheField>
    <cacheField name="Profit_AED" numFmtId="2">
      <sharedItems containsSemiMixedTypes="0" containsString="0" containsNumber="1" minValue="-827.25" maxValue="1656.19999999999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argin" numFmtId="0" formula="Profit_AED/Revenue_A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0">
  <r>
    <s v="ORD50478"/>
    <d v="2025-01-01T00:00:00"/>
    <s v="Mall of the Emirates"/>
    <s v="P308"/>
    <n v="1"/>
    <n v="229"/>
    <x v="0"/>
    <x v="0"/>
    <s v="Fashion"/>
    <n v="120"/>
    <n v="194.65"/>
    <n v="120"/>
    <n v="74.650000000000006"/>
    <x v="0"/>
  </r>
  <r>
    <s v="ORD50602"/>
    <d v="2025-01-01T00:00:00"/>
    <s v="City Centre Deira"/>
    <s v="P308"/>
    <n v="2"/>
    <n v="229"/>
    <x v="1"/>
    <x v="0"/>
    <s v="Fashion"/>
    <n v="120"/>
    <n v="435.09999999999997"/>
    <n v="240"/>
    <n v="195.09999999999997"/>
    <x v="0"/>
  </r>
  <r>
    <s v="ORD51438"/>
    <d v="2025-01-01T00:00:00"/>
    <s v="City Centre Deira"/>
    <s v="P104"/>
    <n v="1"/>
    <n v="199"/>
    <x v="2"/>
    <x v="1"/>
    <s v="Electronics"/>
    <n v="175"/>
    <n v="179.1"/>
    <n v="175"/>
    <n v="4.0999999999999943"/>
    <x v="0"/>
  </r>
  <r>
    <s v="ORD52069"/>
    <d v="2025-01-01T00:00:00"/>
    <s v="City Centre Deira"/>
    <s v="P301"/>
    <n v="2"/>
    <n v="179"/>
    <x v="3"/>
    <x v="2"/>
    <s v="Fashion"/>
    <n v="70"/>
    <n v="358"/>
    <n v="140"/>
    <n v="218"/>
    <x v="0"/>
  </r>
  <r>
    <s v="ORD52175"/>
    <d v="2025-01-01T00:00:00"/>
    <s v="City Centre Deira"/>
    <s v="P306"/>
    <n v="1"/>
    <n v="249"/>
    <x v="3"/>
    <x v="3"/>
    <s v="Fashion"/>
    <n v="95"/>
    <n v="249"/>
    <n v="95"/>
    <n v="154"/>
    <x v="0"/>
  </r>
  <r>
    <s v="ORD52186"/>
    <d v="2025-01-01T00:00:00"/>
    <s v="City Centre Deira"/>
    <s v="P406"/>
    <n v="1"/>
    <n v="199"/>
    <x v="3"/>
    <x v="4"/>
    <s v="Beauty"/>
    <n v="90"/>
    <n v="199"/>
    <n v="90"/>
    <n v="109"/>
    <x v="0"/>
  </r>
  <r>
    <s v="ORD53044"/>
    <d v="2025-01-01T00:00:00"/>
    <s v="Online"/>
    <s v="P101"/>
    <n v="1"/>
    <n v="399"/>
    <x v="2"/>
    <x v="5"/>
    <s v="Electronics"/>
    <n v="230"/>
    <n v="359.1"/>
    <n v="230"/>
    <n v="129.10000000000002"/>
    <x v="0"/>
  </r>
  <r>
    <s v="ORD53052"/>
    <d v="2025-01-01T00:00:00"/>
    <s v="Dubai Mall"/>
    <s v="P306"/>
    <n v="1"/>
    <n v="249"/>
    <x v="3"/>
    <x v="3"/>
    <s v="Fashion"/>
    <n v="95"/>
    <n v="249"/>
    <n v="95"/>
    <n v="154"/>
    <x v="0"/>
  </r>
  <r>
    <s v="ORD53339"/>
    <d v="2025-01-01T00:00:00"/>
    <s v="City Centre Deira"/>
    <s v="P404"/>
    <n v="1"/>
    <n v="189"/>
    <x v="2"/>
    <x v="6"/>
    <s v="Beauty"/>
    <n v="85"/>
    <n v="170.1"/>
    <n v="85"/>
    <n v="85.1"/>
    <x v="0"/>
  </r>
  <r>
    <s v="ORD53546"/>
    <d v="2025-01-01T00:00:00"/>
    <s v="Ibn Battuta Mall"/>
    <s v="P303"/>
    <n v="2"/>
    <n v="149"/>
    <x v="4"/>
    <x v="7"/>
    <s v="Fashion"/>
    <n v="80"/>
    <n v="208.6"/>
    <n v="160"/>
    <n v="48.599999999999994"/>
    <x v="0"/>
  </r>
  <r>
    <s v="ORD54087"/>
    <d v="2025-01-01T00:00:00"/>
    <s v="Dubai Mall"/>
    <s v="P308"/>
    <n v="2"/>
    <n v="229"/>
    <x v="1"/>
    <x v="0"/>
    <s v="Fashion"/>
    <n v="120"/>
    <n v="435.09999999999997"/>
    <n v="240"/>
    <n v="195.09999999999997"/>
    <x v="0"/>
  </r>
  <r>
    <s v="ORD54094"/>
    <d v="2025-01-01T00:00:00"/>
    <s v="Online"/>
    <s v="P403"/>
    <n v="1"/>
    <n v="299"/>
    <x v="0"/>
    <x v="8"/>
    <s v="Beauty"/>
    <n v="240"/>
    <n v="254.15"/>
    <n v="240"/>
    <n v="14.150000000000006"/>
    <x v="0"/>
  </r>
  <r>
    <s v="ORD50151"/>
    <d v="2025-01-02T00:00:00"/>
    <s v="Online"/>
    <s v="P404"/>
    <n v="3"/>
    <n v="189"/>
    <x v="4"/>
    <x v="6"/>
    <s v="Beauty"/>
    <n v="85"/>
    <n v="396.9"/>
    <n v="255"/>
    <n v="141.89999999999998"/>
    <x v="0"/>
  </r>
  <r>
    <s v="ORD50430"/>
    <d v="2025-01-02T00:00:00"/>
    <s v="Ibn Battuta Mall"/>
    <s v="P104"/>
    <n v="1"/>
    <n v="199"/>
    <x v="0"/>
    <x v="1"/>
    <s v="Electronics"/>
    <n v="175"/>
    <n v="169.15"/>
    <n v="175"/>
    <n v="-5.8499999999999943"/>
    <x v="0"/>
  </r>
  <r>
    <s v="ORD50963"/>
    <d v="2025-01-02T00:00:00"/>
    <s v="Dubai Mall"/>
    <s v="P205"/>
    <n v="2"/>
    <n v="289"/>
    <x v="1"/>
    <x v="9"/>
    <s v="Home &amp; Kitchen"/>
    <n v="140"/>
    <n v="549.1"/>
    <n v="280"/>
    <n v="269.10000000000002"/>
    <x v="0"/>
  </r>
  <r>
    <s v="ORD51704"/>
    <d v="2025-01-02T00:00:00"/>
    <s v="Mall of the Emirates"/>
    <s v="P302"/>
    <n v="2"/>
    <n v="459"/>
    <x v="5"/>
    <x v="10"/>
    <s v="Fashion"/>
    <n v="190"/>
    <n v="734.40000000000009"/>
    <n v="380"/>
    <n v="354.40000000000009"/>
    <x v="0"/>
  </r>
  <r>
    <s v="ORD51897"/>
    <d v="2025-01-02T00:00:00"/>
    <s v="Mall of the Emirates"/>
    <s v="P505"/>
    <n v="3"/>
    <n v="99"/>
    <x v="5"/>
    <x v="11"/>
    <s v="Sports"/>
    <n v="45"/>
    <n v="237.60000000000002"/>
    <n v="135"/>
    <n v="102.60000000000002"/>
    <x v="0"/>
  </r>
  <r>
    <s v="ORD51973"/>
    <d v="2025-01-02T00:00:00"/>
    <s v="City Centre Deira"/>
    <s v="P505"/>
    <n v="4"/>
    <n v="99"/>
    <x v="3"/>
    <x v="11"/>
    <s v="Sports"/>
    <n v="45"/>
    <n v="396"/>
    <n v="180"/>
    <n v="216"/>
    <x v="0"/>
  </r>
  <r>
    <s v="ORD52090"/>
    <d v="2025-01-02T00:00:00"/>
    <s v="Ibn Battuta Mall"/>
    <s v="P403"/>
    <n v="2"/>
    <n v="299"/>
    <x v="5"/>
    <x v="8"/>
    <s v="Beauty"/>
    <n v="240"/>
    <n v="478.40000000000003"/>
    <n v="480"/>
    <n v="-1.5999999999999659"/>
    <x v="0"/>
  </r>
  <r>
    <s v="ORD52214"/>
    <d v="2025-01-02T00:00:00"/>
    <s v="Dubai Mall"/>
    <s v="P306"/>
    <n v="3"/>
    <n v="249"/>
    <x v="3"/>
    <x v="3"/>
    <s v="Fashion"/>
    <n v="95"/>
    <n v="747"/>
    <n v="285"/>
    <n v="462"/>
    <x v="0"/>
  </r>
  <r>
    <s v="ORD52601"/>
    <d v="2025-01-02T00:00:00"/>
    <s v="Mall of the Emirates"/>
    <s v="P501"/>
    <n v="1"/>
    <n v="129"/>
    <x v="2"/>
    <x v="12"/>
    <s v="Sports"/>
    <n v="60"/>
    <n v="116.10000000000001"/>
    <n v="60"/>
    <n v="56.100000000000009"/>
    <x v="0"/>
  </r>
  <r>
    <s v="ORD52683"/>
    <d v="2025-01-02T00:00:00"/>
    <s v="Online"/>
    <s v="P303"/>
    <n v="2"/>
    <n v="149"/>
    <x v="3"/>
    <x v="7"/>
    <s v="Fashion"/>
    <n v="80"/>
    <n v="298"/>
    <n v="160"/>
    <n v="138"/>
    <x v="0"/>
  </r>
  <r>
    <s v="ORD52918"/>
    <d v="2025-01-02T00:00:00"/>
    <s v="Dubai Mall"/>
    <s v="P102"/>
    <n v="1"/>
    <n v="249"/>
    <x v="3"/>
    <x v="13"/>
    <s v="Electronics"/>
    <n v="150"/>
    <n v="249"/>
    <n v="150"/>
    <n v="99"/>
    <x v="0"/>
  </r>
  <r>
    <s v="ORD53589"/>
    <d v="2025-01-02T00:00:00"/>
    <s v="Mall of the Emirates"/>
    <s v="P305"/>
    <n v="3"/>
    <n v="429"/>
    <x v="3"/>
    <x v="14"/>
    <s v="Fashion"/>
    <n v="300"/>
    <n v="1287"/>
    <n v="900"/>
    <n v="387"/>
    <x v="0"/>
  </r>
  <r>
    <s v="ORD50589"/>
    <d v="2025-01-03T00:00:00"/>
    <s v="Dubai Mall"/>
    <s v="P302"/>
    <n v="2"/>
    <n v="459"/>
    <x v="3"/>
    <x v="10"/>
    <s v="Fashion"/>
    <n v="190"/>
    <n v="918"/>
    <n v="380"/>
    <n v="538"/>
    <x v="0"/>
  </r>
  <r>
    <s v="ORD51219"/>
    <d v="2025-01-03T00:00:00"/>
    <s v="Online"/>
    <s v="P406"/>
    <n v="1"/>
    <n v="199"/>
    <x v="1"/>
    <x v="4"/>
    <s v="Beauty"/>
    <n v="90"/>
    <n v="189.04999999999998"/>
    <n v="90"/>
    <n v="99.049999999999983"/>
    <x v="0"/>
  </r>
  <r>
    <s v="ORD51246"/>
    <d v="2025-01-03T00:00:00"/>
    <s v="Mall of the Emirates"/>
    <s v="P101"/>
    <n v="2"/>
    <n v="399"/>
    <x v="1"/>
    <x v="5"/>
    <s v="Electronics"/>
    <n v="230"/>
    <n v="758.09999999999991"/>
    <n v="460"/>
    <n v="298.09999999999991"/>
    <x v="0"/>
  </r>
  <r>
    <s v="ORD51408"/>
    <d v="2025-01-03T00:00:00"/>
    <s v="Dubai Mall"/>
    <s v="P401"/>
    <n v="2"/>
    <n v="549"/>
    <x v="3"/>
    <x v="15"/>
    <s v="Beauty"/>
    <n v="250"/>
    <n v="1098"/>
    <n v="500"/>
    <n v="598"/>
    <x v="0"/>
  </r>
  <r>
    <s v="ORD52562"/>
    <d v="2025-01-03T00:00:00"/>
    <s v="Online"/>
    <s v="P403"/>
    <n v="4"/>
    <n v="299"/>
    <x v="5"/>
    <x v="8"/>
    <s v="Beauty"/>
    <n v="240"/>
    <n v="956.80000000000007"/>
    <n v="960"/>
    <n v="-3.1999999999999318"/>
    <x v="0"/>
  </r>
  <r>
    <s v="ORD52573"/>
    <d v="2025-01-03T00:00:00"/>
    <s v="City Centre Deira"/>
    <s v="P201"/>
    <n v="1"/>
    <n v="499"/>
    <x v="0"/>
    <x v="16"/>
    <s v="Home &amp; Kitchen"/>
    <n v="290"/>
    <n v="424.15"/>
    <n v="290"/>
    <n v="134.14999999999998"/>
    <x v="0"/>
  </r>
  <r>
    <s v="ORD54138"/>
    <d v="2025-01-03T00:00:00"/>
    <s v="Mall of the Emirates"/>
    <s v="P402"/>
    <n v="1"/>
    <n v="149"/>
    <x v="3"/>
    <x v="17"/>
    <s v="Beauty"/>
    <n v="55"/>
    <n v="149"/>
    <n v="55"/>
    <n v="94"/>
    <x v="0"/>
  </r>
  <r>
    <s v="ORD50311"/>
    <d v="2025-01-04T00:00:00"/>
    <s v="Mall of the Emirates"/>
    <s v="P406"/>
    <n v="1"/>
    <n v="199"/>
    <x v="3"/>
    <x v="4"/>
    <s v="Beauty"/>
    <n v="90"/>
    <n v="199"/>
    <n v="90"/>
    <n v="109"/>
    <x v="0"/>
  </r>
  <r>
    <s v="ORD50691"/>
    <d v="2025-01-04T00:00:00"/>
    <s v="Dubai Mall"/>
    <s v="P503"/>
    <n v="1"/>
    <n v="229"/>
    <x v="3"/>
    <x v="18"/>
    <s v="Sports"/>
    <n v="120"/>
    <n v="229"/>
    <n v="120"/>
    <n v="109"/>
    <x v="0"/>
  </r>
  <r>
    <s v="ORD50998"/>
    <d v="2025-01-04T00:00:00"/>
    <s v="City Centre Deira"/>
    <s v="P205"/>
    <n v="1"/>
    <n v="289"/>
    <x v="1"/>
    <x v="9"/>
    <s v="Home &amp; Kitchen"/>
    <n v="140"/>
    <n v="274.55"/>
    <n v="140"/>
    <n v="134.55000000000001"/>
    <x v="0"/>
  </r>
  <r>
    <s v="ORD51052"/>
    <d v="2025-01-04T00:00:00"/>
    <s v="Dubai Mall"/>
    <s v="P301"/>
    <n v="1"/>
    <n v="179"/>
    <x v="3"/>
    <x v="2"/>
    <s v="Fashion"/>
    <n v="70"/>
    <n v="179"/>
    <n v="70"/>
    <n v="109"/>
    <x v="0"/>
  </r>
  <r>
    <s v="ORD51122"/>
    <d v="2025-01-04T00:00:00"/>
    <s v="Ibn Battuta Mall"/>
    <s v="P502"/>
    <n v="1"/>
    <n v="799"/>
    <x v="2"/>
    <x v="19"/>
    <s v="Sports"/>
    <n v="700"/>
    <n v="719.1"/>
    <n v="700"/>
    <n v="19.100000000000023"/>
    <x v="0"/>
  </r>
  <r>
    <s v="ORD51229"/>
    <d v="2025-01-04T00:00:00"/>
    <s v="City Centre Deira"/>
    <s v="P307"/>
    <n v="1"/>
    <n v="399"/>
    <x v="0"/>
    <x v="20"/>
    <s v="Fashion"/>
    <n v="210"/>
    <n v="339.15"/>
    <n v="210"/>
    <n v="129.14999999999998"/>
    <x v="0"/>
  </r>
  <r>
    <s v="ORD51567"/>
    <d v="2025-01-04T00:00:00"/>
    <s v="Mall of the Emirates"/>
    <s v="P302"/>
    <n v="2"/>
    <n v="459"/>
    <x v="1"/>
    <x v="10"/>
    <s v="Fashion"/>
    <n v="190"/>
    <n v="872.09999999999991"/>
    <n v="380"/>
    <n v="492.09999999999991"/>
    <x v="0"/>
  </r>
  <r>
    <s v="ORD51665"/>
    <d v="2025-01-04T00:00:00"/>
    <s v="Online"/>
    <s v="P203"/>
    <n v="1"/>
    <n v="349"/>
    <x v="2"/>
    <x v="21"/>
    <s v="Home &amp; Kitchen"/>
    <n v="170"/>
    <n v="314.10000000000002"/>
    <n v="170"/>
    <n v="144.10000000000002"/>
    <x v="0"/>
  </r>
  <r>
    <s v="ORD51733"/>
    <d v="2025-01-04T00:00:00"/>
    <s v="Mall of the Emirates"/>
    <s v="P104"/>
    <n v="1"/>
    <n v="199"/>
    <x v="0"/>
    <x v="1"/>
    <s v="Electronics"/>
    <n v="175"/>
    <n v="169.15"/>
    <n v="175"/>
    <n v="-5.8499999999999943"/>
    <x v="0"/>
  </r>
  <r>
    <s v="ORD51929"/>
    <d v="2025-01-04T00:00:00"/>
    <s v="Dubai Mall"/>
    <s v="P208"/>
    <n v="1"/>
    <n v="259"/>
    <x v="3"/>
    <x v="22"/>
    <s v="Home &amp; Kitchen"/>
    <n v="115"/>
    <n v="259"/>
    <n v="115"/>
    <n v="144"/>
    <x v="0"/>
  </r>
  <r>
    <s v="ORD52097"/>
    <d v="2025-01-04T00:00:00"/>
    <s v="Mall of the Emirates"/>
    <s v="P404"/>
    <n v="2"/>
    <n v="189"/>
    <x v="1"/>
    <x v="6"/>
    <s v="Beauty"/>
    <n v="85"/>
    <n v="359.09999999999997"/>
    <n v="170"/>
    <n v="189.09999999999997"/>
    <x v="0"/>
  </r>
  <r>
    <s v="ORD52325"/>
    <d v="2025-01-04T00:00:00"/>
    <s v="City Centre Deira"/>
    <s v="P406"/>
    <n v="1"/>
    <n v="199"/>
    <x v="2"/>
    <x v="4"/>
    <s v="Beauty"/>
    <n v="90"/>
    <n v="179.1"/>
    <n v="90"/>
    <n v="89.1"/>
    <x v="0"/>
  </r>
  <r>
    <s v="ORD52354"/>
    <d v="2025-01-04T00:00:00"/>
    <s v="Online"/>
    <s v="P108"/>
    <n v="1"/>
    <n v="459"/>
    <x v="2"/>
    <x v="23"/>
    <s v="Electronics"/>
    <n v="300"/>
    <n v="413.1"/>
    <n v="300"/>
    <n v="113.10000000000002"/>
    <x v="0"/>
  </r>
  <r>
    <s v="ORD52514"/>
    <d v="2025-01-04T00:00:00"/>
    <s v="Ibn Battuta Mall"/>
    <s v="P501"/>
    <n v="1"/>
    <n v="129"/>
    <x v="1"/>
    <x v="12"/>
    <s v="Sports"/>
    <n v="60"/>
    <n v="122.55"/>
    <n v="60"/>
    <n v="62.55"/>
    <x v="0"/>
  </r>
  <r>
    <s v="ORD53791"/>
    <d v="2025-01-04T00:00:00"/>
    <s v="Dubai Mall"/>
    <s v="P306"/>
    <n v="2"/>
    <n v="249"/>
    <x v="3"/>
    <x v="3"/>
    <s v="Fashion"/>
    <n v="95"/>
    <n v="498"/>
    <n v="190"/>
    <n v="308"/>
    <x v="0"/>
  </r>
  <r>
    <s v="ORD54028"/>
    <d v="2025-01-04T00:00:00"/>
    <s v="Ibn Battuta Mall"/>
    <s v="P405"/>
    <n v="2"/>
    <n v="89"/>
    <x v="3"/>
    <x v="24"/>
    <s v="Beauty"/>
    <n v="40"/>
    <n v="178"/>
    <n v="80"/>
    <n v="98"/>
    <x v="0"/>
  </r>
  <r>
    <s v="ORD54066"/>
    <d v="2025-01-04T00:00:00"/>
    <s v="Online"/>
    <s v="P503"/>
    <n v="1"/>
    <n v="229"/>
    <x v="2"/>
    <x v="18"/>
    <s v="Sports"/>
    <n v="120"/>
    <n v="206.1"/>
    <n v="120"/>
    <n v="86.1"/>
    <x v="0"/>
  </r>
  <r>
    <s v="ORD50135"/>
    <d v="2025-01-05T00:00:00"/>
    <s v="Dubai Mall"/>
    <s v="P103"/>
    <n v="2"/>
    <n v="1299"/>
    <x v="3"/>
    <x v="25"/>
    <s v="Electronics"/>
    <n v="820"/>
    <n v="2598"/>
    <n v="1640"/>
    <n v="958"/>
    <x v="0"/>
  </r>
  <r>
    <s v="ORD51271"/>
    <d v="2025-01-05T00:00:00"/>
    <s v="Dubai Mall"/>
    <s v="P404"/>
    <n v="1"/>
    <n v="189"/>
    <x v="1"/>
    <x v="6"/>
    <s v="Beauty"/>
    <n v="85"/>
    <n v="179.54999999999998"/>
    <n v="85"/>
    <n v="94.549999999999983"/>
    <x v="0"/>
  </r>
  <r>
    <s v="ORD52519"/>
    <d v="2025-01-05T00:00:00"/>
    <s v="City Centre Deira"/>
    <s v="P202"/>
    <n v="3"/>
    <n v="1499"/>
    <x v="3"/>
    <x v="26"/>
    <s v="Home &amp; Kitchen"/>
    <n v="1050"/>
    <n v="4497"/>
    <n v="3150"/>
    <n v="1347"/>
    <x v="0"/>
  </r>
  <r>
    <s v="ORD52836"/>
    <d v="2025-01-05T00:00:00"/>
    <s v="Online"/>
    <s v="P305"/>
    <n v="3"/>
    <n v="429"/>
    <x v="3"/>
    <x v="14"/>
    <s v="Fashion"/>
    <n v="300"/>
    <n v="1287"/>
    <n v="900"/>
    <n v="387"/>
    <x v="0"/>
  </r>
  <r>
    <s v="ORD53297"/>
    <d v="2025-01-05T00:00:00"/>
    <s v="Mall of the Emirates"/>
    <s v="P202"/>
    <n v="1"/>
    <n v="1499"/>
    <x v="3"/>
    <x v="26"/>
    <s v="Home &amp; Kitchen"/>
    <n v="1050"/>
    <n v="1499"/>
    <n v="1050"/>
    <n v="449"/>
    <x v="0"/>
  </r>
  <r>
    <s v="ORD53865"/>
    <d v="2025-01-05T00:00:00"/>
    <s v="Mall of the Emirates"/>
    <s v="P204"/>
    <n v="4"/>
    <n v="1199"/>
    <x v="5"/>
    <x v="27"/>
    <s v="Home &amp; Kitchen"/>
    <n v="1080"/>
    <n v="3836.8"/>
    <n v="4320"/>
    <n v="-483.19999999999982"/>
    <x v="0"/>
  </r>
  <r>
    <s v="ORD50043"/>
    <d v="2025-01-06T00:00:00"/>
    <s v="Dubai Mall"/>
    <s v="P206"/>
    <n v="2"/>
    <n v="129"/>
    <x v="1"/>
    <x v="28"/>
    <s v="Home &amp; Kitchen"/>
    <n v="60"/>
    <n v="245.1"/>
    <n v="120"/>
    <n v="125.1"/>
    <x v="0"/>
  </r>
  <r>
    <s v="ORD50107"/>
    <d v="2025-01-06T00:00:00"/>
    <s v="Dubai Mall"/>
    <s v="P104"/>
    <n v="3"/>
    <n v="199"/>
    <x v="5"/>
    <x v="1"/>
    <s v="Electronics"/>
    <n v="175"/>
    <n v="477.6"/>
    <n v="525"/>
    <n v="-47.399999999999977"/>
    <x v="0"/>
  </r>
  <r>
    <s v="ORD50176"/>
    <d v="2025-01-06T00:00:00"/>
    <s v="Online"/>
    <s v="P405"/>
    <n v="2"/>
    <n v="89"/>
    <x v="5"/>
    <x v="24"/>
    <s v="Beauty"/>
    <n v="40"/>
    <n v="142.4"/>
    <n v="80"/>
    <n v="62.400000000000006"/>
    <x v="0"/>
  </r>
  <r>
    <s v="ORD50623"/>
    <d v="2025-01-06T00:00:00"/>
    <s v="Dubai Mall"/>
    <s v="P101"/>
    <n v="1"/>
    <n v="399"/>
    <x v="3"/>
    <x v="5"/>
    <s v="Electronics"/>
    <n v="230"/>
    <n v="399"/>
    <n v="230"/>
    <n v="169"/>
    <x v="0"/>
  </r>
  <r>
    <s v="ORD50835"/>
    <d v="2025-01-06T00:00:00"/>
    <s v="Mall of the Emirates"/>
    <s v="P302"/>
    <n v="1"/>
    <n v="459"/>
    <x v="2"/>
    <x v="10"/>
    <s v="Fashion"/>
    <n v="190"/>
    <n v="413.1"/>
    <n v="190"/>
    <n v="223.10000000000002"/>
    <x v="0"/>
  </r>
  <r>
    <s v="ORD50960"/>
    <d v="2025-01-06T00:00:00"/>
    <s v="Online"/>
    <s v="P308"/>
    <n v="1"/>
    <n v="229"/>
    <x v="2"/>
    <x v="0"/>
    <s v="Fashion"/>
    <n v="120"/>
    <n v="206.1"/>
    <n v="120"/>
    <n v="86.1"/>
    <x v="0"/>
  </r>
  <r>
    <s v="ORD51129"/>
    <d v="2025-01-06T00:00:00"/>
    <s v="Dubai Mall"/>
    <s v="P406"/>
    <n v="1"/>
    <n v="199"/>
    <x v="2"/>
    <x v="4"/>
    <s v="Beauty"/>
    <n v="90"/>
    <n v="179.1"/>
    <n v="90"/>
    <n v="89.1"/>
    <x v="0"/>
  </r>
  <r>
    <s v="ORD51474"/>
    <d v="2025-01-06T00:00:00"/>
    <s v="Online"/>
    <s v="P505"/>
    <n v="1"/>
    <n v="99"/>
    <x v="2"/>
    <x v="11"/>
    <s v="Sports"/>
    <n v="45"/>
    <n v="89.100000000000009"/>
    <n v="45"/>
    <n v="44.100000000000009"/>
    <x v="0"/>
  </r>
  <r>
    <s v="ORD51669"/>
    <d v="2025-01-06T00:00:00"/>
    <s v="Dubai Mall"/>
    <s v="P503"/>
    <n v="1"/>
    <n v="229"/>
    <x v="2"/>
    <x v="18"/>
    <s v="Sports"/>
    <n v="120"/>
    <n v="206.1"/>
    <n v="120"/>
    <n v="86.1"/>
    <x v="0"/>
  </r>
  <r>
    <s v="ORD51689"/>
    <d v="2025-01-06T00:00:00"/>
    <s v="Ibn Battuta Mall"/>
    <s v="P306"/>
    <n v="1"/>
    <n v="249"/>
    <x v="2"/>
    <x v="3"/>
    <s v="Fashion"/>
    <n v="95"/>
    <n v="224.1"/>
    <n v="95"/>
    <n v="129.1"/>
    <x v="0"/>
  </r>
  <r>
    <s v="ORD52390"/>
    <d v="2025-01-06T00:00:00"/>
    <s v="City Centre Deira"/>
    <s v="P107"/>
    <n v="4"/>
    <n v="89"/>
    <x v="3"/>
    <x v="29"/>
    <s v="Electronics"/>
    <n v="35"/>
    <n v="356"/>
    <n v="140"/>
    <n v="216"/>
    <x v="0"/>
  </r>
  <r>
    <s v="ORD53446"/>
    <d v="2025-01-06T00:00:00"/>
    <s v="Dubai Mall"/>
    <s v="P402"/>
    <n v="2"/>
    <n v="149"/>
    <x v="5"/>
    <x v="17"/>
    <s v="Beauty"/>
    <n v="55"/>
    <n v="238.4"/>
    <n v="110"/>
    <n v="128.4"/>
    <x v="0"/>
  </r>
  <r>
    <s v="ORD53903"/>
    <d v="2025-01-06T00:00:00"/>
    <s v="Ibn Battuta Mall"/>
    <s v="P106"/>
    <n v="1"/>
    <n v="149"/>
    <x v="3"/>
    <x v="30"/>
    <s v="Electronics"/>
    <n v="70"/>
    <n v="149"/>
    <n v="70"/>
    <n v="79"/>
    <x v="0"/>
  </r>
  <r>
    <s v="ORD53909"/>
    <d v="2025-01-06T00:00:00"/>
    <s v="Mall of the Emirates"/>
    <s v="P105"/>
    <n v="2"/>
    <n v="899"/>
    <x v="2"/>
    <x v="31"/>
    <s v="Electronics"/>
    <n v="610"/>
    <n v="1618.2"/>
    <n v="1220"/>
    <n v="398.20000000000005"/>
    <x v="0"/>
  </r>
  <r>
    <s v="ORD53912"/>
    <d v="2025-01-06T00:00:00"/>
    <s v="Ibn Battuta Mall"/>
    <s v="P404"/>
    <n v="1"/>
    <n v="189"/>
    <x v="2"/>
    <x v="6"/>
    <s v="Beauty"/>
    <n v="85"/>
    <n v="170.1"/>
    <n v="85"/>
    <n v="85.1"/>
    <x v="0"/>
  </r>
  <r>
    <s v="ORD53985"/>
    <d v="2025-01-06T00:00:00"/>
    <s v="Online"/>
    <s v="P107"/>
    <n v="2"/>
    <n v="89"/>
    <x v="3"/>
    <x v="29"/>
    <s v="Electronics"/>
    <n v="35"/>
    <n v="178"/>
    <n v="70"/>
    <n v="108"/>
    <x v="0"/>
  </r>
  <r>
    <s v="ORD51117"/>
    <d v="2025-01-07T00:00:00"/>
    <s v="Dubai Mall"/>
    <s v="P406"/>
    <n v="2"/>
    <n v="199"/>
    <x v="3"/>
    <x v="4"/>
    <s v="Beauty"/>
    <n v="90"/>
    <n v="398"/>
    <n v="180"/>
    <n v="218"/>
    <x v="0"/>
  </r>
  <r>
    <s v="ORD52455"/>
    <d v="2025-01-07T00:00:00"/>
    <s v="Online"/>
    <s v="P505"/>
    <n v="1"/>
    <n v="99"/>
    <x v="3"/>
    <x v="11"/>
    <s v="Sports"/>
    <n v="45"/>
    <n v="99"/>
    <n v="45"/>
    <n v="54"/>
    <x v="0"/>
  </r>
  <r>
    <s v="ORD52462"/>
    <d v="2025-01-07T00:00:00"/>
    <s v="Dubai Mall"/>
    <s v="P403"/>
    <n v="1"/>
    <n v="299"/>
    <x v="0"/>
    <x v="8"/>
    <s v="Beauty"/>
    <n v="240"/>
    <n v="254.15"/>
    <n v="240"/>
    <n v="14.150000000000006"/>
    <x v="0"/>
  </r>
  <r>
    <s v="ORD53374"/>
    <d v="2025-01-07T00:00:00"/>
    <s v="City Centre Deira"/>
    <s v="P106"/>
    <n v="1"/>
    <n v="149"/>
    <x v="3"/>
    <x v="30"/>
    <s v="Electronics"/>
    <n v="70"/>
    <n v="149"/>
    <n v="70"/>
    <n v="79"/>
    <x v="0"/>
  </r>
  <r>
    <s v="ORD53474"/>
    <d v="2025-01-07T00:00:00"/>
    <s v="City Centre Deira"/>
    <s v="P105"/>
    <n v="3"/>
    <n v="899"/>
    <x v="1"/>
    <x v="31"/>
    <s v="Electronics"/>
    <n v="610"/>
    <n v="2562.15"/>
    <n v="1830"/>
    <n v="732.15000000000009"/>
    <x v="0"/>
  </r>
  <r>
    <s v="ORD51223"/>
    <d v="2025-01-08T00:00:00"/>
    <s v="Mall of the Emirates"/>
    <s v="P306"/>
    <n v="3"/>
    <n v="249"/>
    <x v="0"/>
    <x v="3"/>
    <s v="Fashion"/>
    <n v="95"/>
    <n v="634.94999999999993"/>
    <n v="285"/>
    <n v="349.94999999999993"/>
    <x v="0"/>
  </r>
  <r>
    <s v="ORD51603"/>
    <d v="2025-01-08T00:00:00"/>
    <s v="Mall of the Emirates"/>
    <s v="P307"/>
    <n v="1"/>
    <n v="399"/>
    <x v="1"/>
    <x v="20"/>
    <s v="Fashion"/>
    <n v="210"/>
    <n v="379.04999999999995"/>
    <n v="210"/>
    <n v="169.04999999999995"/>
    <x v="0"/>
  </r>
  <r>
    <s v="ORD51824"/>
    <d v="2025-01-08T00:00:00"/>
    <s v="Dubai Mall"/>
    <s v="P306"/>
    <n v="2"/>
    <n v="249"/>
    <x v="5"/>
    <x v="3"/>
    <s v="Fashion"/>
    <n v="95"/>
    <n v="398.40000000000003"/>
    <n v="190"/>
    <n v="208.40000000000003"/>
    <x v="0"/>
  </r>
  <r>
    <s v="ORD52584"/>
    <d v="2025-01-08T00:00:00"/>
    <s v="Online"/>
    <s v="P205"/>
    <n v="1"/>
    <n v="289"/>
    <x v="3"/>
    <x v="9"/>
    <s v="Home &amp; Kitchen"/>
    <n v="140"/>
    <n v="289"/>
    <n v="140"/>
    <n v="149"/>
    <x v="0"/>
  </r>
  <r>
    <s v="ORD53493"/>
    <d v="2025-01-08T00:00:00"/>
    <s v="Ibn Battuta Mall"/>
    <s v="P401"/>
    <n v="1"/>
    <n v="549"/>
    <x v="3"/>
    <x v="15"/>
    <s v="Beauty"/>
    <n v="250"/>
    <n v="549"/>
    <n v="250"/>
    <n v="299"/>
    <x v="0"/>
  </r>
  <r>
    <s v="ORD53574"/>
    <d v="2025-01-08T00:00:00"/>
    <s v="Dubai Mall"/>
    <s v="P108"/>
    <n v="3"/>
    <n v="459"/>
    <x v="5"/>
    <x v="23"/>
    <s v="Electronics"/>
    <n v="300"/>
    <n v="1101.6000000000001"/>
    <n v="900"/>
    <n v="201.60000000000014"/>
    <x v="0"/>
  </r>
  <r>
    <s v="ORD53604"/>
    <d v="2025-01-08T00:00:00"/>
    <s v="Ibn Battuta Mall"/>
    <s v="P305"/>
    <n v="2"/>
    <n v="429"/>
    <x v="3"/>
    <x v="14"/>
    <s v="Fashion"/>
    <n v="300"/>
    <n v="858"/>
    <n v="600"/>
    <n v="258"/>
    <x v="0"/>
  </r>
  <r>
    <s v="ORD53612"/>
    <d v="2025-01-08T00:00:00"/>
    <s v="Mall of the Emirates"/>
    <s v="P308"/>
    <n v="1"/>
    <n v="229"/>
    <x v="1"/>
    <x v="0"/>
    <s v="Fashion"/>
    <n v="120"/>
    <n v="217.54999999999998"/>
    <n v="120"/>
    <n v="97.549999999999983"/>
    <x v="0"/>
  </r>
  <r>
    <s v="ORD53650"/>
    <d v="2025-01-08T00:00:00"/>
    <s v="Ibn Battuta Mall"/>
    <s v="P205"/>
    <n v="1"/>
    <n v="289"/>
    <x v="3"/>
    <x v="9"/>
    <s v="Home &amp; Kitchen"/>
    <n v="140"/>
    <n v="289"/>
    <n v="140"/>
    <n v="149"/>
    <x v="0"/>
  </r>
  <r>
    <s v="ORD50364"/>
    <d v="2025-01-09T00:00:00"/>
    <s v="City Centre Deira"/>
    <s v="P207"/>
    <n v="2"/>
    <n v="399"/>
    <x v="3"/>
    <x v="32"/>
    <s v="Home &amp; Kitchen"/>
    <n v="250"/>
    <n v="798"/>
    <n v="500"/>
    <n v="298"/>
    <x v="0"/>
  </r>
  <r>
    <s v="ORD50846"/>
    <d v="2025-01-09T00:00:00"/>
    <s v="City Centre Deira"/>
    <s v="P404"/>
    <n v="1"/>
    <n v="189"/>
    <x v="3"/>
    <x v="6"/>
    <s v="Beauty"/>
    <n v="85"/>
    <n v="189"/>
    <n v="85"/>
    <n v="104"/>
    <x v="0"/>
  </r>
  <r>
    <s v="ORD52063"/>
    <d v="2025-01-09T00:00:00"/>
    <s v="Mall of the Emirates"/>
    <s v="P203"/>
    <n v="3"/>
    <n v="349"/>
    <x v="3"/>
    <x v="21"/>
    <s v="Home &amp; Kitchen"/>
    <n v="170"/>
    <n v="1047"/>
    <n v="510"/>
    <n v="537"/>
    <x v="0"/>
  </r>
  <r>
    <s v="ORD52331"/>
    <d v="2025-01-09T00:00:00"/>
    <s v="Online"/>
    <s v="P308"/>
    <n v="1"/>
    <n v="229"/>
    <x v="3"/>
    <x v="0"/>
    <s v="Fashion"/>
    <n v="120"/>
    <n v="229"/>
    <n v="120"/>
    <n v="109"/>
    <x v="0"/>
  </r>
  <r>
    <s v="ORD52676"/>
    <d v="2025-01-09T00:00:00"/>
    <s v="Dubai Mall"/>
    <s v="P405"/>
    <n v="1"/>
    <n v="89"/>
    <x v="5"/>
    <x v="24"/>
    <s v="Beauty"/>
    <n v="40"/>
    <n v="71.2"/>
    <n v="40"/>
    <n v="31.200000000000003"/>
    <x v="0"/>
  </r>
  <r>
    <s v="ORD51085"/>
    <d v="2025-01-10T00:00:00"/>
    <s v="City Centre Deira"/>
    <s v="P206"/>
    <n v="1"/>
    <n v="129"/>
    <x v="3"/>
    <x v="28"/>
    <s v="Home &amp; Kitchen"/>
    <n v="60"/>
    <n v="129"/>
    <n v="60"/>
    <n v="69"/>
    <x v="0"/>
  </r>
  <r>
    <s v="ORD51318"/>
    <d v="2025-01-10T00:00:00"/>
    <s v="City Centre Deira"/>
    <s v="P403"/>
    <n v="1"/>
    <n v="299"/>
    <x v="6"/>
    <x v="8"/>
    <s v="Beauty"/>
    <n v="240"/>
    <n v="224.25"/>
    <n v="240"/>
    <n v="-15.75"/>
    <x v="0"/>
  </r>
  <r>
    <s v="ORD52708"/>
    <d v="2025-01-10T00:00:00"/>
    <s v="Online"/>
    <s v="P303"/>
    <n v="2"/>
    <n v="149"/>
    <x v="1"/>
    <x v="7"/>
    <s v="Fashion"/>
    <n v="80"/>
    <n v="283.09999999999997"/>
    <n v="160"/>
    <n v="123.09999999999997"/>
    <x v="0"/>
  </r>
  <r>
    <s v="ORD52847"/>
    <d v="2025-01-10T00:00:00"/>
    <s v="Dubai Mall"/>
    <s v="P202"/>
    <n v="1"/>
    <n v="1499"/>
    <x v="3"/>
    <x v="26"/>
    <s v="Home &amp; Kitchen"/>
    <n v="1050"/>
    <n v="1499"/>
    <n v="1050"/>
    <n v="449"/>
    <x v="0"/>
  </r>
  <r>
    <s v="ORD52849"/>
    <d v="2025-01-10T00:00:00"/>
    <s v="Online"/>
    <s v="P201"/>
    <n v="4"/>
    <n v="499"/>
    <x v="3"/>
    <x v="16"/>
    <s v="Home &amp; Kitchen"/>
    <n v="290"/>
    <n v="1996"/>
    <n v="1160"/>
    <n v="836"/>
    <x v="0"/>
  </r>
  <r>
    <s v="ORD53686"/>
    <d v="2025-01-10T00:00:00"/>
    <s v="Mall of the Emirates"/>
    <s v="P308"/>
    <n v="3"/>
    <n v="229"/>
    <x v="0"/>
    <x v="0"/>
    <s v="Fashion"/>
    <n v="120"/>
    <n v="583.94999999999993"/>
    <n v="360"/>
    <n v="223.94999999999993"/>
    <x v="0"/>
  </r>
  <r>
    <s v="ORD53777"/>
    <d v="2025-01-10T00:00:00"/>
    <s v="Mall of the Emirates"/>
    <s v="P404"/>
    <n v="1"/>
    <n v="189"/>
    <x v="3"/>
    <x v="6"/>
    <s v="Beauty"/>
    <n v="85"/>
    <n v="189"/>
    <n v="85"/>
    <n v="104"/>
    <x v="0"/>
  </r>
  <r>
    <s v="ORD54031"/>
    <d v="2025-01-10T00:00:00"/>
    <s v="Dubai Mall"/>
    <s v="P404"/>
    <n v="2"/>
    <n v="189"/>
    <x v="5"/>
    <x v="6"/>
    <s v="Beauty"/>
    <n v="85"/>
    <n v="302.40000000000003"/>
    <n v="170"/>
    <n v="132.40000000000003"/>
    <x v="0"/>
  </r>
  <r>
    <s v="ORD54129"/>
    <d v="2025-01-10T00:00:00"/>
    <s v="Dubai Mall"/>
    <s v="P504"/>
    <n v="2"/>
    <n v="2499"/>
    <x v="6"/>
    <x v="33"/>
    <s v="Sports"/>
    <n v="2150"/>
    <n v="3748.5"/>
    <n v="4300"/>
    <n v="-551.5"/>
    <x v="0"/>
  </r>
  <r>
    <s v="ORD50367"/>
    <d v="2025-01-11T00:00:00"/>
    <s v="Mall of the Emirates"/>
    <s v="P506"/>
    <n v="2"/>
    <n v="69"/>
    <x v="2"/>
    <x v="34"/>
    <s v="Sports"/>
    <n v="25"/>
    <n v="124.2"/>
    <n v="50"/>
    <n v="74.2"/>
    <x v="0"/>
  </r>
  <r>
    <s v="ORD50438"/>
    <d v="2025-01-11T00:00:00"/>
    <s v="Online"/>
    <s v="P306"/>
    <n v="4"/>
    <n v="249"/>
    <x v="1"/>
    <x v="3"/>
    <s v="Fashion"/>
    <n v="95"/>
    <n v="946.19999999999993"/>
    <n v="380"/>
    <n v="566.19999999999993"/>
    <x v="0"/>
  </r>
  <r>
    <s v="ORD50715"/>
    <d v="2025-01-11T00:00:00"/>
    <s v="City Centre Deira"/>
    <s v="P308"/>
    <n v="1"/>
    <n v="229"/>
    <x v="3"/>
    <x v="0"/>
    <s v="Fashion"/>
    <n v="120"/>
    <n v="229"/>
    <n v="120"/>
    <n v="109"/>
    <x v="0"/>
  </r>
  <r>
    <s v="ORD51060"/>
    <d v="2025-01-11T00:00:00"/>
    <s v="City Centre Deira"/>
    <s v="P105"/>
    <n v="1"/>
    <n v="899"/>
    <x v="5"/>
    <x v="31"/>
    <s v="Electronics"/>
    <n v="610"/>
    <n v="719.2"/>
    <n v="610"/>
    <n v="109.20000000000005"/>
    <x v="0"/>
  </r>
  <r>
    <s v="ORD51176"/>
    <d v="2025-01-11T00:00:00"/>
    <s v="Online"/>
    <s v="P404"/>
    <n v="3"/>
    <n v="189"/>
    <x v="2"/>
    <x v="6"/>
    <s v="Beauty"/>
    <n v="85"/>
    <n v="510.3"/>
    <n v="255"/>
    <n v="255.3"/>
    <x v="0"/>
  </r>
  <r>
    <s v="ORD51207"/>
    <d v="2025-01-11T00:00:00"/>
    <s v="Mall of the Emirates"/>
    <s v="P406"/>
    <n v="1"/>
    <n v="199"/>
    <x v="2"/>
    <x v="4"/>
    <s v="Beauty"/>
    <n v="90"/>
    <n v="179.1"/>
    <n v="90"/>
    <n v="89.1"/>
    <x v="0"/>
  </r>
  <r>
    <s v="ORD51387"/>
    <d v="2025-01-11T00:00:00"/>
    <s v="Online"/>
    <s v="P203"/>
    <n v="1"/>
    <n v="349"/>
    <x v="1"/>
    <x v="21"/>
    <s v="Home &amp; Kitchen"/>
    <n v="170"/>
    <n v="331.55"/>
    <n v="170"/>
    <n v="161.55000000000001"/>
    <x v="0"/>
  </r>
  <r>
    <s v="ORD51452"/>
    <d v="2025-01-11T00:00:00"/>
    <s v="City Centre Deira"/>
    <s v="P205"/>
    <n v="2"/>
    <n v="289"/>
    <x v="0"/>
    <x v="9"/>
    <s v="Home &amp; Kitchen"/>
    <n v="140"/>
    <n v="491.3"/>
    <n v="280"/>
    <n v="211.3"/>
    <x v="0"/>
  </r>
  <r>
    <s v="ORD51545"/>
    <d v="2025-01-11T00:00:00"/>
    <s v="Ibn Battuta Mall"/>
    <s v="P106"/>
    <n v="1"/>
    <n v="149"/>
    <x v="3"/>
    <x v="30"/>
    <s v="Electronics"/>
    <n v="70"/>
    <n v="149"/>
    <n v="70"/>
    <n v="79"/>
    <x v="0"/>
  </r>
  <r>
    <s v="ORD51822"/>
    <d v="2025-01-11T00:00:00"/>
    <s v="Mall of the Emirates"/>
    <s v="P206"/>
    <n v="2"/>
    <n v="129"/>
    <x v="2"/>
    <x v="28"/>
    <s v="Home &amp; Kitchen"/>
    <n v="60"/>
    <n v="232.20000000000002"/>
    <n v="120"/>
    <n v="112.20000000000002"/>
    <x v="0"/>
  </r>
  <r>
    <s v="ORD51839"/>
    <d v="2025-01-11T00:00:00"/>
    <s v="Online"/>
    <s v="P302"/>
    <n v="1"/>
    <n v="459"/>
    <x v="3"/>
    <x v="10"/>
    <s v="Fashion"/>
    <n v="190"/>
    <n v="459"/>
    <n v="190"/>
    <n v="269"/>
    <x v="0"/>
  </r>
  <r>
    <s v="ORD52005"/>
    <d v="2025-01-11T00:00:00"/>
    <s v="Online"/>
    <s v="P307"/>
    <n v="4"/>
    <n v="399"/>
    <x v="3"/>
    <x v="20"/>
    <s v="Fashion"/>
    <n v="210"/>
    <n v="1596"/>
    <n v="840"/>
    <n v="756"/>
    <x v="0"/>
  </r>
  <r>
    <s v="ORD52060"/>
    <d v="2025-01-11T00:00:00"/>
    <s v="Online"/>
    <s v="P208"/>
    <n v="1"/>
    <n v="259"/>
    <x v="2"/>
    <x v="22"/>
    <s v="Home &amp; Kitchen"/>
    <n v="115"/>
    <n v="233.1"/>
    <n v="115"/>
    <n v="118.1"/>
    <x v="0"/>
  </r>
  <r>
    <s v="ORD52937"/>
    <d v="2025-01-11T00:00:00"/>
    <s v="Mall of the Emirates"/>
    <s v="P208"/>
    <n v="1"/>
    <n v="259"/>
    <x v="5"/>
    <x v="22"/>
    <s v="Home &amp; Kitchen"/>
    <n v="115"/>
    <n v="207.20000000000002"/>
    <n v="115"/>
    <n v="92.200000000000017"/>
    <x v="0"/>
  </r>
  <r>
    <s v="ORD53169"/>
    <d v="2025-01-11T00:00:00"/>
    <s v="Online"/>
    <s v="P204"/>
    <n v="3"/>
    <n v="1199"/>
    <x v="0"/>
    <x v="27"/>
    <s v="Home &amp; Kitchen"/>
    <n v="1080"/>
    <n v="3057.45"/>
    <n v="3240"/>
    <n v="-182.55000000000018"/>
    <x v="0"/>
  </r>
  <r>
    <s v="ORD53889"/>
    <d v="2025-01-11T00:00:00"/>
    <s v="Dubai Mall"/>
    <s v="P307"/>
    <n v="1"/>
    <n v="399"/>
    <x v="1"/>
    <x v="20"/>
    <s v="Fashion"/>
    <n v="210"/>
    <n v="379.04999999999995"/>
    <n v="210"/>
    <n v="169.04999999999995"/>
    <x v="0"/>
  </r>
  <r>
    <s v="ORD54194"/>
    <d v="2025-01-11T00:00:00"/>
    <s v="Ibn Battuta Mall"/>
    <s v="P501"/>
    <n v="2"/>
    <n v="129"/>
    <x v="3"/>
    <x v="12"/>
    <s v="Sports"/>
    <n v="60"/>
    <n v="258"/>
    <n v="120"/>
    <n v="138"/>
    <x v="0"/>
  </r>
  <r>
    <s v="ORD50327"/>
    <d v="2025-01-12T00:00:00"/>
    <s v="Ibn Battuta Mall"/>
    <s v="P101"/>
    <n v="1"/>
    <n v="399"/>
    <x v="3"/>
    <x v="5"/>
    <s v="Electronics"/>
    <n v="230"/>
    <n v="399"/>
    <n v="230"/>
    <n v="169"/>
    <x v="0"/>
  </r>
  <r>
    <s v="ORD50365"/>
    <d v="2025-01-12T00:00:00"/>
    <s v="Dubai Mall"/>
    <s v="P308"/>
    <n v="1"/>
    <n v="229"/>
    <x v="3"/>
    <x v="0"/>
    <s v="Fashion"/>
    <n v="120"/>
    <n v="229"/>
    <n v="120"/>
    <n v="109"/>
    <x v="0"/>
  </r>
  <r>
    <s v="ORD50529"/>
    <d v="2025-01-12T00:00:00"/>
    <s v="Ibn Battuta Mall"/>
    <s v="P202"/>
    <n v="1"/>
    <n v="1499"/>
    <x v="1"/>
    <x v="26"/>
    <s v="Home &amp; Kitchen"/>
    <n v="1050"/>
    <n v="1424.05"/>
    <n v="1050"/>
    <n v="374.04999999999995"/>
    <x v="0"/>
  </r>
  <r>
    <s v="ORD51888"/>
    <d v="2025-01-12T00:00:00"/>
    <s v="Dubai Mall"/>
    <s v="P303"/>
    <n v="1"/>
    <n v="149"/>
    <x v="3"/>
    <x v="7"/>
    <s v="Fashion"/>
    <n v="80"/>
    <n v="149"/>
    <n v="80"/>
    <n v="69"/>
    <x v="0"/>
  </r>
  <r>
    <s v="ORD52766"/>
    <d v="2025-01-12T00:00:00"/>
    <s v="Dubai Mall"/>
    <s v="P301"/>
    <n v="1"/>
    <n v="179"/>
    <x v="5"/>
    <x v="2"/>
    <s v="Fashion"/>
    <n v="70"/>
    <n v="143.20000000000002"/>
    <n v="70"/>
    <n v="73.200000000000017"/>
    <x v="0"/>
  </r>
  <r>
    <s v="ORD53286"/>
    <d v="2025-01-12T00:00:00"/>
    <s v="Mall of the Emirates"/>
    <s v="P104"/>
    <n v="1"/>
    <n v="199"/>
    <x v="6"/>
    <x v="1"/>
    <s v="Electronics"/>
    <n v="175"/>
    <n v="149.25"/>
    <n v="175"/>
    <n v="-25.75"/>
    <x v="0"/>
  </r>
  <r>
    <s v="ORD53544"/>
    <d v="2025-01-12T00:00:00"/>
    <s v="Online"/>
    <s v="P404"/>
    <n v="1"/>
    <n v="189"/>
    <x v="3"/>
    <x v="6"/>
    <s v="Beauty"/>
    <n v="85"/>
    <n v="189"/>
    <n v="85"/>
    <n v="104"/>
    <x v="0"/>
  </r>
  <r>
    <s v="ORD53712"/>
    <d v="2025-01-12T00:00:00"/>
    <s v="Online"/>
    <s v="P301"/>
    <n v="4"/>
    <n v="179"/>
    <x v="3"/>
    <x v="2"/>
    <s v="Fashion"/>
    <n v="70"/>
    <n v="716"/>
    <n v="280"/>
    <n v="436"/>
    <x v="0"/>
  </r>
  <r>
    <s v="ORD50206"/>
    <d v="2025-01-13T00:00:00"/>
    <s v="Dubai Mall"/>
    <s v="P205"/>
    <n v="2"/>
    <n v="289"/>
    <x v="5"/>
    <x v="9"/>
    <s v="Home &amp; Kitchen"/>
    <n v="140"/>
    <n v="462.40000000000003"/>
    <n v="280"/>
    <n v="182.40000000000003"/>
    <x v="0"/>
  </r>
  <r>
    <s v="ORD50373"/>
    <d v="2025-01-13T00:00:00"/>
    <s v="Mall of the Emirates"/>
    <s v="P104"/>
    <n v="1"/>
    <n v="199"/>
    <x v="6"/>
    <x v="1"/>
    <s v="Electronics"/>
    <n v="175"/>
    <n v="149.25"/>
    <n v="175"/>
    <n v="-25.75"/>
    <x v="0"/>
  </r>
  <r>
    <s v="ORD50528"/>
    <d v="2025-01-13T00:00:00"/>
    <s v="Online"/>
    <s v="P105"/>
    <n v="1"/>
    <n v="899"/>
    <x v="2"/>
    <x v="31"/>
    <s v="Electronics"/>
    <n v="610"/>
    <n v="809.1"/>
    <n v="610"/>
    <n v="199.10000000000002"/>
    <x v="0"/>
  </r>
  <r>
    <s v="ORD50535"/>
    <d v="2025-01-13T00:00:00"/>
    <s v="Mall of the Emirates"/>
    <s v="P304"/>
    <n v="1"/>
    <n v="699"/>
    <x v="0"/>
    <x v="35"/>
    <s v="Fashion"/>
    <n v="380"/>
    <n v="594.15"/>
    <n v="380"/>
    <n v="214.14999999999998"/>
    <x v="0"/>
  </r>
  <r>
    <s v="ORD50763"/>
    <d v="2025-01-13T00:00:00"/>
    <s v="City Centre Deira"/>
    <s v="P306"/>
    <n v="2"/>
    <n v="249"/>
    <x v="0"/>
    <x v="3"/>
    <s v="Fashion"/>
    <n v="95"/>
    <n v="423.3"/>
    <n v="190"/>
    <n v="233.3"/>
    <x v="0"/>
  </r>
  <r>
    <s v="ORD50843"/>
    <d v="2025-01-13T00:00:00"/>
    <s v="Ibn Battuta Mall"/>
    <s v="P105"/>
    <n v="1"/>
    <n v="899"/>
    <x v="2"/>
    <x v="31"/>
    <s v="Electronics"/>
    <n v="610"/>
    <n v="809.1"/>
    <n v="610"/>
    <n v="199.10000000000002"/>
    <x v="0"/>
  </r>
  <r>
    <s v="ORD51239"/>
    <d v="2025-01-13T00:00:00"/>
    <s v="Online"/>
    <s v="P306"/>
    <n v="1"/>
    <n v="249"/>
    <x v="3"/>
    <x v="3"/>
    <s v="Fashion"/>
    <n v="95"/>
    <n v="249"/>
    <n v="95"/>
    <n v="154"/>
    <x v="0"/>
  </r>
  <r>
    <s v="ORD51315"/>
    <d v="2025-01-13T00:00:00"/>
    <s v="Online"/>
    <s v="P206"/>
    <n v="1"/>
    <n v="129"/>
    <x v="4"/>
    <x v="28"/>
    <s v="Home &amp; Kitchen"/>
    <n v="60"/>
    <n v="90.3"/>
    <n v="60"/>
    <n v="30.299999999999997"/>
    <x v="0"/>
  </r>
  <r>
    <s v="ORD51528"/>
    <d v="2025-01-13T00:00:00"/>
    <s v="Online"/>
    <s v="P102"/>
    <n v="1"/>
    <n v="249"/>
    <x v="3"/>
    <x v="13"/>
    <s v="Electronics"/>
    <n v="150"/>
    <n v="249"/>
    <n v="150"/>
    <n v="99"/>
    <x v="0"/>
  </r>
  <r>
    <s v="ORD51995"/>
    <d v="2025-01-13T00:00:00"/>
    <s v="Dubai Mall"/>
    <s v="P108"/>
    <n v="1"/>
    <n v="459"/>
    <x v="3"/>
    <x v="23"/>
    <s v="Electronics"/>
    <n v="300"/>
    <n v="459"/>
    <n v="300"/>
    <n v="159"/>
    <x v="0"/>
  </r>
  <r>
    <s v="ORD52672"/>
    <d v="2025-01-13T00:00:00"/>
    <s v="Online"/>
    <s v="P107"/>
    <n v="1"/>
    <n v="89"/>
    <x v="3"/>
    <x v="29"/>
    <s v="Electronics"/>
    <n v="35"/>
    <n v="89"/>
    <n v="35"/>
    <n v="54"/>
    <x v="0"/>
  </r>
  <r>
    <s v="ORD53064"/>
    <d v="2025-01-13T00:00:00"/>
    <s v="City Centre Deira"/>
    <s v="P405"/>
    <n v="1"/>
    <n v="89"/>
    <x v="3"/>
    <x v="24"/>
    <s v="Beauty"/>
    <n v="40"/>
    <n v="89"/>
    <n v="40"/>
    <n v="49"/>
    <x v="0"/>
  </r>
  <r>
    <s v="ORD53149"/>
    <d v="2025-01-13T00:00:00"/>
    <s v="Mall of the Emirates"/>
    <s v="P107"/>
    <n v="1"/>
    <n v="89"/>
    <x v="2"/>
    <x v="29"/>
    <s v="Electronics"/>
    <n v="35"/>
    <n v="80.100000000000009"/>
    <n v="35"/>
    <n v="45.100000000000009"/>
    <x v="0"/>
  </r>
  <r>
    <s v="ORD53331"/>
    <d v="2025-01-13T00:00:00"/>
    <s v="Ibn Battuta Mall"/>
    <s v="P302"/>
    <n v="2"/>
    <n v="459"/>
    <x v="1"/>
    <x v="10"/>
    <s v="Fashion"/>
    <n v="190"/>
    <n v="872.09999999999991"/>
    <n v="380"/>
    <n v="492.09999999999991"/>
    <x v="0"/>
  </r>
  <r>
    <s v="ORD53420"/>
    <d v="2025-01-13T00:00:00"/>
    <s v="Mall of the Emirates"/>
    <s v="P401"/>
    <n v="1"/>
    <n v="549"/>
    <x v="3"/>
    <x v="15"/>
    <s v="Beauty"/>
    <n v="250"/>
    <n v="549"/>
    <n v="250"/>
    <n v="299"/>
    <x v="0"/>
  </r>
  <r>
    <s v="ORD53799"/>
    <d v="2025-01-13T00:00:00"/>
    <s v="Ibn Battuta Mall"/>
    <s v="P105"/>
    <n v="1"/>
    <n v="899"/>
    <x v="0"/>
    <x v="31"/>
    <s v="Electronics"/>
    <n v="610"/>
    <n v="764.15"/>
    <n v="610"/>
    <n v="154.14999999999998"/>
    <x v="0"/>
  </r>
  <r>
    <s v="ORD50899"/>
    <d v="2025-01-14T00:00:00"/>
    <s v="Dubai Mall"/>
    <s v="P308"/>
    <n v="3"/>
    <n v="229"/>
    <x v="2"/>
    <x v="0"/>
    <s v="Fashion"/>
    <n v="120"/>
    <n v="618.30000000000007"/>
    <n v="360"/>
    <n v="258.30000000000007"/>
    <x v="0"/>
  </r>
  <r>
    <s v="ORD51050"/>
    <d v="2025-01-14T00:00:00"/>
    <s v="City Centre Deira"/>
    <s v="P108"/>
    <n v="2"/>
    <n v="459"/>
    <x v="3"/>
    <x v="23"/>
    <s v="Electronics"/>
    <n v="300"/>
    <n v="918"/>
    <n v="600"/>
    <n v="318"/>
    <x v="0"/>
  </r>
  <r>
    <s v="ORD51532"/>
    <d v="2025-01-14T00:00:00"/>
    <s v="Online"/>
    <s v="P505"/>
    <n v="1"/>
    <n v="99"/>
    <x v="1"/>
    <x v="11"/>
    <s v="Sports"/>
    <n v="45"/>
    <n v="94.05"/>
    <n v="45"/>
    <n v="49.05"/>
    <x v="0"/>
  </r>
  <r>
    <s v="ORD51580"/>
    <d v="2025-01-14T00:00:00"/>
    <s v="Mall of the Emirates"/>
    <s v="P505"/>
    <n v="1"/>
    <n v="99"/>
    <x v="3"/>
    <x v="11"/>
    <s v="Sports"/>
    <n v="45"/>
    <n v="99"/>
    <n v="45"/>
    <n v="54"/>
    <x v="0"/>
  </r>
  <r>
    <s v="ORD51748"/>
    <d v="2025-01-14T00:00:00"/>
    <s v="Dubai Mall"/>
    <s v="P201"/>
    <n v="1"/>
    <n v="499"/>
    <x v="0"/>
    <x v="16"/>
    <s v="Home &amp; Kitchen"/>
    <n v="290"/>
    <n v="424.15"/>
    <n v="290"/>
    <n v="134.14999999999998"/>
    <x v="0"/>
  </r>
  <r>
    <s v="ORD51755"/>
    <d v="2025-01-14T00:00:00"/>
    <s v="Ibn Battuta Mall"/>
    <s v="P301"/>
    <n v="1"/>
    <n v="179"/>
    <x v="1"/>
    <x v="2"/>
    <s v="Fashion"/>
    <n v="70"/>
    <n v="170.04999999999998"/>
    <n v="70"/>
    <n v="100.04999999999998"/>
    <x v="0"/>
  </r>
  <r>
    <s v="ORD51832"/>
    <d v="2025-01-14T00:00:00"/>
    <s v="Online"/>
    <s v="P101"/>
    <n v="1"/>
    <n v="399"/>
    <x v="5"/>
    <x v="5"/>
    <s v="Electronics"/>
    <n v="230"/>
    <n v="319.20000000000005"/>
    <n v="230"/>
    <n v="89.200000000000045"/>
    <x v="0"/>
  </r>
  <r>
    <s v="ORD52002"/>
    <d v="2025-01-14T00:00:00"/>
    <s v="Dubai Mall"/>
    <s v="P303"/>
    <n v="1"/>
    <n v="149"/>
    <x v="3"/>
    <x v="7"/>
    <s v="Fashion"/>
    <n v="80"/>
    <n v="149"/>
    <n v="80"/>
    <n v="69"/>
    <x v="0"/>
  </r>
  <r>
    <s v="ORD53602"/>
    <d v="2025-01-14T00:00:00"/>
    <s v="City Centre Deira"/>
    <s v="P107"/>
    <n v="1"/>
    <n v="89"/>
    <x v="3"/>
    <x v="29"/>
    <s v="Electronics"/>
    <n v="35"/>
    <n v="89"/>
    <n v="35"/>
    <n v="54"/>
    <x v="0"/>
  </r>
  <r>
    <s v="ORD53649"/>
    <d v="2025-01-14T00:00:00"/>
    <s v="Online"/>
    <s v="P208"/>
    <n v="3"/>
    <n v="259"/>
    <x v="3"/>
    <x v="22"/>
    <s v="Home &amp; Kitchen"/>
    <n v="115"/>
    <n v="777"/>
    <n v="345"/>
    <n v="432"/>
    <x v="0"/>
  </r>
  <r>
    <s v="ORD54010"/>
    <d v="2025-01-14T00:00:00"/>
    <s v="Ibn Battuta Mall"/>
    <s v="P301"/>
    <n v="1"/>
    <n v="179"/>
    <x v="1"/>
    <x v="2"/>
    <s v="Fashion"/>
    <n v="70"/>
    <n v="170.04999999999998"/>
    <n v="70"/>
    <n v="100.04999999999998"/>
    <x v="0"/>
  </r>
  <r>
    <s v="ORD54069"/>
    <d v="2025-01-14T00:00:00"/>
    <s v="Mall of the Emirates"/>
    <s v="P107"/>
    <n v="2"/>
    <n v="89"/>
    <x v="4"/>
    <x v="29"/>
    <s v="Electronics"/>
    <n v="35"/>
    <n v="124.6"/>
    <n v="70"/>
    <n v="54.599999999999994"/>
    <x v="0"/>
  </r>
  <r>
    <s v="ORD50065"/>
    <d v="2025-01-15T00:00:00"/>
    <s v="Online"/>
    <s v="P107"/>
    <n v="1"/>
    <n v="89"/>
    <x v="3"/>
    <x v="29"/>
    <s v="Electronics"/>
    <n v="35"/>
    <n v="89"/>
    <n v="35"/>
    <n v="54"/>
    <x v="0"/>
  </r>
  <r>
    <s v="ORD51359"/>
    <d v="2025-01-15T00:00:00"/>
    <s v="Dubai Mall"/>
    <s v="P404"/>
    <n v="3"/>
    <n v="189"/>
    <x v="0"/>
    <x v="6"/>
    <s v="Beauty"/>
    <n v="85"/>
    <n v="481.95"/>
    <n v="255"/>
    <n v="226.95"/>
    <x v="0"/>
  </r>
  <r>
    <s v="ORD51651"/>
    <d v="2025-01-15T00:00:00"/>
    <s v="Mall of the Emirates"/>
    <s v="P104"/>
    <n v="1"/>
    <n v="199"/>
    <x v="2"/>
    <x v="1"/>
    <s v="Electronics"/>
    <n v="175"/>
    <n v="179.1"/>
    <n v="175"/>
    <n v="4.0999999999999943"/>
    <x v="0"/>
  </r>
  <r>
    <s v="ORD51943"/>
    <d v="2025-01-15T00:00:00"/>
    <s v="Mall of the Emirates"/>
    <s v="P102"/>
    <n v="1"/>
    <n v="249"/>
    <x v="3"/>
    <x v="13"/>
    <s v="Electronics"/>
    <n v="150"/>
    <n v="249"/>
    <n v="150"/>
    <n v="99"/>
    <x v="0"/>
  </r>
  <r>
    <s v="ORD52029"/>
    <d v="2025-01-15T00:00:00"/>
    <s v="Dubai Mall"/>
    <s v="P204"/>
    <n v="1"/>
    <n v="1199"/>
    <x v="5"/>
    <x v="27"/>
    <s v="Home &amp; Kitchen"/>
    <n v="1080"/>
    <n v="959.2"/>
    <n v="1080"/>
    <n v="-120.79999999999995"/>
    <x v="0"/>
  </r>
  <r>
    <s v="ORD52248"/>
    <d v="2025-01-15T00:00:00"/>
    <s v="Online"/>
    <s v="P106"/>
    <n v="1"/>
    <n v="149"/>
    <x v="3"/>
    <x v="30"/>
    <s v="Electronics"/>
    <n v="70"/>
    <n v="149"/>
    <n v="70"/>
    <n v="79"/>
    <x v="0"/>
  </r>
  <r>
    <s v="ORD52752"/>
    <d v="2025-01-15T00:00:00"/>
    <s v="Mall of the Emirates"/>
    <s v="P103"/>
    <n v="1"/>
    <n v="1299"/>
    <x v="3"/>
    <x v="25"/>
    <s v="Electronics"/>
    <n v="820"/>
    <n v="1299"/>
    <n v="820"/>
    <n v="479"/>
    <x v="0"/>
  </r>
  <r>
    <s v="ORD53518"/>
    <d v="2025-01-15T00:00:00"/>
    <s v="Online"/>
    <s v="P205"/>
    <n v="1"/>
    <n v="289"/>
    <x v="1"/>
    <x v="9"/>
    <s v="Home &amp; Kitchen"/>
    <n v="140"/>
    <n v="274.55"/>
    <n v="140"/>
    <n v="134.55000000000001"/>
    <x v="0"/>
  </r>
  <r>
    <s v="ORD50216"/>
    <d v="2025-01-16T00:00:00"/>
    <s v="Mall of the Emirates"/>
    <s v="P301"/>
    <n v="1"/>
    <n v="179"/>
    <x v="3"/>
    <x v="2"/>
    <s v="Fashion"/>
    <n v="70"/>
    <n v="179"/>
    <n v="70"/>
    <n v="109"/>
    <x v="0"/>
  </r>
  <r>
    <s v="ORD50600"/>
    <d v="2025-01-16T00:00:00"/>
    <s v="Mall of the Emirates"/>
    <s v="P201"/>
    <n v="2"/>
    <n v="499"/>
    <x v="3"/>
    <x v="16"/>
    <s v="Home &amp; Kitchen"/>
    <n v="290"/>
    <n v="998"/>
    <n v="580"/>
    <n v="418"/>
    <x v="0"/>
  </r>
  <r>
    <s v="ORD50820"/>
    <d v="2025-01-16T00:00:00"/>
    <s v="Online"/>
    <s v="P403"/>
    <n v="1"/>
    <n v="299"/>
    <x v="6"/>
    <x v="8"/>
    <s v="Beauty"/>
    <n v="240"/>
    <n v="224.25"/>
    <n v="240"/>
    <n v="-15.75"/>
    <x v="0"/>
  </r>
  <r>
    <s v="ORD51057"/>
    <d v="2025-01-16T00:00:00"/>
    <s v="City Centre Deira"/>
    <s v="P503"/>
    <n v="1"/>
    <n v="229"/>
    <x v="3"/>
    <x v="18"/>
    <s v="Sports"/>
    <n v="120"/>
    <n v="229"/>
    <n v="120"/>
    <n v="109"/>
    <x v="0"/>
  </r>
  <r>
    <s v="ORD52618"/>
    <d v="2025-01-16T00:00:00"/>
    <s v="Online"/>
    <s v="P208"/>
    <n v="1"/>
    <n v="259"/>
    <x v="3"/>
    <x v="22"/>
    <s v="Home &amp; Kitchen"/>
    <n v="115"/>
    <n v="259"/>
    <n v="115"/>
    <n v="144"/>
    <x v="0"/>
  </r>
  <r>
    <s v="ORD52839"/>
    <d v="2025-01-16T00:00:00"/>
    <s v="Ibn Battuta Mall"/>
    <s v="P307"/>
    <n v="1"/>
    <n v="399"/>
    <x v="4"/>
    <x v="20"/>
    <s v="Fashion"/>
    <n v="210"/>
    <n v="279.29999999999995"/>
    <n v="210"/>
    <n v="69.299999999999955"/>
    <x v="0"/>
  </r>
  <r>
    <s v="ORD53761"/>
    <d v="2025-01-16T00:00:00"/>
    <s v="Dubai Mall"/>
    <s v="P301"/>
    <n v="1"/>
    <n v="179"/>
    <x v="3"/>
    <x v="2"/>
    <s v="Fashion"/>
    <n v="70"/>
    <n v="179"/>
    <n v="70"/>
    <n v="109"/>
    <x v="0"/>
  </r>
  <r>
    <s v="ORD54093"/>
    <d v="2025-01-16T00:00:00"/>
    <s v="Mall of the Emirates"/>
    <s v="P303"/>
    <n v="3"/>
    <n v="149"/>
    <x v="3"/>
    <x v="7"/>
    <s v="Fashion"/>
    <n v="80"/>
    <n v="447"/>
    <n v="240"/>
    <n v="207"/>
    <x v="0"/>
  </r>
  <r>
    <s v="ORD50313"/>
    <d v="2025-01-17T00:00:00"/>
    <s v="Online"/>
    <s v="P208"/>
    <n v="1"/>
    <n v="259"/>
    <x v="3"/>
    <x v="22"/>
    <s v="Home &amp; Kitchen"/>
    <n v="115"/>
    <n v="259"/>
    <n v="115"/>
    <n v="144"/>
    <x v="0"/>
  </r>
  <r>
    <s v="ORD51044"/>
    <d v="2025-01-17T00:00:00"/>
    <s v="Mall of the Emirates"/>
    <s v="P405"/>
    <n v="1"/>
    <n v="89"/>
    <x v="2"/>
    <x v="24"/>
    <s v="Beauty"/>
    <n v="40"/>
    <n v="80.100000000000009"/>
    <n v="40"/>
    <n v="40.100000000000009"/>
    <x v="0"/>
  </r>
  <r>
    <s v="ORD51353"/>
    <d v="2025-01-17T00:00:00"/>
    <s v="Ibn Battuta Mall"/>
    <s v="P304"/>
    <n v="1"/>
    <n v="699"/>
    <x v="3"/>
    <x v="35"/>
    <s v="Fashion"/>
    <n v="380"/>
    <n v="699"/>
    <n v="380"/>
    <n v="319"/>
    <x v="0"/>
  </r>
  <r>
    <s v="ORD51391"/>
    <d v="2025-01-17T00:00:00"/>
    <s v="Dubai Mall"/>
    <s v="P207"/>
    <n v="1"/>
    <n v="399"/>
    <x v="5"/>
    <x v="32"/>
    <s v="Home &amp; Kitchen"/>
    <n v="250"/>
    <n v="319.20000000000005"/>
    <n v="250"/>
    <n v="69.200000000000045"/>
    <x v="0"/>
  </r>
  <r>
    <s v="ORD51450"/>
    <d v="2025-01-17T00:00:00"/>
    <s v="Dubai Mall"/>
    <s v="P207"/>
    <n v="2"/>
    <n v="399"/>
    <x v="3"/>
    <x v="32"/>
    <s v="Home &amp; Kitchen"/>
    <n v="250"/>
    <n v="798"/>
    <n v="500"/>
    <n v="298"/>
    <x v="0"/>
  </r>
  <r>
    <s v="ORD52139"/>
    <d v="2025-01-17T00:00:00"/>
    <s v="Online"/>
    <s v="P306"/>
    <n v="1"/>
    <n v="249"/>
    <x v="3"/>
    <x v="3"/>
    <s v="Fashion"/>
    <n v="95"/>
    <n v="249"/>
    <n v="95"/>
    <n v="154"/>
    <x v="0"/>
  </r>
  <r>
    <s v="ORD52211"/>
    <d v="2025-01-17T00:00:00"/>
    <s v="Online"/>
    <s v="P102"/>
    <n v="1"/>
    <n v="249"/>
    <x v="1"/>
    <x v="13"/>
    <s v="Electronics"/>
    <n v="150"/>
    <n v="236.54999999999998"/>
    <n v="150"/>
    <n v="86.549999999999983"/>
    <x v="0"/>
  </r>
  <r>
    <s v="ORD52275"/>
    <d v="2025-01-17T00:00:00"/>
    <s v="Dubai Mall"/>
    <s v="P308"/>
    <n v="2"/>
    <n v="229"/>
    <x v="5"/>
    <x v="0"/>
    <s v="Fashion"/>
    <n v="120"/>
    <n v="366.40000000000003"/>
    <n v="240"/>
    <n v="126.40000000000003"/>
    <x v="0"/>
  </r>
  <r>
    <s v="ORD52640"/>
    <d v="2025-01-17T00:00:00"/>
    <s v="Dubai Mall"/>
    <s v="P102"/>
    <n v="2"/>
    <n v="249"/>
    <x v="1"/>
    <x v="13"/>
    <s v="Electronics"/>
    <n v="150"/>
    <n v="473.09999999999997"/>
    <n v="300"/>
    <n v="173.09999999999997"/>
    <x v="0"/>
  </r>
  <r>
    <s v="ORD53269"/>
    <d v="2025-01-17T00:00:00"/>
    <s v="Online"/>
    <s v="P307"/>
    <n v="3"/>
    <n v="399"/>
    <x v="4"/>
    <x v="20"/>
    <s v="Fashion"/>
    <n v="210"/>
    <n v="837.9"/>
    <n v="630"/>
    <n v="207.89999999999998"/>
    <x v="0"/>
  </r>
  <r>
    <s v="ORD53681"/>
    <d v="2025-01-17T00:00:00"/>
    <s v="Online"/>
    <s v="P106"/>
    <n v="2"/>
    <n v="149"/>
    <x v="3"/>
    <x v="30"/>
    <s v="Electronics"/>
    <n v="70"/>
    <n v="298"/>
    <n v="140"/>
    <n v="158"/>
    <x v="0"/>
  </r>
  <r>
    <s v="ORD50582"/>
    <d v="2025-01-18T00:00:00"/>
    <s v="Mall of the Emirates"/>
    <s v="P105"/>
    <n v="1"/>
    <n v="899"/>
    <x v="3"/>
    <x v="31"/>
    <s v="Electronics"/>
    <n v="610"/>
    <n v="899"/>
    <n v="610"/>
    <n v="289"/>
    <x v="0"/>
  </r>
  <r>
    <s v="ORD51560"/>
    <d v="2025-01-18T00:00:00"/>
    <s v="Online"/>
    <s v="P308"/>
    <n v="1"/>
    <n v="229"/>
    <x v="3"/>
    <x v="0"/>
    <s v="Fashion"/>
    <n v="120"/>
    <n v="229"/>
    <n v="120"/>
    <n v="109"/>
    <x v="0"/>
  </r>
  <r>
    <s v="ORD51861"/>
    <d v="2025-01-18T00:00:00"/>
    <s v="Mall of the Emirates"/>
    <s v="P206"/>
    <n v="1"/>
    <n v="129"/>
    <x v="1"/>
    <x v="28"/>
    <s v="Home &amp; Kitchen"/>
    <n v="60"/>
    <n v="122.55"/>
    <n v="60"/>
    <n v="62.55"/>
    <x v="0"/>
  </r>
  <r>
    <s v="ORD51870"/>
    <d v="2025-01-18T00:00:00"/>
    <s v="Dubai Mall"/>
    <s v="P302"/>
    <n v="1"/>
    <n v="459"/>
    <x v="3"/>
    <x v="10"/>
    <s v="Fashion"/>
    <n v="190"/>
    <n v="459"/>
    <n v="190"/>
    <n v="269"/>
    <x v="0"/>
  </r>
  <r>
    <s v="ORD52509"/>
    <d v="2025-01-18T00:00:00"/>
    <s v="Online"/>
    <s v="P101"/>
    <n v="2"/>
    <n v="399"/>
    <x v="3"/>
    <x v="5"/>
    <s v="Electronics"/>
    <n v="230"/>
    <n v="798"/>
    <n v="460"/>
    <n v="338"/>
    <x v="0"/>
  </r>
  <r>
    <s v="ORD53114"/>
    <d v="2025-01-18T00:00:00"/>
    <s v="Online"/>
    <s v="P304"/>
    <n v="2"/>
    <n v="699"/>
    <x v="1"/>
    <x v="35"/>
    <s v="Fashion"/>
    <n v="380"/>
    <n v="1328.1"/>
    <n v="760"/>
    <n v="568.09999999999991"/>
    <x v="0"/>
  </r>
  <r>
    <s v="ORD53182"/>
    <d v="2025-01-18T00:00:00"/>
    <s v="Dubai Mall"/>
    <s v="P303"/>
    <n v="1"/>
    <n v="149"/>
    <x v="1"/>
    <x v="7"/>
    <s v="Fashion"/>
    <n v="80"/>
    <n v="141.54999999999998"/>
    <n v="80"/>
    <n v="61.549999999999983"/>
    <x v="0"/>
  </r>
  <r>
    <s v="ORD53298"/>
    <d v="2025-01-18T00:00:00"/>
    <s v="Mall of the Emirates"/>
    <s v="P302"/>
    <n v="2"/>
    <n v="459"/>
    <x v="3"/>
    <x v="10"/>
    <s v="Fashion"/>
    <n v="190"/>
    <n v="918"/>
    <n v="380"/>
    <n v="538"/>
    <x v="0"/>
  </r>
  <r>
    <s v="ORD50157"/>
    <d v="2025-01-19T00:00:00"/>
    <s v="Dubai Mall"/>
    <s v="P205"/>
    <n v="1"/>
    <n v="289"/>
    <x v="1"/>
    <x v="9"/>
    <s v="Home &amp; Kitchen"/>
    <n v="140"/>
    <n v="274.55"/>
    <n v="140"/>
    <n v="134.55000000000001"/>
    <x v="0"/>
  </r>
  <r>
    <s v="ORD50347"/>
    <d v="2025-01-19T00:00:00"/>
    <s v="Online"/>
    <s v="P502"/>
    <n v="1"/>
    <n v="799"/>
    <x v="0"/>
    <x v="19"/>
    <s v="Sports"/>
    <n v="700"/>
    <n v="679.15"/>
    <n v="700"/>
    <n v="-20.850000000000023"/>
    <x v="0"/>
  </r>
  <r>
    <s v="ORD50498"/>
    <d v="2025-01-19T00:00:00"/>
    <s v="City Centre Deira"/>
    <s v="P104"/>
    <n v="1"/>
    <n v="199"/>
    <x v="5"/>
    <x v="1"/>
    <s v="Electronics"/>
    <n v="175"/>
    <n v="159.20000000000002"/>
    <n v="175"/>
    <n v="-15.799999999999983"/>
    <x v="0"/>
  </r>
  <r>
    <s v="ORD50913"/>
    <d v="2025-01-19T00:00:00"/>
    <s v="Mall of the Emirates"/>
    <s v="P402"/>
    <n v="1"/>
    <n v="149"/>
    <x v="3"/>
    <x v="17"/>
    <s v="Beauty"/>
    <n v="55"/>
    <n v="149"/>
    <n v="55"/>
    <n v="94"/>
    <x v="0"/>
  </r>
  <r>
    <s v="ORD52011"/>
    <d v="2025-01-19T00:00:00"/>
    <s v="Online"/>
    <s v="P106"/>
    <n v="1"/>
    <n v="149"/>
    <x v="2"/>
    <x v="30"/>
    <s v="Electronics"/>
    <n v="70"/>
    <n v="134.1"/>
    <n v="70"/>
    <n v="64.099999999999994"/>
    <x v="0"/>
  </r>
  <r>
    <s v="ORD52195"/>
    <d v="2025-01-19T00:00:00"/>
    <s v="Mall of the Emirates"/>
    <s v="P404"/>
    <n v="1"/>
    <n v="189"/>
    <x v="2"/>
    <x v="6"/>
    <s v="Beauty"/>
    <n v="85"/>
    <n v="170.1"/>
    <n v="85"/>
    <n v="85.1"/>
    <x v="0"/>
  </r>
  <r>
    <s v="ORD52237"/>
    <d v="2025-01-19T00:00:00"/>
    <s v="Ibn Battuta Mall"/>
    <s v="P107"/>
    <n v="3"/>
    <n v="89"/>
    <x v="2"/>
    <x v="29"/>
    <s v="Electronics"/>
    <n v="35"/>
    <n v="240.3"/>
    <n v="105"/>
    <n v="135.30000000000001"/>
    <x v="0"/>
  </r>
  <r>
    <s v="ORD52406"/>
    <d v="2025-01-19T00:00:00"/>
    <s v="City Centre Deira"/>
    <s v="P401"/>
    <n v="1"/>
    <n v="549"/>
    <x v="3"/>
    <x v="15"/>
    <s v="Beauty"/>
    <n v="250"/>
    <n v="549"/>
    <n v="250"/>
    <n v="299"/>
    <x v="0"/>
  </r>
  <r>
    <s v="ORD52619"/>
    <d v="2025-01-19T00:00:00"/>
    <s v="Online"/>
    <s v="P306"/>
    <n v="2"/>
    <n v="249"/>
    <x v="0"/>
    <x v="3"/>
    <s v="Fashion"/>
    <n v="95"/>
    <n v="423.3"/>
    <n v="190"/>
    <n v="233.3"/>
    <x v="0"/>
  </r>
  <r>
    <s v="ORD52690"/>
    <d v="2025-01-19T00:00:00"/>
    <s v="Online"/>
    <s v="P307"/>
    <n v="1"/>
    <n v="399"/>
    <x v="3"/>
    <x v="20"/>
    <s v="Fashion"/>
    <n v="210"/>
    <n v="399"/>
    <n v="210"/>
    <n v="189"/>
    <x v="0"/>
  </r>
  <r>
    <s v="ORD52726"/>
    <d v="2025-01-19T00:00:00"/>
    <s v="City Centre Deira"/>
    <s v="P101"/>
    <n v="1"/>
    <n v="399"/>
    <x v="3"/>
    <x v="5"/>
    <s v="Electronics"/>
    <n v="230"/>
    <n v="399"/>
    <n v="230"/>
    <n v="169"/>
    <x v="0"/>
  </r>
  <r>
    <s v="ORD53354"/>
    <d v="2025-01-19T00:00:00"/>
    <s v="Online"/>
    <s v="P405"/>
    <n v="2"/>
    <n v="89"/>
    <x v="2"/>
    <x v="24"/>
    <s v="Beauty"/>
    <n v="40"/>
    <n v="160.20000000000002"/>
    <n v="80"/>
    <n v="80.200000000000017"/>
    <x v="0"/>
  </r>
  <r>
    <s v="ORD50064"/>
    <d v="2025-01-20T00:00:00"/>
    <s v="Ibn Battuta Mall"/>
    <s v="P301"/>
    <n v="2"/>
    <n v="179"/>
    <x v="1"/>
    <x v="2"/>
    <s v="Fashion"/>
    <n v="70"/>
    <n v="340.09999999999997"/>
    <n v="140"/>
    <n v="200.09999999999997"/>
    <x v="0"/>
  </r>
  <r>
    <s v="ORD50342"/>
    <d v="2025-01-20T00:00:00"/>
    <s v="Dubai Mall"/>
    <s v="P401"/>
    <n v="2"/>
    <n v="549"/>
    <x v="1"/>
    <x v="15"/>
    <s v="Beauty"/>
    <n v="250"/>
    <n v="1043.0999999999999"/>
    <n v="500"/>
    <n v="543.09999999999991"/>
    <x v="0"/>
  </r>
  <r>
    <s v="ORD50586"/>
    <d v="2025-01-20T00:00:00"/>
    <s v="Dubai Mall"/>
    <s v="P306"/>
    <n v="1"/>
    <n v="249"/>
    <x v="1"/>
    <x v="3"/>
    <s v="Fashion"/>
    <n v="95"/>
    <n v="236.54999999999998"/>
    <n v="95"/>
    <n v="141.54999999999998"/>
    <x v="0"/>
  </r>
  <r>
    <s v="ORD50627"/>
    <d v="2025-01-20T00:00:00"/>
    <s v="Mall of the Emirates"/>
    <s v="P505"/>
    <n v="1"/>
    <n v="99"/>
    <x v="5"/>
    <x v="11"/>
    <s v="Sports"/>
    <n v="45"/>
    <n v="79.2"/>
    <n v="45"/>
    <n v="34.200000000000003"/>
    <x v="0"/>
  </r>
  <r>
    <s v="ORD50707"/>
    <d v="2025-01-20T00:00:00"/>
    <s v="Online"/>
    <s v="P502"/>
    <n v="2"/>
    <n v="799"/>
    <x v="5"/>
    <x v="19"/>
    <s v="Sports"/>
    <n v="700"/>
    <n v="1278.4000000000001"/>
    <n v="1400"/>
    <n v="-121.59999999999991"/>
    <x v="0"/>
  </r>
  <r>
    <s v="ORD51031"/>
    <d v="2025-01-20T00:00:00"/>
    <s v="Online"/>
    <s v="P207"/>
    <n v="3"/>
    <n v="399"/>
    <x v="0"/>
    <x v="32"/>
    <s v="Home &amp; Kitchen"/>
    <n v="250"/>
    <n v="1017.4499999999999"/>
    <n v="750"/>
    <n v="267.44999999999993"/>
    <x v="0"/>
  </r>
  <r>
    <s v="ORD51107"/>
    <d v="2025-01-20T00:00:00"/>
    <s v="Dubai Mall"/>
    <s v="P206"/>
    <n v="2"/>
    <n v="129"/>
    <x v="0"/>
    <x v="28"/>
    <s v="Home &amp; Kitchen"/>
    <n v="60"/>
    <n v="219.29999999999998"/>
    <n v="120"/>
    <n v="99.299999999999983"/>
    <x v="0"/>
  </r>
  <r>
    <s v="ORD51214"/>
    <d v="2025-01-20T00:00:00"/>
    <s v="City Centre Deira"/>
    <s v="P105"/>
    <n v="2"/>
    <n v="899"/>
    <x v="3"/>
    <x v="31"/>
    <s v="Electronics"/>
    <n v="610"/>
    <n v="1798"/>
    <n v="1220"/>
    <n v="578"/>
    <x v="0"/>
  </r>
  <r>
    <s v="ORD51244"/>
    <d v="2025-01-20T00:00:00"/>
    <s v="Ibn Battuta Mall"/>
    <s v="P108"/>
    <n v="1"/>
    <n v="459"/>
    <x v="3"/>
    <x v="23"/>
    <s v="Electronics"/>
    <n v="300"/>
    <n v="459"/>
    <n v="300"/>
    <n v="159"/>
    <x v="0"/>
  </r>
  <r>
    <s v="ORD51522"/>
    <d v="2025-01-20T00:00:00"/>
    <s v="City Centre Deira"/>
    <s v="P501"/>
    <n v="1"/>
    <n v="129"/>
    <x v="1"/>
    <x v="12"/>
    <s v="Sports"/>
    <n v="60"/>
    <n v="122.55"/>
    <n v="60"/>
    <n v="62.55"/>
    <x v="0"/>
  </r>
  <r>
    <s v="ORD51714"/>
    <d v="2025-01-20T00:00:00"/>
    <s v="Dubai Mall"/>
    <s v="P406"/>
    <n v="1"/>
    <n v="199"/>
    <x v="5"/>
    <x v="4"/>
    <s v="Beauty"/>
    <n v="90"/>
    <n v="159.20000000000002"/>
    <n v="90"/>
    <n v="69.200000000000017"/>
    <x v="0"/>
  </r>
  <r>
    <s v="ORD51742"/>
    <d v="2025-01-20T00:00:00"/>
    <s v="Online"/>
    <s v="P301"/>
    <n v="2"/>
    <n v="179"/>
    <x v="3"/>
    <x v="2"/>
    <s v="Fashion"/>
    <n v="70"/>
    <n v="358"/>
    <n v="140"/>
    <n v="218"/>
    <x v="0"/>
  </r>
  <r>
    <s v="ORD52203"/>
    <d v="2025-01-20T00:00:00"/>
    <s v="Online"/>
    <s v="P308"/>
    <n v="3"/>
    <n v="229"/>
    <x v="3"/>
    <x v="0"/>
    <s v="Fashion"/>
    <n v="120"/>
    <n v="687"/>
    <n v="360"/>
    <n v="327"/>
    <x v="0"/>
  </r>
  <r>
    <s v="ORD52448"/>
    <d v="2025-01-20T00:00:00"/>
    <s v="City Centre Deira"/>
    <s v="P206"/>
    <n v="1"/>
    <n v="129"/>
    <x v="2"/>
    <x v="28"/>
    <s v="Home &amp; Kitchen"/>
    <n v="60"/>
    <n v="116.10000000000001"/>
    <n v="60"/>
    <n v="56.100000000000009"/>
    <x v="0"/>
  </r>
  <r>
    <s v="ORD52534"/>
    <d v="2025-01-20T00:00:00"/>
    <s v="Dubai Mall"/>
    <s v="P102"/>
    <n v="2"/>
    <n v="249"/>
    <x v="2"/>
    <x v="13"/>
    <s v="Electronics"/>
    <n v="150"/>
    <n v="448.2"/>
    <n v="300"/>
    <n v="148.19999999999999"/>
    <x v="0"/>
  </r>
  <r>
    <s v="ORD52613"/>
    <d v="2025-01-20T00:00:00"/>
    <s v="City Centre Deira"/>
    <s v="P102"/>
    <n v="1"/>
    <n v="249"/>
    <x v="2"/>
    <x v="13"/>
    <s v="Electronics"/>
    <n v="150"/>
    <n v="224.1"/>
    <n v="150"/>
    <n v="74.099999999999994"/>
    <x v="0"/>
  </r>
  <r>
    <s v="ORD53101"/>
    <d v="2025-01-20T00:00:00"/>
    <s v="Mall of the Emirates"/>
    <s v="P403"/>
    <n v="3"/>
    <n v="299"/>
    <x v="5"/>
    <x v="8"/>
    <s v="Beauty"/>
    <n v="240"/>
    <n v="717.6"/>
    <n v="720"/>
    <n v="-2.3999999999999773"/>
    <x v="0"/>
  </r>
  <r>
    <s v="ORD53212"/>
    <d v="2025-01-20T00:00:00"/>
    <s v="Online"/>
    <s v="P501"/>
    <n v="2"/>
    <n v="129"/>
    <x v="3"/>
    <x v="12"/>
    <s v="Sports"/>
    <n v="60"/>
    <n v="258"/>
    <n v="120"/>
    <n v="138"/>
    <x v="0"/>
  </r>
  <r>
    <s v="ORD53663"/>
    <d v="2025-01-20T00:00:00"/>
    <s v="Dubai Mall"/>
    <s v="P305"/>
    <n v="1"/>
    <n v="429"/>
    <x v="1"/>
    <x v="14"/>
    <s v="Fashion"/>
    <n v="300"/>
    <n v="407.54999999999995"/>
    <n v="300"/>
    <n v="107.54999999999995"/>
    <x v="0"/>
  </r>
  <r>
    <s v="ORD53763"/>
    <d v="2025-01-20T00:00:00"/>
    <s v="City Centre Deira"/>
    <s v="P201"/>
    <n v="2"/>
    <n v="499"/>
    <x v="3"/>
    <x v="16"/>
    <s v="Home &amp; Kitchen"/>
    <n v="290"/>
    <n v="998"/>
    <n v="580"/>
    <n v="418"/>
    <x v="0"/>
  </r>
  <r>
    <s v="ORD53923"/>
    <d v="2025-01-20T00:00:00"/>
    <s v="Dubai Mall"/>
    <s v="P308"/>
    <n v="1"/>
    <n v="229"/>
    <x v="2"/>
    <x v="0"/>
    <s v="Fashion"/>
    <n v="120"/>
    <n v="206.1"/>
    <n v="120"/>
    <n v="86.1"/>
    <x v="0"/>
  </r>
  <r>
    <s v="ORD50250"/>
    <d v="2025-01-21T00:00:00"/>
    <s v="Ibn Battuta Mall"/>
    <s v="P106"/>
    <n v="4"/>
    <n v="149"/>
    <x v="2"/>
    <x v="30"/>
    <s v="Electronics"/>
    <n v="70"/>
    <n v="536.4"/>
    <n v="280"/>
    <n v="256.39999999999998"/>
    <x v="0"/>
  </r>
  <r>
    <s v="ORD50262"/>
    <d v="2025-01-21T00:00:00"/>
    <s v="Ibn Battuta Mall"/>
    <s v="P107"/>
    <n v="1"/>
    <n v="89"/>
    <x v="3"/>
    <x v="29"/>
    <s v="Electronics"/>
    <n v="35"/>
    <n v="89"/>
    <n v="35"/>
    <n v="54"/>
    <x v="0"/>
  </r>
  <r>
    <s v="ORD50267"/>
    <d v="2025-01-21T00:00:00"/>
    <s v="City Centre Deira"/>
    <s v="P405"/>
    <n v="1"/>
    <n v="89"/>
    <x v="3"/>
    <x v="24"/>
    <s v="Beauty"/>
    <n v="40"/>
    <n v="89"/>
    <n v="40"/>
    <n v="49"/>
    <x v="0"/>
  </r>
  <r>
    <s v="ORD50557"/>
    <d v="2025-01-21T00:00:00"/>
    <s v="Mall of the Emirates"/>
    <s v="P306"/>
    <n v="1"/>
    <n v="249"/>
    <x v="5"/>
    <x v="3"/>
    <s v="Fashion"/>
    <n v="95"/>
    <n v="199.20000000000002"/>
    <n v="95"/>
    <n v="104.20000000000002"/>
    <x v="0"/>
  </r>
  <r>
    <s v="ORD50631"/>
    <d v="2025-01-21T00:00:00"/>
    <s v="Dubai Mall"/>
    <s v="P404"/>
    <n v="2"/>
    <n v="189"/>
    <x v="1"/>
    <x v="6"/>
    <s v="Beauty"/>
    <n v="85"/>
    <n v="359.09999999999997"/>
    <n v="170"/>
    <n v="189.09999999999997"/>
    <x v="0"/>
  </r>
  <r>
    <s v="ORD50994"/>
    <d v="2025-01-21T00:00:00"/>
    <s v="Online"/>
    <s v="P107"/>
    <n v="2"/>
    <n v="89"/>
    <x v="0"/>
    <x v="29"/>
    <s v="Electronics"/>
    <n v="35"/>
    <n v="151.29999999999998"/>
    <n v="70"/>
    <n v="81.299999999999983"/>
    <x v="0"/>
  </r>
  <r>
    <s v="ORD51906"/>
    <d v="2025-01-21T00:00:00"/>
    <s v="Dubai Mall"/>
    <s v="P305"/>
    <n v="2"/>
    <n v="429"/>
    <x v="3"/>
    <x v="14"/>
    <s v="Fashion"/>
    <n v="300"/>
    <n v="858"/>
    <n v="600"/>
    <n v="258"/>
    <x v="0"/>
  </r>
  <r>
    <s v="ORD52336"/>
    <d v="2025-01-21T00:00:00"/>
    <s v="Online"/>
    <s v="P106"/>
    <n v="1"/>
    <n v="149"/>
    <x v="3"/>
    <x v="30"/>
    <s v="Electronics"/>
    <n v="70"/>
    <n v="149"/>
    <n v="70"/>
    <n v="79"/>
    <x v="0"/>
  </r>
  <r>
    <s v="ORD52496"/>
    <d v="2025-01-21T00:00:00"/>
    <s v="Ibn Battuta Mall"/>
    <s v="P304"/>
    <n v="1"/>
    <n v="699"/>
    <x v="3"/>
    <x v="35"/>
    <s v="Fashion"/>
    <n v="380"/>
    <n v="699"/>
    <n v="380"/>
    <n v="319"/>
    <x v="0"/>
  </r>
  <r>
    <s v="ORD52612"/>
    <d v="2025-01-21T00:00:00"/>
    <s v="Mall of the Emirates"/>
    <s v="P502"/>
    <n v="3"/>
    <n v="799"/>
    <x v="0"/>
    <x v="19"/>
    <s v="Sports"/>
    <n v="700"/>
    <n v="2037.45"/>
    <n v="2100"/>
    <n v="-62.549999999999955"/>
    <x v="0"/>
  </r>
  <r>
    <s v="ORD52673"/>
    <d v="2025-01-21T00:00:00"/>
    <s v="Dubai Mall"/>
    <s v="P406"/>
    <n v="3"/>
    <n v="199"/>
    <x v="1"/>
    <x v="4"/>
    <s v="Beauty"/>
    <n v="90"/>
    <n v="567.15"/>
    <n v="270"/>
    <n v="297.14999999999998"/>
    <x v="0"/>
  </r>
  <r>
    <s v="ORD52806"/>
    <d v="2025-01-21T00:00:00"/>
    <s v="City Centre Deira"/>
    <s v="P307"/>
    <n v="2"/>
    <n v="399"/>
    <x v="2"/>
    <x v="20"/>
    <s v="Fashion"/>
    <n v="210"/>
    <n v="718.2"/>
    <n v="420"/>
    <n v="298.20000000000005"/>
    <x v="0"/>
  </r>
  <r>
    <s v="ORD52977"/>
    <d v="2025-01-21T00:00:00"/>
    <s v="Mall of the Emirates"/>
    <s v="P101"/>
    <n v="1"/>
    <n v="399"/>
    <x v="1"/>
    <x v="5"/>
    <s v="Electronics"/>
    <n v="230"/>
    <n v="379.04999999999995"/>
    <n v="230"/>
    <n v="149.04999999999995"/>
    <x v="0"/>
  </r>
  <r>
    <s v="ORD53334"/>
    <d v="2025-01-21T00:00:00"/>
    <s v="Ibn Battuta Mall"/>
    <s v="P107"/>
    <n v="3"/>
    <n v="89"/>
    <x v="5"/>
    <x v="29"/>
    <s v="Electronics"/>
    <n v="35"/>
    <n v="213.60000000000002"/>
    <n v="105"/>
    <n v="108.60000000000002"/>
    <x v="0"/>
  </r>
  <r>
    <s v="ORD53368"/>
    <d v="2025-01-21T00:00:00"/>
    <s v="Mall of the Emirates"/>
    <s v="P101"/>
    <n v="2"/>
    <n v="399"/>
    <x v="3"/>
    <x v="5"/>
    <s v="Electronics"/>
    <n v="230"/>
    <n v="798"/>
    <n v="460"/>
    <n v="338"/>
    <x v="0"/>
  </r>
  <r>
    <s v="ORD53617"/>
    <d v="2025-01-21T00:00:00"/>
    <s v="Online"/>
    <s v="P205"/>
    <n v="4"/>
    <n v="289"/>
    <x v="3"/>
    <x v="9"/>
    <s v="Home &amp; Kitchen"/>
    <n v="140"/>
    <n v="1156"/>
    <n v="560"/>
    <n v="596"/>
    <x v="0"/>
  </r>
  <r>
    <s v="ORD50004"/>
    <d v="2025-01-22T00:00:00"/>
    <s v="Mall of the Emirates"/>
    <s v="P306"/>
    <n v="1"/>
    <n v="249"/>
    <x v="2"/>
    <x v="3"/>
    <s v="Fashion"/>
    <n v="95"/>
    <n v="224.1"/>
    <n v="95"/>
    <n v="129.1"/>
    <x v="0"/>
  </r>
  <r>
    <s v="ORD50244"/>
    <d v="2025-01-22T00:00:00"/>
    <s v="Online"/>
    <s v="P105"/>
    <n v="2"/>
    <n v="899"/>
    <x v="3"/>
    <x v="31"/>
    <s v="Electronics"/>
    <n v="610"/>
    <n v="1798"/>
    <n v="1220"/>
    <n v="578"/>
    <x v="0"/>
  </r>
  <r>
    <s v="ORD50458"/>
    <d v="2025-01-22T00:00:00"/>
    <s v="Dubai Mall"/>
    <s v="P107"/>
    <n v="2"/>
    <n v="89"/>
    <x v="5"/>
    <x v="29"/>
    <s v="Electronics"/>
    <n v="35"/>
    <n v="142.4"/>
    <n v="70"/>
    <n v="72.400000000000006"/>
    <x v="0"/>
  </r>
  <r>
    <s v="ORD50470"/>
    <d v="2025-01-22T00:00:00"/>
    <s v="Online"/>
    <s v="P205"/>
    <n v="1"/>
    <n v="289"/>
    <x v="2"/>
    <x v="9"/>
    <s v="Home &amp; Kitchen"/>
    <n v="140"/>
    <n v="260.10000000000002"/>
    <n v="140"/>
    <n v="120.10000000000002"/>
    <x v="0"/>
  </r>
  <r>
    <s v="ORD50959"/>
    <d v="2025-01-22T00:00:00"/>
    <s v="Online"/>
    <s v="P306"/>
    <n v="2"/>
    <n v="249"/>
    <x v="2"/>
    <x v="3"/>
    <s v="Fashion"/>
    <n v="95"/>
    <n v="448.2"/>
    <n v="190"/>
    <n v="258.2"/>
    <x v="0"/>
  </r>
  <r>
    <s v="ORD51162"/>
    <d v="2025-01-22T00:00:00"/>
    <s v="Mall of the Emirates"/>
    <s v="P404"/>
    <n v="2"/>
    <n v="189"/>
    <x v="3"/>
    <x v="6"/>
    <s v="Beauty"/>
    <n v="85"/>
    <n v="378"/>
    <n v="170"/>
    <n v="208"/>
    <x v="0"/>
  </r>
  <r>
    <s v="ORD51719"/>
    <d v="2025-01-22T00:00:00"/>
    <s v="Dubai Mall"/>
    <s v="P208"/>
    <n v="2"/>
    <n v="259"/>
    <x v="3"/>
    <x v="22"/>
    <s v="Home &amp; Kitchen"/>
    <n v="115"/>
    <n v="518"/>
    <n v="230"/>
    <n v="288"/>
    <x v="0"/>
  </r>
  <r>
    <s v="ORD53110"/>
    <d v="2025-01-22T00:00:00"/>
    <s v="Dubai Mall"/>
    <s v="P405"/>
    <n v="1"/>
    <n v="89"/>
    <x v="5"/>
    <x v="24"/>
    <s v="Beauty"/>
    <n v="40"/>
    <n v="71.2"/>
    <n v="40"/>
    <n v="31.200000000000003"/>
    <x v="0"/>
  </r>
  <r>
    <s v="ORD53215"/>
    <d v="2025-01-22T00:00:00"/>
    <s v="Online"/>
    <s v="P406"/>
    <n v="2"/>
    <n v="199"/>
    <x v="5"/>
    <x v="4"/>
    <s v="Beauty"/>
    <n v="90"/>
    <n v="318.40000000000003"/>
    <n v="180"/>
    <n v="138.40000000000003"/>
    <x v="0"/>
  </r>
  <r>
    <s v="ORD53224"/>
    <d v="2025-01-22T00:00:00"/>
    <s v="Dubai Mall"/>
    <s v="P204"/>
    <n v="1"/>
    <n v="1199"/>
    <x v="2"/>
    <x v="27"/>
    <s v="Home &amp; Kitchen"/>
    <n v="1080"/>
    <n v="1079.1000000000001"/>
    <n v="1080"/>
    <n v="-0.89999999999986358"/>
    <x v="0"/>
  </r>
  <r>
    <s v="ORD53619"/>
    <d v="2025-01-22T00:00:00"/>
    <s v="Mall of the Emirates"/>
    <s v="P307"/>
    <n v="1"/>
    <n v="399"/>
    <x v="1"/>
    <x v="20"/>
    <s v="Fashion"/>
    <n v="210"/>
    <n v="379.04999999999995"/>
    <n v="210"/>
    <n v="169.04999999999995"/>
    <x v="0"/>
  </r>
  <r>
    <s v="ORD54155"/>
    <d v="2025-01-22T00:00:00"/>
    <s v="Dubai Mall"/>
    <s v="P404"/>
    <n v="1"/>
    <n v="189"/>
    <x v="5"/>
    <x v="6"/>
    <s v="Beauty"/>
    <n v="85"/>
    <n v="151.20000000000002"/>
    <n v="85"/>
    <n v="66.200000000000017"/>
    <x v="0"/>
  </r>
  <r>
    <s v="ORD51296"/>
    <d v="2025-01-23T00:00:00"/>
    <s v="Mall of the Emirates"/>
    <s v="P207"/>
    <n v="2"/>
    <n v="399"/>
    <x v="0"/>
    <x v="32"/>
    <s v="Home &amp; Kitchen"/>
    <n v="250"/>
    <n v="678.3"/>
    <n v="500"/>
    <n v="178.29999999999995"/>
    <x v="0"/>
  </r>
  <r>
    <s v="ORD51319"/>
    <d v="2025-01-23T00:00:00"/>
    <s v="Dubai Mall"/>
    <s v="P202"/>
    <n v="2"/>
    <n v="1499"/>
    <x v="3"/>
    <x v="26"/>
    <s v="Home &amp; Kitchen"/>
    <n v="1050"/>
    <n v="2998"/>
    <n v="2100"/>
    <n v="898"/>
    <x v="0"/>
  </r>
  <r>
    <s v="ORD51667"/>
    <d v="2025-01-23T00:00:00"/>
    <s v="Mall of the Emirates"/>
    <s v="P303"/>
    <n v="4"/>
    <n v="149"/>
    <x v="0"/>
    <x v="7"/>
    <s v="Fashion"/>
    <n v="80"/>
    <n v="506.59999999999997"/>
    <n v="320"/>
    <n v="186.59999999999997"/>
    <x v="0"/>
  </r>
  <r>
    <s v="ORD51833"/>
    <d v="2025-01-23T00:00:00"/>
    <s v="Mall of the Emirates"/>
    <s v="P506"/>
    <n v="1"/>
    <n v="69"/>
    <x v="3"/>
    <x v="34"/>
    <s v="Sports"/>
    <n v="25"/>
    <n v="69"/>
    <n v="25"/>
    <n v="44"/>
    <x v="0"/>
  </r>
  <r>
    <s v="ORD51998"/>
    <d v="2025-01-23T00:00:00"/>
    <s v="Dubai Mall"/>
    <s v="P306"/>
    <n v="1"/>
    <n v="249"/>
    <x v="3"/>
    <x v="3"/>
    <s v="Fashion"/>
    <n v="95"/>
    <n v="249"/>
    <n v="95"/>
    <n v="154"/>
    <x v="0"/>
  </r>
  <r>
    <s v="ORD52368"/>
    <d v="2025-01-23T00:00:00"/>
    <s v="Online"/>
    <s v="P503"/>
    <n v="1"/>
    <n v="229"/>
    <x v="0"/>
    <x v="18"/>
    <s v="Sports"/>
    <n v="120"/>
    <n v="194.65"/>
    <n v="120"/>
    <n v="74.650000000000006"/>
    <x v="0"/>
  </r>
  <r>
    <s v="ORD52443"/>
    <d v="2025-01-23T00:00:00"/>
    <s v="Ibn Battuta Mall"/>
    <s v="P505"/>
    <n v="1"/>
    <n v="99"/>
    <x v="0"/>
    <x v="11"/>
    <s v="Sports"/>
    <n v="45"/>
    <n v="84.149999999999991"/>
    <n v="45"/>
    <n v="39.149999999999991"/>
    <x v="0"/>
  </r>
  <r>
    <s v="ORD52449"/>
    <d v="2025-01-23T00:00:00"/>
    <s v="Online"/>
    <s v="P208"/>
    <n v="1"/>
    <n v="259"/>
    <x v="3"/>
    <x v="22"/>
    <s v="Home &amp; Kitchen"/>
    <n v="115"/>
    <n v="259"/>
    <n v="115"/>
    <n v="144"/>
    <x v="0"/>
  </r>
  <r>
    <s v="ORD52626"/>
    <d v="2025-01-23T00:00:00"/>
    <s v="Mall of the Emirates"/>
    <s v="P102"/>
    <n v="1"/>
    <n v="249"/>
    <x v="2"/>
    <x v="13"/>
    <s v="Electronics"/>
    <n v="150"/>
    <n v="224.1"/>
    <n v="150"/>
    <n v="74.099999999999994"/>
    <x v="0"/>
  </r>
  <r>
    <s v="ORD52631"/>
    <d v="2025-01-23T00:00:00"/>
    <s v="City Centre Deira"/>
    <s v="P106"/>
    <n v="1"/>
    <n v="149"/>
    <x v="5"/>
    <x v="30"/>
    <s v="Electronics"/>
    <n v="70"/>
    <n v="119.2"/>
    <n v="70"/>
    <n v="49.2"/>
    <x v="0"/>
  </r>
  <r>
    <s v="ORD52963"/>
    <d v="2025-01-23T00:00:00"/>
    <s v="Dubai Mall"/>
    <s v="P404"/>
    <n v="1"/>
    <n v="189"/>
    <x v="3"/>
    <x v="6"/>
    <s v="Beauty"/>
    <n v="85"/>
    <n v="189"/>
    <n v="85"/>
    <n v="104"/>
    <x v="0"/>
  </r>
  <r>
    <s v="ORD53050"/>
    <d v="2025-01-23T00:00:00"/>
    <s v="Dubai Mall"/>
    <s v="P307"/>
    <n v="3"/>
    <n v="399"/>
    <x v="3"/>
    <x v="20"/>
    <s v="Fashion"/>
    <n v="210"/>
    <n v="1197"/>
    <n v="630"/>
    <n v="567"/>
    <x v="0"/>
  </r>
  <r>
    <s v="ORD53292"/>
    <d v="2025-01-23T00:00:00"/>
    <s v="Dubai Mall"/>
    <s v="P306"/>
    <n v="1"/>
    <n v="249"/>
    <x v="2"/>
    <x v="3"/>
    <s v="Fashion"/>
    <n v="95"/>
    <n v="224.1"/>
    <n v="95"/>
    <n v="129.1"/>
    <x v="0"/>
  </r>
  <r>
    <s v="ORD53395"/>
    <d v="2025-01-23T00:00:00"/>
    <s v="Dubai Mall"/>
    <s v="P101"/>
    <n v="1"/>
    <n v="399"/>
    <x v="3"/>
    <x v="5"/>
    <s v="Electronics"/>
    <n v="230"/>
    <n v="399"/>
    <n v="230"/>
    <n v="169"/>
    <x v="0"/>
  </r>
  <r>
    <s v="ORD53556"/>
    <d v="2025-01-23T00:00:00"/>
    <s v="Mall of the Emirates"/>
    <s v="P103"/>
    <n v="2"/>
    <n v="1299"/>
    <x v="2"/>
    <x v="25"/>
    <s v="Electronics"/>
    <n v="820"/>
    <n v="2338.2000000000003"/>
    <n v="1640"/>
    <n v="698.20000000000027"/>
    <x v="0"/>
  </r>
  <r>
    <s v="ORD50030"/>
    <d v="2025-01-24T00:00:00"/>
    <s v="Mall of the Emirates"/>
    <s v="P106"/>
    <n v="1"/>
    <n v="149"/>
    <x v="3"/>
    <x v="30"/>
    <s v="Electronics"/>
    <n v="70"/>
    <n v="149"/>
    <n v="70"/>
    <n v="79"/>
    <x v="0"/>
  </r>
  <r>
    <s v="ORD50511"/>
    <d v="2025-01-24T00:00:00"/>
    <s v="Ibn Battuta Mall"/>
    <s v="P104"/>
    <n v="1"/>
    <n v="199"/>
    <x v="0"/>
    <x v="1"/>
    <s v="Electronics"/>
    <n v="175"/>
    <n v="169.15"/>
    <n v="175"/>
    <n v="-5.8499999999999943"/>
    <x v="0"/>
  </r>
  <r>
    <s v="ORD50620"/>
    <d v="2025-01-24T00:00:00"/>
    <s v="Ibn Battuta Mall"/>
    <s v="P308"/>
    <n v="4"/>
    <n v="229"/>
    <x v="4"/>
    <x v="0"/>
    <s v="Fashion"/>
    <n v="120"/>
    <n v="641.19999999999993"/>
    <n v="480"/>
    <n v="161.19999999999993"/>
    <x v="0"/>
  </r>
  <r>
    <s v="ORD50812"/>
    <d v="2025-01-24T00:00:00"/>
    <s v="Dubai Mall"/>
    <s v="P502"/>
    <n v="1"/>
    <n v="799"/>
    <x v="0"/>
    <x v="19"/>
    <s v="Sports"/>
    <n v="700"/>
    <n v="679.15"/>
    <n v="700"/>
    <n v="-20.850000000000023"/>
    <x v="0"/>
  </r>
  <r>
    <s v="ORD51389"/>
    <d v="2025-01-24T00:00:00"/>
    <s v="Online"/>
    <s v="P107"/>
    <n v="1"/>
    <n v="89"/>
    <x v="3"/>
    <x v="29"/>
    <s v="Electronics"/>
    <n v="35"/>
    <n v="89"/>
    <n v="35"/>
    <n v="54"/>
    <x v="0"/>
  </r>
  <r>
    <s v="ORD51769"/>
    <d v="2025-01-24T00:00:00"/>
    <s v="Dubai Mall"/>
    <s v="P102"/>
    <n v="1"/>
    <n v="249"/>
    <x v="3"/>
    <x v="13"/>
    <s v="Electronics"/>
    <n v="150"/>
    <n v="249"/>
    <n v="150"/>
    <n v="99"/>
    <x v="0"/>
  </r>
  <r>
    <s v="ORD51856"/>
    <d v="2025-01-24T00:00:00"/>
    <s v="Online"/>
    <s v="P207"/>
    <n v="3"/>
    <n v="399"/>
    <x v="0"/>
    <x v="32"/>
    <s v="Home &amp; Kitchen"/>
    <n v="250"/>
    <n v="1017.4499999999999"/>
    <n v="750"/>
    <n v="267.44999999999993"/>
    <x v="0"/>
  </r>
  <r>
    <s v="ORD51940"/>
    <d v="2025-01-24T00:00:00"/>
    <s v="Dubai Mall"/>
    <s v="P104"/>
    <n v="2"/>
    <n v="199"/>
    <x v="5"/>
    <x v="1"/>
    <s v="Electronics"/>
    <n v="175"/>
    <n v="318.40000000000003"/>
    <n v="350"/>
    <n v="-31.599999999999966"/>
    <x v="0"/>
  </r>
  <r>
    <s v="ORD52066"/>
    <d v="2025-01-24T00:00:00"/>
    <s v="Ibn Battuta Mall"/>
    <s v="P302"/>
    <n v="1"/>
    <n v="459"/>
    <x v="3"/>
    <x v="10"/>
    <s v="Fashion"/>
    <n v="190"/>
    <n v="459"/>
    <n v="190"/>
    <n v="269"/>
    <x v="0"/>
  </r>
  <r>
    <s v="ORD52143"/>
    <d v="2025-01-24T00:00:00"/>
    <s v="Online"/>
    <s v="P404"/>
    <n v="1"/>
    <n v="189"/>
    <x v="5"/>
    <x v="6"/>
    <s v="Beauty"/>
    <n v="85"/>
    <n v="151.20000000000002"/>
    <n v="85"/>
    <n v="66.200000000000017"/>
    <x v="0"/>
  </r>
  <r>
    <s v="ORD52361"/>
    <d v="2025-01-24T00:00:00"/>
    <s v="Dubai Mall"/>
    <s v="P104"/>
    <n v="2"/>
    <n v="199"/>
    <x v="0"/>
    <x v="1"/>
    <s v="Electronics"/>
    <n v="175"/>
    <n v="338.3"/>
    <n v="350"/>
    <n v="-11.699999999999989"/>
    <x v="0"/>
  </r>
  <r>
    <s v="ORD52515"/>
    <d v="2025-01-24T00:00:00"/>
    <s v="Online"/>
    <s v="P404"/>
    <n v="1"/>
    <n v="189"/>
    <x v="0"/>
    <x v="6"/>
    <s v="Beauty"/>
    <n v="85"/>
    <n v="160.65"/>
    <n v="85"/>
    <n v="75.650000000000006"/>
    <x v="0"/>
  </r>
  <r>
    <s v="ORD52581"/>
    <d v="2025-01-24T00:00:00"/>
    <s v="Mall of the Emirates"/>
    <s v="P306"/>
    <n v="3"/>
    <n v="249"/>
    <x v="1"/>
    <x v="3"/>
    <s v="Fashion"/>
    <n v="95"/>
    <n v="709.65"/>
    <n v="285"/>
    <n v="424.65"/>
    <x v="0"/>
  </r>
  <r>
    <s v="ORD52899"/>
    <d v="2025-01-24T00:00:00"/>
    <s v="Ibn Battuta Mall"/>
    <s v="P302"/>
    <n v="3"/>
    <n v="459"/>
    <x v="3"/>
    <x v="10"/>
    <s v="Fashion"/>
    <n v="190"/>
    <n v="1377"/>
    <n v="570"/>
    <n v="807"/>
    <x v="0"/>
  </r>
  <r>
    <s v="ORD53251"/>
    <d v="2025-01-24T00:00:00"/>
    <s v="Online"/>
    <s v="P106"/>
    <n v="1"/>
    <n v="149"/>
    <x v="5"/>
    <x v="30"/>
    <s v="Electronics"/>
    <n v="70"/>
    <n v="119.2"/>
    <n v="70"/>
    <n v="49.2"/>
    <x v="0"/>
  </r>
  <r>
    <s v="ORD54020"/>
    <d v="2025-01-24T00:00:00"/>
    <s v="Online"/>
    <s v="P405"/>
    <n v="1"/>
    <n v="89"/>
    <x v="1"/>
    <x v="24"/>
    <s v="Beauty"/>
    <n v="40"/>
    <n v="84.55"/>
    <n v="40"/>
    <n v="44.55"/>
    <x v="0"/>
  </r>
  <r>
    <s v="ORD54185"/>
    <d v="2025-01-24T00:00:00"/>
    <s v="Online"/>
    <s v="P306"/>
    <n v="3"/>
    <n v="249"/>
    <x v="3"/>
    <x v="3"/>
    <s v="Fashion"/>
    <n v="95"/>
    <n v="747"/>
    <n v="285"/>
    <n v="462"/>
    <x v="0"/>
  </r>
  <r>
    <s v="ORD50316"/>
    <d v="2025-01-25T00:00:00"/>
    <s v="Dubai Mall"/>
    <s v="P106"/>
    <n v="1"/>
    <n v="149"/>
    <x v="3"/>
    <x v="30"/>
    <s v="Electronics"/>
    <n v="70"/>
    <n v="149"/>
    <n v="70"/>
    <n v="79"/>
    <x v="0"/>
  </r>
  <r>
    <s v="ORD50626"/>
    <d v="2025-01-25T00:00:00"/>
    <s v="Dubai Mall"/>
    <s v="P205"/>
    <n v="2"/>
    <n v="289"/>
    <x v="3"/>
    <x v="9"/>
    <s v="Home &amp; Kitchen"/>
    <n v="140"/>
    <n v="578"/>
    <n v="280"/>
    <n v="298"/>
    <x v="0"/>
  </r>
  <r>
    <s v="ORD50655"/>
    <d v="2025-01-25T00:00:00"/>
    <s v="Online"/>
    <s v="P406"/>
    <n v="2"/>
    <n v="199"/>
    <x v="3"/>
    <x v="4"/>
    <s v="Beauty"/>
    <n v="90"/>
    <n v="398"/>
    <n v="180"/>
    <n v="218"/>
    <x v="0"/>
  </r>
  <r>
    <s v="ORD51517"/>
    <d v="2025-01-25T00:00:00"/>
    <s v="Online"/>
    <s v="P206"/>
    <n v="1"/>
    <n v="129"/>
    <x v="5"/>
    <x v="28"/>
    <s v="Home &amp; Kitchen"/>
    <n v="60"/>
    <n v="103.2"/>
    <n v="60"/>
    <n v="43.2"/>
    <x v="0"/>
  </r>
  <r>
    <s v="ORD51729"/>
    <d v="2025-01-25T00:00:00"/>
    <s v="Online"/>
    <s v="P104"/>
    <n v="3"/>
    <n v="199"/>
    <x v="6"/>
    <x v="1"/>
    <s v="Electronics"/>
    <n v="175"/>
    <n v="447.75"/>
    <n v="525"/>
    <n v="-77.25"/>
    <x v="0"/>
  </r>
  <r>
    <s v="ORD51899"/>
    <d v="2025-01-25T00:00:00"/>
    <s v="Online"/>
    <s v="P306"/>
    <n v="1"/>
    <n v="249"/>
    <x v="0"/>
    <x v="3"/>
    <s v="Fashion"/>
    <n v="95"/>
    <n v="211.65"/>
    <n v="95"/>
    <n v="116.65"/>
    <x v="0"/>
  </r>
  <r>
    <s v="ORD52009"/>
    <d v="2025-01-25T00:00:00"/>
    <s v="Mall of the Emirates"/>
    <s v="P403"/>
    <n v="1"/>
    <n v="299"/>
    <x v="6"/>
    <x v="8"/>
    <s v="Beauty"/>
    <n v="240"/>
    <n v="224.25"/>
    <n v="240"/>
    <n v="-15.75"/>
    <x v="0"/>
  </r>
  <r>
    <s v="ORD52268"/>
    <d v="2025-01-25T00:00:00"/>
    <s v="Dubai Mall"/>
    <s v="P203"/>
    <n v="3"/>
    <n v="349"/>
    <x v="3"/>
    <x v="21"/>
    <s v="Home &amp; Kitchen"/>
    <n v="170"/>
    <n v="1047"/>
    <n v="510"/>
    <n v="537"/>
    <x v="0"/>
  </r>
  <r>
    <s v="ORD52306"/>
    <d v="2025-01-25T00:00:00"/>
    <s v="City Centre Deira"/>
    <s v="P306"/>
    <n v="1"/>
    <n v="249"/>
    <x v="0"/>
    <x v="3"/>
    <s v="Fashion"/>
    <n v="95"/>
    <n v="211.65"/>
    <n v="95"/>
    <n v="116.65"/>
    <x v="0"/>
  </r>
  <r>
    <s v="ORD52615"/>
    <d v="2025-01-25T00:00:00"/>
    <s v="Ibn Battuta Mall"/>
    <s v="P303"/>
    <n v="2"/>
    <n v="149"/>
    <x v="3"/>
    <x v="7"/>
    <s v="Fashion"/>
    <n v="80"/>
    <n v="298"/>
    <n v="160"/>
    <n v="138"/>
    <x v="0"/>
  </r>
  <r>
    <s v="ORD52781"/>
    <d v="2025-01-25T00:00:00"/>
    <s v="Online"/>
    <s v="P301"/>
    <n v="1"/>
    <n v="179"/>
    <x v="3"/>
    <x v="2"/>
    <s v="Fashion"/>
    <n v="70"/>
    <n v="179"/>
    <n v="70"/>
    <n v="109"/>
    <x v="0"/>
  </r>
  <r>
    <s v="ORD52784"/>
    <d v="2025-01-25T00:00:00"/>
    <s v="Mall of the Emirates"/>
    <s v="P305"/>
    <n v="2"/>
    <n v="429"/>
    <x v="3"/>
    <x v="14"/>
    <s v="Fashion"/>
    <n v="300"/>
    <n v="858"/>
    <n v="600"/>
    <n v="258"/>
    <x v="0"/>
  </r>
  <r>
    <s v="ORD52859"/>
    <d v="2025-01-25T00:00:00"/>
    <s v="Ibn Battuta Mall"/>
    <s v="P203"/>
    <n v="2"/>
    <n v="349"/>
    <x v="4"/>
    <x v="21"/>
    <s v="Home &amp; Kitchen"/>
    <n v="170"/>
    <n v="488.59999999999997"/>
    <n v="340"/>
    <n v="148.59999999999997"/>
    <x v="0"/>
  </r>
  <r>
    <s v="ORD52943"/>
    <d v="2025-01-25T00:00:00"/>
    <s v="Dubai Mall"/>
    <s v="P104"/>
    <n v="1"/>
    <n v="199"/>
    <x v="2"/>
    <x v="1"/>
    <s v="Electronics"/>
    <n v="175"/>
    <n v="179.1"/>
    <n v="175"/>
    <n v="4.0999999999999943"/>
    <x v="0"/>
  </r>
  <r>
    <s v="ORD53540"/>
    <d v="2025-01-25T00:00:00"/>
    <s v="Mall of the Emirates"/>
    <s v="P306"/>
    <n v="1"/>
    <n v="249"/>
    <x v="3"/>
    <x v="3"/>
    <s v="Fashion"/>
    <n v="95"/>
    <n v="249"/>
    <n v="95"/>
    <n v="154"/>
    <x v="0"/>
  </r>
  <r>
    <s v="ORD53728"/>
    <d v="2025-01-25T00:00:00"/>
    <s v="Dubai Mall"/>
    <s v="P506"/>
    <n v="1"/>
    <n v="69"/>
    <x v="1"/>
    <x v="34"/>
    <s v="Sports"/>
    <n v="25"/>
    <n v="65.55"/>
    <n v="25"/>
    <n v="40.549999999999997"/>
    <x v="0"/>
  </r>
  <r>
    <s v="ORD50253"/>
    <d v="2025-01-26T00:00:00"/>
    <s v="Mall of the Emirates"/>
    <s v="P107"/>
    <n v="1"/>
    <n v="89"/>
    <x v="1"/>
    <x v="29"/>
    <s v="Electronics"/>
    <n v="35"/>
    <n v="84.55"/>
    <n v="35"/>
    <n v="49.55"/>
    <x v="0"/>
  </r>
  <r>
    <s v="ORD50481"/>
    <d v="2025-01-26T00:00:00"/>
    <s v="Online"/>
    <s v="P108"/>
    <n v="2"/>
    <n v="459"/>
    <x v="3"/>
    <x v="23"/>
    <s v="Electronics"/>
    <n v="300"/>
    <n v="918"/>
    <n v="600"/>
    <n v="318"/>
    <x v="0"/>
  </r>
  <r>
    <s v="ORD50759"/>
    <d v="2025-01-26T00:00:00"/>
    <s v="Dubai Mall"/>
    <s v="P303"/>
    <n v="2"/>
    <n v="149"/>
    <x v="1"/>
    <x v="7"/>
    <s v="Fashion"/>
    <n v="80"/>
    <n v="283.09999999999997"/>
    <n v="160"/>
    <n v="123.09999999999997"/>
    <x v="0"/>
  </r>
  <r>
    <s v="ORD51722"/>
    <d v="2025-01-26T00:00:00"/>
    <s v="City Centre Deira"/>
    <s v="P305"/>
    <n v="1"/>
    <n v="429"/>
    <x v="3"/>
    <x v="14"/>
    <s v="Fashion"/>
    <n v="300"/>
    <n v="429"/>
    <n v="300"/>
    <n v="129"/>
    <x v="0"/>
  </r>
  <r>
    <s v="ORD51727"/>
    <d v="2025-01-26T00:00:00"/>
    <s v="Online"/>
    <s v="P308"/>
    <n v="1"/>
    <n v="229"/>
    <x v="3"/>
    <x v="0"/>
    <s v="Fashion"/>
    <n v="120"/>
    <n v="229"/>
    <n v="120"/>
    <n v="109"/>
    <x v="0"/>
  </r>
  <r>
    <s v="ORD51760"/>
    <d v="2025-01-26T00:00:00"/>
    <s v="Dubai Mall"/>
    <s v="P306"/>
    <n v="3"/>
    <n v="249"/>
    <x v="2"/>
    <x v="3"/>
    <s v="Fashion"/>
    <n v="95"/>
    <n v="672.30000000000007"/>
    <n v="285"/>
    <n v="387.30000000000007"/>
    <x v="0"/>
  </r>
  <r>
    <s v="ORD52036"/>
    <d v="2025-01-26T00:00:00"/>
    <s v="City Centre Deira"/>
    <s v="P402"/>
    <n v="1"/>
    <n v="149"/>
    <x v="1"/>
    <x v="17"/>
    <s v="Beauty"/>
    <n v="55"/>
    <n v="141.54999999999998"/>
    <n v="55"/>
    <n v="86.549999999999983"/>
    <x v="0"/>
  </r>
  <r>
    <s v="ORD52110"/>
    <d v="2025-01-26T00:00:00"/>
    <s v="Dubai Mall"/>
    <s v="P308"/>
    <n v="1"/>
    <n v="229"/>
    <x v="3"/>
    <x v="0"/>
    <s v="Fashion"/>
    <n v="120"/>
    <n v="229"/>
    <n v="120"/>
    <n v="109"/>
    <x v="0"/>
  </r>
  <r>
    <s v="ORD52238"/>
    <d v="2025-01-26T00:00:00"/>
    <s v="City Centre Deira"/>
    <s v="P106"/>
    <n v="3"/>
    <n v="149"/>
    <x v="2"/>
    <x v="30"/>
    <s v="Electronics"/>
    <n v="70"/>
    <n v="402.3"/>
    <n v="210"/>
    <n v="192.3"/>
    <x v="0"/>
  </r>
  <r>
    <s v="ORD52353"/>
    <d v="2025-01-26T00:00:00"/>
    <s v="Online"/>
    <s v="P401"/>
    <n v="1"/>
    <n v="549"/>
    <x v="2"/>
    <x v="15"/>
    <s v="Beauty"/>
    <n v="250"/>
    <n v="494.1"/>
    <n v="250"/>
    <n v="244.10000000000002"/>
    <x v="0"/>
  </r>
  <r>
    <s v="ORD52389"/>
    <d v="2025-01-26T00:00:00"/>
    <s v="Dubai Mall"/>
    <s v="P305"/>
    <n v="2"/>
    <n v="429"/>
    <x v="2"/>
    <x v="14"/>
    <s v="Fashion"/>
    <n v="300"/>
    <n v="772.2"/>
    <n v="600"/>
    <n v="172.20000000000005"/>
    <x v="0"/>
  </r>
  <r>
    <s v="ORD52423"/>
    <d v="2025-01-26T00:00:00"/>
    <s v="Online"/>
    <s v="P404"/>
    <n v="4"/>
    <n v="189"/>
    <x v="2"/>
    <x v="6"/>
    <s v="Beauty"/>
    <n v="85"/>
    <n v="680.4"/>
    <n v="340"/>
    <n v="340.4"/>
    <x v="0"/>
  </r>
  <r>
    <s v="ORD52858"/>
    <d v="2025-01-26T00:00:00"/>
    <s v="Dubai Mall"/>
    <s v="P402"/>
    <n v="1"/>
    <n v="149"/>
    <x v="2"/>
    <x v="17"/>
    <s v="Beauty"/>
    <n v="55"/>
    <n v="134.1"/>
    <n v="55"/>
    <n v="79.099999999999994"/>
    <x v="0"/>
  </r>
  <r>
    <s v="ORD53004"/>
    <d v="2025-01-26T00:00:00"/>
    <s v="Dubai Mall"/>
    <s v="P301"/>
    <n v="1"/>
    <n v="179"/>
    <x v="4"/>
    <x v="2"/>
    <s v="Fashion"/>
    <n v="70"/>
    <n v="125.3"/>
    <n v="70"/>
    <n v="55.3"/>
    <x v="0"/>
  </r>
  <r>
    <s v="ORD53140"/>
    <d v="2025-01-26T00:00:00"/>
    <s v="Mall of the Emirates"/>
    <s v="P402"/>
    <n v="1"/>
    <n v="149"/>
    <x v="5"/>
    <x v="17"/>
    <s v="Beauty"/>
    <n v="55"/>
    <n v="119.2"/>
    <n v="55"/>
    <n v="64.2"/>
    <x v="0"/>
  </r>
  <r>
    <s v="ORD50012"/>
    <d v="2025-01-27T00:00:00"/>
    <s v="Online"/>
    <s v="P302"/>
    <n v="1"/>
    <n v="459"/>
    <x v="3"/>
    <x v="10"/>
    <s v="Fashion"/>
    <n v="190"/>
    <n v="459"/>
    <n v="190"/>
    <n v="269"/>
    <x v="0"/>
  </r>
  <r>
    <s v="ORD50209"/>
    <d v="2025-01-27T00:00:00"/>
    <s v="Dubai Mall"/>
    <s v="P302"/>
    <n v="3"/>
    <n v="459"/>
    <x v="1"/>
    <x v="10"/>
    <s v="Fashion"/>
    <n v="190"/>
    <n v="1308.1499999999999"/>
    <n v="570"/>
    <n v="738.14999999999986"/>
    <x v="0"/>
  </r>
  <r>
    <s v="ORD50455"/>
    <d v="2025-01-27T00:00:00"/>
    <s v="Mall of the Emirates"/>
    <s v="P303"/>
    <n v="1"/>
    <n v="149"/>
    <x v="5"/>
    <x v="7"/>
    <s v="Fashion"/>
    <n v="80"/>
    <n v="119.2"/>
    <n v="80"/>
    <n v="39.200000000000003"/>
    <x v="0"/>
  </r>
  <r>
    <s v="ORD50533"/>
    <d v="2025-01-27T00:00:00"/>
    <s v="Mall of the Emirates"/>
    <s v="P103"/>
    <n v="2"/>
    <n v="1299"/>
    <x v="2"/>
    <x v="25"/>
    <s v="Electronics"/>
    <n v="820"/>
    <n v="2338.2000000000003"/>
    <n v="1640"/>
    <n v="698.20000000000027"/>
    <x v="0"/>
  </r>
  <r>
    <s v="ORD51588"/>
    <d v="2025-01-27T00:00:00"/>
    <s v="Ibn Battuta Mall"/>
    <s v="P301"/>
    <n v="1"/>
    <n v="179"/>
    <x v="3"/>
    <x v="2"/>
    <s v="Fashion"/>
    <n v="70"/>
    <n v="179"/>
    <n v="70"/>
    <n v="109"/>
    <x v="0"/>
  </r>
  <r>
    <s v="ORD51619"/>
    <d v="2025-01-27T00:00:00"/>
    <s v="Dubai Mall"/>
    <s v="P206"/>
    <n v="1"/>
    <n v="129"/>
    <x v="0"/>
    <x v="28"/>
    <s v="Home &amp; Kitchen"/>
    <n v="60"/>
    <n v="109.64999999999999"/>
    <n v="60"/>
    <n v="49.649999999999991"/>
    <x v="0"/>
  </r>
  <r>
    <s v="ORD52126"/>
    <d v="2025-01-27T00:00:00"/>
    <s v="City Centre Deira"/>
    <s v="P105"/>
    <n v="1"/>
    <n v="899"/>
    <x v="4"/>
    <x v="31"/>
    <s v="Electronics"/>
    <n v="610"/>
    <n v="629.29999999999995"/>
    <n v="610"/>
    <n v="19.299999999999955"/>
    <x v="0"/>
  </r>
  <r>
    <s v="ORD52350"/>
    <d v="2025-01-27T00:00:00"/>
    <s v="Dubai Mall"/>
    <s v="P406"/>
    <n v="1"/>
    <n v="199"/>
    <x v="3"/>
    <x v="4"/>
    <s v="Beauty"/>
    <n v="90"/>
    <n v="199"/>
    <n v="90"/>
    <n v="109"/>
    <x v="0"/>
  </r>
  <r>
    <s v="ORD52366"/>
    <d v="2025-01-27T00:00:00"/>
    <s v="Mall of the Emirates"/>
    <s v="P201"/>
    <n v="1"/>
    <n v="499"/>
    <x v="2"/>
    <x v="16"/>
    <s v="Home &amp; Kitchen"/>
    <n v="290"/>
    <n v="449.1"/>
    <n v="290"/>
    <n v="159.10000000000002"/>
    <x v="0"/>
  </r>
  <r>
    <s v="ORD52892"/>
    <d v="2025-01-27T00:00:00"/>
    <s v="Mall of the Emirates"/>
    <s v="P301"/>
    <n v="2"/>
    <n v="179"/>
    <x v="3"/>
    <x v="2"/>
    <s v="Fashion"/>
    <n v="70"/>
    <n v="358"/>
    <n v="140"/>
    <n v="218"/>
    <x v="0"/>
  </r>
  <r>
    <s v="ORD53183"/>
    <d v="2025-01-27T00:00:00"/>
    <s v="City Centre Deira"/>
    <s v="P104"/>
    <n v="1"/>
    <n v="199"/>
    <x v="5"/>
    <x v="1"/>
    <s v="Electronics"/>
    <n v="175"/>
    <n v="159.20000000000002"/>
    <n v="175"/>
    <n v="-15.799999999999983"/>
    <x v="0"/>
  </r>
  <r>
    <s v="ORD53200"/>
    <d v="2025-01-27T00:00:00"/>
    <s v="Dubai Mall"/>
    <s v="P203"/>
    <n v="2"/>
    <n v="349"/>
    <x v="3"/>
    <x v="21"/>
    <s v="Home &amp; Kitchen"/>
    <n v="170"/>
    <n v="698"/>
    <n v="340"/>
    <n v="358"/>
    <x v="0"/>
  </r>
  <r>
    <s v="ORD53408"/>
    <d v="2025-01-27T00:00:00"/>
    <s v="Mall of the Emirates"/>
    <s v="P206"/>
    <n v="1"/>
    <n v="129"/>
    <x v="2"/>
    <x v="28"/>
    <s v="Home &amp; Kitchen"/>
    <n v="60"/>
    <n v="116.10000000000001"/>
    <n v="60"/>
    <n v="56.100000000000009"/>
    <x v="0"/>
  </r>
  <r>
    <s v="ORD53630"/>
    <d v="2025-01-27T00:00:00"/>
    <s v="Ibn Battuta Mall"/>
    <s v="P202"/>
    <n v="1"/>
    <n v="1499"/>
    <x v="3"/>
    <x v="26"/>
    <s v="Home &amp; Kitchen"/>
    <n v="1050"/>
    <n v="1499"/>
    <n v="1050"/>
    <n v="449"/>
    <x v="0"/>
  </r>
  <r>
    <s v="ORD53661"/>
    <d v="2025-01-27T00:00:00"/>
    <s v="Dubai Mall"/>
    <s v="P307"/>
    <n v="1"/>
    <n v="399"/>
    <x v="3"/>
    <x v="20"/>
    <s v="Fashion"/>
    <n v="210"/>
    <n v="399"/>
    <n v="210"/>
    <n v="189"/>
    <x v="0"/>
  </r>
  <r>
    <s v="ORD53884"/>
    <d v="2025-01-27T00:00:00"/>
    <s v="Online"/>
    <s v="P503"/>
    <n v="1"/>
    <n v="229"/>
    <x v="1"/>
    <x v="18"/>
    <s v="Sports"/>
    <n v="120"/>
    <n v="217.54999999999998"/>
    <n v="120"/>
    <n v="97.549999999999983"/>
    <x v="0"/>
  </r>
  <r>
    <s v="ORD50496"/>
    <d v="2025-01-28T00:00:00"/>
    <s v="Mall of the Emirates"/>
    <s v="P501"/>
    <n v="4"/>
    <n v="129"/>
    <x v="2"/>
    <x v="12"/>
    <s v="Sports"/>
    <n v="60"/>
    <n v="464.40000000000003"/>
    <n v="240"/>
    <n v="224.40000000000003"/>
    <x v="0"/>
  </r>
  <r>
    <s v="ORD50550"/>
    <d v="2025-01-28T00:00:00"/>
    <s v="Mall of the Emirates"/>
    <s v="P302"/>
    <n v="1"/>
    <n v="459"/>
    <x v="3"/>
    <x v="10"/>
    <s v="Fashion"/>
    <n v="190"/>
    <n v="459"/>
    <n v="190"/>
    <n v="269"/>
    <x v="0"/>
  </r>
  <r>
    <s v="ORD50717"/>
    <d v="2025-01-28T00:00:00"/>
    <s v="Ibn Battuta Mall"/>
    <s v="P405"/>
    <n v="1"/>
    <n v="89"/>
    <x v="1"/>
    <x v="24"/>
    <s v="Beauty"/>
    <n v="40"/>
    <n v="84.55"/>
    <n v="40"/>
    <n v="44.55"/>
    <x v="0"/>
  </r>
  <r>
    <s v="ORD51409"/>
    <d v="2025-01-28T00:00:00"/>
    <s v="Dubai Mall"/>
    <s v="P306"/>
    <n v="1"/>
    <n v="249"/>
    <x v="4"/>
    <x v="3"/>
    <s v="Fashion"/>
    <n v="95"/>
    <n v="174.29999999999998"/>
    <n v="95"/>
    <n v="79.299999999999983"/>
    <x v="0"/>
  </r>
  <r>
    <s v="ORD52094"/>
    <d v="2025-01-28T00:00:00"/>
    <s v="Mall of the Emirates"/>
    <s v="P105"/>
    <n v="1"/>
    <n v="899"/>
    <x v="1"/>
    <x v="31"/>
    <s v="Electronics"/>
    <n v="610"/>
    <n v="854.05"/>
    <n v="610"/>
    <n v="244.04999999999995"/>
    <x v="0"/>
  </r>
  <r>
    <s v="ORD52142"/>
    <d v="2025-01-28T00:00:00"/>
    <s v="Dubai Mall"/>
    <s v="P304"/>
    <n v="1"/>
    <n v="699"/>
    <x v="3"/>
    <x v="35"/>
    <s v="Fashion"/>
    <n v="380"/>
    <n v="699"/>
    <n v="380"/>
    <n v="319"/>
    <x v="0"/>
  </r>
  <r>
    <s v="ORD52706"/>
    <d v="2025-01-28T00:00:00"/>
    <s v="Online"/>
    <s v="P308"/>
    <n v="2"/>
    <n v="229"/>
    <x v="3"/>
    <x v="0"/>
    <s v="Fashion"/>
    <n v="120"/>
    <n v="458"/>
    <n v="240"/>
    <n v="218"/>
    <x v="0"/>
  </r>
  <r>
    <s v="ORD53451"/>
    <d v="2025-01-28T00:00:00"/>
    <s v="Ibn Battuta Mall"/>
    <s v="P302"/>
    <n v="2"/>
    <n v="459"/>
    <x v="1"/>
    <x v="10"/>
    <s v="Fashion"/>
    <n v="190"/>
    <n v="872.09999999999991"/>
    <n v="380"/>
    <n v="492.09999999999991"/>
    <x v="0"/>
  </r>
  <r>
    <s v="ORD50767"/>
    <d v="2025-01-29T00:00:00"/>
    <s v="Mall of the Emirates"/>
    <s v="P301"/>
    <n v="1"/>
    <n v="179"/>
    <x v="3"/>
    <x v="2"/>
    <s v="Fashion"/>
    <n v="70"/>
    <n v="179"/>
    <n v="70"/>
    <n v="109"/>
    <x v="0"/>
  </r>
  <r>
    <s v="ORD50988"/>
    <d v="2025-01-29T00:00:00"/>
    <s v="Mall of the Emirates"/>
    <s v="P203"/>
    <n v="1"/>
    <n v="349"/>
    <x v="2"/>
    <x v="21"/>
    <s v="Home &amp; Kitchen"/>
    <n v="170"/>
    <n v="314.10000000000002"/>
    <n v="170"/>
    <n v="144.10000000000002"/>
    <x v="0"/>
  </r>
  <r>
    <s v="ORD52052"/>
    <d v="2025-01-29T00:00:00"/>
    <s v="Dubai Mall"/>
    <s v="P403"/>
    <n v="1"/>
    <n v="299"/>
    <x v="2"/>
    <x v="8"/>
    <s v="Beauty"/>
    <n v="240"/>
    <n v="269.10000000000002"/>
    <n v="240"/>
    <n v="29.100000000000023"/>
    <x v="0"/>
  </r>
  <r>
    <s v="ORD52123"/>
    <d v="2025-01-29T00:00:00"/>
    <s v="Online"/>
    <s v="P206"/>
    <n v="1"/>
    <n v="129"/>
    <x v="3"/>
    <x v="28"/>
    <s v="Home &amp; Kitchen"/>
    <n v="60"/>
    <n v="129"/>
    <n v="60"/>
    <n v="69"/>
    <x v="0"/>
  </r>
  <r>
    <s v="ORD52241"/>
    <d v="2025-01-29T00:00:00"/>
    <s v="Mall of the Emirates"/>
    <s v="P304"/>
    <n v="2"/>
    <n v="699"/>
    <x v="1"/>
    <x v="35"/>
    <s v="Fashion"/>
    <n v="380"/>
    <n v="1328.1"/>
    <n v="760"/>
    <n v="568.09999999999991"/>
    <x v="0"/>
  </r>
  <r>
    <s v="ORD52655"/>
    <d v="2025-01-29T00:00:00"/>
    <s v="Online"/>
    <s v="P206"/>
    <n v="1"/>
    <n v="129"/>
    <x v="3"/>
    <x v="28"/>
    <s v="Home &amp; Kitchen"/>
    <n v="60"/>
    <n v="129"/>
    <n v="60"/>
    <n v="69"/>
    <x v="0"/>
  </r>
  <r>
    <s v="ORD52669"/>
    <d v="2025-01-29T00:00:00"/>
    <s v="Ibn Battuta Mall"/>
    <s v="P502"/>
    <n v="2"/>
    <n v="799"/>
    <x v="0"/>
    <x v="19"/>
    <s v="Sports"/>
    <n v="700"/>
    <n v="1358.3"/>
    <n v="1400"/>
    <n v="-41.700000000000045"/>
    <x v="0"/>
  </r>
  <r>
    <s v="ORD53632"/>
    <d v="2025-01-29T00:00:00"/>
    <s v="Online"/>
    <s v="P301"/>
    <n v="2"/>
    <n v="179"/>
    <x v="0"/>
    <x v="2"/>
    <s v="Fashion"/>
    <n v="70"/>
    <n v="304.3"/>
    <n v="140"/>
    <n v="164.3"/>
    <x v="0"/>
  </r>
  <r>
    <s v="ORD50505"/>
    <d v="2025-01-30T00:00:00"/>
    <s v="Dubai Mall"/>
    <s v="P306"/>
    <n v="4"/>
    <n v="249"/>
    <x v="0"/>
    <x v="3"/>
    <s v="Fashion"/>
    <n v="95"/>
    <n v="846.6"/>
    <n v="380"/>
    <n v="466.6"/>
    <x v="0"/>
  </r>
  <r>
    <s v="ORD50538"/>
    <d v="2025-01-30T00:00:00"/>
    <s v="Dubai Mall"/>
    <s v="P308"/>
    <n v="2"/>
    <n v="229"/>
    <x v="5"/>
    <x v="0"/>
    <s v="Fashion"/>
    <n v="120"/>
    <n v="366.40000000000003"/>
    <n v="240"/>
    <n v="126.40000000000003"/>
    <x v="0"/>
  </r>
  <r>
    <s v="ORD51237"/>
    <d v="2025-01-30T00:00:00"/>
    <s v="Ibn Battuta Mall"/>
    <s v="P506"/>
    <n v="2"/>
    <n v="69"/>
    <x v="3"/>
    <x v="34"/>
    <s v="Sports"/>
    <n v="25"/>
    <n v="138"/>
    <n v="50"/>
    <n v="88"/>
    <x v="0"/>
  </r>
  <r>
    <s v="ORD51350"/>
    <d v="2025-01-30T00:00:00"/>
    <s v="Ibn Battuta Mall"/>
    <s v="P402"/>
    <n v="3"/>
    <n v="149"/>
    <x v="3"/>
    <x v="17"/>
    <s v="Beauty"/>
    <n v="55"/>
    <n v="447"/>
    <n v="165"/>
    <n v="282"/>
    <x v="0"/>
  </r>
  <r>
    <s v="ORD51476"/>
    <d v="2025-01-30T00:00:00"/>
    <s v="Mall of the Emirates"/>
    <s v="P106"/>
    <n v="1"/>
    <n v="149"/>
    <x v="3"/>
    <x v="30"/>
    <s v="Electronics"/>
    <n v="70"/>
    <n v="149"/>
    <n v="70"/>
    <n v="79"/>
    <x v="0"/>
  </r>
  <r>
    <s v="ORD51577"/>
    <d v="2025-01-30T00:00:00"/>
    <s v="Dubai Mall"/>
    <s v="P405"/>
    <n v="1"/>
    <n v="89"/>
    <x v="1"/>
    <x v="24"/>
    <s v="Beauty"/>
    <n v="40"/>
    <n v="84.55"/>
    <n v="40"/>
    <n v="44.55"/>
    <x v="0"/>
  </r>
  <r>
    <s v="ORD51636"/>
    <d v="2025-01-30T00:00:00"/>
    <s v="Dubai Mall"/>
    <s v="P502"/>
    <n v="1"/>
    <n v="799"/>
    <x v="2"/>
    <x v="19"/>
    <s v="Sports"/>
    <n v="700"/>
    <n v="719.1"/>
    <n v="700"/>
    <n v="19.100000000000023"/>
    <x v="0"/>
  </r>
  <r>
    <s v="ORD52202"/>
    <d v="2025-01-30T00:00:00"/>
    <s v="Dubai Mall"/>
    <s v="P406"/>
    <n v="1"/>
    <n v="199"/>
    <x v="3"/>
    <x v="4"/>
    <s v="Beauty"/>
    <n v="90"/>
    <n v="199"/>
    <n v="90"/>
    <n v="109"/>
    <x v="0"/>
  </r>
  <r>
    <s v="ORD53249"/>
    <d v="2025-01-30T00:00:00"/>
    <s v="Mall of the Emirates"/>
    <s v="P404"/>
    <n v="3"/>
    <n v="189"/>
    <x v="5"/>
    <x v="6"/>
    <s v="Beauty"/>
    <n v="85"/>
    <n v="453.6"/>
    <n v="255"/>
    <n v="198.60000000000002"/>
    <x v="0"/>
  </r>
  <r>
    <s v="ORD53512"/>
    <d v="2025-01-30T00:00:00"/>
    <s v="Ibn Battuta Mall"/>
    <s v="P106"/>
    <n v="1"/>
    <n v="149"/>
    <x v="3"/>
    <x v="30"/>
    <s v="Electronics"/>
    <n v="70"/>
    <n v="149"/>
    <n v="70"/>
    <n v="79"/>
    <x v="0"/>
  </r>
  <r>
    <s v="ORD53535"/>
    <d v="2025-01-30T00:00:00"/>
    <s v="Dubai Mall"/>
    <s v="P304"/>
    <n v="2"/>
    <n v="699"/>
    <x v="5"/>
    <x v="35"/>
    <s v="Fashion"/>
    <n v="380"/>
    <n v="1118.4000000000001"/>
    <n v="760"/>
    <n v="358.40000000000009"/>
    <x v="0"/>
  </r>
  <r>
    <s v="ORD53547"/>
    <d v="2025-01-30T00:00:00"/>
    <s v="Mall of the Emirates"/>
    <s v="P504"/>
    <n v="1"/>
    <n v="2499"/>
    <x v="0"/>
    <x v="33"/>
    <s v="Sports"/>
    <n v="2150"/>
    <n v="2124.15"/>
    <n v="2150"/>
    <n v="-25.849999999999909"/>
    <x v="0"/>
  </r>
  <r>
    <s v="ORD53932"/>
    <d v="2025-01-30T00:00:00"/>
    <s v="Mall of the Emirates"/>
    <s v="P308"/>
    <n v="2"/>
    <n v="229"/>
    <x v="1"/>
    <x v="0"/>
    <s v="Fashion"/>
    <n v="120"/>
    <n v="435.09999999999997"/>
    <n v="240"/>
    <n v="195.09999999999997"/>
    <x v="0"/>
  </r>
  <r>
    <s v="ORD54018"/>
    <d v="2025-01-30T00:00:00"/>
    <s v="Mall of the Emirates"/>
    <s v="P301"/>
    <n v="1"/>
    <n v="179"/>
    <x v="0"/>
    <x v="2"/>
    <s v="Fashion"/>
    <n v="70"/>
    <n v="152.15"/>
    <n v="70"/>
    <n v="82.15"/>
    <x v="0"/>
  </r>
  <r>
    <s v="ORD50015"/>
    <d v="2025-01-31T00:00:00"/>
    <s v="Ibn Battuta Mall"/>
    <s v="P302"/>
    <n v="2"/>
    <n v="459"/>
    <x v="3"/>
    <x v="10"/>
    <s v="Fashion"/>
    <n v="190"/>
    <n v="918"/>
    <n v="380"/>
    <n v="538"/>
    <x v="0"/>
  </r>
  <r>
    <s v="ORD50155"/>
    <d v="2025-01-31T00:00:00"/>
    <s v="City Centre Deira"/>
    <s v="P302"/>
    <n v="1"/>
    <n v="459"/>
    <x v="3"/>
    <x v="10"/>
    <s v="Fashion"/>
    <n v="190"/>
    <n v="459"/>
    <n v="190"/>
    <n v="269"/>
    <x v="0"/>
  </r>
  <r>
    <s v="ORD50218"/>
    <d v="2025-01-31T00:00:00"/>
    <s v="Online"/>
    <s v="P107"/>
    <n v="1"/>
    <n v="89"/>
    <x v="1"/>
    <x v="29"/>
    <s v="Electronics"/>
    <n v="35"/>
    <n v="84.55"/>
    <n v="35"/>
    <n v="49.55"/>
    <x v="0"/>
  </r>
  <r>
    <s v="ORD50660"/>
    <d v="2025-01-31T00:00:00"/>
    <s v="Dubai Mall"/>
    <s v="P308"/>
    <n v="1"/>
    <n v="229"/>
    <x v="3"/>
    <x v="0"/>
    <s v="Fashion"/>
    <n v="120"/>
    <n v="229"/>
    <n v="120"/>
    <n v="109"/>
    <x v="0"/>
  </r>
  <r>
    <s v="ORD51417"/>
    <d v="2025-01-31T00:00:00"/>
    <s v="Online"/>
    <s v="P406"/>
    <n v="3"/>
    <n v="199"/>
    <x v="2"/>
    <x v="4"/>
    <s v="Beauty"/>
    <n v="90"/>
    <n v="537.30000000000007"/>
    <n v="270"/>
    <n v="267.30000000000007"/>
    <x v="0"/>
  </r>
  <r>
    <s v="ORD51458"/>
    <d v="2025-01-31T00:00:00"/>
    <s v="Ibn Battuta Mall"/>
    <s v="P204"/>
    <n v="1"/>
    <n v="1199"/>
    <x v="0"/>
    <x v="27"/>
    <s v="Home &amp; Kitchen"/>
    <n v="1080"/>
    <n v="1019.15"/>
    <n v="1080"/>
    <n v="-60.850000000000023"/>
    <x v="0"/>
  </r>
  <r>
    <s v="ORD51531"/>
    <d v="2025-01-31T00:00:00"/>
    <s v="City Centre Deira"/>
    <s v="P101"/>
    <n v="2"/>
    <n v="399"/>
    <x v="5"/>
    <x v="5"/>
    <s v="Electronics"/>
    <n v="230"/>
    <n v="638.40000000000009"/>
    <n v="460"/>
    <n v="178.40000000000009"/>
    <x v="0"/>
  </r>
  <r>
    <s v="ORD52166"/>
    <d v="2025-01-31T00:00:00"/>
    <s v="Dubai Mall"/>
    <s v="P503"/>
    <n v="1"/>
    <n v="229"/>
    <x v="0"/>
    <x v="18"/>
    <s v="Sports"/>
    <n v="120"/>
    <n v="194.65"/>
    <n v="120"/>
    <n v="74.650000000000006"/>
    <x v="0"/>
  </r>
  <r>
    <s v="ORD52551"/>
    <d v="2025-01-31T00:00:00"/>
    <s v="City Centre Deira"/>
    <s v="P102"/>
    <n v="2"/>
    <n v="249"/>
    <x v="3"/>
    <x v="13"/>
    <s v="Electronics"/>
    <n v="150"/>
    <n v="498"/>
    <n v="300"/>
    <n v="198"/>
    <x v="0"/>
  </r>
  <r>
    <s v="ORD53081"/>
    <d v="2025-01-31T00:00:00"/>
    <s v="City Centre Deira"/>
    <s v="P101"/>
    <n v="3"/>
    <n v="399"/>
    <x v="3"/>
    <x v="5"/>
    <s v="Electronics"/>
    <n v="230"/>
    <n v="1197"/>
    <n v="690"/>
    <n v="507"/>
    <x v="0"/>
  </r>
  <r>
    <s v="ORD50738"/>
    <d v="2025-02-01T00:00:00"/>
    <s v="Online"/>
    <s v="P405"/>
    <n v="2"/>
    <n v="89"/>
    <x v="5"/>
    <x v="24"/>
    <s v="Beauty"/>
    <n v="40"/>
    <n v="142.4"/>
    <n v="80"/>
    <n v="62.400000000000006"/>
    <x v="1"/>
  </r>
  <r>
    <s v="ORD50962"/>
    <d v="2025-02-01T00:00:00"/>
    <s v="Mall of the Emirates"/>
    <s v="P303"/>
    <n v="2"/>
    <n v="149"/>
    <x v="2"/>
    <x v="7"/>
    <s v="Fashion"/>
    <n v="80"/>
    <n v="268.2"/>
    <n v="160"/>
    <n v="108.19999999999999"/>
    <x v="1"/>
  </r>
  <r>
    <s v="ORD51063"/>
    <d v="2025-02-01T00:00:00"/>
    <s v="Ibn Battuta Mall"/>
    <s v="P205"/>
    <n v="1"/>
    <n v="289"/>
    <x v="3"/>
    <x v="9"/>
    <s v="Home &amp; Kitchen"/>
    <n v="140"/>
    <n v="289"/>
    <n v="140"/>
    <n v="149"/>
    <x v="1"/>
  </r>
  <r>
    <s v="ORD51825"/>
    <d v="2025-02-01T00:00:00"/>
    <s v="Online"/>
    <s v="P301"/>
    <n v="1"/>
    <n v="179"/>
    <x v="4"/>
    <x v="2"/>
    <s v="Fashion"/>
    <n v="70"/>
    <n v="125.3"/>
    <n v="70"/>
    <n v="55.3"/>
    <x v="1"/>
  </r>
  <r>
    <s v="ORD52174"/>
    <d v="2025-02-01T00:00:00"/>
    <s v="Online"/>
    <s v="P402"/>
    <n v="1"/>
    <n v="149"/>
    <x v="1"/>
    <x v="17"/>
    <s v="Beauty"/>
    <n v="55"/>
    <n v="141.54999999999998"/>
    <n v="55"/>
    <n v="86.549999999999983"/>
    <x v="1"/>
  </r>
  <r>
    <s v="ORD53077"/>
    <d v="2025-02-01T00:00:00"/>
    <s v="Dubai Mall"/>
    <s v="P306"/>
    <n v="1"/>
    <n v="249"/>
    <x v="0"/>
    <x v="3"/>
    <s v="Fashion"/>
    <n v="95"/>
    <n v="211.65"/>
    <n v="95"/>
    <n v="116.65"/>
    <x v="1"/>
  </r>
  <r>
    <s v="ORD53377"/>
    <d v="2025-02-01T00:00:00"/>
    <s v="Dubai Mall"/>
    <s v="P102"/>
    <n v="1"/>
    <n v="249"/>
    <x v="5"/>
    <x v="13"/>
    <s v="Electronics"/>
    <n v="150"/>
    <n v="199.20000000000002"/>
    <n v="150"/>
    <n v="49.200000000000017"/>
    <x v="1"/>
  </r>
  <r>
    <s v="ORD53425"/>
    <d v="2025-02-01T00:00:00"/>
    <s v="Online"/>
    <s v="P405"/>
    <n v="2"/>
    <n v="89"/>
    <x v="2"/>
    <x v="24"/>
    <s v="Beauty"/>
    <n v="40"/>
    <n v="160.20000000000002"/>
    <n v="80"/>
    <n v="80.200000000000017"/>
    <x v="1"/>
  </r>
  <r>
    <s v="ORD53718"/>
    <d v="2025-02-01T00:00:00"/>
    <s v="Ibn Battuta Mall"/>
    <s v="P304"/>
    <n v="3"/>
    <n v="699"/>
    <x v="3"/>
    <x v="35"/>
    <s v="Fashion"/>
    <n v="380"/>
    <n v="2097"/>
    <n v="1140"/>
    <n v="957"/>
    <x v="1"/>
  </r>
  <r>
    <s v="ORD53842"/>
    <d v="2025-02-01T00:00:00"/>
    <s v="Ibn Battuta Mall"/>
    <s v="P303"/>
    <n v="1"/>
    <n v="149"/>
    <x v="3"/>
    <x v="7"/>
    <s v="Fashion"/>
    <n v="80"/>
    <n v="149"/>
    <n v="80"/>
    <n v="69"/>
    <x v="1"/>
  </r>
  <r>
    <s v="ORD50292"/>
    <d v="2025-02-02T00:00:00"/>
    <s v="Online"/>
    <s v="P506"/>
    <n v="3"/>
    <n v="69"/>
    <x v="3"/>
    <x v="34"/>
    <s v="Sports"/>
    <n v="25"/>
    <n v="207"/>
    <n v="75"/>
    <n v="132"/>
    <x v="1"/>
  </r>
  <r>
    <s v="ORD51708"/>
    <d v="2025-02-02T00:00:00"/>
    <s v="City Centre Deira"/>
    <s v="P404"/>
    <n v="3"/>
    <n v="189"/>
    <x v="3"/>
    <x v="6"/>
    <s v="Beauty"/>
    <n v="85"/>
    <n v="567"/>
    <n v="255"/>
    <n v="312"/>
    <x v="1"/>
  </r>
  <r>
    <s v="ORD51772"/>
    <d v="2025-02-02T00:00:00"/>
    <s v="Mall of the Emirates"/>
    <s v="P107"/>
    <n v="2"/>
    <n v="89"/>
    <x v="3"/>
    <x v="29"/>
    <s v="Electronics"/>
    <n v="35"/>
    <n v="178"/>
    <n v="70"/>
    <n v="108"/>
    <x v="1"/>
  </r>
  <r>
    <s v="ORD52411"/>
    <d v="2025-02-02T00:00:00"/>
    <s v="Dubai Mall"/>
    <s v="P106"/>
    <n v="3"/>
    <n v="149"/>
    <x v="3"/>
    <x v="30"/>
    <s v="Electronics"/>
    <n v="70"/>
    <n v="447"/>
    <n v="210"/>
    <n v="237"/>
    <x v="1"/>
  </r>
  <r>
    <s v="ORD52540"/>
    <d v="2025-02-02T00:00:00"/>
    <s v="Ibn Battuta Mall"/>
    <s v="P405"/>
    <n v="1"/>
    <n v="89"/>
    <x v="3"/>
    <x v="24"/>
    <s v="Beauty"/>
    <n v="40"/>
    <n v="89"/>
    <n v="40"/>
    <n v="49"/>
    <x v="1"/>
  </r>
  <r>
    <s v="ORD52556"/>
    <d v="2025-02-02T00:00:00"/>
    <s v="Online"/>
    <s v="P404"/>
    <n v="1"/>
    <n v="189"/>
    <x v="3"/>
    <x v="6"/>
    <s v="Beauty"/>
    <n v="85"/>
    <n v="189"/>
    <n v="85"/>
    <n v="104"/>
    <x v="1"/>
  </r>
  <r>
    <s v="ORD52593"/>
    <d v="2025-02-02T00:00:00"/>
    <s v="Online"/>
    <s v="P107"/>
    <n v="2"/>
    <n v="89"/>
    <x v="1"/>
    <x v="29"/>
    <s v="Electronics"/>
    <n v="35"/>
    <n v="169.1"/>
    <n v="70"/>
    <n v="99.1"/>
    <x v="1"/>
  </r>
  <r>
    <s v="ORD52646"/>
    <d v="2025-02-02T00:00:00"/>
    <s v="Online"/>
    <s v="P504"/>
    <n v="1"/>
    <n v="2499"/>
    <x v="5"/>
    <x v="33"/>
    <s v="Sports"/>
    <n v="2150"/>
    <n v="1999.2"/>
    <n v="2150"/>
    <n v="-150.79999999999995"/>
    <x v="1"/>
  </r>
  <r>
    <s v="ORD52767"/>
    <d v="2025-02-02T00:00:00"/>
    <s v="City Centre Deira"/>
    <s v="P403"/>
    <n v="1"/>
    <n v="299"/>
    <x v="5"/>
    <x v="8"/>
    <s v="Beauty"/>
    <n v="240"/>
    <n v="239.20000000000002"/>
    <n v="240"/>
    <n v="-0.79999999999998295"/>
    <x v="1"/>
  </r>
  <r>
    <s v="ORD53877"/>
    <d v="2025-02-02T00:00:00"/>
    <s v="Dubai Mall"/>
    <s v="P106"/>
    <n v="2"/>
    <n v="149"/>
    <x v="4"/>
    <x v="30"/>
    <s v="Electronics"/>
    <n v="70"/>
    <n v="208.6"/>
    <n v="140"/>
    <n v="68.599999999999994"/>
    <x v="1"/>
  </r>
  <r>
    <s v="ORD50346"/>
    <d v="2025-02-03T00:00:00"/>
    <s v="Dubai Mall"/>
    <s v="P404"/>
    <n v="1"/>
    <n v="189"/>
    <x v="3"/>
    <x v="6"/>
    <s v="Beauty"/>
    <n v="85"/>
    <n v="189"/>
    <n v="85"/>
    <n v="104"/>
    <x v="1"/>
  </r>
  <r>
    <s v="ORD51097"/>
    <d v="2025-02-03T00:00:00"/>
    <s v="Ibn Battuta Mall"/>
    <s v="P307"/>
    <n v="2"/>
    <n v="399"/>
    <x v="2"/>
    <x v="20"/>
    <s v="Fashion"/>
    <n v="210"/>
    <n v="718.2"/>
    <n v="420"/>
    <n v="298.20000000000005"/>
    <x v="1"/>
  </r>
  <r>
    <s v="ORD51255"/>
    <d v="2025-02-03T00:00:00"/>
    <s v="Mall of the Emirates"/>
    <s v="P206"/>
    <n v="1"/>
    <n v="129"/>
    <x v="5"/>
    <x v="28"/>
    <s v="Home &amp; Kitchen"/>
    <n v="60"/>
    <n v="103.2"/>
    <n v="60"/>
    <n v="43.2"/>
    <x v="1"/>
  </r>
  <r>
    <s v="ORD51548"/>
    <d v="2025-02-03T00:00:00"/>
    <s v="City Centre Deira"/>
    <s v="P207"/>
    <n v="2"/>
    <n v="399"/>
    <x v="3"/>
    <x v="32"/>
    <s v="Home &amp; Kitchen"/>
    <n v="250"/>
    <n v="798"/>
    <n v="500"/>
    <n v="298"/>
    <x v="1"/>
  </r>
  <r>
    <s v="ORD52483"/>
    <d v="2025-02-03T00:00:00"/>
    <s v="Online"/>
    <s v="P406"/>
    <n v="2"/>
    <n v="199"/>
    <x v="3"/>
    <x v="4"/>
    <s v="Beauty"/>
    <n v="90"/>
    <n v="398"/>
    <n v="180"/>
    <n v="218"/>
    <x v="1"/>
  </r>
  <r>
    <s v="ORD52755"/>
    <d v="2025-02-03T00:00:00"/>
    <s v="City Centre Deira"/>
    <s v="P102"/>
    <n v="3"/>
    <n v="249"/>
    <x v="3"/>
    <x v="13"/>
    <s v="Electronics"/>
    <n v="150"/>
    <n v="747"/>
    <n v="450"/>
    <n v="297"/>
    <x v="1"/>
  </r>
  <r>
    <s v="ORD53128"/>
    <d v="2025-02-03T00:00:00"/>
    <s v="Ibn Battuta Mall"/>
    <s v="P308"/>
    <n v="2"/>
    <n v="229"/>
    <x v="1"/>
    <x v="0"/>
    <s v="Fashion"/>
    <n v="120"/>
    <n v="435.09999999999997"/>
    <n v="240"/>
    <n v="195.09999999999997"/>
    <x v="1"/>
  </r>
  <r>
    <s v="ORD53693"/>
    <d v="2025-02-03T00:00:00"/>
    <s v="Online"/>
    <s v="P402"/>
    <n v="2"/>
    <n v="149"/>
    <x v="0"/>
    <x v="17"/>
    <s v="Beauty"/>
    <n v="55"/>
    <n v="253.29999999999998"/>
    <n v="110"/>
    <n v="143.29999999999998"/>
    <x v="1"/>
  </r>
  <r>
    <s v="ORD53828"/>
    <d v="2025-02-03T00:00:00"/>
    <s v="Mall of the Emirates"/>
    <s v="P205"/>
    <n v="3"/>
    <n v="289"/>
    <x v="3"/>
    <x v="9"/>
    <s v="Home &amp; Kitchen"/>
    <n v="140"/>
    <n v="867"/>
    <n v="420"/>
    <n v="447"/>
    <x v="1"/>
  </r>
  <r>
    <s v="ORD53847"/>
    <d v="2025-02-03T00:00:00"/>
    <s v="Dubai Mall"/>
    <s v="P501"/>
    <n v="3"/>
    <n v="129"/>
    <x v="2"/>
    <x v="12"/>
    <s v="Sports"/>
    <n v="60"/>
    <n v="348.3"/>
    <n v="180"/>
    <n v="168.3"/>
    <x v="1"/>
  </r>
  <r>
    <s v="ORD50011"/>
    <d v="2025-02-04T00:00:00"/>
    <s v="Online"/>
    <s v="P505"/>
    <n v="1"/>
    <n v="99"/>
    <x v="3"/>
    <x v="11"/>
    <s v="Sports"/>
    <n v="45"/>
    <n v="99"/>
    <n v="45"/>
    <n v="54"/>
    <x v="1"/>
  </r>
  <r>
    <s v="ORD50324"/>
    <d v="2025-02-04T00:00:00"/>
    <s v="Mall of the Emirates"/>
    <s v="P501"/>
    <n v="1"/>
    <n v="129"/>
    <x v="3"/>
    <x v="12"/>
    <s v="Sports"/>
    <n v="60"/>
    <n v="129"/>
    <n v="60"/>
    <n v="69"/>
    <x v="1"/>
  </r>
  <r>
    <s v="ORD50329"/>
    <d v="2025-02-04T00:00:00"/>
    <s v="Dubai Mall"/>
    <s v="P402"/>
    <n v="4"/>
    <n v="149"/>
    <x v="3"/>
    <x v="17"/>
    <s v="Beauty"/>
    <n v="55"/>
    <n v="596"/>
    <n v="220"/>
    <n v="376"/>
    <x v="1"/>
  </r>
  <r>
    <s v="ORD50584"/>
    <d v="2025-02-04T00:00:00"/>
    <s v="Dubai Mall"/>
    <s v="P106"/>
    <n v="1"/>
    <n v="149"/>
    <x v="3"/>
    <x v="30"/>
    <s v="Electronics"/>
    <n v="70"/>
    <n v="149"/>
    <n v="70"/>
    <n v="79"/>
    <x v="1"/>
  </r>
  <r>
    <s v="ORD50752"/>
    <d v="2025-02-04T00:00:00"/>
    <s v="City Centre Deira"/>
    <s v="P106"/>
    <n v="1"/>
    <n v="149"/>
    <x v="5"/>
    <x v="30"/>
    <s v="Electronics"/>
    <n v="70"/>
    <n v="119.2"/>
    <n v="70"/>
    <n v="49.2"/>
    <x v="1"/>
  </r>
  <r>
    <s v="ORD50785"/>
    <d v="2025-02-04T00:00:00"/>
    <s v="Online"/>
    <s v="P104"/>
    <n v="1"/>
    <n v="199"/>
    <x v="0"/>
    <x v="1"/>
    <s v="Electronics"/>
    <n v="175"/>
    <n v="169.15"/>
    <n v="175"/>
    <n v="-5.8499999999999943"/>
    <x v="1"/>
  </r>
  <r>
    <s v="ORD50847"/>
    <d v="2025-02-04T00:00:00"/>
    <s v="Mall of the Emirates"/>
    <s v="P403"/>
    <n v="2"/>
    <n v="299"/>
    <x v="0"/>
    <x v="8"/>
    <s v="Beauty"/>
    <n v="240"/>
    <n v="508.3"/>
    <n v="480"/>
    <n v="28.300000000000011"/>
    <x v="1"/>
  </r>
  <r>
    <s v="ORD51201"/>
    <d v="2025-02-04T00:00:00"/>
    <s v="Dubai Mall"/>
    <s v="P104"/>
    <n v="1"/>
    <n v="199"/>
    <x v="2"/>
    <x v="1"/>
    <s v="Electronics"/>
    <n v="175"/>
    <n v="179.1"/>
    <n v="175"/>
    <n v="4.0999999999999943"/>
    <x v="1"/>
  </r>
  <r>
    <s v="ORD51360"/>
    <d v="2025-02-04T00:00:00"/>
    <s v="Dubai Mall"/>
    <s v="P501"/>
    <n v="1"/>
    <n v="129"/>
    <x v="0"/>
    <x v="12"/>
    <s v="Sports"/>
    <n v="60"/>
    <n v="109.64999999999999"/>
    <n v="60"/>
    <n v="49.649999999999991"/>
    <x v="1"/>
  </r>
  <r>
    <s v="ORD51495"/>
    <d v="2025-02-04T00:00:00"/>
    <s v="Mall of the Emirates"/>
    <s v="P101"/>
    <n v="1"/>
    <n v="399"/>
    <x v="2"/>
    <x v="5"/>
    <s v="Electronics"/>
    <n v="230"/>
    <n v="359.1"/>
    <n v="230"/>
    <n v="129.10000000000002"/>
    <x v="1"/>
  </r>
  <r>
    <s v="ORD51990"/>
    <d v="2025-02-04T00:00:00"/>
    <s v="Online"/>
    <s v="P506"/>
    <n v="2"/>
    <n v="69"/>
    <x v="3"/>
    <x v="34"/>
    <s v="Sports"/>
    <n v="25"/>
    <n v="138"/>
    <n v="50"/>
    <n v="88"/>
    <x v="1"/>
  </r>
  <r>
    <s v="ORD52106"/>
    <d v="2025-02-04T00:00:00"/>
    <s v="Mall of the Emirates"/>
    <s v="P102"/>
    <n v="1"/>
    <n v="249"/>
    <x v="3"/>
    <x v="13"/>
    <s v="Electronics"/>
    <n v="150"/>
    <n v="249"/>
    <n v="150"/>
    <n v="99"/>
    <x v="1"/>
  </r>
  <r>
    <s v="ORD52485"/>
    <d v="2025-02-04T00:00:00"/>
    <s v="Mall of the Emirates"/>
    <s v="P208"/>
    <n v="1"/>
    <n v="259"/>
    <x v="3"/>
    <x v="22"/>
    <s v="Home &amp; Kitchen"/>
    <n v="115"/>
    <n v="259"/>
    <n v="115"/>
    <n v="144"/>
    <x v="1"/>
  </r>
  <r>
    <s v="ORD53008"/>
    <d v="2025-02-04T00:00:00"/>
    <s v="Mall of the Emirates"/>
    <s v="P505"/>
    <n v="1"/>
    <n v="99"/>
    <x v="1"/>
    <x v="11"/>
    <s v="Sports"/>
    <n v="45"/>
    <n v="94.05"/>
    <n v="45"/>
    <n v="49.05"/>
    <x v="1"/>
  </r>
  <r>
    <s v="ORD53786"/>
    <d v="2025-02-04T00:00:00"/>
    <s v="Dubai Mall"/>
    <s v="P301"/>
    <n v="1"/>
    <n v="179"/>
    <x v="2"/>
    <x v="2"/>
    <s v="Fashion"/>
    <n v="70"/>
    <n v="161.1"/>
    <n v="70"/>
    <n v="91.1"/>
    <x v="1"/>
  </r>
  <r>
    <s v="ORD54078"/>
    <d v="2025-02-04T00:00:00"/>
    <s v="Online"/>
    <s v="P306"/>
    <n v="3"/>
    <n v="249"/>
    <x v="2"/>
    <x v="3"/>
    <s v="Fashion"/>
    <n v="95"/>
    <n v="672.30000000000007"/>
    <n v="285"/>
    <n v="387.30000000000007"/>
    <x v="1"/>
  </r>
  <r>
    <s v="ORD50010"/>
    <d v="2025-02-05T00:00:00"/>
    <s v="Dubai Mall"/>
    <s v="P304"/>
    <n v="1"/>
    <n v="699"/>
    <x v="3"/>
    <x v="35"/>
    <s v="Fashion"/>
    <n v="380"/>
    <n v="699"/>
    <n v="380"/>
    <n v="319"/>
    <x v="1"/>
  </r>
  <r>
    <s v="ORD50208"/>
    <d v="2025-02-05T00:00:00"/>
    <s v="Online"/>
    <s v="P108"/>
    <n v="1"/>
    <n v="459"/>
    <x v="5"/>
    <x v="23"/>
    <s v="Electronics"/>
    <n v="300"/>
    <n v="367.20000000000005"/>
    <n v="300"/>
    <n v="67.200000000000045"/>
    <x v="1"/>
  </r>
  <r>
    <s v="ORD50331"/>
    <d v="2025-02-05T00:00:00"/>
    <s v="Online"/>
    <s v="P308"/>
    <n v="1"/>
    <n v="229"/>
    <x v="3"/>
    <x v="0"/>
    <s v="Fashion"/>
    <n v="120"/>
    <n v="229"/>
    <n v="120"/>
    <n v="109"/>
    <x v="1"/>
  </r>
  <r>
    <s v="ORD50500"/>
    <d v="2025-02-05T00:00:00"/>
    <s v="Online"/>
    <s v="P205"/>
    <n v="1"/>
    <n v="289"/>
    <x v="5"/>
    <x v="9"/>
    <s v="Home &amp; Kitchen"/>
    <n v="140"/>
    <n v="231.20000000000002"/>
    <n v="140"/>
    <n v="91.200000000000017"/>
    <x v="1"/>
  </r>
  <r>
    <s v="ORD50876"/>
    <d v="2025-02-05T00:00:00"/>
    <s v="Ibn Battuta Mall"/>
    <s v="P102"/>
    <n v="1"/>
    <n v="249"/>
    <x v="3"/>
    <x v="13"/>
    <s v="Electronics"/>
    <n v="150"/>
    <n v="249"/>
    <n v="150"/>
    <n v="99"/>
    <x v="1"/>
  </r>
  <r>
    <s v="ORD51827"/>
    <d v="2025-02-05T00:00:00"/>
    <s v="Online"/>
    <s v="P107"/>
    <n v="1"/>
    <n v="89"/>
    <x v="3"/>
    <x v="29"/>
    <s v="Electronics"/>
    <n v="35"/>
    <n v="89"/>
    <n v="35"/>
    <n v="54"/>
    <x v="1"/>
  </r>
  <r>
    <s v="ORD51978"/>
    <d v="2025-02-05T00:00:00"/>
    <s v="Mall of the Emirates"/>
    <s v="P307"/>
    <n v="2"/>
    <n v="399"/>
    <x v="5"/>
    <x v="20"/>
    <s v="Fashion"/>
    <n v="210"/>
    <n v="638.40000000000009"/>
    <n v="420"/>
    <n v="218.40000000000009"/>
    <x v="1"/>
  </r>
  <r>
    <s v="ORD52861"/>
    <d v="2025-02-05T00:00:00"/>
    <s v="Dubai Mall"/>
    <s v="P102"/>
    <n v="1"/>
    <n v="249"/>
    <x v="3"/>
    <x v="13"/>
    <s v="Electronics"/>
    <n v="150"/>
    <n v="249"/>
    <n v="150"/>
    <n v="99"/>
    <x v="1"/>
  </r>
  <r>
    <s v="ORD52900"/>
    <d v="2025-02-05T00:00:00"/>
    <s v="Dubai Mall"/>
    <s v="P105"/>
    <n v="2"/>
    <n v="899"/>
    <x v="3"/>
    <x v="31"/>
    <s v="Electronics"/>
    <n v="610"/>
    <n v="1798"/>
    <n v="1220"/>
    <n v="578"/>
    <x v="1"/>
  </r>
  <r>
    <s v="ORD53549"/>
    <d v="2025-02-05T00:00:00"/>
    <s v="Dubai Mall"/>
    <s v="P502"/>
    <n v="1"/>
    <n v="799"/>
    <x v="5"/>
    <x v="19"/>
    <s v="Sports"/>
    <n v="700"/>
    <n v="639.20000000000005"/>
    <n v="700"/>
    <n v="-60.799999999999955"/>
    <x v="1"/>
  </r>
  <r>
    <s v="ORD53576"/>
    <d v="2025-02-05T00:00:00"/>
    <s v="Mall of the Emirates"/>
    <s v="P203"/>
    <n v="1"/>
    <n v="349"/>
    <x v="3"/>
    <x v="21"/>
    <s v="Home &amp; Kitchen"/>
    <n v="170"/>
    <n v="349"/>
    <n v="170"/>
    <n v="179"/>
    <x v="1"/>
  </r>
  <r>
    <s v="ORD53767"/>
    <d v="2025-02-05T00:00:00"/>
    <s v="Dubai Mall"/>
    <s v="P305"/>
    <n v="1"/>
    <n v="429"/>
    <x v="3"/>
    <x v="14"/>
    <s v="Fashion"/>
    <n v="300"/>
    <n v="429"/>
    <n v="300"/>
    <n v="129"/>
    <x v="1"/>
  </r>
  <r>
    <s v="ORD53910"/>
    <d v="2025-02-05T00:00:00"/>
    <s v="Online"/>
    <s v="P204"/>
    <n v="1"/>
    <n v="1199"/>
    <x v="6"/>
    <x v="27"/>
    <s v="Home &amp; Kitchen"/>
    <n v="1080"/>
    <n v="899.25"/>
    <n v="1080"/>
    <n v="-180.75"/>
    <x v="1"/>
  </r>
  <r>
    <s v="ORD50039"/>
    <d v="2025-02-06T00:00:00"/>
    <s v="City Centre Deira"/>
    <s v="P104"/>
    <n v="4"/>
    <n v="199"/>
    <x v="5"/>
    <x v="1"/>
    <s v="Electronics"/>
    <n v="175"/>
    <n v="636.80000000000007"/>
    <n v="700"/>
    <n v="-63.199999999999932"/>
    <x v="1"/>
  </r>
  <r>
    <s v="ORD50355"/>
    <d v="2025-02-06T00:00:00"/>
    <s v="Mall of the Emirates"/>
    <s v="P306"/>
    <n v="2"/>
    <n v="249"/>
    <x v="3"/>
    <x v="3"/>
    <s v="Fashion"/>
    <n v="95"/>
    <n v="498"/>
    <n v="190"/>
    <n v="308"/>
    <x v="1"/>
  </r>
  <r>
    <s v="ORD50460"/>
    <d v="2025-02-06T00:00:00"/>
    <s v="City Centre Deira"/>
    <s v="P506"/>
    <n v="2"/>
    <n v="69"/>
    <x v="3"/>
    <x v="34"/>
    <s v="Sports"/>
    <n v="25"/>
    <n v="138"/>
    <n v="50"/>
    <n v="88"/>
    <x v="1"/>
  </r>
  <r>
    <s v="ORD51142"/>
    <d v="2025-02-06T00:00:00"/>
    <s v="Ibn Battuta Mall"/>
    <s v="P201"/>
    <n v="1"/>
    <n v="499"/>
    <x v="5"/>
    <x v="16"/>
    <s v="Home &amp; Kitchen"/>
    <n v="290"/>
    <n v="399.20000000000005"/>
    <n v="290"/>
    <n v="109.20000000000005"/>
    <x v="1"/>
  </r>
  <r>
    <s v="ORD51372"/>
    <d v="2025-02-06T00:00:00"/>
    <s v="Online"/>
    <s v="P301"/>
    <n v="1"/>
    <n v="179"/>
    <x v="3"/>
    <x v="2"/>
    <s v="Fashion"/>
    <n v="70"/>
    <n v="179"/>
    <n v="70"/>
    <n v="109"/>
    <x v="1"/>
  </r>
  <r>
    <s v="ORD52028"/>
    <d v="2025-02-06T00:00:00"/>
    <s v="Mall of the Emirates"/>
    <s v="P302"/>
    <n v="3"/>
    <n v="459"/>
    <x v="4"/>
    <x v="10"/>
    <s v="Fashion"/>
    <n v="190"/>
    <n v="963.9"/>
    <n v="570"/>
    <n v="393.9"/>
    <x v="1"/>
  </r>
  <r>
    <s v="ORD52229"/>
    <d v="2025-02-06T00:00:00"/>
    <s v="Mall of the Emirates"/>
    <s v="P306"/>
    <n v="1"/>
    <n v="249"/>
    <x v="3"/>
    <x v="3"/>
    <s v="Fashion"/>
    <n v="95"/>
    <n v="249"/>
    <n v="95"/>
    <n v="154"/>
    <x v="1"/>
  </r>
  <r>
    <s v="ORD52327"/>
    <d v="2025-02-06T00:00:00"/>
    <s v="Dubai Mall"/>
    <s v="P403"/>
    <n v="3"/>
    <n v="299"/>
    <x v="6"/>
    <x v="8"/>
    <s v="Beauty"/>
    <n v="240"/>
    <n v="672.75"/>
    <n v="720"/>
    <n v="-47.25"/>
    <x v="1"/>
  </r>
  <r>
    <s v="ORD53382"/>
    <d v="2025-02-06T00:00:00"/>
    <s v="Mall of the Emirates"/>
    <s v="P303"/>
    <n v="1"/>
    <n v="149"/>
    <x v="1"/>
    <x v="7"/>
    <s v="Fashion"/>
    <n v="80"/>
    <n v="141.54999999999998"/>
    <n v="80"/>
    <n v="61.549999999999983"/>
    <x v="1"/>
  </r>
  <r>
    <s v="ORD50452"/>
    <d v="2025-02-07T00:00:00"/>
    <s v="Mall of the Emirates"/>
    <s v="P506"/>
    <n v="1"/>
    <n v="69"/>
    <x v="0"/>
    <x v="34"/>
    <s v="Sports"/>
    <n v="25"/>
    <n v="58.65"/>
    <n v="25"/>
    <n v="33.65"/>
    <x v="1"/>
  </r>
  <r>
    <s v="ORD51519"/>
    <d v="2025-02-07T00:00:00"/>
    <s v="City Centre Deira"/>
    <s v="P108"/>
    <n v="3"/>
    <n v="459"/>
    <x v="2"/>
    <x v="23"/>
    <s v="Electronics"/>
    <n v="300"/>
    <n v="1239.3"/>
    <n v="900"/>
    <n v="339.29999999999995"/>
    <x v="1"/>
  </r>
  <r>
    <s v="ORD51649"/>
    <d v="2025-02-07T00:00:00"/>
    <s v="Ibn Battuta Mall"/>
    <s v="P201"/>
    <n v="1"/>
    <n v="499"/>
    <x v="2"/>
    <x v="16"/>
    <s v="Home &amp; Kitchen"/>
    <n v="290"/>
    <n v="449.1"/>
    <n v="290"/>
    <n v="159.10000000000002"/>
    <x v="1"/>
  </r>
  <r>
    <s v="ORD51983"/>
    <d v="2025-02-07T00:00:00"/>
    <s v="Dubai Mall"/>
    <s v="P106"/>
    <n v="2"/>
    <n v="149"/>
    <x v="3"/>
    <x v="30"/>
    <s v="Electronics"/>
    <n v="70"/>
    <n v="298"/>
    <n v="140"/>
    <n v="158"/>
    <x v="1"/>
  </r>
  <r>
    <s v="ORD53133"/>
    <d v="2025-02-07T00:00:00"/>
    <s v="Online"/>
    <s v="P106"/>
    <n v="3"/>
    <n v="149"/>
    <x v="3"/>
    <x v="30"/>
    <s v="Electronics"/>
    <n v="70"/>
    <n v="447"/>
    <n v="210"/>
    <n v="237"/>
    <x v="1"/>
  </r>
  <r>
    <s v="ORD53144"/>
    <d v="2025-02-07T00:00:00"/>
    <s v="Mall of the Emirates"/>
    <s v="P102"/>
    <n v="1"/>
    <n v="249"/>
    <x v="1"/>
    <x v="13"/>
    <s v="Electronics"/>
    <n v="150"/>
    <n v="236.54999999999998"/>
    <n v="150"/>
    <n v="86.549999999999983"/>
    <x v="1"/>
  </r>
  <r>
    <s v="ORD53162"/>
    <d v="2025-02-07T00:00:00"/>
    <s v="Online"/>
    <s v="P205"/>
    <n v="2"/>
    <n v="289"/>
    <x v="2"/>
    <x v="9"/>
    <s v="Home &amp; Kitchen"/>
    <n v="140"/>
    <n v="520.20000000000005"/>
    <n v="280"/>
    <n v="240.20000000000005"/>
    <x v="1"/>
  </r>
  <r>
    <s v="ORD53302"/>
    <d v="2025-02-07T00:00:00"/>
    <s v="Mall of the Emirates"/>
    <s v="P303"/>
    <n v="1"/>
    <n v="149"/>
    <x v="3"/>
    <x v="7"/>
    <s v="Fashion"/>
    <n v="80"/>
    <n v="149"/>
    <n v="80"/>
    <n v="69"/>
    <x v="1"/>
  </r>
  <r>
    <s v="ORD53466"/>
    <d v="2025-02-07T00:00:00"/>
    <s v="Online"/>
    <s v="P402"/>
    <n v="1"/>
    <n v="149"/>
    <x v="3"/>
    <x v="17"/>
    <s v="Beauty"/>
    <n v="55"/>
    <n v="149"/>
    <n v="55"/>
    <n v="94"/>
    <x v="1"/>
  </r>
  <r>
    <s v="ORD53900"/>
    <d v="2025-02-07T00:00:00"/>
    <s v="Mall of the Emirates"/>
    <s v="P303"/>
    <n v="3"/>
    <n v="149"/>
    <x v="5"/>
    <x v="7"/>
    <s v="Fashion"/>
    <n v="80"/>
    <n v="357.6"/>
    <n v="240"/>
    <n v="117.60000000000002"/>
    <x v="1"/>
  </r>
  <r>
    <s v="ORD54168"/>
    <d v="2025-02-07T00:00:00"/>
    <s v="Online"/>
    <s v="P503"/>
    <n v="1"/>
    <n v="229"/>
    <x v="3"/>
    <x v="18"/>
    <s v="Sports"/>
    <n v="120"/>
    <n v="229"/>
    <n v="120"/>
    <n v="109"/>
    <x v="1"/>
  </r>
  <r>
    <s v="ORD50280"/>
    <d v="2025-02-08T00:00:00"/>
    <s v="City Centre Deira"/>
    <s v="P306"/>
    <n v="1"/>
    <n v="249"/>
    <x v="3"/>
    <x v="3"/>
    <s v="Fashion"/>
    <n v="95"/>
    <n v="249"/>
    <n v="95"/>
    <n v="154"/>
    <x v="1"/>
  </r>
  <r>
    <s v="ORD50317"/>
    <d v="2025-02-08T00:00:00"/>
    <s v="Dubai Mall"/>
    <s v="P202"/>
    <n v="1"/>
    <n v="1499"/>
    <x v="3"/>
    <x v="26"/>
    <s v="Home &amp; Kitchen"/>
    <n v="1050"/>
    <n v="1499"/>
    <n v="1050"/>
    <n v="449"/>
    <x v="1"/>
  </r>
  <r>
    <s v="ORD50562"/>
    <d v="2025-02-08T00:00:00"/>
    <s v="Dubai Mall"/>
    <s v="P303"/>
    <n v="3"/>
    <n v="149"/>
    <x v="0"/>
    <x v="7"/>
    <s v="Fashion"/>
    <n v="80"/>
    <n v="379.95"/>
    <n v="240"/>
    <n v="139.94999999999999"/>
    <x v="1"/>
  </r>
  <r>
    <s v="ORD50708"/>
    <d v="2025-02-08T00:00:00"/>
    <s v="Online"/>
    <s v="P406"/>
    <n v="2"/>
    <n v="199"/>
    <x v="3"/>
    <x v="4"/>
    <s v="Beauty"/>
    <n v="90"/>
    <n v="398"/>
    <n v="180"/>
    <n v="218"/>
    <x v="1"/>
  </r>
  <r>
    <s v="ORD50942"/>
    <d v="2025-02-08T00:00:00"/>
    <s v="City Centre Deira"/>
    <s v="P104"/>
    <n v="1"/>
    <n v="199"/>
    <x v="0"/>
    <x v="1"/>
    <s v="Electronics"/>
    <n v="175"/>
    <n v="169.15"/>
    <n v="175"/>
    <n v="-5.8499999999999943"/>
    <x v="1"/>
  </r>
  <r>
    <s v="ORD51236"/>
    <d v="2025-02-08T00:00:00"/>
    <s v="Dubai Mall"/>
    <s v="P505"/>
    <n v="1"/>
    <n v="99"/>
    <x v="2"/>
    <x v="11"/>
    <s v="Sports"/>
    <n v="45"/>
    <n v="89.100000000000009"/>
    <n v="45"/>
    <n v="44.100000000000009"/>
    <x v="1"/>
  </r>
  <r>
    <s v="ORD51245"/>
    <d v="2025-02-08T00:00:00"/>
    <s v="Ibn Battuta Mall"/>
    <s v="P505"/>
    <n v="1"/>
    <n v="99"/>
    <x v="0"/>
    <x v="11"/>
    <s v="Sports"/>
    <n v="45"/>
    <n v="84.149999999999991"/>
    <n v="45"/>
    <n v="39.149999999999991"/>
    <x v="1"/>
  </r>
  <r>
    <s v="ORD51426"/>
    <d v="2025-02-08T00:00:00"/>
    <s v="Dubai Mall"/>
    <s v="P108"/>
    <n v="1"/>
    <n v="459"/>
    <x v="4"/>
    <x v="23"/>
    <s v="Electronics"/>
    <n v="300"/>
    <n v="321.29999999999995"/>
    <n v="300"/>
    <n v="21.299999999999955"/>
    <x v="1"/>
  </r>
  <r>
    <s v="ORD51552"/>
    <d v="2025-02-08T00:00:00"/>
    <s v="Online"/>
    <s v="P104"/>
    <n v="1"/>
    <n v="199"/>
    <x v="6"/>
    <x v="1"/>
    <s v="Electronics"/>
    <n v="175"/>
    <n v="149.25"/>
    <n v="175"/>
    <n v="-25.75"/>
    <x v="1"/>
  </r>
  <r>
    <s v="ORD51594"/>
    <d v="2025-02-08T00:00:00"/>
    <s v="Ibn Battuta Mall"/>
    <s v="P302"/>
    <n v="2"/>
    <n v="459"/>
    <x v="0"/>
    <x v="10"/>
    <s v="Fashion"/>
    <n v="190"/>
    <n v="780.3"/>
    <n v="380"/>
    <n v="400.29999999999995"/>
    <x v="1"/>
  </r>
  <r>
    <s v="ORD52137"/>
    <d v="2025-02-08T00:00:00"/>
    <s v="Dubai Mall"/>
    <s v="P405"/>
    <n v="2"/>
    <n v="89"/>
    <x v="3"/>
    <x v="24"/>
    <s v="Beauty"/>
    <n v="40"/>
    <n v="178"/>
    <n v="80"/>
    <n v="98"/>
    <x v="1"/>
  </r>
  <r>
    <s v="ORD52454"/>
    <d v="2025-02-08T00:00:00"/>
    <s v="Mall of the Emirates"/>
    <s v="P107"/>
    <n v="2"/>
    <n v="89"/>
    <x v="3"/>
    <x v="29"/>
    <s v="Electronics"/>
    <n v="35"/>
    <n v="178"/>
    <n v="70"/>
    <n v="108"/>
    <x v="1"/>
  </r>
  <r>
    <s v="ORD52538"/>
    <d v="2025-02-08T00:00:00"/>
    <s v="Ibn Battuta Mall"/>
    <s v="P104"/>
    <n v="2"/>
    <n v="199"/>
    <x v="2"/>
    <x v="1"/>
    <s v="Electronics"/>
    <n v="175"/>
    <n v="358.2"/>
    <n v="350"/>
    <n v="8.1999999999999886"/>
    <x v="1"/>
  </r>
  <r>
    <s v="ORD52737"/>
    <d v="2025-02-08T00:00:00"/>
    <s v="Ibn Battuta Mall"/>
    <s v="P406"/>
    <n v="1"/>
    <n v="199"/>
    <x v="3"/>
    <x v="4"/>
    <s v="Beauty"/>
    <n v="90"/>
    <n v="199"/>
    <n v="90"/>
    <n v="109"/>
    <x v="1"/>
  </r>
  <r>
    <s v="ORD52759"/>
    <d v="2025-02-08T00:00:00"/>
    <s v="Dubai Mall"/>
    <s v="P104"/>
    <n v="1"/>
    <n v="199"/>
    <x v="6"/>
    <x v="1"/>
    <s v="Electronics"/>
    <n v="175"/>
    <n v="149.25"/>
    <n v="175"/>
    <n v="-25.75"/>
    <x v="1"/>
  </r>
  <r>
    <s v="ORD53603"/>
    <d v="2025-02-08T00:00:00"/>
    <s v="Mall of the Emirates"/>
    <s v="P404"/>
    <n v="1"/>
    <n v="189"/>
    <x v="4"/>
    <x v="6"/>
    <s v="Beauty"/>
    <n v="85"/>
    <n v="132.29999999999998"/>
    <n v="85"/>
    <n v="47.299999999999983"/>
    <x v="1"/>
  </r>
  <r>
    <s v="ORD53874"/>
    <d v="2025-02-08T00:00:00"/>
    <s v="Dubai Mall"/>
    <s v="P101"/>
    <n v="2"/>
    <n v="399"/>
    <x v="3"/>
    <x v="5"/>
    <s v="Electronics"/>
    <n v="230"/>
    <n v="798"/>
    <n v="460"/>
    <n v="338"/>
    <x v="1"/>
  </r>
  <r>
    <s v="ORD54027"/>
    <d v="2025-02-08T00:00:00"/>
    <s v="City Centre Deira"/>
    <s v="P403"/>
    <n v="1"/>
    <n v="299"/>
    <x v="0"/>
    <x v="8"/>
    <s v="Beauty"/>
    <n v="240"/>
    <n v="254.15"/>
    <n v="240"/>
    <n v="14.150000000000006"/>
    <x v="1"/>
  </r>
  <r>
    <s v="ORD54183"/>
    <d v="2025-02-08T00:00:00"/>
    <s v="Online"/>
    <s v="P207"/>
    <n v="1"/>
    <n v="399"/>
    <x v="3"/>
    <x v="32"/>
    <s v="Home &amp; Kitchen"/>
    <n v="250"/>
    <n v="399"/>
    <n v="250"/>
    <n v="149"/>
    <x v="1"/>
  </r>
  <r>
    <s v="ORD54196"/>
    <d v="2025-02-08T00:00:00"/>
    <s v="City Centre Deira"/>
    <s v="P306"/>
    <n v="2"/>
    <n v="249"/>
    <x v="3"/>
    <x v="3"/>
    <s v="Fashion"/>
    <n v="95"/>
    <n v="498"/>
    <n v="190"/>
    <n v="308"/>
    <x v="1"/>
  </r>
  <r>
    <s v="ORD50037"/>
    <d v="2025-02-09T00:00:00"/>
    <s v="Mall of the Emirates"/>
    <s v="P406"/>
    <n v="2"/>
    <n v="199"/>
    <x v="5"/>
    <x v="4"/>
    <s v="Beauty"/>
    <n v="90"/>
    <n v="318.40000000000003"/>
    <n v="180"/>
    <n v="138.40000000000003"/>
    <x v="1"/>
  </r>
  <r>
    <s v="ORD50109"/>
    <d v="2025-02-09T00:00:00"/>
    <s v="City Centre Deira"/>
    <s v="P304"/>
    <n v="4"/>
    <n v="699"/>
    <x v="3"/>
    <x v="35"/>
    <s v="Fashion"/>
    <n v="380"/>
    <n v="2796"/>
    <n v="1520"/>
    <n v="1276"/>
    <x v="1"/>
  </r>
  <r>
    <s v="ORD50197"/>
    <d v="2025-02-09T00:00:00"/>
    <s v="Mall of the Emirates"/>
    <s v="P301"/>
    <n v="2"/>
    <n v="179"/>
    <x v="5"/>
    <x v="2"/>
    <s v="Fashion"/>
    <n v="70"/>
    <n v="286.40000000000003"/>
    <n v="140"/>
    <n v="146.40000000000003"/>
    <x v="1"/>
  </r>
  <r>
    <s v="ORD50227"/>
    <d v="2025-02-09T00:00:00"/>
    <s v="Ibn Battuta Mall"/>
    <s v="P301"/>
    <n v="1"/>
    <n v="179"/>
    <x v="3"/>
    <x v="2"/>
    <s v="Fashion"/>
    <n v="70"/>
    <n v="179"/>
    <n v="70"/>
    <n v="109"/>
    <x v="1"/>
  </r>
  <r>
    <s v="ORD50247"/>
    <d v="2025-02-09T00:00:00"/>
    <s v="City Centre Deira"/>
    <s v="P505"/>
    <n v="2"/>
    <n v="99"/>
    <x v="4"/>
    <x v="11"/>
    <s v="Sports"/>
    <n v="45"/>
    <n v="138.6"/>
    <n v="90"/>
    <n v="48.599999999999994"/>
    <x v="1"/>
  </r>
  <r>
    <s v="ORD50647"/>
    <d v="2025-02-09T00:00:00"/>
    <s v="City Centre Deira"/>
    <s v="P104"/>
    <n v="1"/>
    <n v="199"/>
    <x v="0"/>
    <x v="1"/>
    <s v="Electronics"/>
    <n v="175"/>
    <n v="169.15"/>
    <n v="175"/>
    <n v="-5.8499999999999943"/>
    <x v="1"/>
  </r>
  <r>
    <s v="ORD50858"/>
    <d v="2025-02-09T00:00:00"/>
    <s v="Mall of the Emirates"/>
    <s v="P403"/>
    <n v="1"/>
    <n v="299"/>
    <x v="2"/>
    <x v="8"/>
    <s v="Beauty"/>
    <n v="240"/>
    <n v="269.10000000000002"/>
    <n v="240"/>
    <n v="29.100000000000023"/>
    <x v="1"/>
  </r>
  <r>
    <s v="ORD50997"/>
    <d v="2025-02-09T00:00:00"/>
    <s v="Dubai Mall"/>
    <s v="P101"/>
    <n v="1"/>
    <n v="399"/>
    <x v="3"/>
    <x v="5"/>
    <s v="Electronics"/>
    <n v="230"/>
    <n v="399"/>
    <n v="230"/>
    <n v="169"/>
    <x v="1"/>
  </r>
  <r>
    <s v="ORD51045"/>
    <d v="2025-02-09T00:00:00"/>
    <s v="Dubai Mall"/>
    <s v="P107"/>
    <n v="1"/>
    <n v="89"/>
    <x v="5"/>
    <x v="29"/>
    <s v="Electronics"/>
    <n v="35"/>
    <n v="71.2"/>
    <n v="35"/>
    <n v="36.200000000000003"/>
    <x v="1"/>
  </r>
  <r>
    <s v="ORD51198"/>
    <d v="2025-02-09T00:00:00"/>
    <s v="Online"/>
    <s v="P403"/>
    <n v="1"/>
    <n v="299"/>
    <x v="2"/>
    <x v="8"/>
    <s v="Beauty"/>
    <n v="240"/>
    <n v="269.10000000000002"/>
    <n v="240"/>
    <n v="29.100000000000023"/>
    <x v="1"/>
  </r>
  <r>
    <s v="ORD51309"/>
    <d v="2025-02-09T00:00:00"/>
    <s v="Mall of the Emirates"/>
    <s v="P405"/>
    <n v="1"/>
    <n v="89"/>
    <x v="3"/>
    <x v="24"/>
    <s v="Beauty"/>
    <n v="40"/>
    <n v="89"/>
    <n v="40"/>
    <n v="49"/>
    <x v="1"/>
  </r>
  <r>
    <s v="ORD51596"/>
    <d v="2025-02-09T00:00:00"/>
    <s v="Online"/>
    <s v="P104"/>
    <n v="1"/>
    <n v="199"/>
    <x v="0"/>
    <x v="1"/>
    <s v="Electronics"/>
    <n v="175"/>
    <n v="169.15"/>
    <n v="175"/>
    <n v="-5.8499999999999943"/>
    <x v="1"/>
  </r>
  <r>
    <s v="ORD51608"/>
    <d v="2025-02-09T00:00:00"/>
    <s v="Online"/>
    <s v="P406"/>
    <n v="1"/>
    <n v="199"/>
    <x v="1"/>
    <x v="4"/>
    <s v="Beauty"/>
    <n v="90"/>
    <n v="189.04999999999998"/>
    <n v="90"/>
    <n v="99.049999999999983"/>
    <x v="1"/>
  </r>
  <r>
    <s v="ORD52493"/>
    <d v="2025-02-09T00:00:00"/>
    <s v="Mall of the Emirates"/>
    <s v="P205"/>
    <n v="2"/>
    <n v="289"/>
    <x v="1"/>
    <x v="9"/>
    <s v="Home &amp; Kitchen"/>
    <n v="140"/>
    <n v="549.1"/>
    <n v="280"/>
    <n v="269.10000000000002"/>
    <x v="1"/>
  </r>
  <r>
    <s v="ORD52738"/>
    <d v="2025-02-09T00:00:00"/>
    <s v="Online"/>
    <s v="P102"/>
    <n v="3"/>
    <n v="249"/>
    <x v="3"/>
    <x v="13"/>
    <s v="Electronics"/>
    <n v="150"/>
    <n v="747"/>
    <n v="450"/>
    <n v="297"/>
    <x v="1"/>
  </r>
  <r>
    <s v="ORD53745"/>
    <d v="2025-02-09T00:00:00"/>
    <s v="Online"/>
    <s v="P406"/>
    <n v="2"/>
    <n v="199"/>
    <x v="1"/>
    <x v="4"/>
    <s v="Beauty"/>
    <n v="90"/>
    <n v="378.09999999999997"/>
    <n v="180"/>
    <n v="198.09999999999997"/>
    <x v="1"/>
  </r>
  <r>
    <s v="ORD53803"/>
    <d v="2025-02-09T00:00:00"/>
    <s v="Dubai Mall"/>
    <s v="P203"/>
    <n v="4"/>
    <n v="349"/>
    <x v="3"/>
    <x v="21"/>
    <s v="Home &amp; Kitchen"/>
    <n v="170"/>
    <n v="1396"/>
    <n v="680"/>
    <n v="716"/>
    <x v="1"/>
  </r>
  <r>
    <s v="ORD50286"/>
    <d v="2025-02-10T00:00:00"/>
    <s v="Ibn Battuta Mall"/>
    <s v="P306"/>
    <n v="2"/>
    <n v="249"/>
    <x v="4"/>
    <x v="3"/>
    <s v="Fashion"/>
    <n v="95"/>
    <n v="348.59999999999997"/>
    <n v="190"/>
    <n v="158.59999999999997"/>
    <x v="1"/>
  </r>
  <r>
    <s v="ORD50382"/>
    <d v="2025-02-10T00:00:00"/>
    <s v="Ibn Battuta Mall"/>
    <s v="P107"/>
    <n v="2"/>
    <n v="89"/>
    <x v="3"/>
    <x v="29"/>
    <s v="Electronics"/>
    <n v="35"/>
    <n v="178"/>
    <n v="70"/>
    <n v="108"/>
    <x v="1"/>
  </r>
  <r>
    <s v="ORD50502"/>
    <d v="2025-02-10T00:00:00"/>
    <s v="Mall of the Emirates"/>
    <s v="P105"/>
    <n v="2"/>
    <n v="899"/>
    <x v="0"/>
    <x v="31"/>
    <s v="Electronics"/>
    <n v="610"/>
    <n v="1528.3"/>
    <n v="1220"/>
    <n v="308.29999999999995"/>
    <x v="1"/>
  </r>
  <r>
    <s v="ORD50881"/>
    <d v="2025-02-10T00:00:00"/>
    <s v="City Centre Deira"/>
    <s v="P404"/>
    <n v="2"/>
    <n v="189"/>
    <x v="0"/>
    <x v="6"/>
    <s v="Beauty"/>
    <n v="85"/>
    <n v="321.3"/>
    <n v="170"/>
    <n v="151.30000000000001"/>
    <x v="1"/>
  </r>
  <r>
    <s v="ORD51299"/>
    <d v="2025-02-10T00:00:00"/>
    <s v="City Centre Deira"/>
    <s v="P505"/>
    <n v="1"/>
    <n v="99"/>
    <x v="3"/>
    <x v="11"/>
    <s v="Sports"/>
    <n v="45"/>
    <n v="99"/>
    <n v="45"/>
    <n v="54"/>
    <x v="1"/>
  </r>
  <r>
    <s v="ORD51460"/>
    <d v="2025-02-10T00:00:00"/>
    <s v="Dubai Mall"/>
    <s v="P106"/>
    <n v="2"/>
    <n v="149"/>
    <x v="1"/>
    <x v="30"/>
    <s v="Electronics"/>
    <n v="70"/>
    <n v="283.09999999999997"/>
    <n v="140"/>
    <n v="143.09999999999997"/>
    <x v="1"/>
  </r>
  <r>
    <s v="ORD51844"/>
    <d v="2025-02-10T00:00:00"/>
    <s v="Online"/>
    <s v="P204"/>
    <n v="1"/>
    <n v="1199"/>
    <x v="6"/>
    <x v="27"/>
    <s v="Home &amp; Kitchen"/>
    <n v="1080"/>
    <n v="899.25"/>
    <n v="1080"/>
    <n v="-180.75"/>
    <x v="1"/>
  </r>
  <r>
    <s v="ORD52685"/>
    <d v="2025-02-10T00:00:00"/>
    <s v="Dubai Mall"/>
    <s v="P504"/>
    <n v="1"/>
    <n v="2499"/>
    <x v="6"/>
    <x v="33"/>
    <s v="Sports"/>
    <n v="2150"/>
    <n v="1874.25"/>
    <n v="2150"/>
    <n v="-275.75"/>
    <x v="1"/>
  </r>
  <r>
    <s v="ORD53388"/>
    <d v="2025-02-10T00:00:00"/>
    <s v="Dubai Mall"/>
    <s v="P106"/>
    <n v="1"/>
    <n v="149"/>
    <x v="1"/>
    <x v="30"/>
    <s v="Electronics"/>
    <n v="70"/>
    <n v="141.54999999999998"/>
    <n v="70"/>
    <n v="71.549999999999983"/>
    <x v="1"/>
  </r>
  <r>
    <s v="ORD53428"/>
    <d v="2025-02-10T00:00:00"/>
    <s v="City Centre Deira"/>
    <s v="P208"/>
    <n v="1"/>
    <n v="259"/>
    <x v="5"/>
    <x v="22"/>
    <s v="Home &amp; Kitchen"/>
    <n v="115"/>
    <n v="207.20000000000002"/>
    <n v="115"/>
    <n v="92.200000000000017"/>
    <x v="1"/>
  </r>
  <r>
    <s v="ORD53753"/>
    <d v="2025-02-10T00:00:00"/>
    <s v="Ibn Battuta Mall"/>
    <s v="P504"/>
    <n v="1"/>
    <n v="2499"/>
    <x v="5"/>
    <x v="33"/>
    <s v="Sports"/>
    <n v="2150"/>
    <n v="1999.2"/>
    <n v="2150"/>
    <n v="-150.79999999999995"/>
    <x v="1"/>
  </r>
  <r>
    <s v="ORD54110"/>
    <d v="2025-02-10T00:00:00"/>
    <s v="City Centre Deira"/>
    <s v="P201"/>
    <n v="3"/>
    <n v="499"/>
    <x v="0"/>
    <x v="16"/>
    <s v="Home &amp; Kitchen"/>
    <n v="290"/>
    <n v="1272.45"/>
    <n v="870"/>
    <n v="402.45000000000005"/>
    <x v="1"/>
  </r>
  <r>
    <s v="ORD50146"/>
    <d v="2025-02-11T00:00:00"/>
    <s v="Dubai Mall"/>
    <s v="P202"/>
    <n v="1"/>
    <n v="1499"/>
    <x v="3"/>
    <x v="26"/>
    <s v="Home &amp; Kitchen"/>
    <n v="1050"/>
    <n v="1499"/>
    <n v="1050"/>
    <n v="449"/>
    <x v="1"/>
  </r>
  <r>
    <s v="ORD51101"/>
    <d v="2025-02-11T00:00:00"/>
    <s v="Dubai Mall"/>
    <s v="P103"/>
    <n v="1"/>
    <n v="1299"/>
    <x v="0"/>
    <x v="25"/>
    <s v="Electronics"/>
    <n v="820"/>
    <n v="1104.1499999999999"/>
    <n v="820"/>
    <n v="284.14999999999986"/>
    <x v="1"/>
  </r>
  <r>
    <s v="ORD51386"/>
    <d v="2025-02-11T00:00:00"/>
    <s v="City Centre Deira"/>
    <s v="P306"/>
    <n v="1"/>
    <n v="249"/>
    <x v="1"/>
    <x v="3"/>
    <s v="Fashion"/>
    <n v="95"/>
    <n v="236.54999999999998"/>
    <n v="95"/>
    <n v="141.54999999999998"/>
    <x v="1"/>
  </r>
  <r>
    <s v="ORD51775"/>
    <d v="2025-02-11T00:00:00"/>
    <s v="Mall of the Emirates"/>
    <s v="P102"/>
    <n v="3"/>
    <n v="249"/>
    <x v="5"/>
    <x v="13"/>
    <s v="Electronics"/>
    <n v="150"/>
    <n v="597.6"/>
    <n v="450"/>
    <n v="147.60000000000002"/>
    <x v="1"/>
  </r>
  <r>
    <s v="ORD51850"/>
    <d v="2025-02-11T00:00:00"/>
    <s v="Online"/>
    <s v="P208"/>
    <n v="1"/>
    <n v="259"/>
    <x v="3"/>
    <x v="22"/>
    <s v="Home &amp; Kitchen"/>
    <n v="115"/>
    <n v="259"/>
    <n v="115"/>
    <n v="144"/>
    <x v="1"/>
  </r>
  <r>
    <s v="ORD52309"/>
    <d v="2025-02-11T00:00:00"/>
    <s v="Dubai Mall"/>
    <s v="P404"/>
    <n v="3"/>
    <n v="189"/>
    <x v="0"/>
    <x v="6"/>
    <s v="Beauty"/>
    <n v="85"/>
    <n v="481.95"/>
    <n v="255"/>
    <n v="226.95"/>
    <x v="1"/>
  </r>
  <r>
    <s v="ORD52674"/>
    <d v="2025-02-11T00:00:00"/>
    <s v="Online"/>
    <s v="P501"/>
    <n v="2"/>
    <n v="129"/>
    <x v="3"/>
    <x v="12"/>
    <s v="Sports"/>
    <n v="60"/>
    <n v="258"/>
    <n v="120"/>
    <n v="138"/>
    <x v="1"/>
  </r>
  <r>
    <s v="ORD52850"/>
    <d v="2025-02-11T00:00:00"/>
    <s v="Ibn Battuta Mall"/>
    <s v="P501"/>
    <n v="1"/>
    <n v="129"/>
    <x v="2"/>
    <x v="12"/>
    <s v="Sports"/>
    <n v="60"/>
    <n v="116.10000000000001"/>
    <n v="60"/>
    <n v="56.100000000000009"/>
    <x v="1"/>
  </r>
  <r>
    <s v="ORD53616"/>
    <d v="2025-02-11T00:00:00"/>
    <s v="Dubai Mall"/>
    <s v="P107"/>
    <n v="4"/>
    <n v="89"/>
    <x v="3"/>
    <x v="29"/>
    <s v="Electronics"/>
    <n v="35"/>
    <n v="356"/>
    <n v="140"/>
    <n v="216"/>
    <x v="1"/>
  </r>
  <r>
    <s v="ORD54045"/>
    <d v="2025-02-11T00:00:00"/>
    <s v="City Centre Deira"/>
    <s v="P307"/>
    <n v="1"/>
    <n v="399"/>
    <x v="1"/>
    <x v="20"/>
    <s v="Fashion"/>
    <n v="210"/>
    <n v="379.04999999999995"/>
    <n v="210"/>
    <n v="169.04999999999995"/>
    <x v="1"/>
  </r>
  <r>
    <s v="ORD50009"/>
    <d v="2025-02-12T00:00:00"/>
    <s v="Mall of the Emirates"/>
    <s v="P401"/>
    <n v="1"/>
    <n v="549"/>
    <x v="3"/>
    <x v="15"/>
    <s v="Beauty"/>
    <n v="250"/>
    <n v="549"/>
    <n v="250"/>
    <n v="299"/>
    <x v="1"/>
  </r>
  <r>
    <s v="ORD50191"/>
    <d v="2025-02-12T00:00:00"/>
    <s v="Mall of the Emirates"/>
    <s v="P105"/>
    <n v="1"/>
    <n v="899"/>
    <x v="3"/>
    <x v="31"/>
    <s v="Electronics"/>
    <n v="610"/>
    <n v="899"/>
    <n v="610"/>
    <n v="289"/>
    <x v="1"/>
  </r>
  <r>
    <s v="ORD50442"/>
    <d v="2025-02-12T00:00:00"/>
    <s v="Dubai Mall"/>
    <s v="P101"/>
    <n v="2"/>
    <n v="399"/>
    <x v="4"/>
    <x v="5"/>
    <s v="Electronics"/>
    <n v="230"/>
    <n v="558.59999999999991"/>
    <n v="460"/>
    <n v="98.599999999999909"/>
    <x v="1"/>
  </r>
  <r>
    <s v="ORD50672"/>
    <d v="2025-02-12T00:00:00"/>
    <s v="Mall of the Emirates"/>
    <s v="P107"/>
    <n v="1"/>
    <n v="89"/>
    <x v="3"/>
    <x v="29"/>
    <s v="Electronics"/>
    <n v="35"/>
    <n v="89"/>
    <n v="35"/>
    <n v="54"/>
    <x v="1"/>
  </r>
  <r>
    <s v="ORD50753"/>
    <d v="2025-02-12T00:00:00"/>
    <s v="Dubai Mall"/>
    <s v="P406"/>
    <n v="3"/>
    <n v="199"/>
    <x v="3"/>
    <x v="4"/>
    <s v="Beauty"/>
    <n v="90"/>
    <n v="597"/>
    <n v="270"/>
    <n v="327"/>
    <x v="1"/>
  </r>
  <r>
    <s v="ORD53461"/>
    <d v="2025-02-12T00:00:00"/>
    <s v="Ibn Battuta Mall"/>
    <s v="P108"/>
    <n v="2"/>
    <n v="459"/>
    <x v="3"/>
    <x v="23"/>
    <s v="Electronics"/>
    <n v="300"/>
    <n v="918"/>
    <n v="600"/>
    <n v="318"/>
    <x v="1"/>
  </r>
  <r>
    <s v="ORD53667"/>
    <d v="2025-02-12T00:00:00"/>
    <s v="Online"/>
    <s v="P308"/>
    <n v="4"/>
    <n v="229"/>
    <x v="4"/>
    <x v="0"/>
    <s v="Fashion"/>
    <n v="120"/>
    <n v="641.19999999999993"/>
    <n v="480"/>
    <n v="161.19999999999993"/>
    <x v="1"/>
  </r>
  <r>
    <s v="ORD50537"/>
    <d v="2025-02-13T00:00:00"/>
    <s v="Dubai Mall"/>
    <s v="P307"/>
    <n v="1"/>
    <n v="399"/>
    <x v="3"/>
    <x v="20"/>
    <s v="Fashion"/>
    <n v="210"/>
    <n v="399"/>
    <n v="210"/>
    <n v="189"/>
    <x v="1"/>
  </r>
  <r>
    <s v="ORD51717"/>
    <d v="2025-02-13T00:00:00"/>
    <s v="Dubai Mall"/>
    <s v="P301"/>
    <n v="4"/>
    <n v="179"/>
    <x v="2"/>
    <x v="2"/>
    <s v="Fashion"/>
    <n v="70"/>
    <n v="644.4"/>
    <n v="280"/>
    <n v="364.4"/>
    <x v="1"/>
  </r>
  <r>
    <s v="ORD52486"/>
    <d v="2025-02-13T00:00:00"/>
    <s v="Dubai Mall"/>
    <s v="P104"/>
    <n v="1"/>
    <n v="199"/>
    <x v="6"/>
    <x v="1"/>
    <s v="Electronics"/>
    <n v="175"/>
    <n v="149.25"/>
    <n v="175"/>
    <n v="-25.75"/>
    <x v="1"/>
  </r>
  <r>
    <s v="ORD52645"/>
    <d v="2025-02-13T00:00:00"/>
    <s v="Mall of the Emirates"/>
    <s v="P106"/>
    <n v="1"/>
    <n v="149"/>
    <x v="5"/>
    <x v="30"/>
    <s v="Electronics"/>
    <n v="70"/>
    <n v="119.2"/>
    <n v="70"/>
    <n v="49.2"/>
    <x v="1"/>
  </r>
  <r>
    <s v="ORD52777"/>
    <d v="2025-02-13T00:00:00"/>
    <s v="City Centre Deira"/>
    <s v="P308"/>
    <n v="1"/>
    <n v="229"/>
    <x v="3"/>
    <x v="0"/>
    <s v="Fashion"/>
    <n v="120"/>
    <n v="229"/>
    <n v="120"/>
    <n v="109"/>
    <x v="1"/>
  </r>
  <r>
    <s v="ORD53175"/>
    <d v="2025-02-13T00:00:00"/>
    <s v="City Centre Deira"/>
    <s v="P504"/>
    <n v="1"/>
    <n v="2499"/>
    <x v="6"/>
    <x v="33"/>
    <s v="Sports"/>
    <n v="2150"/>
    <n v="1874.25"/>
    <n v="2150"/>
    <n v="-275.75"/>
    <x v="1"/>
  </r>
  <r>
    <s v="ORD53187"/>
    <d v="2025-02-13T00:00:00"/>
    <s v="Dubai Mall"/>
    <s v="P301"/>
    <n v="2"/>
    <n v="179"/>
    <x v="3"/>
    <x v="2"/>
    <s v="Fashion"/>
    <n v="70"/>
    <n v="358"/>
    <n v="140"/>
    <n v="218"/>
    <x v="1"/>
  </r>
  <r>
    <s v="ORD53214"/>
    <d v="2025-02-13T00:00:00"/>
    <s v="Online"/>
    <s v="P102"/>
    <n v="1"/>
    <n v="249"/>
    <x v="4"/>
    <x v="13"/>
    <s v="Electronics"/>
    <n v="150"/>
    <n v="174.29999999999998"/>
    <n v="150"/>
    <n v="24.299999999999983"/>
    <x v="1"/>
  </r>
  <r>
    <s v="ORD53406"/>
    <d v="2025-02-13T00:00:00"/>
    <s v="Dubai Mall"/>
    <s v="P301"/>
    <n v="1"/>
    <n v="179"/>
    <x v="3"/>
    <x v="2"/>
    <s v="Fashion"/>
    <n v="70"/>
    <n v="179"/>
    <n v="70"/>
    <n v="109"/>
    <x v="1"/>
  </r>
  <r>
    <s v="ORD53819"/>
    <d v="2025-02-13T00:00:00"/>
    <s v="Ibn Battuta Mall"/>
    <s v="P403"/>
    <n v="1"/>
    <n v="299"/>
    <x v="5"/>
    <x v="8"/>
    <s v="Beauty"/>
    <n v="240"/>
    <n v="239.20000000000002"/>
    <n v="240"/>
    <n v="-0.79999999999998295"/>
    <x v="1"/>
  </r>
  <r>
    <s v="ORD53851"/>
    <d v="2025-02-13T00:00:00"/>
    <s v="Mall of the Emirates"/>
    <s v="P104"/>
    <n v="3"/>
    <n v="199"/>
    <x v="2"/>
    <x v="1"/>
    <s v="Electronics"/>
    <n v="175"/>
    <n v="537.30000000000007"/>
    <n v="525"/>
    <n v="12.300000000000068"/>
    <x v="1"/>
  </r>
  <r>
    <s v="ORD53858"/>
    <d v="2025-02-13T00:00:00"/>
    <s v="Mall of the Emirates"/>
    <s v="P202"/>
    <n v="1"/>
    <n v="1499"/>
    <x v="5"/>
    <x v="26"/>
    <s v="Home &amp; Kitchen"/>
    <n v="1050"/>
    <n v="1199.2"/>
    <n v="1050"/>
    <n v="149.20000000000005"/>
    <x v="1"/>
  </r>
  <r>
    <s v="ORD54082"/>
    <d v="2025-02-13T00:00:00"/>
    <s v="Ibn Battuta Mall"/>
    <s v="P305"/>
    <n v="1"/>
    <n v="429"/>
    <x v="3"/>
    <x v="14"/>
    <s v="Fashion"/>
    <n v="300"/>
    <n v="429"/>
    <n v="300"/>
    <n v="129"/>
    <x v="1"/>
  </r>
  <r>
    <s v="ORD50801"/>
    <d v="2025-02-14T00:00:00"/>
    <s v="Mall of the Emirates"/>
    <s v="P105"/>
    <n v="2"/>
    <n v="899"/>
    <x v="5"/>
    <x v="31"/>
    <s v="Electronics"/>
    <n v="610"/>
    <n v="1438.4"/>
    <n v="1220"/>
    <n v="218.40000000000009"/>
    <x v="1"/>
  </r>
  <r>
    <s v="ORD51226"/>
    <d v="2025-02-14T00:00:00"/>
    <s v="Mall of the Emirates"/>
    <s v="P304"/>
    <n v="1"/>
    <n v="699"/>
    <x v="0"/>
    <x v="35"/>
    <s v="Fashion"/>
    <n v="380"/>
    <n v="594.15"/>
    <n v="380"/>
    <n v="214.14999999999998"/>
    <x v="1"/>
  </r>
  <r>
    <s v="ORD51257"/>
    <d v="2025-02-14T00:00:00"/>
    <s v="Online"/>
    <s v="P205"/>
    <n v="1"/>
    <n v="289"/>
    <x v="0"/>
    <x v="9"/>
    <s v="Home &amp; Kitchen"/>
    <n v="140"/>
    <n v="245.65"/>
    <n v="140"/>
    <n v="105.65"/>
    <x v="1"/>
  </r>
  <r>
    <s v="ORD51425"/>
    <d v="2025-02-14T00:00:00"/>
    <s v="Mall of the Emirates"/>
    <s v="P306"/>
    <n v="1"/>
    <n v="249"/>
    <x v="1"/>
    <x v="3"/>
    <s v="Fashion"/>
    <n v="95"/>
    <n v="236.54999999999998"/>
    <n v="95"/>
    <n v="141.54999999999998"/>
    <x v="1"/>
  </r>
  <r>
    <s v="ORD51518"/>
    <d v="2025-02-14T00:00:00"/>
    <s v="Dubai Mall"/>
    <s v="P308"/>
    <n v="1"/>
    <n v="229"/>
    <x v="3"/>
    <x v="0"/>
    <s v="Fashion"/>
    <n v="120"/>
    <n v="229"/>
    <n v="120"/>
    <n v="109"/>
    <x v="1"/>
  </r>
  <r>
    <s v="ORD51541"/>
    <d v="2025-02-14T00:00:00"/>
    <s v="Ibn Battuta Mall"/>
    <s v="P305"/>
    <n v="1"/>
    <n v="429"/>
    <x v="3"/>
    <x v="14"/>
    <s v="Fashion"/>
    <n v="300"/>
    <n v="429"/>
    <n v="300"/>
    <n v="129"/>
    <x v="1"/>
  </r>
  <r>
    <s v="ORD51628"/>
    <d v="2025-02-14T00:00:00"/>
    <s v="Online"/>
    <s v="P108"/>
    <n v="1"/>
    <n v="459"/>
    <x v="3"/>
    <x v="23"/>
    <s v="Electronics"/>
    <n v="300"/>
    <n v="459"/>
    <n v="300"/>
    <n v="159"/>
    <x v="1"/>
  </r>
  <r>
    <s v="ORD51883"/>
    <d v="2025-02-14T00:00:00"/>
    <s v="Dubai Mall"/>
    <s v="P105"/>
    <n v="1"/>
    <n v="899"/>
    <x v="3"/>
    <x v="31"/>
    <s v="Electronics"/>
    <n v="610"/>
    <n v="899"/>
    <n v="610"/>
    <n v="289"/>
    <x v="1"/>
  </r>
  <r>
    <s v="ORD52407"/>
    <d v="2025-02-14T00:00:00"/>
    <s v="Online"/>
    <s v="P401"/>
    <n v="4"/>
    <n v="549"/>
    <x v="1"/>
    <x v="15"/>
    <s v="Beauty"/>
    <n v="250"/>
    <n v="2086.1999999999998"/>
    <n v="1000"/>
    <n v="1086.1999999999998"/>
    <x v="1"/>
  </r>
  <r>
    <s v="ORD52815"/>
    <d v="2025-02-14T00:00:00"/>
    <s v="City Centre Deira"/>
    <s v="P405"/>
    <n v="2"/>
    <n v="89"/>
    <x v="2"/>
    <x v="24"/>
    <s v="Beauty"/>
    <n v="40"/>
    <n v="160.20000000000002"/>
    <n v="80"/>
    <n v="80.200000000000017"/>
    <x v="1"/>
  </r>
  <r>
    <s v="ORD52822"/>
    <d v="2025-02-14T00:00:00"/>
    <s v="City Centre Deira"/>
    <s v="P402"/>
    <n v="1"/>
    <n v="149"/>
    <x v="3"/>
    <x v="17"/>
    <s v="Beauty"/>
    <n v="55"/>
    <n v="149"/>
    <n v="55"/>
    <n v="94"/>
    <x v="1"/>
  </r>
  <r>
    <s v="ORD53332"/>
    <d v="2025-02-14T00:00:00"/>
    <s v="City Centre Deira"/>
    <s v="P107"/>
    <n v="2"/>
    <n v="89"/>
    <x v="3"/>
    <x v="29"/>
    <s v="Electronics"/>
    <n v="35"/>
    <n v="178"/>
    <n v="70"/>
    <n v="108"/>
    <x v="1"/>
  </r>
  <r>
    <s v="ORD53737"/>
    <d v="2025-02-14T00:00:00"/>
    <s v="Dubai Mall"/>
    <s v="P308"/>
    <n v="4"/>
    <n v="229"/>
    <x v="3"/>
    <x v="0"/>
    <s v="Fashion"/>
    <n v="120"/>
    <n v="916"/>
    <n v="480"/>
    <n v="436"/>
    <x v="1"/>
  </r>
  <r>
    <s v="ORD53772"/>
    <d v="2025-02-14T00:00:00"/>
    <s v="Mall of the Emirates"/>
    <s v="P402"/>
    <n v="1"/>
    <n v="149"/>
    <x v="3"/>
    <x v="17"/>
    <s v="Beauty"/>
    <n v="55"/>
    <n v="149"/>
    <n v="55"/>
    <n v="94"/>
    <x v="1"/>
  </r>
  <r>
    <s v="ORD53894"/>
    <d v="2025-02-14T00:00:00"/>
    <s v="Dubai Mall"/>
    <s v="P204"/>
    <n v="2"/>
    <n v="1199"/>
    <x v="2"/>
    <x v="27"/>
    <s v="Home &amp; Kitchen"/>
    <n v="1080"/>
    <n v="2158.2000000000003"/>
    <n v="2160"/>
    <n v="-1.7999999999997272"/>
    <x v="1"/>
  </r>
  <r>
    <s v="ORD50375"/>
    <d v="2025-02-15T00:00:00"/>
    <s v="Mall of the Emirates"/>
    <s v="P303"/>
    <n v="1"/>
    <n v="149"/>
    <x v="3"/>
    <x v="7"/>
    <s v="Fashion"/>
    <n v="80"/>
    <n v="149"/>
    <n v="80"/>
    <n v="69"/>
    <x v="1"/>
  </r>
  <r>
    <s v="ORD50736"/>
    <d v="2025-02-15T00:00:00"/>
    <s v="Online"/>
    <s v="P306"/>
    <n v="1"/>
    <n v="249"/>
    <x v="1"/>
    <x v="3"/>
    <s v="Fashion"/>
    <n v="95"/>
    <n v="236.54999999999998"/>
    <n v="95"/>
    <n v="141.54999999999998"/>
    <x v="1"/>
  </r>
  <r>
    <s v="ORD51397"/>
    <d v="2025-02-15T00:00:00"/>
    <s v="Online"/>
    <s v="P108"/>
    <n v="1"/>
    <n v="459"/>
    <x v="1"/>
    <x v="23"/>
    <s v="Electronics"/>
    <n v="300"/>
    <n v="436.04999999999995"/>
    <n v="300"/>
    <n v="136.04999999999995"/>
    <x v="1"/>
  </r>
  <r>
    <s v="ORD52210"/>
    <d v="2025-02-15T00:00:00"/>
    <s v="Dubai Mall"/>
    <s v="P308"/>
    <n v="3"/>
    <n v="229"/>
    <x v="1"/>
    <x v="0"/>
    <s v="Fashion"/>
    <n v="120"/>
    <n v="652.65"/>
    <n v="360"/>
    <n v="292.64999999999998"/>
    <x v="1"/>
  </r>
  <r>
    <s v="ORD52372"/>
    <d v="2025-02-15T00:00:00"/>
    <s v="Dubai Mall"/>
    <s v="P505"/>
    <n v="1"/>
    <n v="99"/>
    <x v="3"/>
    <x v="11"/>
    <s v="Sports"/>
    <n v="45"/>
    <n v="99"/>
    <n v="45"/>
    <n v="54"/>
    <x v="1"/>
  </r>
  <r>
    <s v="ORD53529"/>
    <d v="2025-02-15T00:00:00"/>
    <s v="Dubai Mall"/>
    <s v="P203"/>
    <n v="1"/>
    <n v="349"/>
    <x v="1"/>
    <x v="21"/>
    <s v="Home &amp; Kitchen"/>
    <n v="170"/>
    <n v="331.55"/>
    <n v="170"/>
    <n v="161.55000000000001"/>
    <x v="1"/>
  </r>
  <r>
    <s v="ORD53904"/>
    <d v="2025-02-15T00:00:00"/>
    <s v="Online"/>
    <s v="P304"/>
    <n v="1"/>
    <n v="699"/>
    <x v="5"/>
    <x v="35"/>
    <s v="Fashion"/>
    <n v="380"/>
    <n v="559.20000000000005"/>
    <n v="380"/>
    <n v="179.20000000000005"/>
    <x v="1"/>
  </r>
  <r>
    <s v="ORD54116"/>
    <d v="2025-02-15T00:00:00"/>
    <s v="Dubai Mall"/>
    <s v="P205"/>
    <n v="1"/>
    <n v="289"/>
    <x v="4"/>
    <x v="9"/>
    <s v="Home &amp; Kitchen"/>
    <n v="140"/>
    <n v="202.29999999999998"/>
    <n v="140"/>
    <n v="62.299999999999983"/>
    <x v="1"/>
  </r>
  <r>
    <s v="ORD50192"/>
    <d v="2025-02-16T00:00:00"/>
    <s v="Mall of the Emirates"/>
    <s v="P502"/>
    <n v="1"/>
    <n v="799"/>
    <x v="6"/>
    <x v="19"/>
    <s v="Sports"/>
    <n v="700"/>
    <n v="599.25"/>
    <n v="700"/>
    <n v="-100.75"/>
    <x v="1"/>
  </r>
  <r>
    <s v="ORD50637"/>
    <d v="2025-02-16T00:00:00"/>
    <s v="Ibn Battuta Mall"/>
    <s v="P308"/>
    <n v="2"/>
    <n v="229"/>
    <x v="0"/>
    <x v="0"/>
    <s v="Fashion"/>
    <n v="120"/>
    <n v="389.3"/>
    <n v="240"/>
    <n v="149.30000000000001"/>
    <x v="1"/>
  </r>
  <r>
    <s v="ORD50970"/>
    <d v="2025-02-16T00:00:00"/>
    <s v="Dubai Mall"/>
    <s v="P103"/>
    <n v="1"/>
    <n v="1299"/>
    <x v="3"/>
    <x v="25"/>
    <s v="Electronics"/>
    <n v="820"/>
    <n v="1299"/>
    <n v="820"/>
    <n v="479"/>
    <x v="1"/>
  </r>
  <r>
    <s v="ORD51022"/>
    <d v="2025-02-16T00:00:00"/>
    <s v="Dubai Mall"/>
    <s v="P401"/>
    <n v="2"/>
    <n v="549"/>
    <x v="5"/>
    <x v="15"/>
    <s v="Beauty"/>
    <n v="250"/>
    <n v="878.40000000000009"/>
    <n v="500"/>
    <n v="378.40000000000009"/>
    <x v="1"/>
  </r>
  <r>
    <s v="ORD52408"/>
    <d v="2025-02-16T00:00:00"/>
    <s v="Online"/>
    <s v="P106"/>
    <n v="1"/>
    <n v="149"/>
    <x v="3"/>
    <x v="30"/>
    <s v="Electronics"/>
    <n v="70"/>
    <n v="149"/>
    <n v="70"/>
    <n v="79"/>
    <x v="1"/>
  </r>
  <r>
    <s v="ORD52471"/>
    <d v="2025-02-16T00:00:00"/>
    <s v="Online"/>
    <s v="P208"/>
    <n v="2"/>
    <n v="259"/>
    <x v="0"/>
    <x v="22"/>
    <s v="Home &amp; Kitchen"/>
    <n v="115"/>
    <n v="440.3"/>
    <n v="230"/>
    <n v="210.3"/>
    <x v="1"/>
  </r>
  <r>
    <s v="ORD52955"/>
    <d v="2025-02-16T00:00:00"/>
    <s v="Dubai Mall"/>
    <s v="P502"/>
    <n v="2"/>
    <n v="799"/>
    <x v="5"/>
    <x v="19"/>
    <s v="Sports"/>
    <n v="700"/>
    <n v="1278.4000000000001"/>
    <n v="1400"/>
    <n v="-121.59999999999991"/>
    <x v="1"/>
  </r>
  <r>
    <s v="ORD53480"/>
    <d v="2025-02-16T00:00:00"/>
    <s v="Dubai Mall"/>
    <s v="P405"/>
    <n v="1"/>
    <n v="89"/>
    <x v="3"/>
    <x v="24"/>
    <s v="Beauty"/>
    <n v="40"/>
    <n v="89"/>
    <n v="40"/>
    <n v="49"/>
    <x v="1"/>
  </r>
  <r>
    <s v="ORD50273"/>
    <d v="2025-02-17T00:00:00"/>
    <s v="Online"/>
    <s v="P402"/>
    <n v="2"/>
    <n v="149"/>
    <x v="1"/>
    <x v="17"/>
    <s v="Beauty"/>
    <n v="55"/>
    <n v="283.09999999999997"/>
    <n v="110"/>
    <n v="173.09999999999997"/>
    <x v="1"/>
  </r>
  <r>
    <s v="ORD50393"/>
    <d v="2025-02-17T00:00:00"/>
    <s v="Ibn Battuta Mall"/>
    <s v="P107"/>
    <n v="2"/>
    <n v="89"/>
    <x v="5"/>
    <x v="29"/>
    <s v="Electronics"/>
    <n v="35"/>
    <n v="142.4"/>
    <n v="70"/>
    <n v="72.400000000000006"/>
    <x v="1"/>
  </r>
  <r>
    <s v="ORD50450"/>
    <d v="2025-02-17T00:00:00"/>
    <s v="Online"/>
    <s v="P103"/>
    <n v="1"/>
    <n v="1299"/>
    <x v="3"/>
    <x v="25"/>
    <s v="Electronics"/>
    <n v="820"/>
    <n v="1299"/>
    <n v="820"/>
    <n v="479"/>
    <x v="1"/>
  </r>
  <r>
    <s v="ORD50516"/>
    <d v="2025-02-17T00:00:00"/>
    <s v="Mall of the Emirates"/>
    <s v="P401"/>
    <n v="1"/>
    <n v="549"/>
    <x v="3"/>
    <x v="15"/>
    <s v="Beauty"/>
    <n v="250"/>
    <n v="549"/>
    <n v="250"/>
    <n v="299"/>
    <x v="1"/>
  </r>
  <r>
    <s v="ORD51018"/>
    <d v="2025-02-17T00:00:00"/>
    <s v="Mall of the Emirates"/>
    <s v="P105"/>
    <n v="1"/>
    <n v="899"/>
    <x v="0"/>
    <x v="31"/>
    <s v="Electronics"/>
    <n v="610"/>
    <n v="764.15"/>
    <n v="610"/>
    <n v="154.14999999999998"/>
    <x v="1"/>
  </r>
  <r>
    <s v="ORD51240"/>
    <d v="2025-02-17T00:00:00"/>
    <s v="Online"/>
    <s v="P206"/>
    <n v="1"/>
    <n v="129"/>
    <x v="3"/>
    <x v="28"/>
    <s v="Home &amp; Kitchen"/>
    <n v="60"/>
    <n v="129"/>
    <n v="60"/>
    <n v="69"/>
    <x v="1"/>
  </r>
  <r>
    <s v="ORD51527"/>
    <d v="2025-02-17T00:00:00"/>
    <s v="Online"/>
    <s v="P301"/>
    <n v="3"/>
    <n v="179"/>
    <x v="5"/>
    <x v="2"/>
    <s v="Fashion"/>
    <n v="70"/>
    <n v="429.6"/>
    <n v="210"/>
    <n v="219.60000000000002"/>
    <x v="1"/>
  </r>
  <r>
    <s v="ORD51661"/>
    <d v="2025-02-17T00:00:00"/>
    <s v="City Centre Deira"/>
    <s v="P401"/>
    <n v="1"/>
    <n v="549"/>
    <x v="3"/>
    <x v="15"/>
    <s v="Beauty"/>
    <n v="250"/>
    <n v="549"/>
    <n v="250"/>
    <n v="299"/>
    <x v="1"/>
  </r>
  <r>
    <s v="ORD53583"/>
    <d v="2025-02-17T00:00:00"/>
    <s v="Dubai Mall"/>
    <s v="P302"/>
    <n v="1"/>
    <n v="459"/>
    <x v="5"/>
    <x v="10"/>
    <s v="Fashion"/>
    <n v="190"/>
    <n v="367.20000000000005"/>
    <n v="190"/>
    <n v="177.20000000000005"/>
    <x v="1"/>
  </r>
  <r>
    <s v="ORD50374"/>
    <d v="2025-02-18T00:00:00"/>
    <s v="Ibn Battuta Mall"/>
    <s v="P204"/>
    <n v="1"/>
    <n v="1199"/>
    <x v="2"/>
    <x v="27"/>
    <s v="Home &amp; Kitchen"/>
    <n v="1080"/>
    <n v="1079.1000000000001"/>
    <n v="1080"/>
    <n v="-0.89999999999986358"/>
    <x v="1"/>
  </r>
  <r>
    <s v="ORD51010"/>
    <d v="2025-02-18T00:00:00"/>
    <s v="Online"/>
    <s v="P208"/>
    <n v="2"/>
    <n v="259"/>
    <x v="1"/>
    <x v="22"/>
    <s v="Home &amp; Kitchen"/>
    <n v="115"/>
    <n v="492.09999999999997"/>
    <n v="230"/>
    <n v="262.09999999999997"/>
    <x v="1"/>
  </r>
  <r>
    <s v="ORD51093"/>
    <d v="2025-02-18T00:00:00"/>
    <s v="City Centre Deira"/>
    <s v="P303"/>
    <n v="1"/>
    <n v="149"/>
    <x v="3"/>
    <x v="7"/>
    <s v="Fashion"/>
    <n v="80"/>
    <n v="149"/>
    <n v="80"/>
    <n v="69"/>
    <x v="1"/>
  </r>
  <r>
    <s v="ORD51242"/>
    <d v="2025-02-18T00:00:00"/>
    <s v="Mall of the Emirates"/>
    <s v="P301"/>
    <n v="1"/>
    <n v="179"/>
    <x v="3"/>
    <x v="2"/>
    <s v="Fashion"/>
    <n v="70"/>
    <n v="179"/>
    <n v="70"/>
    <n v="109"/>
    <x v="1"/>
  </r>
  <r>
    <s v="ORD51873"/>
    <d v="2025-02-18T00:00:00"/>
    <s v="Online"/>
    <s v="P404"/>
    <n v="1"/>
    <n v="189"/>
    <x v="1"/>
    <x v="6"/>
    <s v="Beauty"/>
    <n v="85"/>
    <n v="179.54999999999998"/>
    <n v="85"/>
    <n v="94.549999999999983"/>
    <x v="1"/>
  </r>
  <r>
    <s v="ORD51996"/>
    <d v="2025-02-18T00:00:00"/>
    <s v="Mall of the Emirates"/>
    <s v="P203"/>
    <n v="4"/>
    <n v="349"/>
    <x v="5"/>
    <x v="21"/>
    <s v="Home &amp; Kitchen"/>
    <n v="170"/>
    <n v="1116.8"/>
    <n v="680"/>
    <n v="436.79999999999995"/>
    <x v="1"/>
  </r>
  <r>
    <s v="ORD52265"/>
    <d v="2025-02-18T00:00:00"/>
    <s v="Online"/>
    <s v="P401"/>
    <n v="4"/>
    <n v="549"/>
    <x v="3"/>
    <x v="15"/>
    <s v="Beauty"/>
    <n v="250"/>
    <n v="2196"/>
    <n v="1000"/>
    <n v="1196"/>
    <x v="1"/>
  </r>
  <r>
    <s v="ORD52362"/>
    <d v="2025-02-18T00:00:00"/>
    <s v="Mall of the Emirates"/>
    <s v="P301"/>
    <n v="1"/>
    <n v="179"/>
    <x v="1"/>
    <x v="2"/>
    <s v="Fashion"/>
    <n v="70"/>
    <n v="170.04999999999998"/>
    <n v="70"/>
    <n v="100.04999999999998"/>
    <x v="1"/>
  </r>
  <r>
    <s v="ORD52649"/>
    <d v="2025-02-18T00:00:00"/>
    <s v="Online"/>
    <s v="P102"/>
    <n v="2"/>
    <n v="249"/>
    <x v="3"/>
    <x v="13"/>
    <s v="Electronics"/>
    <n v="150"/>
    <n v="498"/>
    <n v="300"/>
    <n v="198"/>
    <x v="1"/>
  </r>
  <r>
    <s v="ORD52917"/>
    <d v="2025-02-18T00:00:00"/>
    <s v="Mall of the Emirates"/>
    <s v="P301"/>
    <n v="1"/>
    <n v="179"/>
    <x v="3"/>
    <x v="2"/>
    <s v="Fashion"/>
    <n v="70"/>
    <n v="179"/>
    <n v="70"/>
    <n v="109"/>
    <x v="1"/>
  </r>
  <r>
    <s v="ORD52941"/>
    <d v="2025-02-18T00:00:00"/>
    <s v="Ibn Battuta Mall"/>
    <s v="P205"/>
    <n v="2"/>
    <n v="289"/>
    <x v="3"/>
    <x v="9"/>
    <s v="Home &amp; Kitchen"/>
    <n v="140"/>
    <n v="578"/>
    <n v="280"/>
    <n v="298"/>
    <x v="1"/>
  </r>
  <r>
    <s v="ORD53118"/>
    <d v="2025-02-18T00:00:00"/>
    <s v="City Centre Deira"/>
    <s v="P101"/>
    <n v="2"/>
    <n v="399"/>
    <x v="3"/>
    <x v="5"/>
    <s v="Electronics"/>
    <n v="230"/>
    <n v="798"/>
    <n v="460"/>
    <n v="338"/>
    <x v="1"/>
  </r>
  <r>
    <s v="ORD53252"/>
    <d v="2025-02-18T00:00:00"/>
    <s v="Ibn Battuta Mall"/>
    <s v="P406"/>
    <n v="1"/>
    <n v="199"/>
    <x v="3"/>
    <x v="4"/>
    <s v="Beauty"/>
    <n v="90"/>
    <n v="199"/>
    <n v="90"/>
    <n v="109"/>
    <x v="1"/>
  </r>
  <r>
    <s v="ORD53256"/>
    <d v="2025-02-18T00:00:00"/>
    <s v="Mall of the Emirates"/>
    <s v="P102"/>
    <n v="4"/>
    <n v="249"/>
    <x v="3"/>
    <x v="13"/>
    <s v="Electronics"/>
    <n v="150"/>
    <n v="996"/>
    <n v="600"/>
    <n v="396"/>
    <x v="1"/>
  </r>
  <r>
    <s v="ORD53329"/>
    <d v="2025-02-18T00:00:00"/>
    <s v="Dubai Mall"/>
    <s v="P304"/>
    <n v="1"/>
    <n v="699"/>
    <x v="3"/>
    <x v="35"/>
    <s v="Fashion"/>
    <n v="380"/>
    <n v="699"/>
    <n v="380"/>
    <n v="319"/>
    <x v="1"/>
  </r>
  <r>
    <s v="ORD53459"/>
    <d v="2025-02-18T00:00:00"/>
    <s v="Online"/>
    <s v="P301"/>
    <n v="3"/>
    <n v="179"/>
    <x v="3"/>
    <x v="2"/>
    <s v="Fashion"/>
    <n v="70"/>
    <n v="537"/>
    <n v="210"/>
    <n v="327"/>
    <x v="1"/>
  </r>
  <r>
    <s v="ORD53757"/>
    <d v="2025-02-18T00:00:00"/>
    <s v="Mall of the Emirates"/>
    <s v="P401"/>
    <n v="2"/>
    <n v="549"/>
    <x v="3"/>
    <x v="15"/>
    <s v="Beauty"/>
    <n v="250"/>
    <n v="1098"/>
    <n v="500"/>
    <n v="598"/>
    <x v="1"/>
  </r>
  <r>
    <s v="ORD53898"/>
    <d v="2025-02-18T00:00:00"/>
    <s v="Online"/>
    <s v="P503"/>
    <n v="2"/>
    <n v="229"/>
    <x v="3"/>
    <x v="18"/>
    <s v="Sports"/>
    <n v="120"/>
    <n v="458"/>
    <n v="240"/>
    <n v="218"/>
    <x v="1"/>
  </r>
  <r>
    <s v="ORD54130"/>
    <d v="2025-02-18T00:00:00"/>
    <s v="Dubai Mall"/>
    <s v="P302"/>
    <n v="4"/>
    <n v="459"/>
    <x v="3"/>
    <x v="10"/>
    <s v="Fashion"/>
    <n v="190"/>
    <n v="1836"/>
    <n v="760"/>
    <n v="1076"/>
    <x v="1"/>
  </r>
  <r>
    <s v="ORD54166"/>
    <d v="2025-02-18T00:00:00"/>
    <s v="Online"/>
    <s v="P207"/>
    <n v="1"/>
    <n v="399"/>
    <x v="3"/>
    <x v="32"/>
    <s v="Home &amp; Kitchen"/>
    <n v="250"/>
    <n v="399"/>
    <n v="250"/>
    <n v="149"/>
    <x v="1"/>
  </r>
  <r>
    <s v="ORD50094"/>
    <d v="2025-02-19T00:00:00"/>
    <s v="Mall of the Emirates"/>
    <s v="P205"/>
    <n v="1"/>
    <n v="289"/>
    <x v="3"/>
    <x v="9"/>
    <s v="Home &amp; Kitchen"/>
    <n v="140"/>
    <n v="289"/>
    <n v="140"/>
    <n v="149"/>
    <x v="1"/>
  </r>
  <r>
    <s v="ORD50169"/>
    <d v="2025-02-19T00:00:00"/>
    <s v="City Centre Deira"/>
    <s v="P406"/>
    <n v="1"/>
    <n v="199"/>
    <x v="2"/>
    <x v="4"/>
    <s v="Beauty"/>
    <n v="90"/>
    <n v="179.1"/>
    <n v="90"/>
    <n v="89.1"/>
    <x v="1"/>
  </r>
  <r>
    <s v="ORD50404"/>
    <d v="2025-02-19T00:00:00"/>
    <s v="Ibn Battuta Mall"/>
    <s v="P208"/>
    <n v="2"/>
    <n v="259"/>
    <x v="3"/>
    <x v="22"/>
    <s v="Home &amp; Kitchen"/>
    <n v="115"/>
    <n v="518"/>
    <n v="230"/>
    <n v="288"/>
    <x v="1"/>
  </r>
  <r>
    <s v="ORD50724"/>
    <d v="2025-02-19T00:00:00"/>
    <s v="City Centre Deira"/>
    <s v="P305"/>
    <n v="2"/>
    <n v="429"/>
    <x v="3"/>
    <x v="14"/>
    <s v="Fashion"/>
    <n v="300"/>
    <n v="858"/>
    <n v="600"/>
    <n v="258"/>
    <x v="1"/>
  </r>
  <r>
    <s v="ORD51151"/>
    <d v="2025-02-19T00:00:00"/>
    <s v="Online"/>
    <s v="P101"/>
    <n v="1"/>
    <n v="399"/>
    <x v="2"/>
    <x v="5"/>
    <s v="Electronics"/>
    <n v="230"/>
    <n v="359.1"/>
    <n v="230"/>
    <n v="129.10000000000002"/>
    <x v="1"/>
  </r>
  <r>
    <s v="ORD52347"/>
    <d v="2025-02-19T00:00:00"/>
    <s v="Mall of the Emirates"/>
    <s v="P205"/>
    <n v="1"/>
    <n v="289"/>
    <x v="1"/>
    <x v="9"/>
    <s v="Home &amp; Kitchen"/>
    <n v="140"/>
    <n v="274.55"/>
    <n v="140"/>
    <n v="134.55000000000001"/>
    <x v="1"/>
  </r>
  <r>
    <s v="ORD52629"/>
    <d v="2025-02-19T00:00:00"/>
    <s v="Online"/>
    <s v="P503"/>
    <n v="2"/>
    <n v="229"/>
    <x v="1"/>
    <x v="18"/>
    <s v="Sports"/>
    <n v="120"/>
    <n v="435.09999999999997"/>
    <n v="240"/>
    <n v="195.09999999999997"/>
    <x v="1"/>
  </r>
  <r>
    <s v="ORD52804"/>
    <d v="2025-02-19T00:00:00"/>
    <s v="City Centre Deira"/>
    <s v="P405"/>
    <n v="2"/>
    <n v="89"/>
    <x v="3"/>
    <x v="24"/>
    <s v="Beauty"/>
    <n v="40"/>
    <n v="178"/>
    <n v="80"/>
    <n v="98"/>
    <x v="1"/>
  </r>
  <r>
    <s v="ORD52845"/>
    <d v="2025-02-19T00:00:00"/>
    <s v="City Centre Deira"/>
    <s v="P406"/>
    <n v="3"/>
    <n v="199"/>
    <x v="3"/>
    <x v="4"/>
    <s v="Beauty"/>
    <n v="90"/>
    <n v="597"/>
    <n v="270"/>
    <n v="327"/>
    <x v="1"/>
  </r>
  <r>
    <s v="ORD53036"/>
    <d v="2025-02-19T00:00:00"/>
    <s v="Mall of the Emirates"/>
    <s v="P205"/>
    <n v="1"/>
    <n v="289"/>
    <x v="3"/>
    <x v="9"/>
    <s v="Home &amp; Kitchen"/>
    <n v="140"/>
    <n v="289"/>
    <n v="140"/>
    <n v="149"/>
    <x v="1"/>
  </r>
  <r>
    <s v="ORD53992"/>
    <d v="2025-02-19T00:00:00"/>
    <s v="Mall of the Emirates"/>
    <s v="P404"/>
    <n v="1"/>
    <n v="189"/>
    <x v="0"/>
    <x v="6"/>
    <s v="Beauty"/>
    <n v="85"/>
    <n v="160.65"/>
    <n v="85"/>
    <n v="75.650000000000006"/>
    <x v="1"/>
  </r>
  <r>
    <s v="ORD50388"/>
    <d v="2025-02-20T00:00:00"/>
    <s v="Dubai Mall"/>
    <s v="P401"/>
    <n v="1"/>
    <n v="549"/>
    <x v="4"/>
    <x v="15"/>
    <s v="Beauty"/>
    <n v="250"/>
    <n v="384.29999999999995"/>
    <n v="250"/>
    <n v="134.29999999999995"/>
    <x v="1"/>
  </r>
  <r>
    <s v="ORD51217"/>
    <d v="2025-02-20T00:00:00"/>
    <s v="Mall of the Emirates"/>
    <s v="P206"/>
    <n v="1"/>
    <n v="129"/>
    <x v="3"/>
    <x v="28"/>
    <s v="Home &amp; Kitchen"/>
    <n v="60"/>
    <n v="129"/>
    <n v="60"/>
    <n v="69"/>
    <x v="1"/>
  </r>
  <r>
    <s v="ORD51713"/>
    <d v="2025-02-20T00:00:00"/>
    <s v="City Centre Deira"/>
    <s v="P402"/>
    <n v="2"/>
    <n v="149"/>
    <x v="3"/>
    <x v="17"/>
    <s v="Beauty"/>
    <n v="55"/>
    <n v="298"/>
    <n v="110"/>
    <n v="188"/>
    <x v="1"/>
  </r>
  <r>
    <s v="ORD52756"/>
    <d v="2025-02-20T00:00:00"/>
    <s v="City Centre Deira"/>
    <s v="P303"/>
    <n v="4"/>
    <n v="149"/>
    <x v="3"/>
    <x v="7"/>
    <s v="Fashion"/>
    <n v="80"/>
    <n v="596"/>
    <n v="320"/>
    <n v="276"/>
    <x v="1"/>
  </r>
  <r>
    <s v="ORD52934"/>
    <d v="2025-02-20T00:00:00"/>
    <s v="Mall of the Emirates"/>
    <s v="P306"/>
    <n v="2"/>
    <n v="249"/>
    <x v="5"/>
    <x v="3"/>
    <s v="Fashion"/>
    <n v="95"/>
    <n v="398.40000000000003"/>
    <n v="190"/>
    <n v="208.40000000000003"/>
    <x v="1"/>
  </r>
  <r>
    <s v="ORD50321"/>
    <d v="2025-02-21T00:00:00"/>
    <s v="Ibn Battuta Mall"/>
    <s v="P503"/>
    <n v="2"/>
    <n v="229"/>
    <x v="3"/>
    <x v="18"/>
    <s v="Sports"/>
    <n v="120"/>
    <n v="458"/>
    <n v="240"/>
    <n v="218"/>
    <x v="1"/>
  </r>
  <r>
    <s v="ORD50702"/>
    <d v="2025-02-21T00:00:00"/>
    <s v="Online"/>
    <s v="P108"/>
    <n v="3"/>
    <n v="459"/>
    <x v="3"/>
    <x v="23"/>
    <s v="Electronics"/>
    <n v="300"/>
    <n v="1377"/>
    <n v="900"/>
    <n v="477"/>
    <x v="1"/>
  </r>
  <r>
    <s v="ORD51876"/>
    <d v="2025-02-21T00:00:00"/>
    <s v="Mall of the Emirates"/>
    <s v="P205"/>
    <n v="1"/>
    <n v="289"/>
    <x v="3"/>
    <x v="9"/>
    <s v="Home &amp; Kitchen"/>
    <n v="140"/>
    <n v="289"/>
    <n v="140"/>
    <n v="149"/>
    <x v="1"/>
  </r>
  <r>
    <s v="ORD52067"/>
    <d v="2025-02-21T00:00:00"/>
    <s v="Dubai Mall"/>
    <s v="P403"/>
    <n v="1"/>
    <n v="299"/>
    <x v="5"/>
    <x v="8"/>
    <s v="Beauty"/>
    <n v="240"/>
    <n v="239.20000000000002"/>
    <n v="240"/>
    <n v="-0.79999999999998295"/>
    <x v="1"/>
  </r>
  <r>
    <s v="ORD52291"/>
    <d v="2025-02-21T00:00:00"/>
    <s v="Online"/>
    <s v="P406"/>
    <n v="1"/>
    <n v="199"/>
    <x v="2"/>
    <x v="4"/>
    <s v="Beauty"/>
    <n v="90"/>
    <n v="179.1"/>
    <n v="90"/>
    <n v="89.1"/>
    <x v="1"/>
  </r>
  <r>
    <s v="ORD52324"/>
    <d v="2025-02-21T00:00:00"/>
    <s v="Mall of the Emirates"/>
    <s v="P107"/>
    <n v="4"/>
    <n v="89"/>
    <x v="1"/>
    <x v="29"/>
    <s v="Electronics"/>
    <n v="35"/>
    <n v="338.2"/>
    <n v="140"/>
    <n v="198.2"/>
    <x v="1"/>
  </r>
  <r>
    <s v="ORD52614"/>
    <d v="2025-02-21T00:00:00"/>
    <s v="Online"/>
    <s v="P102"/>
    <n v="1"/>
    <n v="249"/>
    <x v="0"/>
    <x v="13"/>
    <s v="Electronics"/>
    <n v="150"/>
    <n v="211.65"/>
    <n v="150"/>
    <n v="61.650000000000006"/>
    <x v="1"/>
  </r>
  <r>
    <s v="ORD53102"/>
    <d v="2025-02-21T00:00:00"/>
    <s v="Dubai Mall"/>
    <s v="P506"/>
    <n v="1"/>
    <n v="69"/>
    <x v="3"/>
    <x v="34"/>
    <s v="Sports"/>
    <n v="25"/>
    <n v="69"/>
    <n v="25"/>
    <n v="44"/>
    <x v="1"/>
  </r>
  <r>
    <s v="ORD53150"/>
    <d v="2025-02-21T00:00:00"/>
    <s v="City Centre Deira"/>
    <s v="P301"/>
    <n v="2"/>
    <n v="179"/>
    <x v="2"/>
    <x v="2"/>
    <s v="Fashion"/>
    <n v="70"/>
    <n v="322.2"/>
    <n v="140"/>
    <n v="182.2"/>
    <x v="1"/>
  </r>
  <r>
    <s v="ORD53303"/>
    <d v="2025-02-21T00:00:00"/>
    <s v="Mall of the Emirates"/>
    <s v="P208"/>
    <n v="1"/>
    <n v="259"/>
    <x v="4"/>
    <x v="22"/>
    <s v="Home &amp; Kitchen"/>
    <n v="115"/>
    <n v="181.29999999999998"/>
    <n v="115"/>
    <n v="66.299999999999983"/>
    <x v="1"/>
  </r>
  <r>
    <s v="ORD53679"/>
    <d v="2025-02-21T00:00:00"/>
    <s v="Mall of the Emirates"/>
    <s v="P107"/>
    <n v="1"/>
    <n v="89"/>
    <x v="1"/>
    <x v="29"/>
    <s v="Electronics"/>
    <n v="35"/>
    <n v="84.55"/>
    <n v="35"/>
    <n v="49.55"/>
    <x v="1"/>
  </r>
  <r>
    <s v="ORD54049"/>
    <d v="2025-02-21T00:00:00"/>
    <s v="Mall of the Emirates"/>
    <s v="P108"/>
    <n v="3"/>
    <n v="459"/>
    <x v="3"/>
    <x v="23"/>
    <s v="Electronics"/>
    <n v="300"/>
    <n v="1377"/>
    <n v="900"/>
    <n v="477"/>
    <x v="1"/>
  </r>
  <r>
    <s v="ORD54115"/>
    <d v="2025-02-21T00:00:00"/>
    <s v="Mall of the Emirates"/>
    <s v="P501"/>
    <n v="2"/>
    <n v="129"/>
    <x v="3"/>
    <x v="12"/>
    <s v="Sports"/>
    <n v="60"/>
    <n v="258"/>
    <n v="120"/>
    <n v="138"/>
    <x v="1"/>
  </r>
  <r>
    <s v="ORD54192"/>
    <d v="2025-02-21T00:00:00"/>
    <s v="Dubai Mall"/>
    <s v="P208"/>
    <n v="1"/>
    <n v="259"/>
    <x v="3"/>
    <x v="22"/>
    <s v="Home &amp; Kitchen"/>
    <n v="115"/>
    <n v="259"/>
    <n v="115"/>
    <n v="144"/>
    <x v="1"/>
  </r>
  <r>
    <s v="ORD50703"/>
    <d v="2025-02-22T00:00:00"/>
    <s v="Mall of the Emirates"/>
    <s v="P301"/>
    <n v="3"/>
    <n v="179"/>
    <x v="1"/>
    <x v="2"/>
    <s v="Fashion"/>
    <n v="70"/>
    <n v="510.15"/>
    <n v="210"/>
    <n v="300.14999999999998"/>
    <x v="1"/>
  </r>
  <r>
    <s v="ORD51119"/>
    <d v="2025-02-22T00:00:00"/>
    <s v="Online"/>
    <s v="P301"/>
    <n v="2"/>
    <n v="179"/>
    <x v="3"/>
    <x v="2"/>
    <s v="Fashion"/>
    <n v="70"/>
    <n v="358"/>
    <n v="140"/>
    <n v="218"/>
    <x v="1"/>
  </r>
  <r>
    <s v="ORD51172"/>
    <d v="2025-02-22T00:00:00"/>
    <s v="Dubai Mall"/>
    <s v="P405"/>
    <n v="3"/>
    <n v="89"/>
    <x v="3"/>
    <x v="24"/>
    <s v="Beauty"/>
    <n v="40"/>
    <n v="267"/>
    <n v="120"/>
    <n v="147"/>
    <x v="1"/>
  </r>
  <r>
    <s v="ORD51571"/>
    <d v="2025-02-22T00:00:00"/>
    <s v="City Centre Deira"/>
    <s v="P302"/>
    <n v="2"/>
    <n v="459"/>
    <x v="3"/>
    <x v="10"/>
    <s v="Fashion"/>
    <n v="190"/>
    <n v="918"/>
    <n v="380"/>
    <n v="538"/>
    <x v="1"/>
  </r>
  <r>
    <s v="ORD51591"/>
    <d v="2025-02-22T00:00:00"/>
    <s v="City Centre Deira"/>
    <s v="P106"/>
    <n v="2"/>
    <n v="149"/>
    <x v="3"/>
    <x v="30"/>
    <s v="Electronics"/>
    <n v="70"/>
    <n v="298"/>
    <n v="140"/>
    <n v="158"/>
    <x v="1"/>
  </r>
  <r>
    <s v="ORD51686"/>
    <d v="2025-02-22T00:00:00"/>
    <s v="City Centre Deira"/>
    <s v="P107"/>
    <n v="1"/>
    <n v="89"/>
    <x v="1"/>
    <x v="29"/>
    <s v="Electronics"/>
    <n v="35"/>
    <n v="84.55"/>
    <n v="35"/>
    <n v="49.55"/>
    <x v="1"/>
  </r>
  <r>
    <s v="ORD52099"/>
    <d v="2025-02-22T00:00:00"/>
    <s v="Dubai Mall"/>
    <s v="P402"/>
    <n v="4"/>
    <n v="149"/>
    <x v="5"/>
    <x v="17"/>
    <s v="Beauty"/>
    <n v="55"/>
    <n v="476.8"/>
    <n v="220"/>
    <n v="256.8"/>
    <x v="1"/>
  </r>
  <r>
    <s v="ORD52292"/>
    <d v="2025-02-22T00:00:00"/>
    <s v="Dubai Mall"/>
    <s v="P103"/>
    <n v="3"/>
    <n v="1299"/>
    <x v="0"/>
    <x v="25"/>
    <s v="Electronics"/>
    <n v="820"/>
    <n v="3312.45"/>
    <n v="2460"/>
    <n v="852.44999999999982"/>
    <x v="1"/>
  </r>
  <r>
    <s v="ORD52531"/>
    <d v="2025-02-22T00:00:00"/>
    <s v="Mall of the Emirates"/>
    <s v="P402"/>
    <n v="2"/>
    <n v="149"/>
    <x v="2"/>
    <x v="17"/>
    <s v="Beauty"/>
    <n v="55"/>
    <n v="268.2"/>
    <n v="110"/>
    <n v="158.19999999999999"/>
    <x v="1"/>
  </r>
  <r>
    <s v="ORD53025"/>
    <d v="2025-02-22T00:00:00"/>
    <s v="Online"/>
    <s v="P403"/>
    <n v="1"/>
    <n v="299"/>
    <x v="6"/>
    <x v="8"/>
    <s v="Beauty"/>
    <n v="240"/>
    <n v="224.25"/>
    <n v="240"/>
    <n v="-15.75"/>
    <x v="1"/>
  </r>
  <r>
    <s v="ORD53037"/>
    <d v="2025-02-22T00:00:00"/>
    <s v="Mall of the Emirates"/>
    <s v="P307"/>
    <n v="1"/>
    <n v="399"/>
    <x v="1"/>
    <x v="20"/>
    <s v="Fashion"/>
    <n v="210"/>
    <n v="379.04999999999995"/>
    <n v="210"/>
    <n v="169.04999999999995"/>
    <x v="1"/>
  </r>
  <r>
    <s v="ORD53359"/>
    <d v="2025-02-22T00:00:00"/>
    <s v="Ibn Battuta Mall"/>
    <s v="P208"/>
    <n v="2"/>
    <n v="259"/>
    <x v="0"/>
    <x v="22"/>
    <s v="Home &amp; Kitchen"/>
    <n v="115"/>
    <n v="440.3"/>
    <n v="230"/>
    <n v="210.3"/>
    <x v="1"/>
  </r>
  <r>
    <s v="ORD53621"/>
    <d v="2025-02-22T00:00:00"/>
    <s v="Online"/>
    <s v="P106"/>
    <n v="1"/>
    <n v="149"/>
    <x v="3"/>
    <x v="30"/>
    <s v="Electronics"/>
    <n v="70"/>
    <n v="149"/>
    <n v="70"/>
    <n v="79"/>
    <x v="1"/>
  </r>
  <r>
    <s v="ORD53886"/>
    <d v="2025-02-22T00:00:00"/>
    <s v="Ibn Battuta Mall"/>
    <s v="P206"/>
    <n v="3"/>
    <n v="129"/>
    <x v="5"/>
    <x v="28"/>
    <s v="Home &amp; Kitchen"/>
    <n v="60"/>
    <n v="309.60000000000002"/>
    <n v="180"/>
    <n v="129.60000000000002"/>
    <x v="1"/>
  </r>
  <r>
    <s v="ORD50390"/>
    <d v="2025-02-23T00:00:00"/>
    <s v="Ibn Battuta Mall"/>
    <s v="P101"/>
    <n v="4"/>
    <n v="399"/>
    <x v="3"/>
    <x v="5"/>
    <s v="Electronics"/>
    <n v="230"/>
    <n v="1596"/>
    <n v="920"/>
    <n v="676"/>
    <x v="1"/>
  </r>
  <r>
    <s v="ORD52470"/>
    <d v="2025-02-23T00:00:00"/>
    <s v="Dubai Mall"/>
    <s v="P207"/>
    <n v="3"/>
    <n v="399"/>
    <x v="3"/>
    <x v="32"/>
    <s v="Home &amp; Kitchen"/>
    <n v="250"/>
    <n v="1197"/>
    <n v="750"/>
    <n v="447"/>
    <x v="1"/>
  </r>
  <r>
    <s v="ORD53120"/>
    <d v="2025-02-23T00:00:00"/>
    <s v="Mall of the Emirates"/>
    <s v="P306"/>
    <n v="2"/>
    <n v="249"/>
    <x v="3"/>
    <x v="3"/>
    <s v="Fashion"/>
    <n v="95"/>
    <n v="498"/>
    <n v="190"/>
    <n v="308"/>
    <x v="1"/>
  </r>
  <r>
    <s v="ORD53135"/>
    <d v="2025-02-23T00:00:00"/>
    <s v="Dubai Mall"/>
    <s v="P101"/>
    <n v="3"/>
    <n v="399"/>
    <x v="1"/>
    <x v="5"/>
    <s v="Electronics"/>
    <n v="230"/>
    <n v="1137.1499999999999"/>
    <n v="690"/>
    <n v="447.14999999999986"/>
    <x v="1"/>
  </r>
  <r>
    <s v="ORD53691"/>
    <d v="2025-02-23T00:00:00"/>
    <s v="Mall of the Emirates"/>
    <s v="P501"/>
    <n v="2"/>
    <n v="129"/>
    <x v="3"/>
    <x v="12"/>
    <s v="Sports"/>
    <n v="60"/>
    <n v="258"/>
    <n v="120"/>
    <n v="138"/>
    <x v="1"/>
  </r>
  <r>
    <s v="ORD53722"/>
    <d v="2025-02-23T00:00:00"/>
    <s v="Mall of the Emirates"/>
    <s v="P205"/>
    <n v="1"/>
    <n v="289"/>
    <x v="3"/>
    <x v="9"/>
    <s v="Home &amp; Kitchen"/>
    <n v="140"/>
    <n v="289"/>
    <n v="140"/>
    <n v="149"/>
    <x v="1"/>
  </r>
  <r>
    <s v="ORD50091"/>
    <d v="2025-02-24T00:00:00"/>
    <s v="Online"/>
    <s v="P101"/>
    <n v="2"/>
    <n v="399"/>
    <x v="5"/>
    <x v="5"/>
    <s v="Electronics"/>
    <n v="230"/>
    <n v="638.40000000000009"/>
    <n v="460"/>
    <n v="178.40000000000009"/>
    <x v="1"/>
  </r>
  <r>
    <s v="ORD50887"/>
    <d v="2025-02-24T00:00:00"/>
    <s v="Ibn Battuta Mall"/>
    <s v="P307"/>
    <n v="3"/>
    <n v="399"/>
    <x v="2"/>
    <x v="20"/>
    <s v="Fashion"/>
    <n v="210"/>
    <n v="1077.3"/>
    <n v="630"/>
    <n v="447.29999999999995"/>
    <x v="1"/>
  </r>
  <r>
    <s v="ORD51147"/>
    <d v="2025-02-24T00:00:00"/>
    <s v="Dubai Mall"/>
    <s v="P402"/>
    <n v="2"/>
    <n v="149"/>
    <x v="3"/>
    <x v="17"/>
    <s v="Beauty"/>
    <n v="55"/>
    <n v="298"/>
    <n v="110"/>
    <n v="188"/>
    <x v="1"/>
  </r>
  <r>
    <s v="ORD51288"/>
    <d v="2025-02-24T00:00:00"/>
    <s v="Dubai Mall"/>
    <s v="P502"/>
    <n v="2"/>
    <n v="799"/>
    <x v="5"/>
    <x v="19"/>
    <s v="Sports"/>
    <n v="700"/>
    <n v="1278.4000000000001"/>
    <n v="1400"/>
    <n v="-121.59999999999991"/>
    <x v="1"/>
  </r>
  <r>
    <s v="ORD51946"/>
    <d v="2025-02-24T00:00:00"/>
    <s v="Dubai Mall"/>
    <s v="P105"/>
    <n v="1"/>
    <n v="899"/>
    <x v="3"/>
    <x v="31"/>
    <s v="Electronics"/>
    <n v="610"/>
    <n v="899"/>
    <n v="610"/>
    <n v="289"/>
    <x v="1"/>
  </r>
  <r>
    <s v="ORD53048"/>
    <d v="2025-02-24T00:00:00"/>
    <s v="Mall of the Emirates"/>
    <s v="P203"/>
    <n v="2"/>
    <n v="349"/>
    <x v="3"/>
    <x v="21"/>
    <s v="Home &amp; Kitchen"/>
    <n v="170"/>
    <n v="698"/>
    <n v="340"/>
    <n v="358"/>
    <x v="1"/>
  </r>
  <r>
    <s v="ORD53629"/>
    <d v="2025-02-24T00:00:00"/>
    <s v="Dubai Mall"/>
    <s v="P403"/>
    <n v="2"/>
    <n v="299"/>
    <x v="2"/>
    <x v="8"/>
    <s v="Beauty"/>
    <n v="240"/>
    <n v="538.20000000000005"/>
    <n v="480"/>
    <n v="58.200000000000045"/>
    <x v="1"/>
  </r>
  <r>
    <s v="ORD50440"/>
    <d v="2025-02-25T00:00:00"/>
    <s v="Online"/>
    <s v="P104"/>
    <n v="4"/>
    <n v="199"/>
    <x v="2"/>
    <x v="1"/>
    <s v="Electronics"/>
    <n v="175"/>
    <n v="716.4"/>
    <n v="700"/>
    <n v="16.399999999999977"/>
    <x v="1"/>
  </r>
  <r>
    <s v="ORD50993"/>
    <d v="2025-02-25T00:00:00"/>
    <s v="Mall of the Emirates"/>
    <s v="P203"/>
    <n v="1"/>
    <n v="349"/>
    <x v="1"/>
    <x v="21"/>
    <s v="Home &amp; Kitchen"/>
    <n v="170"/>
    <n v="331.55"/>
    <n v="170"/>
    <n v="161.55000000000001"/>
    <x v="1"/>
  </r>
  <r>
    <s v="ORD51375"/>
    <d v="2025-02-25T00:00:00"/>
    <s v="Online"/>
    <s v="P307"/>
    <n v="3"/>
    <n v="399"/>
    <x v="0"/>
    <x v="20"/>
    <s v="Fashion"/>
    <n v="210"/>
    <n v="1017.4499999999999"/>
    <n v="630"/>
    <n v="387.44999999999993"/>
    <x v="1"/>
  </r>
  <r>
    <s v="ORD51721"/>
    <d v="2025-02-25T00:00:00"/>
    <s v="City Centre Deira"/>
    <s v="P106"/>
    <n v="1"/>
    <n v="149"/>
    <x v="4"/>
    <x v="30"/>
    <s v="Electronics"/>
    <n v="70"/>
    <n v="104.3"/>
    <n v="70"/>
    <n v="34.299999999999997"/>
    <x v="1"/>
  </r>
  <r>
    <s v="ORD51801"/>
    <d v="2025-02-25T00:00:00"/>
    <s v="City Centre Deira"/>
    <s v="P303"/>
    <n v="2"/>
    <n v="149"/>
    <x v="1"/>
    <x v="7"/>
    <s v="Fashion"/>
    <n v="80"/>
    <n v="283.09999999999997"/>
    <n v="160"/>
    <n v="123.09999999999997"/>
    <x v="1"/>
  </r>
  <r>
    <s v="ORD52152"/>
    <d v="2025-02-25T00:00:00"/>
    <s v="Online"/>
    <s v="P406"/>
    <n v="2"/>
    <n v="199"/>
    <x v="1"/>
    <x v="4"/>
    <s v="Beauty"/>
    <n v="90"/>
    <n v="378.09999999999997"/>
    <n v="180"/>
    <n v="198.09999999999997"/>
    <x v="1"/>
  </r>
  <r>
    <s v="ORD52190"/>
    <d v="2025-02-25T00:00:00"/>
    <s v="Mall of the Emirates"/>
    <s v="P302"/>
    <n v="1"/>
    <n v="459"/>
    <x v="3"/>
    <x v="10"/>
    <s v="Fashion"/>
    <n v="190"/>
    <n v="459"/>
    <n v="190"/>
    <n v="269"/>
    <x v="1"/>
  </r>
  <r>
    <s v="ORD52827"/>
    <d v="2025-02-25T00:00:00"/>
    <s v="Online"/>
    <s v="P505"/>
    <n v="1"/>
    <n v="99"/>
    <x v="0"/>
    <x v="11"/>
    <s v="Sports"/>
    <n v="45"/>
    <n v="84.149999999999991"/>
    <n v="45"/>
    <n v="39.149999999999991"/>
    <x v="1"/>
  </r>
  <r>
    <s v="ORD53051"/>
    <d v="2025-02-25T00:00:00"/>
    <s v="Mall of the Emirates"/>
    <s v="P106"/>
    <n v="2"/>
    <n v="149"/>
    <x v="3"/>
    <x v="30"/>
    <s v="Electronics"/>
    <n v="70"/>
    <n v="298"/>
    <n v="140"/>
    <n v="158"/>
    <x v="1"/>
  </r>
  <r>
    <s v="ORD53472"/>
    <d v="2025-02-25T00:00:00"/>
    <s v="Online"/>
    <s v="P403"/>
    <n v="1"/>
    <n v="299"/>
    <x v="6"/>
    <x v="8"/>
    <s v="Beauty"/>
    <n v="240"/>
    <n v="224.25"/>
    <n v="240"/>
    <n v="-15.75"/>
    <x v="1"/>
  </r>
  <r>
    <s v="ORD50429"/>
    <d v="2025-02-26T00:00:00"/>
    <s v="Online"/>
    <s v="P305"/>
    <n v="2"/>
    <n v="429"/>
    <x v="3"/>
    <x v="14"/>
    <s v="Fashion"/>
    <n v="300"/>
    <n v="858"/>
    <n v="600"/>
    <n v="258"/>
    <x v="1"/>
  </r>
  <r>
    <s v="ORD50489"/>
    <d v="2025-02-26T00:00:00"/>
    <s v="Mall of the Emirates"/>
    <s v="P201"/>
    <n v="1"/>
    <n v="499"/>
    <x v="3"/>
    <x v="16"/>
    <s v="Home &amp; Kitchen"/>
    <n v="290"/>
    <n v="499"/>
    <n v="290"/>
    <n v="209"/>
    <x v="1"/>
  </r>
  <r>
    <s v="ORD50697"/>
    <d v="2025-02-26T00:00:00"/>
    <s v="Mall of the Emirates"/>
    <s v="P106"/>
    <n v="1"/>
    <n v="149"/>
    <x v="1"/>
    <x v="30"/>
    <s v="Electronics"/>
    <n v="70"/>
    <n v="141.54999999999998"/>
    <n v="70"/>
    <n v="71.549999999999983"/>
    <x v="1"/>
  </r>
  <r>
    <s v="ORD50910"/>
    <d v="2025-02-26T00:00:00"/>
    <s v="Mall of the Emirates"/>
    <s v="P306"/>
    <n v="1"/>
    <n v="249"/>
    <x v="2"/>
    <x v="3"/>
    <s v="Fashion"/>
    <n v="95"/>
    <n v="224.1"/>
    <n v="95"/>
    <n v="129.1"/>
    <x v="1"/>
  </r>
  <r>
    <s v="ORD51376"/>
    <d v="2025-02-26T00:00:00"/>
    <s v="City Centre Deira"/>
    <s v="P406"/>
    <n v="2"/>
    <n v="199"/>
    <x v="0"/>
    <x v="4"/>
    <s v="Beauty"/>
    <n v="90"/>
    <n v="338.3"/>
    <n v="180"/>
    <n v="158.30000000000001"/>
    <x v="1"/>
  </r>
  <r>
    <s v="ORD51524"/>
    <d v="2025-02-26T00:00:00"/>
    <s v="Dubai Mall"/>
    <s v="P301"/>
    <n v="2"/>
    <n v="179"/>
    <x v="3"/>
    <x v="2"/>
    <s v="Fashion"/>
    <n v="70"/>
    <n v="358"/>
    <n v="140"/>
    <n v="218"/>
    <x v="1"/>
  </r>
  <r>
    <s v="ORD51544"/>
    <d v="2025-02-26T00:00:00"/>
    <s v="Ibn Battuta Mall"/>
    <s v="P402"/>
    <n v="4"/>
    <n v="149"/>
    <x v="3"/>
    <x v="17"/>
    <s v="Beauty"/>
    <n v="55"/>
    <n v="596"/>
    <n v="220"/>
    <n v="376"/>
    <x v="1"/>
  </r>
  <r>
    <s v="ORD51696"/>
    <d v="2025-02-26T00:00:00"/>
    <s v="Dubai Mall"/>
    <s v="P405"/>
    <n v="1"/>
    <n v="89"/>
    <x v="1"/>
    <x v="24"/>
    <s v="Beauty"/>
    <n v="40"/>
    <n v="84.55"/>
    <n v="40"/>
    <n v="44.55"/>
    <x v="1"/>
  </r>
  <r>
    <s v="ORD52658"/>
    <d v="2025-02-26T00:00:00"/>
    <s v="Dubai Mall"/>
    <s v="P201"/>
    <n v="1"/>
    <n v="499"/>
    <x v="5"/>
    <x v="16"/>
    <s v="Home &amp; Kitchen"/>
    <n v="290"/>
    <n v="399.20000000000005"/>
    <n v="290"/>
    <n v="109.20000000000005"/>
    <x v="1"/>
  </r>
  <r>
    <s v="ORD52702"/>
    <d v="2025-02-26T00:00:00"/>
    <s v="Ibn Battuta Mall"/>
    <s v="P206"/>
    <n v="1"/>
    <n v="129"/>
    <x v="5"/>
    <x v="28"/>
    <s v="Home &amp; Kitchen"/>
    <n v="60"/>
    <n v="103.2"/>
    <n v="60"/>
    <n v="43.2"/>
    <x v="1"/>
  </r>
  <r>
    <s v="ORD52984"/>
    <d v="2025-02-26T00:00:00"/>
    <s v="Online"/>
    <s v="P403"/>
    <n v="1"/>
    <n v="299"/>
    <x v="5"/>
    <x v="8"/>
    <s v="Beauty"/>
    <n v="240"/>
    <n v="239.20000000000002"/>
    <n v="240"/>
    <n v="-0.79999999999998295"/>
    <x v="1"/>
  </r>
  <r>
    <s v="ORD53601"/>
    <d v="2025-02-26T00:00:00"/>
    <s v="Dubai Mall"/>
    <s v="P308"/>
    <n v="1"/>
    <n v="229"/>
    <x v="3"/>
    <x v="0"/>
    <s v="Fashion"/>
    <n v="120"/>
    <n v="229"/>
    <n v="120"/>
    <n v="109"/>
    <x v="1"/>
  </r>
  <r>
    <s v="ORD53740"/>
    <d v="2025-02-26T00:00:00"/>
    <s v="Online"/>
    <s v="P201"/>
    <n v="2"/>
    <n v="499"/>
    <x v="3"/>
    <x v="16"/>
    <s v="Home &amp; Kitchen"/>
    <n v="290"/>
    <n v="998"/>
    <n v="580"/>
    <n v="418"/>
    <x v="1"/>
  </r>
  <r>
    <s v="ORD50477"/>
    <d v="2025-02-27T00:00:00"/>
    <s v="Online"/>
    <s v="P303"/>
    <n v="1"/>
    <n v="149"/>
    <x v="3"/>
    <x v="7"/>
    <s v="Fashion"/>
    <n v="80"/>
    <n v="149"/>
    <n v="80"/>
    <n v="69"/>
    <x v="1"/>
  </r>
  <r>
    <s v="ORD51053"/>
    <d v="2025-02-27T00:00:00"/>
    <s v="Mall of the Emirates"/>
    <s v="P205"/>
    <n v="1"/>
    <n v="289"/>
    <x v="2"/>
    <x v="9"/>
    <s v="Home &amp; Kitchen"/>
    <n v="140"/>
    <n v="260.10000000000002"/>
    <n v="140"/>
    <n v="120.10000000000002"/>
    <x v="1"/>
  </r>
  <r>
    <s v="ORD52171"/>
    <d v="2025-02-27T00:00:00"/>
    <s v="Mall of the Emirates"/>
    <s v="P304"/>
    <n v="2"/>
    <n v="699"/>
    <x v="3"/>
    <x v="35"/>
    <s v="Fashion"/>
    <n v="380"/>
    <n v="1398"/>
    <n v="760"/>
    <n v="638"/>
    <x v="1"/>
  </r>
  <r>
    <s v="ORD52205"/>
    <d v="2025-02-27T00:00:00"/>
    <s v="Online"/>
    <s v="P106"/>
    <n v="1"/>
    <n v="149"/>
    <x v="5"/>
    <x v="30"/>
    <s v="Electronics"/>
    <n v="70"/>
    <n v="119.2"/>
    <n v="70"/>
    <n v="49.2"/>
    <x v="1"/>
  </r>
  <r>
    <s v="ORD52317"/>
    <d v="2025-02-27T00:00:00"/>
    <s v="Mall of the Emirates"/>
    <s v="P205"/>
    <n v="4"/>
    <n v="289"/>
    <x v="0"/>
    <x v="9"/>
    <s v="Home &amp; Kitchen"/>
    <n v="140"/>
    <n v="982.6"/>
    <n v="560"/>
    <n v="422.6"/>
    <x v="1"/>
  </r>
  <r>
    <s v="ORD52701"/>
    <d v="2025-02-27T00:00:00"/>
    <s v="Online"/>
    <s v="P402"/>
    <n v="1"/>
    <n v="149"/>
    <x v="5"/>
    <x v="17"/>
    <s v="Beauty"/>
    <n v="55"/>
    <n v="119.2"/>
    <n v="55"/>
    <n v="64.2"/>
    <x v="1"/>
  </r>
  <r>
    <s v="ORD53505"/>
    <d v="2025-02-27T00:00:00"/>
    <s v="Online"/>
    <s v="P107"/>
    <n v="1"/>
    <n v="89"/>
    <x v="3"/>
    <x v="29"/>
    <s v="Electronics"/>
    <n v="35"/>
    <n v="89"/>
    <n v="35"/>
    <n v="54"/>
    <x v="1"/>
  </r>
  <r>
    <s v="ORD53806"/>
    <d v="2025-02-27T00:00:00"/>
    <s v="Dubai Mall"/>
    <s v="P101"/>
    <n v="1"/>
    <n v="399"/>
    <x v="5"/>
    <x v="5"/>
    <s v="Electronics"/>
    <n v="230"/>
    <n v="319.20000000000005"/>
    <n v="230"/>
    <n v="89.200000000000045"/>
    <x v="1"/>
  </r>
  <r>
    <s v="ORD53876"/>
    <d v="2025-02-27T00:00:00"/>
    <s v="Online"/>
    <s v="P306"/>
    <n v="2"/>
    <n v="249"/>
    <x v="3"/>
    <x v="3"/>
    <s v="Fashion"/>
    <n v="95"/>
    <n v="498"/>
    <n v="190"/>
    <n v="308"/>
    <x v="1"/>
  </r>
  <r>
    <s v="ORD50341"/>
    <d v="2025-02-28T00:00:00"/>
    <s v="Ibn Battuta Mall"/>
    <s v="P404"/>
    <n v="4"/>
    <n v="189"/>
    <x v="3"/>
    <x v="6"/>
    <s v="Beauty"/>
    <n v="85"/>
    <n v="756"/>
    <n v="340"/>
    <n v="416"/>
    <x v="1"/>
  </r>
  <r>
    <s v="ORD50572"/>
    <d v="2025-02-28T00:00:00"/>
    <s v="Online"/>
    <s v="P306"/>
    <n v="1"/>
    <n v="249"/>
    <x v="1"/>
    <x v="3"/>
    <s v="Fashion"/>
    <n v="95"/>
    <n v="236.54999999999998"/>
    <n v="95"/>
    <n v="141.54999999999998"/>
    <x v="1"/>
  </r>
  <r>
    <s v="ORD50624"/>
    <d v="2025-02-28T00:00:00"/>
    <s v="City Centre Deira"/>
    <s v="P406"/>
    <n v="1"/>
    <n v="199"/>
    <x v="2"/>
    <x v="4"/>
    <s v="Beauty"/>
    <n v="90"/>
    <n v="179.1"/>
    <n v="90"/>
    <n v="89.1"/>
    <x v="1"/>
  </r>
  <r>
    <s v="ORD51066"/>
    <d v="2025-02-28T00:00:00"/>
    <s v="Online"/>
    <s v="P207"/>
    <n v="3"/>
    <n v="399"/>
    <x v="3"/>
    <x v="32"/>
    <s v="Home &amp; Kitchen"/>
    <n v="250"/>
    <n v="1197"/>
    <n v="750"/>
    <n v="447"/>
    <x v="1"/>
  </r>
  <r>
    <s v="ORD51113"/>
    <d v="2025-02-28T00:00:00"/>
    <s v="Dubai Mall"/>
    <s v="P503"/>
    <n v="1"/>
    <n v="229"/>
    <x v="1"/>
    <x v="18"/>
    <s v="Sports"/>
    <n v="120"/>
    <n v="217.54999999999998"/>
    <n v="120"/>
    <n v="97.549999999999983"/>
    <x v="1"/>
  </r>
  <r>
    <s v="ORD51156"/>
    <d v="2025-02-28T00:00:00"/>
    <s v="City Centre Deira"/>
    <s v="P206"/>
    <n v="1"/>
    <n v="129"/>
    <x v="4"/>
    <x v="28"/>
    <s v="Home &amp; Kitchen"/>
    <n v="60"/>
    <n v="90.3"/>
    <n v="60"/>
    <n v="30.299999999999997"/>
    <x v="1"/>
  </r>
  <r>
    <s v="ORD51330"/>
    <d v="2025-02-28T00:00:00"/>
    <s v="Dubai Mall"/>
    <s v="P506"/>
    <n v="1"/>
    <n v="69"/>
    <x v="4"/>
    <x v="34"/>
    <s v="Sports"/>
    <n v="25"/>
    <n v="48.3"/>
    <n v="25"/>
    <n v="23.299999999999997"/>
    <x v="1"/>
  </r>
  <r>
    <s v="ORD51620"/>
    <d v="2025-02-28T00:00:00"/>
    <s v="Online"/>
    <s v="P306"/>
    <n v="3"/>
    <n v="249"/>
    <x v="1"/>
    <x v="3"/>
    <s v="Fashion"/>
    <n v="95"/>
    <n v="709.65"/>
    <n v="285"/>
    <n v="424.65"/>
    <x v="1"/>
  </r>
  <r>
    <s v="ORD51709"/>
    <d v="2025-02-28T00:00:00"/>
    <s v="Online"/>
    <s v="P206"/>
    <n v="1"/>
    <n v="129"/>
    <x v="0"/>
    <x v="28"/>
    <s v="Home &amp; Kitchen"/>
    <n v="60"/>
    <n v="109.64999999999999"/>
    <n v="60"/>
    <n v="49.649999999999991"/>
    <x v="1"/>
  </r>
  <r>
    <s v="ORD52316"/>
    <d v="2025-02-28T00:00:00"/>
    <s v="Online"/>
    <s v="P204"/>
    <n v="1"/>
    <n v="1199"/>
    <x v="6"/>
    <x v="27"/>
    <s v="Home &amp; Kitchen"/>
    <n v="1080"/>
    <n v="899.25"/>
    <n v="1080"/>
    <n v="-180.75"/>
    <x v="1"/>
  </r>
  <r>
    <s v="ORD53155"/>
    <d v="2025-02-28T00:00:00"/>
    <s v="Mall of the Emirates"/>
    <s v="P405"/>
    <n v="2"/>
    <n v="89"/>
    <x v="3"/>
    <x v="24"/>
    <s v="Beauty"/>
    <n v="40"/>
    <n v="178"/>
    <n v="80"/>
    <n v="98"/>
    <x v="1"/>
  </r>
  <r>
    <s v="ORD53326"/>
    <d v="2025-02-28T00:00:00"/>
    <s v="Online"/>
    <s v="P108"/>
    <n v="1"/>
    <n v="459"/>
    <x v="4"/>
    <x v="23"/>
    <s v="Electronics"/>
    <n v="300"/>
    <n v="321.29999999999995"/>
    <n v="300"/>
    <n v="21.299999999999955"/>
    <x v="1"/>
  </r>
  <r>
    <s v="ORD50017"/>
    <d v="2025-03-01T00:00:00"/>
    <s v="Online"/>
    <s v="P208"/>
    <n v="1"/>
    <n v="259"/>
    <x v="5"/>
    <x v="22"/>
    <s v="Home &amp; Kitchen"/>
    <n v="115"/>
    <n v="207.20000000000002"/>
    <n v="115"/>
    <n v="92.200000000000017"/>
    <x v="2"/>
  </r>
  <r>
    <s v="ORD51190"/>
    <d v="2025-03-01T00:00:00"/>
    <s v="Online"/>
    <s v="P302"/>
    <n v="1"/>
    <n v="459"/>
    <x v="4"/>
    <x v="10"/>
    <s v="Fashion"/>
    <n v="190"/>
    <n v="321.29999999999995"/>
    <n v="190"/>
    <n v="131.29999999999995"/>
    <x v="2"/>
  </r>
  <r>
    <s v="ORD52216"/>
    <d v="2025-03-01T00:00:00"/>
    <s v="Online"/>
    <s v="P501"/>
    <n v="2"/>
    <n v="129"/>
    <x v="2"/>
    <x v="12"/>
    <s v="Sports"/>
    <n v="60"/>
    <n v="232.20000000000002"/>
    <n v="120"/>
    <n v="112.20000000000002"/>
    <x v="2"/>
  </r>
  <r>
    <s v="ORD52352"/>
    <d v="2025-03-01T00:00:00"/>
    <s v="Mall of the Emirates"/>
    <s v="P207"/>
    <n v="3"/>
    <n v="399"/>
    <x v="4"/>
    <x v="32"/>
    <s v="Home &amp; Kitchen"/>
    <n v="250"/>
    <n v="837.9"/>
    <n v="750"/>
    <n v="87.899999999999977"/>
    <x v="2"/>
  </r>
  <r>
    <s v="ORD53419"/>
    <d v="2025-03-01T00:00:00"/>
    <s v="Dubai Mall"/>
    <s v="P302"/>
    <n v="2"/>
    <n v="459"/>
    <x v="3"/>
    <x v="10"/>
    <s v="Fashion"/>
    <n v="190"/>
    <n v="918"/>
    <n v="380"/>
    <n v="538"/>
    <x v="2"/>
  </r>
  <r>
    <s v="ORD53595"/>
    <d v="2025-03-01T00:00:00"/>
    <s v="Online"/>
    <s v="P405"/>
    <n v="3"/>
    <n v="89"/>
    <x v="1"/>
    <x v="24"/>
    <s v="Beauty"/>
    <n v="40"/>
    <n v="253.64999999999998"/>
    <n v="120"/>
    <n v="133.64999999999998"/>
    <x v="2"/>
  </r>
  <r>
    <s v="ORD50302"/>
    <d v="2025-03-02T00:00:00"/>
    <s v="Dubai Mall"/>
    <s v="P406"/>
    <n v="1"/>
    <n v="199"/>
    <x v="1"/>
    <x v="4"/>
    <s v="Beauty"/>
    <n v="90"/>
    <n v="189.04999999999998"/>
    <n v="90"/>
    <n v="99.049999999999983"/>
    <x v="2"/>
  </r>
  <r>
    <s v="ORD50414"/>
    <d v="2025-03-02T00:00:00"/>
    <s v="Online"/>
    <s v="P108"/>
    <n v="1"/>
    <n v="459"/>
    <x v="3"/>
    <x v="23"/>
    <s v="Electronics"/>
    <n v="300"/>
    <n v="459"/>
    <n v="300"/>
    <n v="159"/>
    <x v="2"/>
  </r>
  <r>
    <s v="ORD50987"/>
    <d v="2025-03-02T00:00:00"/>
    <s v="Mall of the Emirates"/>
    <s v="P506"/>
    <n v="1"/>
    <n v="69"/>
    <x v="1"/>
    <x v="34"/>
    <s v="Sports"/>
    <n v="25"/>
    <n v="65.55"/>
    <n v="25"/>
    <n v="40.549999999999997"/>
    <x v="2"/>
  </r>
  <r>
    <s v="ORD51110"/>
    <d v="2025-03-02T00:00:00"/>
    <s v="Online"/>
    <s v="P207"/>
    <n v="3"/>
    <n v="399"/>
    <x v="3"/>
    <x v="32"/>
    <s v="Home &amp; Kitchen"/>
    <n v="250"/>
    <n v="1197"/>
    <n v="750"/>
    <n v="447"/>
    <x v="2"/>
  </r>
  <r>
    <s v="ORD51121"/>
    <d v="2025-03-02T00:00:00"/>
    <s v="Online"/>
    <s v="P403"/>
    <n v="1"/>
    <n v="299"/>
    <x v="5"/>
    <x v="8"/>
    <s v="Beauty"/>
    <n v="240"/>
    <n v="239.20000000000002"/>
    <n v="240"/>
    <n v="-0.79999999999998295"/>
    <x v="2"/>
  </r>
  <r>
    <s v="ORD51287"/>
    <d v="2025-03-02T00:00:00"/>
    <s v="Dubai Mall"/>
    <s v="P105"/>
    <n v="2"/>
    <n v="899"/>
    <x v="5"/>
    <x v="31"/>
    <s v="Electronics"/>
    <n v="610"/>
    <n v="1438.4"/>
    <n v="1220"/>
    <n v="218.40000000000009"/>
    <x v="2"/>
  </r>
  <r>
    <s v="ORD51525"/>
    <d v="2025-03-02T00:00:00"/>
    <s v="Mall of the Emirates"/>
    <s v="P505"/>
    <n v="2"/>
    <n v="99"/>
    <x v="3"/>
    <x v="11"/>
    <s v="Sports"/>
    <n v="45"/>
    <n v="198"/>
    <n v="90"/>
    <n v="108"/>
    <x v="2"/>
  </r>
  <r>
    <s v="ORD51600"/>
    <d v="2025-03-02T00:00:00"/>
    <s v="Online"/>
    <s v="P406"/>
    <n v="2"/>
    <n v="199"/>
    <x v="3"/>
    <x v="4"/>
    <s v="Beauty"/>
    <n v="90"/>
    <n v="398"/>
    <n v="180"/>
    <n v="218"/>
    <x v="2"/>
  </r>
  <r>
    <s v="ORD51752"/>
    <d v="2025-03-02T00:00:00"/>
    <s v="Online"/>
    <s v="P104"/>
    <n v="1"/>
    <n v="199"/>
    <x v="0"/>
    <x v="1"/>
    <s v="Electronics"/>
    <n v="175"/>
    <n v="169.15"/>
    <n v="175"/>
    <n v="-5.8499999999999943"/>
    <x v="2"/>
  </r>
  <r>
    <s v="ORD52217"/>
    <d v="2025-03-02T00:00:00"/>
    <s v="Dubai Mall"/>
    <s v="P102"/>
    <n v="2"/>
    <n v="249"/>
    <x v="3"/>
    <x v="13"/>
    <s v="Electronics"/>
    <n v="150"/>
    <n v="498"/>
    <n v="300"/>
    <n v="198"/>
    <x v="2"/>
  </r>
  <r>
    <s v="ORD52964"/>
    <d v="2025-03-02T00:00:00"/>
    <s v="Dubai Mall"/>
    <s v="P404"/>
    <n v="1"/>
    <n v="189"/>
    <x v="3"/>
    <x v="6"/>
    <s v="Beauty"/>
    <n v="85"/>
    <n v="189"/>
    <n v="85"/>
    <n v="104"/>
    <x v="2"/>
  </r>
  <r>
    <s v="ORD52995"/>
    <d v="2025-03-02T00:00:00"/>
    <s v="Mall of the Emirates"/>
    <s v="P307"/>
    <n v="1"/>
    <n v="399"/>
    <x v="3"/>
    <x v="20"/>
    <s v="Fashion"/>
    <n v="210"/>
    <n v="399"/>
    <n v="210"/>
    <n v="189"/>
    <x v="2"/>
  </r>
  <r>
    <s v="ORD53528"/>
    <d v="2025-03-02T00:00:00"/>
    <s v="Dubai Mall"/>
    <s v="P106"/>
    <n v="1"/>
    <n v="149"/>
    <x v="3"/>
    <x v="30"/>
    <s v="Electronics"/>
    <n v="70"/>
    <n v="149"/>
    <n v="70"/>
    <n v="79"/>
    <x v="2"/>
  </r>
  <r>
    <s v="ORD53532"/>
    <d v="2025-03-02T00:00:00"/>
    <s v="Ibn Battuta Mall"/>
    <s v="P308"/>
    <n v="1"/>
    <n v="229"/>
    <x v="0"/>
    <x v="0"/>
    <s v="Fashion"/>
    <n v="120"/>
    <n v="194.65"/>
    <n v="120"/>
    <n v="74.650000000000006"/>
    <x v="2"/>
  </r>
  <r>
    <s v="ORD53644"/>
    <d v="2025-03-02T00:00:00"/>
    <s v="Dubai Mall"/>
    <s v="P103"/>
    <n v="1"/>
    <n v="1299"/>
    <x v="5"/>
    <x v="25"/>
    <s v="Electronics"/>
    <n v="820"/>
    <n v="1039.2"/>
    <n v="820"/>
    <n v="219.20000000000005"/>
    <x v="2"/>
  </r>
  <r>
    <s v="ORD50303"/>
    <d v="2025-03-03T00:00:00"/>
    <s v="Online"/>
    <s v="P208"/>
    <n v="2"/>
    <n v="259"/>
    <x v="5"/>
    <x v="22"/>
    <s v="Home &amp; Kitchen"/>
    <n v="115"/>
    <n v="414.40000000000003"/>
    <n v="230"/>
    <n v="184.40000000000003"/>
    <x v="2"/>
  </r>
  <r>
    <s v="ORD50595"/>
    <d v="2025-03-03T00:00:00"/>
    <s v="Online"/>
    <s v="P402"/>
    <n v="1"/>
    <n v="149"/>
    <x v="2"/>
    <x v="17"/>
    <s v="Beauty"/>
    <n v="55"/>
    <n v="134.1"/>
    <n v="55"/>
    <n v="79.099999999999994"/>
    <x v="2"/>
  </r>
  <r>
    <s v="ORD50613"/>
    <d v="2025-03-03T00:00:00"/>
    <s v="City Centre Deira"/>
    <s v="P207"/>
    <n v="1"/>
    <n v="399"/>
    <x v="3"/>
    <x v="32"/>
    <s v="Home &amp; Kitchen"/>
    <n v="250"/>
    <n v="399"/>
    <n v="250"/>
    <n v="149"/>
    <x v="2"/>
  </r>
  <r>
    <s v="ORD51171"/>
    <d v="2025-03-03T00:00:00"/>
    <s v="Mall of the Emirates"/>
    <s v="P101"/>
    <n v="1"/>
    <n v="399"/>
    <x v="5"/>
    <x v="5"/>
    <s v="Electronics"/>
    <n v="230"/>
    <n v="319.20000000000005"/>
    <n v="230"/>
    <n v="89.200000000000045"/>
    <x v="2"/>
  </r>
  <r>
    <s v="ORD51307"/>
    <d v="2025-03-03T00:00:00"/>
    <s v="Ibn Battuta Mall"/>
    <s v="P403"/>
    <n v="1"/>
    <n v="299"/>
    <x v="0"/>
    <x v="8"/>
    <s v="Beauty"/>
    <n v="240"/>
    <n v="254.15"/>
    <n v="240"/>
    <n v="14.150000000000006"/>
    <x v="2"/>
  </r>
  <r>
    <s v="ORD51396"/>
    <d v="2025-03-03T00:00:00"/>
    <s v="Ibn Battuta Mall"/>
    <s v="P302"/>
    <n v="1"/>
    <n v="459"/>
    <x v="5"/>
    <x v="10"/>
    <s v="Fashion"/>
    <n v="190"/>
    <n v="367.20000000000005"/>
    <n v="190"/>
    <n v="177.20000000000005"/>
    <x v="2"/>
  </r>
  <r>
    <s v="ORD51658"/>
    <d v="2025-03-03T00:00:00"/>
    <s v="Dubai Mall"/>
    <s v="P405"/>
    <n v="1"/>
    <n v="89"/>
    <x v="5"/>
    <x v="24"/>
    <s v="Beauty"/>
    <n v="40"/>
    <n v="71.2"/>
    <n v="40"/>
    <n v="31.200000000000003"/>
    <x v="2"/>
  </r>
  <r>
    <s v="ORD51770"/>
    <d v="2025-03-03T00:00:00"/>
    <s v="City Centre Deira"/>
    <s v="P107"/>
    <n v="3"/>
    <n v="89"/>
    <x v="3"/>
    <x v="29"/>
    <s v="Electronics"/>
    <n v="35"/>
    <n v="267"/>
    <n v="105"/>
    <n v="162"/>
    <x v="2"/>
  </r>
  <r>
    <s v="ORD51927"/>
    <d v="2025-03-03T00:00:00"/>
    <s v="Mall of the Emirates"/>
    <s v="P102"/>
    <n v="1"/>
    <n v="249"/>
    <x v="1"/>
    <x v="13"/>
    <s v="Electronics"/>
    <n v="150"/>
    <n v="236.54999999999998"/>
    <n v="150"/>
    <n v="86.549999999999983"/>
    <x v="2"/>
  </r>
  <r>
    <s v="ORD52339"/>
    <d v="2025-03-03T00:00:00"/>
    <s v="City Centre Deira"/>
    <s v="P201"/>
    <n v="1"/>
    <n v="499"/>
    <x v="3"/>
    <x v="16"/>
    <s v="Home &amp; Kitchen"/>
    <n v="290"/>
    <n v="499"/>
    <n v="290"/>
    <n v="209"/>
    <x v="2"/>
  </r>
  <r>
    <s v="ORD52428"/>
    <d v="2025-03-03T00:00:00"/>
    <s v="Online"/>
    <s v="P104"/>
    <n v="1"/>
    <n v="199"/>
    <x v="6"/>
    <x v="1"/>
    <s v="Electronics"/>
    <n v="175"/>
    <n v="149.25"/>
    <n v="175"/>
    <n v="-25.75"/>
    <x v="2"/>
  </r>
  <r>
    <s v="ORD52475"/>
    <d v="2025-03-03T00:00:00"/>
    <s v="Mall of the Emirates"/>
    <s v="P505"/>
    <n v="1"/>
    <n v="99"/>
    <x v="3"/>
    <x v="11"/>
    <s v="Sports"/>
    <n v="45"/>
    <n v="99"/>
    <n v="45"/>
    <n v="54"/>
    <x v="2"/>
  </r>
  <r>
    <s v="ORD52652"/>
    <d v="2025-03-03T00:00:00"/>
    <s v="Mall of the Emirates"/>
    <s v="P208"/>
    <n v="1"/>
    <n v="259"/>
    <x v="2"/>
    <x v="22"/>
    <s v="Home &amp; Kitchen"/>
    <n v="115"/>
    <n v="233.1"/>
    <n v="115"/>
    <n v="118.1"/>
    <x v="2"/>
  </r>
  <r>
    <s v="ORD52656"/>
    <d v="2025-03-03T00:00:00"/>
    <s v="City Centre Deira"/>
    <s v="P506"/>
    <n v="1"/>
    <n v="69"/>
    <x v="1"/>
    <x v="34"/>
    <s v="Sports"/>
    <n v="25"/>
    <n v="65.55"/>
    <n v="25"/>
    <n v="40.549999999999997"/>
    <x v="2"/>
  </r>
  <r>
    <s v="ORD52974"/>
    <d v="2025-03-03T00:00:00"/>
    <s v="Online"/>
    <s v="P108"/>
    <n v="1"/>
    <n v="459"/>
    <x v="1"/>
    <x v="23"/>
    <s v="Electronics"/>
    <n v="300"/>
    <n v="436.04999999999995"/>
    <n v="300"/>
    <n v="136.04999999999995"/>
    <x v="2"/>
  </r>
  <r>
    <s v="ORD54029"/>
    <d v="2025-03-03T00:00:00"/>
    <s v="Online"/>
    <s v="P205"/>
    <n v="2"/>
    <n v="289"/>
    <x v="2"/>
    <x v="9"/>
    <s v="Home &amp; Kitchen"/>
    <n v="140"/>
    <n v="520.20000000000005"/>
    <n v="280"/>
    <n v="240.20000000000005"/>
    <x v="2"/>
  </r>
  <r>
    <s v="ORD54176"/>
    <d v="2025-03-03T00:00:00"/>
    <s v="Dubai Mall"/>
    <s v="P401"/>
    <n v="2"/>
    <n v="549"/>
    <x v="2"/>
    <x v="15"/>
    <s v="Beauty"/>
    <n v="250"/>
    <n v="988.2"/>
    <n v="500"/>
    <n v="488.20000000000005"/>
    <x v="2"/>
  </r>
  <r>
    <s v="ORD50937"/>
    <d v="2025-03-04T00:00:00"/>
    <s v="Online"/>
    <s v="P303"/>
    <n v="2"/>
    <n v="149"/>
    <x v="1"/>
    <x v="7"/>
    <s v="Fashion"/>
    <n v="80"/>
    <n v="283.09999999999997"/>
    <n v="160"/>
    <n v="123.09999999999997"/>
    <x v="2"/>
  </r>
  <r>
    <s v="ORD51512"/>
    <d v="2025-03-04T00:00:00"/>
    <s v="Dubai Mall"/>
    <s v="P303"/>
    <n v="2"/>
    <n v="149"/>
    <x v="3"/>
    <x v="7"/>
    <s v="Fashion"/>
    <n v="80"/>
    <n v="298"/>
    <n v="160"/>
    <n v="138"/>
    <x v="2"/>
  </r>
  <r>
    <s v="ORD51593"/>
    <d v="2025-03-04T00:00:00"/>
    <s v="Ibn Battuta Mall"/>
    <s v="P208"/>
    <n v="1"/>
    <n v="259"/>
    <x v="1"/>
    <x v="22"/>
    <s v="Home &amp; Kitchen"/>
    <n v="115"/>
    <n v="246.04999999999998"/>
    <n v="115"/>
    <n v="131.04999999999998"/>
    <x v="2"/>
  </r>
  <r>
    <s v="ORD52111"/>
    <d v="2025-03-04T00:00:00"/>
    <s v="Dubai Mall"/>
    <s v="P308"/>
    <n v="2"/>
    <n v="229"/>
    <x v="5"/>
    <x v="0"/>
    <s v="Fashion"/>
    <n v="120"/>
    <n v="366.40000000000003"/>
    <n v="240"/>
    <n v="126.40000000000003"/>
    <x v="2"/>
  </r>
  <r>
    <s v="ORD52345"/>
    <d v="2025-03-04T00:00:00"/>
    <s v="Dubai Mall"/>
    <s v="P101"/>
    <n v="2"/>
    <n v="399"/>
    <x v="1"/>
    <x v="5"/>
    <s v="Electronics"/>
    <n v="230"/>
    <n v="758.09999999999991"/>
    <n v="460"/>
    <n v="298.09999999999991"/>
    <x v="2"/>
  </r>
  <r>
    <s v="ORD52592"/>
    <d v="2025-03-04T00:00:00"/>
    <s v="Online"/>
    <s v="P301"/>
    <n v="1"/>
    <n v="179"/>
    <x v="5"/>
    <x v="2"/>
    <s v="Fashion"/>
    <n v="70"/>
    <n v="143.20000000000002"/>
    <n v="70"/>
    <n v="73.200000000000017"/>
    <x v="2"/>
  </r>
  <r>
    <s v="ORD53054"/>
    <d v="2025-03-04T00:00:00"/>
    <s v="Mall of the Emirates"/>
    <s v="P305"/>
    <n v="2"/>
    <n v="429"/>
    <x v="3"/>
    <x v="14"/>
    <s v="Fashion"/>
    <n v="300"/>
    <n v="858"/>
    <n v="600"/>
    <n v="258"/>
    <x v="2"/>
  </r>
  <r>
    <s v="ORD50213"/>
    <d v="2025-03-05T00:00:00"/>
    <s v="Ibn Battuta Mall"/>
    <s v="P406"/>
    <n v="1"/>
    <n v="199"/>
    <x v="3"/>
    <x v="4"/>
    <s v="Beauty"/>
    <n v="90"/>
    <n v="199"/>
    <n v="90"/>
    <n v="109"/>
    <x v="2"/>
  </r>
  <r>
    <s v="ORD50819"/>
    <d v="2025-03-05T00:00:00"/>
    <s v="Dubai Mall"/>
    <s v="P101"/>
    <n v="2"/>
    <n v="399"/>
    <x v="3"/>
    <x v="5"/>
    <s v="Electronics"/>
    <n v="230"/>
    <n v="798"/>
    <n v="460"/>
    <n v="338"/>
    <x v="2"/>
  </r>
  <r>
    <s v="ORD50975"/>
    <d v="2025-03-05T00:00:00"/>
    <s v="Dubai Mall"/>
    <s v="P406"/>
    <n v="1"/>
    <n v="199"/>
    <x v="3"/>
    <x v="4"/>
    <s v="Beauty"/>
    <n v="90"/>
    <n v="199"/>
    <n v="90"/>
    <n v="109"/>
    <x v="2"/>
  </r>
  <r>
    <s v="ORD51153"/>
    <d v="2025-03-05T00:00:00"/>
    <s v="Online"/>
    <s v="P404"/>
    <n v="1"/>
    <n v="189"/>
    <x v="5"/>
    <x v="6"/>
    <s v="Beauty"/>
    <n v="85"/>
    <n v="151.20000000000002"/>
    <n v="85"/>
    <n v="66.200000000000017"/>
    <x v="2"/>
  </r>
  <r>
    <s v="ORD52013"/>
    <d v="2025-03-05T00:00:00"/>
    <s v="Online"/>
    <s v="P102"/>
    <n v="1"/>
    <n v="249"/>
    <x v="3"/>
    <x v="13"/>
    <s v="Electronics"/>
    <n v="150"/>
    <n v="249"/>
    <n v="150"/>
    <n v="99"/>
    <x v="2"/>
  </r>
  <r>
    <s v="ORD52236"/>
    <d v="2025-03-05T00:00:00"/>
    <s v="Dubai Mall"/>
    <s v="P402"/>
    <n v="1"/>
    <n v="149"/>
    <x v="4"/>
    <x v="17"/>
    <s v="Beauty"/>
    <n v="55"/>
    <n v="104.3"/>
    <n v="55"/>
    <n v="49.3"/>
    <x v="2"/>
  </r>
  <r>
    <s v="ORD52283"/>
    <d v="2025-03-05T00:00:00"/>
    <s v="Ibn Battuta Mall"/>
    <s v="P402"/>
    <n v="2"/>
    <n v="149"/>
    <x v="0"/>
    <x v="17"/>
    <s v="Beauty"/>
    <n v="55"/>
    <n v="253.29999999999998"/>
    <n v="110"/>
    <n v="143.29999999999998"/>
    <x v="2"/>
  </r>
  <r>
    <s v="ORD52627"/>
    <d v="2025-03-05T00:00:00"/>
    <s v="Mall of the Emirates"/>
    <s v="P107"/>
    <n v="2"/>
    <n v="89"/>
    <x v="3"/>
    <x v="29"/>
    <s v="Electronics"/>
    <n v="35"/>
    <n v="178"/>
    <n v="70"/>
    <n v="108"/>
    <x v="2"/>
  </r>
  <r>
    <s v="ORD53282"/>
    <d v="2025-03-05T00:00:00"/>
    <s v="Dubai Mall"/>
    <s v="P301"/>
    <n v="2"/>
    <n v="179"/>
    <x v="3"/>
    <x v="2"/>
    <s v="Fashion"/>
    <n v="70"/>
    <n v="358"/>
    <n v="140"/>
    <n v="218"/>
    <x v="2"/>
  </r>
  <r>
    <s v="ORD50650"/>
    <d v="2025-03-06T00:00:00"/>
    <s v="City Centre Deira"/>
    <s v="P206"/>
    <n v="1"/>
    <n v="129"/>
    <x v="2"/>
    <x v="28"/>
    <s v="Home &amp; Kitchen"/>
    <n v="60"/>
    <n v="116.10000000000001"/>
    <n v="60"/>
    <n v="56.100000000000009"/>
    <x v="2"/>
  </r>
  <r>
    <s v="ORD51076"/>
    <d v="2025-03-06T00:00:00"/>
    <s v="Mall of the Emirates"/>
    <s v="P301"/>
    <n v="1"/>
    <n v="179"/>
    <x v="3"/>
    <x v="2"/>
    <s v="Fashion"/>
    <n v="70"/>
    <n v="179"/>
    <n v="70"/>
    <n v="109"/>
    <x v="2"/>
  </r>
  <r>
    <s v="ORD51484"/>
    <d v="2025-03-06T00:00:00"/>
    <s v="Mall of the Emirates"/>
    <s v="P107"/>
    <n v="1"/>
    <n v="89"/>
    <x v="0"/>
    <x v="29"/>
    <s v="Electronics"/>
    <n v="35"/>
    <n v="75.649999999999991"/>
    <n v="35"/>
    <n v="40.649999999999991"/>
    <x v="2"/>
  </r>
  <r>
    <s v="ORD51540"/>
    <d v="2025-03-06T00:00:00"/>
    <s v="Online"/>
    <s v="P405"/>
    <n v="2"/>
    <n v="89"/>
    <x v="1"/>
    <x v="24"/>
    <s v="Beauty"/>
    <n v="40"/>
    <n v="169.1"/>
    <n v="80"/>
    <n v="89.1"/>
    <x v="2"/>
  </r>
  <r>
    <s v="ORD51912"/>
    <d v="2025-03-06T00:00:00"/>
    <s v="Ibn Battuta Mall"/>
    <s v="P301"/>
    <n v="2"/>
    <n v="179"/>
    <x v="0"/>
    <x v="2"/>
    <s v="Fashion"/>
    <n v="70"/>
    <n v="304.3"/>
    <n v="140"/>
    <n v="164.3"/>
    <x v="2"/>
  </r>
  <r>
    <s v="ORD52015"/>
    <d v="2025-03-06T00:00:00"/>
    <s v="Dubai Mall"/>
    <s v="P405"/>
    <n v="1"/>
    <n v="89"/>
    <x v="3"/>
    <x v="24"/>
    <s v="Beauty"/>
    <n v="40"/>
    <n v="89"/>
    <n v="40"/>
    <n v="49"/>
    <x v="2"/>
  </r>
  <r>
    <s v="ORD52480"/>
    <d v="2025-03-06T00:00:00"/>
    <s v="Mall of the Emirates"/>
    <s v="P201"/>
    <n v="1"/>
    <n v="499"/>
    <x v="4"/>
    <x v="16"/>
    <s v="Home &amp; Kitchen"/>
    <n v="290"/>
    <n v="349.29999999999995"/>
    <n v="290"/>
    <n v="59.299999999999955"/>
    <x v="2"/>
  </r>
  <r>
    <s v="ORD52504"/>
    <d v="2025-03-06T00:00:00"/>
    <s v="Dubai Mall"/>
    <s v="P102"/>
    <n v="1"/>
    <n v="249"/>
    <x v="1"/>
    <x v="13"/>
    <s v="Electronics"/>
    <n v="150"/>
    <n v="236.54999999999998"/>
    <n v="150"/>
    <n v="86.549999999999983"/>
    <x v="2"/>
  </r>
  <r>
    <s v="ORD52535"/>
    <d v="2025-03-06T00:00:00"/>
    <s v="Ibn Battuta Mall"/>
    <s v="P106"/>
    <n v="3"/>
    <n v="149"/>
    <x v="3"/>
    <x v="30"/>
    <s v="Electronics"/>
    <n v="70"/>
    <n v="447"/>
    <n v="210"/>
    <n v="237"/>
    <x v="2"/>
  </r>
  <r>
    <s v="ORD52642"/>
    <d v="2025-03-06T00:00:00"/>
    <s v="Mall of the Emirates"/>
    <s v="P202"/>
    <n v="2"/>
    <n v="1499"/>
    <x v="3"/>
    <x v="26"/>
    <s v="Home &amp; Kitchen"/>
    <n v="1050"/>
    <n v="2998"/>
    <n v="2100"/>
    <n v="898"/>
    <x v="2"/>
  </r>
  <r>
    <s v="ORD52927"/>
    <d v="2025-03-06T00:00:00"/>
    <s v="Dubai Mall"/>
    <s v="P106"/>
    <n v="1"/>
    <n v="149"/>
    <x v="2"/>
    <x v="30"/>
    <s v="Electronics"/>
    <n v="70"/>
    <n v="134.1"/>
    <n v="70"/>
    <n v="64.099999999999994"/>
    <x v="2"/>
  </r>
  <r>
    <s v="ORD53496"/>
    <d v="2025-03-06T00:00:00"/>
    <s v="Online"/>
    <s v="P306"/>
    <n v="2"/>
    <n v="249"/>
    <x v="3"/>
    <x v="3"/>
    <s v="Fashion"/>
    <n v="95"/>
    <n v="498"/>
    <n v="190"/>
    <n v="308"/>
    <x v="2"/>
  </r>
  <r>
    <s v="ORD53613"/>
    <d v="2025-03-06T00:00:00"/>
    <s v="Mall of the Emirates"/>
    <s v="P301"/>
    <n v="3"/>
    <n v="179"/>
    <x v="2"/>
    <x v="2"/>
    <s v="Fashion"/>
    <n v="70"/>
    <n v="483.3"/>
    <n v="210"/>
    <n v="273.3"/>
    <x v="2"/>
  </r>
  <r>
    <s v="ORD54190"/>
    <d v="2025-03-06T00:00:00"/>
    <s v="Ibn Battuta Mall"/>
    <s v="P203"/>
    <n v="3"/>
    <n v="349"/>
    <x v="3"/>
    <x v="21"/>
    <s v="Home &amp; Kitchen"/>
    <n v="170"/>
    <n v="1047"/>
    <n v="510"/>
    <n v="537"/>
    <x v="2"/>
  </r>
  <r>
    <s v="ORD50704"/>
    <d v="2025-03-07T00:00:00"/>
    <s v="Online"/>
    <s v="P402"/>
    <n v="1"/>
    <n v="149"/>
    <x v="3"/>
    <x v="17"/>
    <s v="Beauty"/>
    <n v="55"/>
    <n v="149"/>
    <n v="55"/>
    <n v="94"/>
    <x v="2"/>
  </r>
  <r>
    <s v="ORD51116"/>
    <d v="2025-03-07T00:00:00"/>
    <s v="Ibn Battuta Mall"/>
    <s v="P401"/>
    <n v="1"/>
    <n v="549"/>
    <x v="5"/>
    <x v="15"/>
    <s v="Beauty"/>
    <n v="250"/>
    <n v="439.20000000000005"/>
    <n v="250"/>
    <n v="189.20000000000005"/>
    <x v="2"/>
  </r>
  <r>
    <s v="ORD52006"/>
    <d v="2025-03-07T00:00:00"/>
    <s v="Ibn Battuta Mall"/>
    <s v="P207"/>
    <n v="1"/>
    <n v="399"/>
    <x v="3"/>
    <x v="32"/>
    <s v="Home &amp; Kitchen"/>
    <n v="250"/>
    <n v="399"/>
    <n v="250"/>
    <n v="149"/>
    <x v="2"/>
  </r>
  <r>
    <s v="ORD53070"/>
    <d v="2025-03-07T00:00:00"/>
    <s v="Online"/>
    <s v="P303"/>
    <n v="3"/>
    <n v="149"/>
    <x v="5"/>
    <x v="7"/>
    <s v="Fashion"/>
    <n v="80"/>
    <n v="357.6"/>
    <n v="240"/>
    <n v="117.60000000000002"/>
    <x v="2"/>
  </r>
  <r>
    <s v="ORD51164"/>
    <d v="2025-03-08T00:00:00"/>
    <s v="Ibn Battuta Mall"/>
    <s v="P406"/>
    <n v="2"/>
    <n v="199"/>
    <x v="3"/>
    <x v="4"/>
    <s v="Beauty"/>
    <n v="90"/>
    <n v="398"/>
    <n v="180"/>
    <n v="218"/>
    <x v="2"/>
  </r>
  <r>
    <s v="ORD51335"/>
    <d v="2025-03-08T00:00:00"/>
    <s v="City Centre Deira"/>
    <s v="P307"/>
    <n v="1"/>
    <n v="399"/>
    <x v="1"/>
    <x v="20"/>
    <s v="Fashion"/>
    <n v="210"/>
    <n v="379.04999999999995"/>
    <n v="210"/>
    <n v="169.04999999999995"/>
    <x v="2"/>
  </r>
  <r>
    <s v="ORD51690"/>
    <d v="2025-03-08T00:00:00"/>
    <s v="Mall of the Emirates"/>
    <s v="P305"/>
    <n v="1"/>
    <n v="429"/>
    <x v="2"/>
    <x v="14"/>
    <s v="Fashion"/>
    <n v="300"/>
    <n v="386.1"/>
    <n v="300"/>
    <n v="86.100000000000023"/>
    <x v="2"/>
  </r>
  <r>
    <s v="ORD51803"/>
    <d v="2025-03-08T00:00:00"/>
    <s v="Ibn Battuta Mall"/>
    <s v="P103"/>
    <n v="2"/>
    <n v="1299"/>
    <x v="3"/>
    <x v="25"/>
    <s v="Electronics"/>
    <n v="820"/>
    <n v="2598"/>
    <n v="1640"/>
    <n v="958"/>
    <x v="2"/>
  </r>
  <r>
    <s v="ORD51910"/>
    <d v="2025-03-08T00:00:00"/>
    <s v="Online"/>
    <s v="P301"/>
    <n v="1"/>
    <n v="179"/>
    <x v="1"/>
    <x v="2"/>
    <s v="Fashion"/>
    <n v="70"/>
    <n v="170.04999999999998"/>
    <n v="70"/>
    <n v="100.04999999999998"/>
    <x v="2"/>
  </r>
  <r>
    <s v="ORD51920"/>
    <d v="2025-03-08T00:00:00"/>
    <s v="Mall of the Emirates"/>
    <s v="P305"/>
    <n v="1"/>
    <n v="429"/>
    <x v="3"/>
    <x v="14"/>
    <s v="Fashion"/>
    <n v="300"/>
    <n v="429"/>
    <n v="300"/>
    <n v="129"/>
    <x v="2"/>
  </r>
  <r>
    <s v="ORD52881"/>
    <d v="2025-03-08T00:00:00"/>
    <s v="Ibn Battuta Mall"/>
    <s v="P107"/>
    <n v="1"/>
    <n v="89"/>
    <x v="5"/>
    <x v="29"/>
    <s v="Electronics"/>
    <n v="35"/>
    <n v="71.2"/>
    <n v="35"/>
    <n v="36.200000000000003"/>
    <x v="2"/>
  </r>
  <r>
    <s v="ORD52988"/>
    <d v="2025-03-08T00:00:00"/>
    <s v="Online"/>
    <s v="P501"/>
    <n v="2"/>
    <n v="129"/>
    <x v="1"/>
    <x v="12"/>
    <s v="Sports"/>
    <n v="60"/>
    <n v="245.1"/>
    <n v="120"/>
    <n v="125.1"/>
    <x v="2"/>
  </r>
  <r>
    <s v="ORD53594"/>
    <d v="2025-03-08T00:00:00"/>
    <s v="Dubai Mall"/>
    <s v="P402"/>
    <n v="2"/>
    <n v="149"/>
    <x v="3"/>
    <x v="17"/>
    <s v="Beauty"/>
    <n v="55"/>
    <n v="298"/>
    <n v="110"/>
    <n v="188"/>
    <x v="2"/>
  </r>
  <r>
    <s v="ORD53774"/>
    <d v="2025-03-08T00:00:00"/>
    <s v="Dubai Mall"/>
    <s v="P504"/>
    <n v="2"/>
    <n v="2499"/>
    <x v="5"/>
    <x v="33"/>
    <s v="Sports"/>
    <n v="2150"/>
    <n v="3998.4"/>
    <n v="4300"/>
    <n v="-301.59999999999991"/>
    <x v="2"/>
  </r>
  <r>
    <s v="ORD53852"/>
    <d v="2025-03-08T00:00:00"/>
    <s v="Dubai Mall"/>
    <s v="P404"/>
    <n v="2"/>
    <n v="189"/>
    <x v="0"/>
    <x v="6"/>
    <s v="Beauty"/>
    <n v="85"/>
    <n v="321.3"/>
    <n v="170"/>
    <n v="151.30000000000001"/>
    <x v="2"/>
  </r>
  <r>
    <s v="ORD50950"/>
    <d v="2025-03-09T00:00:00"/>
    <s v="Online"/>
    <s v="P406"/>
    <n v="3"/>
    <n v="199"/>
    <x v="3"/>
    <x v="4"/>
    <s v="Beauty"/>
    <n v="90"/>
    <n v="597"/>
    <n v="270"/>
    <n v="327"/>
    <x v="2"/>
  </r>
  <r>
    <s v="ORD51009"/>
    <d v="2025-03-09T00:00:00"/>
    <s v="Mall of the Emirates"/>
    <s v="P102"/>
    <n v="2"/>
    <n v="249"/>
    <x v="3"/>
    <x v="13"/>
    <s v="Electronics"/>
    <n v="150"/>
    <n v="498"/>
    <n v="300"/>
    <n v="198"/>
    <x v="2"/>
  </r>
  <r>
    <s v="ORD51152"/>
    <d v="2025-03-09T00:00:00"/>
    <s v="Dubai Mall"/>
    <s v="P304"/>
    <n v="1"/>
    <n v="699"/>
    <x v="2"/>
    <x v="35"/>
    <s v="Fashion"/>
    <n v="380"/>
    <n v="629.1"/>
    <n v="380"/>
    <n v="249.10000000000002"/>
    <x v="2"/>
  </r>
  <r>
    <s v="ORD51304"/>
    <d v="2025-03-09T00:00:00"/>
    <s v="Dubai Mall"/>
    <s v="P304"/>
    <n v="1"/>
    <n v="699"/>
    <x v="0"/>
    <x v="35"/>
    <s v="Fashion"/>
    <n v="380"/>
    <n v="594.15"/>
    <n v="380"/>
    <n v="214.14999999999998"/>
    <x v="2"/>
  </r>
  <r>
    <s v="ORD51420"/>
    <d v="2025-03-09T00:00:00"/>
    <s v="Mall of the Emirates"/>
    <s v="P303"/>
    <n v="2"/>
    <n v="149"/>
    <x v="4"/>
    <x v="7"/>
    <s v="Fashion"/>
    <n v="80"/>
    <n v="208.6"/>
    <n v="160"/>
    <n v="48.599999999999994"/>
    <x v="2"/>
  </r>
  <r>
    <s v="ORD51473"/>
    <d v="2025-03-09T00:00:00"/>
    <s v="Online"/>
    <s v="P506"/>
    <n v="1"/>
    <n v="69"/>
    <x v="3"/>
    <x v="34"/>
    <s v="Sports"/>
    <n v="25"/>
    <n v="69"/>
    <n v="25"/>
    <n v="44"/>
    <x v="2"/>
  </r>
  <r>
    <s v="ORD51884"/>
    <d v="2025-03-09T00:00:00"/>
    <s v="Ibn Battuta Mall"/>
    <s v="P205"/>
    <n v="1"/>
    <n v="289"/>
    <x v="3"/>
    <x v="9"/>
    <s v="Home &amp; Kitchen"/>
    <n v="140"/>
    <n v="289"/>
    <n v="140"/>
    <n v="149"/>
    <x v="2"/>
  </r>
  <r>
    <s v="ORD51994"/>
    <d v="2025-03-09T00:00:00"/>
    <s v="Mall of the Emirates"/>
    <s v="P106"/>
    <n v="1"/>
    <n v="149"/>
    <x v="5"/>
    <x v="30"/>
    <s v="Electronics"/>
    <n v="70"/>
    <n v="119.2"/>
    <n v="70"/>
    <n v="49.2"/>
    <x v="2"/>
  </r>
  <r>
    <s v="ORD52723"/>
    <d v="2025-03-09T00:00:00"/>
    <s v="Dubai Mall"/>
    <s v="P103"/>
    <n v="4"/>
    <n v="1299"/>
    <x v="2"/>
    <x v="25"/>
    <s v="Electronics"/>
    <n v="820"/>
    <n v="4676.4000000000005"/>
    <n v="3280"/>
    <n v="1396.4000000000005"/>
    <x v="2"/>
  </r>
  <r>
    <s v="ORD53157"/>
    <d v="2025-03-09T00:00:00"/>
    <s v="Online"/>
    <s v="P104"/>
    <n v="1"/>
    <n v="199"/>
    <x v="0"/>
    <x v="1"/>
    <s v="Electronics"/>
    <n v="175"/>
    <n v="169.15"/>
    <n v="175"/>
    <n v="-5.8499999999999943"/>
    <x v="2"/>
  </r>
  <r>
    <s v="ORD53921"/>
    <d v="2025-03-09T00:00:00"/>
    <s v="Mall of the Emirates"/>
    <s v="P107"/>
    <n v="1"/>
    <n v="89"/>
    <x v="3"/>
    <x v="29"/>
    <s v="Electronics"/>
    <n v="35"/>
    <n v="89"/>
    <n v="35"/>
    <n v="54"/>
    <x v="2"/>
  </r>
  <r>
    <s v="ORD53993"/>
    <d v="2025-03-09T00:00:00"/>
    <s v="Mall of the Emirates"/>
    <s v="P405"/>
    <n v="1"/>
    <n v="89"/>
    <x v="2"/>
    <x v="24"/>
    <s v="Beauty"/>
    <n v="40"/>
    <n v="80.100000000000009"/>
    <n v="40"/>
    <n v="40.100000000000009"/>
    <x v="2"/>
  </r>
  <r>
    <s v="ORD54189"/>
    <d v="2025-03-09T00:00:00"/>
    <s v="Dubai Mall"/>
    <s v="P306"/>
    <n v="1"/>
    <n v="249"/>
    <x v="3"/>
    <x v="3"/>
    <s v="Fashion"/>
    <n v="95"/>
    <n v="249"/>
    <n v="95"/>
    <n v="154"/>
    <x v="2"/>
  </r>
  <r>
    <s v="ORD50086"/>
    <d v="2025-03-10T00:00:00"/>
    <s v="Dubai Mall"/>
    <s v="P406"/>
    <n v="1"/>
    <n v="199"/>
    <x v="3"/>
    <x v="4"/>
    <s v="Beauty"/>
    <n v="90"/>
    <n v="199"/>
    <n v="90"/>
    <n v="109"/>
    <x v="2"/>
  </r>
  <r>
    <s v="ORD50300"/>
    <d v="2025-03-10T00:00:00"/>
    <s v="Mall of the Emirates"/>
    <s v="P201"/>
    <n v="1"/>
    <n v="499"/>
    <x v="2"/>
    <x v="16"/>
    <s v="Home &amp; Kitchen"/>
    <n v="290"/>
    <n v="449.1"/>
    <n v="290"/>
    <n v="159.10000000000002"/>
    <x v="2"/>
  </r>
  <r>
    <s v="ORD50649"/>
    <d v="2025-03-10T00:00:00"/>
    <s v="Online"/>
    <s v="P206"/>
    <n v="3"/>
    <n v="129"/>
    <x v="1"/>
    <x v="28"/>
    <s v="Home &amp; Kitchen"/>
    <n v="60"/>
    <n v="367.65"/>
    <n v="180"/>
    <n v="187.64999999999998"/>
    <x v="2"/>
  </r>
  <r>
    <s v="ORD50698"/>
    <d v="2025-03-10T00:00:00"/>
    <s v="Online"/>
    <s v="P306"/>
    <n v="3"/>
    <n v="249"/>
    <x v="5"/>
    <x v="3"/>
    <s v="Fashion"/>
    <n v="95"/>
    <n v="597.6"/>
    <n v="285"/>
    <n v="312.60000000000002"/>
    <x v="2"/>
  </r>
  <r>
    <s v="ORD51158"/>
    <d v="2025-03-10T00:00:00"/>
    <s v="City Centre Deira"/>
    <s v="P405"/>
    <n v="2"/>
    <n v="89"/>
    <x v="2"/>
    <x v="24"/>
    <s v="Beauty"/>
    <n v="40"/>
    <n v="160.20000000000002"/>
    <n v="80"/>
    <n v="80.200000000000017"/>
    <x v="2"/>
  </r>
  <r>
    <s v="ORD52333"/>
    <d v="2025-03-10T00:00:00"/>
    <s v="Dubai Mall"/>
    <s v="P108"/>
    <n v="4"/>
    <n v="459"/>
    <x v="2"/>
    <x v="23"/>
    <s v="Electronics"/>
    <n v="300"/>
    <n v="1652.4"/>
    <n v="1200"/>
    <n v="452.40000000000009"/>
    <x v="2"/>
  </r>
  <r>
    <s v="ORD52335"/>
    <d v="2025-03-10T00:00:00"/>
    <s v="Mall of the Emirates"/>
    <s v="P303"/>
    <n v="1"/>
    <n v="149"/>
    <x v="3"/>
    <x v="7"/>
    <s v="Fashion"/>
    <n v="80"/>
    <n v="149"/>
    <n v="80"/>
    <n v="69"/>
    <x v="2"/>
  </r>
  <r>
    <s v="ORD52433"/>
    <d v="2025-03-10T00:00:00"/>
    <s v="Mall of the Emirates"/>
    <s v="P106"/>
    <n v="1"/>
    <n v="149"/>
    <x v="3"/>
    <x v="30"/>
    <s v="Electronics"/>
    <n v="70"/>
    <n v="149"/>
    <n v="70"/>
    <n v="79"/>
    <x v="2"/>
  </r>
  <r>
    <s v="ORD52603"/>
    <d v="2025-03-10T00:00:00"/>
    <s v="Online"/>
    <s v="P101"/>
    <n v="1"/>
    <n v="399"/>
    <x v="3"/>
    <x v="5"/>
    <s v="Electronics"/>
    <n v="230"/>
    <n v="399"/>
    <n v="230"/>
    <n v="169"/>
    <x v="2"/>
  </r>
  <r>
    <s v="ORD52715"/>
    <d v="2025-03-10T00:00:00"/>
    <s v="City Centre Deira"/>
    <s v="P303"/>
    <n v="1"/>
    <n v="149"/>
    <x v="0"/>
    <x v="7"/>
    <s v="Fashion"/>
    <n v="80"/>
    <n v="126.64999999999999"/>
    <n v="80"/>
    <n v="46.649999999999991"/>
    <x v="2"/>
  </r>
  <r>
    <s v="ORD52896"/>
    <d v="2025-03-10T00:00:00"/>
    <s v="Online"/>
    <s v="P301"/>
    <n v="2"/>
    <n v="179"/>
    <x v="5"/>
    <x v="2"/>
    <s v="Fashion"/>
    <n v="70"/>
    <n v="286.40000000000003"/>
    <n v="140"/>
    <n v="146.40000000000003"/>
    <x v="2"/>
  </r>
  <r>
    <s v="ORD53413"/>
    <d v="2025-03-10T00:00:00"/>
    <s v="City Centre Deira"/>
    <s v="P308"/>
    <n v="1"/>
    <n v="229"/>
    <x v="3"/>
    <x v="0"/>
    <s v="Fashion"/>
    <n v="120"/>
    <n v="229"/>
    <n v="120"/>
    <n v="109"/>
    <x v="2"/>
  </r>
  <r>
    <s v="ORD53534"/>
    <d v="2025-03-10T00:00:00"/>
    <s v="City Centre Deira"/>
    <s v="P306"/>
    <n v="1"/>
    <n v="249"/>
    <x v="3"/>
    <x v="3"/>
    <s v="Fashion"/>
    <n v="95"/>
    <n v="249"/>
    <n v="95"/>
    <n v="154"/>
    <x v="2"/>
  </r>
  <r>
    <s v="ORD53697"/>
    <d v="2025-03-10T00:00:00"/>
    <s v="Dubai Mall"/>
    <s v="P406"/>
    <n v="1"/>
    <n v="199"/>
    <x v="1"/>
    <x v="4"/>
    <s v="Beauty"/>
    <n v="90"/>
    <n v="189.04999999999998"/>
    <n v="90"/>
    <n v="99.049999999999983"/>
    <x v="2"/>
  </r>
  <r>
    <s v="ORD54023"/>
    <d v="2025-03-10T00:00:00"/>
    <s v="Dubai Mall"/>
    <s v="P108"/>
    <n v="1"/>
    <n v="459"/>
    <x v="3"/>
    <x v="23"/>
    <s v="Electronics"/>
    <n v="300"/>
    <n v="459"/>
    <n v="300"/>
    <n v="159"/>
    <x v="2"/>
  </r>
  <r>
    <s v="ORD54134"/>
    <d v="2025-03-10T00:00:00"/>
    <s v="Online"/>
    <s v="P301"/>
    <n v="1"/>
    <n v="179"/>
    <x v="3"/>
    <x v="2"/>
    <s v="Fashion"/>
    <n v="70"/>
    <n v="179"/>
    <n v="70"/>
    <n v="109"/>
    <x v="2"/>
  </r>
  <r>
    <s v="ORD50193"/>
    <d v="2025-03-11T00:00:00"/>
    <s v="Ibn Battuta Mall"/>
    <s v="P108"/>
    <n v="1"/>
    <n v="459"/>
    <x v="3"/>
    <x v="23"/>
    <s v="Electronics"/>
    <n v="300"/>
    <n v="459"/>
    <n v="300"/>
    <n v="159"/>
    <x v="2"/>
  </r>
  <r>
    <s v="ORD51681"/>
    <d v="2025-03-11T00:00:00"/>
    <s v="Online"/>
    <s v="P102"/>
    <n v="1"/>
    <n v="249"/>
    <x v="2"/>
    <x v="13"/>
    <s v="Electronics"/>
    <n v="150"/>
    <n v="224.1"/>
    <n v="150"/>
    <n v="74.099999999999994"/>
    <x v="2"/>
  </r>
  <r>
    <s v="ORD52138"/>
    <d v="2025-03-11T00:00:00"/>
    <s v="Mall of the Emirates"/>
    <s v="P102"/>
    <n v="1"/>
    <n v="249"/>
    <x v="3"/>
    <x v="13"/>
    <s v="Electronics"/>
    <n v="150"/>
    <n v="249"/>
    <n v="150"/>
    <n v="99"/>
    <x v="2"/>
  </r>
  <r>
    <s v="ORD52159"/>
    <d v="2025-03-11T00:00:00"/>
    <s v="Mall of the Emirates"/>
    <s v="P208"/>
    <n v="3"/>
    <n v="259"/>
    <x v="3"/>
    <x v="22"/>
    <s v="Home &amp; Kitchen"/>
    <n v="115"/>
    <n v="777"/>
    <n v="345"/>
    <n v="432"/>
    <x v="2"/>
  </r>
  <r>
    <s v="ORD52611"/>
    <d v="2025-03-11T00:00:00"/>
    <s v="Dubai Mall"/>
    <s v="P303"/>
    <n v="1"/>
    <n v="149"/>
    <x v="2"/>
    <x v="7"/>
    <s v="Fashion"/>
    <n v="80"/>
    <n v="134.1"/>
    <n v="80"/>
    <n v="54.099999999999994"/>
    <x v="2"/>
  </r>
  <r>
    <s v="ORD50764"/>
    <d v="2025-03-12T00:00:00"/>
    <s v="Mall of the Emirates"/>
    <s v="P305"/>
    <n v="1"/>
    <n v="429"/>
    <x v="1"/>
    <x v="14"/>
    <s v="Fashion"/>
    <n v="300"/>
    <n v="407.54999999999995"/>
    <n v="300"/>
    <n v="107.54999999999995"/>
    <x v="2"/>
  </r>
  <r>
    <s v="ORD50944"/>
    <d v="2025-03-12T00:00:00"/>
    <s v="City Centre Deira"/>
    <s v="P208"/>
    <n v="1"/>
    <n v="259"/>
    <x v="1"/>
    <x v="22"/>
    <s v="Home &amp; Kitchen"/>
    <n v="115"/>
    <n v="246.04999999999998"/>
    <n v="115"/>
    <n v="131.04999999999998"/>
    <x v="2"/>
  </r>
  <r>
    <s v="ORD52026"/>
    <d v="2025-03-12T00:00:00"/>
    <s v="City Centre Deira"/>
    <s v="P403"/>
    <n v="2"/>
    <n v="299"/>
    <x v="2"/>
    <x v="8"/>
    <s v="Beauty"/>
    <n v="240"/>
    <n v="538.20000000000005"/>
    <n v="480"/>
    <n v="58.200000000000045"/>
    <x v="2"/>
  </r>
  <r>
    <s v="ORD52124"/>
    <d v="2025-03-12T00:00:00"/>
    <s v="Ibn Battuta Mall"/>
    <s v="P305"/>
    <n v="3"/>
    <n v="429"/>
    <x v="3"/>
    <x v="14"/>
    <s v="Fashion"/>
    <n v="300"/>
    <n v="1287"/>
    <n v="900"/>
    <n v="387"/>
    <x v="2"/>
  </r>
  <r>
    <s v="ORD52201"/>
    <d v="2025-03-12T00:00:00"/>
    <s v="Online"/>
    <s v="P503"/>
    <n v="1"/>
    <n v="229"/>
    <x v="0"/>
    <x v="18"/>
    <s v="Sports"/>
    <n v="120"/>
    <n v="194.65"/>
    <n v="120"/>
    <n v="74.650000000000006"/>
    <x v="2"/>
  </r>
  <r>
    <s v="ORD52729"/>
    <d v="2025-03-12T00:00:00"/>
    <s v="Online"/>
    <s v="P108"/>
    <n v="1"/>
    <n v="459"/>
    <x v="2"/>
    <x v="23"/>
    <s v="Electronics"/>
    <n v="300"/>
    <n v="413.1"/>
    <n v="300"/>
    <n v="113.10000000000002"/>
    <x v="2"/>
  </r>
  <r>
    <s v="ORD52838"/>
    <d v="2025-03-12T00:00:00"/>
    <s v="Online"/>
    <s v="P308"/>
    <n v="1"/>
    <n v="229"/>
    <x v="1"/>
    <x v="0"/>
    <s v="Fashion"/>
    <n v="120"/>
    <n v="217.54999999999998"/>
    <n v="120"/>
    <n v="97.549999999999983"/>
    <x v="2"/>
  </r>
  <r>
    <s v="ORD53093"/>
    <d v="2025-03-12T00:00:00"/>
    <s v="Dubai Mall"/>
    <s v="P401"/>
    <n v="2"/>
    <n v="549"/>
    <x v="3"/>
    <x v="15"/>
    <s v="Beauty"/>
    <n v="250"/>
    <n v="1098"/>
    <n v="500"/>
    <n v="598"/>
    <x v="2"/>
  </r>
  <r>
    <s v="ORD53106"/>
    <d v="2025-03-12T00:00:00"/>
    <s v="Mall of the Emirates"/>
    <s v="P402"/>
    <n v="2"/>
    <n v="149"/>
    <x v="3"/>
    <x v="17"/>
    <s v="Beauty"/>
    <n v="55"/>
    <n v="298"/>
    <n v="110"/>
    <n v="188"/>
    <x v="2"/>
  </r>
  <r>
    <s v="ORD53234"/>
    <d v="2025-03-12T00:00:00"/>
    <s v="Online"/>
    <s v="P306"/>
    <n v="2"/>
    <n v="249"/>
    <x v="0"/>
    <x v="3"/>
    <s v="Fashion"/>
    <n v="95"/>
    <n v="423.3"/>
    <n v="190"/>
    <n v="233.3"/>
    <x v="2"/>
  </r>
  <r>
    <s v="ORD53929"/>
    <d v="2025-03-12T00:00:00"/>
    <s v="Mall of the Emirates"/>
    <s v="P206"/>
    <n v="1"/>
    <n v="129"/>
    <x v="1"/>
    <x v="28"/>
    <s v="Home &amp; Kitchen"/>
    <n v="60"/>
    <n v="122.55"/>
    <n v="60"/>
    <n v="62.55"/>
    <x v="2"/>
  </r>
  <r>
    <s v="ORD53975"/>
    <d v="2025-03-12T00:00:00"/>
    <s v="Online"/>
    <s v="P201"/>
    <n v="1"/>
    <n v="499"/>
    <x v="2"/>
    <x v="16"/>
    <s v="Home &amp; Kitchen"/>
    <n v="290"/>
    <n v="449.1"/>
    <n v="290"/>
    <n v="159.10000000000002"/>
    <x v="2"/>
  </r>
  <r>
    <s v="ORD50120"/>
    <d v="2025-03-13T00:00:00"/>
    <s v="Mall of the Emirates"/>
    <s v="P308"/>
    <n v="1"/>
    <n v="229"/>
    <x v="1"/>
    <x v="0"/>
    <s v="Fashion"/>
    <n v="120"/>
    <n v="217.54999999999998"/>
    <n v="120"/>
    <n v="97.549999999999983"/>
    <x v="2"/>
  </r>
  <r>
    <s v="ORD50656"/>
    <d v="2025-03-13T00:00:00"/>
    <s v="Ibn Battuta Mall"/>
    <s v="P302"/>
    <n v="1"/>
    <n v="459"/>
    <x v="0"/>
    <x v="10"/>
    <s v="Fashion"/>
    <n v="190"/>
    <n v="390.15"/>
    <n v="190"/>
    <n v="200.14999999999998"/>
    <x v="2"/>
  </r>
  <r>
    <s v="ORD50922"/>
    <d v="2025-03-13T00:00:00"/>
    <s v="Dubai Mall"/>
    <s v="P403"/>
    <n v="1"/>
    <n v="299"/>
    <x v="0"/>
    <x v="8"/>
    <s v="Beauty"/>
    <n v="240"/>
    <n v="254.15"/>
    <n v="240"/>
    <n v="14.150000000000006"/>
    <x v="2"/>
  </r>
  <r>
    <s v="ORD50941"/>
    <d v="2025-03-13T00:00:00"/>
    <s v="Online"/>
    <s v="P304"/>
    <n v="1"/>
    <n v="699"/>
    <x v="1"/>
    <x v="35"/>
    <s v="Fashion"/>
    <n v="380"/>
    <n v="664.05"/>
    <n v="380"/>
    <n v="284.04999999999995"/>
    <x v="2"/>
  </r>
  <r>
    <s v="ORD51377"/>
    <d v="2025-03-13T00:00:00"/>
    <s v="Dubai Mall"/>
    <s v="P107"/>
    <n v="3"/>
    <n v="89"/>
    <x v="4"/>
    <x v="29"/>
    <s v="Electronics"/>
    <n v="35"/>
    <n v="186.89999999999998"/>
    <n v="105"/>
    <n v="81.899999999999977"/>
    <x v="2"/>
  </r>
  <r>
    <s v="ORD51504"/>
    <d v="2025-03-13T00:00:00"/>
    <s v="City Centre Deira"/>
    <s v="P506"/>
    <n v="1"/>
    <n v="69"/>
    <x v="1"/>
    <x v="34"/>
    <s v="Sports"/>
    <n v="25"/>
    <n v="65.55"/>
    <n v="25"/>
    <n v="40.549999999999997"/>
    <x v="2"/>
  </r>
  <r>
    <s v="ORD51794"/>
    <d v="2025-03-13T00:00:00"/>
    <s v="Mall of the Emirates"/>
    <s v="P208"/>
    <n v="4"/>
    <n v="259"/>
    <x v="5"/>
    <x v="22"/>
    <s v="Home &amp; Kitchen"/>
    <n v="115"/>
    <n v="828.80000000000007"/>
    <n v="460"/>
    <n v="368.80000000000007"/>
    <x v="2"/>
  </r>
  <r>
    <s v="ORD51836"/>
    <d v="2025-03-13T00:00:00"/>
    <s v="Online"/>
    <s v="P208"/>
    <n v="2"/>
    <n v="259"/>
    <x v="3"/>
    <x v="22"/>
    <s v="Home &amp; Kitchen"/>
    <n v="115"/>
    <n v="518"/>
    <n v="230"/>
    <n v="288"/>
    <x v="2"/>
  </r>
  <r>
    <s v="ORD51864"/>
    <d v="2025-03-13T00:00:00"/>
    <s v="Mall of the Emirates"/>
    <s v="P203"/>
    <n v="1"/>
    <n v="349"/>
    <x v="3"/>
    <x v="21"/>
    <s v="Home &amp; Kitchen"/>
    <n v="170"/>
    <n v="349"/>
    <n v="170"/>
    <n v="179"/>
    <x v="2"/>
  </r>
  <r>
    <s v="ORD52054"/>
    <d v="2025-03-13T00:00:00"/>
    <s v="Ibn Battuta Mall"/>
    <s v="P505"/>
    <n v="2"/>
    <n v="99"/>
    <x v="2"/>
    <x v="11"/>
    <s v="Sports"/>
    <n v="45"/>
    <n v="178.20000000000002"/>
    <n v="90"/>
    <n v="88.200000000000017"/>
    <x v="2"/>
  </r>
  <r>
    <s v="ORD52140"/>
    <d v="2025-03-13T00:00:00"/>
    <s v="Online"/>
    <s v="P308"/>
    <n v="2"/>
    <n v="229"/>
    <x v="3"/>
    <x v="0"/>
    <s v="Fashion"/>
    <n v="120"/>
    <n v="458"/>
    <n v="240"/>
    <n v="218"/>
    <x v="2"/>
  </r>
  <r>
    <s v="ORD52322"/>
    <d v="2025-03-13T00:00:00"/>
    <s v="City Centre Deira"/>
    <s v="P106"/>
    <n v="2"/>
    <n v="149"/>
    <x v="1"/>
    <x v="30"/>
    <s v="Electronics"/>
    <n v="70"/>
    <n v="283.09999999999997"/>
    <n v="140"/>
    <n v="143.09999999999997"/>
    <x v="2"/>
  </r>
  <r>
    <s v="ORD53014"/>
    <d v="2025-03-13T00:00:00"/>
    <s v="Online"/>
    <s v="P101"/>
    <n v="1"/>
    <n v="399"/>
    <x v="2"/>
    <x v="5"/>
    <s v="Electronics"/>
    <n v="230"/>
    <n v="359.1"/>
    <n v="230"/>
    <n v="129.10000000000002"/>
    <x v="2"/>
  </r>
  <r>
    <s v="ORD53210"/>
    <d v="2025-03-13T00:00:00"/>
    <s v="Online"/>
    <s v="P501"/>
    <n v="1"/>
    <n v="129"/>
    <x v="4"/>
    <x v="12"/>
    <s v="Sports"/>
    <n v="60"/>
    <n v="90.3"/>
    <n v="60"/>
    <n v="30.299999999999997"/>
    <x v="2"/>
  </r>
  <r>
    <s v="ORD53259"/>
    <d v="2025-03-13T00:00:00"/>
    <s v="City Centre Deira"/>
    <s v="P306"/>
    <n v="2"/>
    <n v="249"/>
    <x v="4"/>
    <x v="3"/>
    <s v="Fashion"/>
    <n v="95"/>
    <n v="348.59999999999997"/>
    <n v="190"/>
    <n v="158.59999999999997"/>
    <x v="2"/>
  </r>
  <r>
    <s v="ORD53415"/>
    <d v="2025-03-13T00:00:00"/>
    <s v="Online"/>
    <s v="P502"/>
    <n v="3"/>
    <n v="799"/>
    <x v="5"/>
    <x v="19"/>
    <s v="Sports"/>
    <n v="700"/>
    <n v="1917.6000000000001"/>
    <n v="2100"/>
    <n v="-182.39999999999986"/>
    <x v="2"/>
  </r>
  <r>
    <s v="ORD53536"/>
    <d v="2025-03-13T00:00:00"/>
    <s v="Dubai Mall"/>
    <s v="P208"/>
    <n v="3"/>
    <n v="259"/>
    <x v="2"/>
    <x v="22"/>
    <s v="Home &amp; Kitchen"/>
    <n v="115"/>
    <n v="699.30000000000007"/>
    <n v="345"/>
    <n v="354.30000000000007"/>
    <x v="2"/>
  </r>
  <r>
    <s v="ORD54100"/>
    <d v="2025-03-13T00:00:00"/>
    <s v="Dubai Mall"/>
    <s v="P303"/>
    <n v="1"/>
    <n v="149"/>
    <x v="2"/>
    <x v="7"/>
    <s v="Fashion"/>
    <n v="80"/>
    <n v="134.1"/>
    <n v="80"/>
    <n v="54.099999999999994"/>
    <x v="2"/>
  </r>
  <r>
    <s v="ORD50053"/>
    <d v="2025-03-14T00:00:00"/>
    <s v="Online"/>
    <s v="P404"/>
    <n v="1"/>
    <n v="189"/>
    <x v="3"/>
    <x v="6"/>
    <s v="Beauty"/>
    <n v="85"/>
    <n v="189"/>
    <n v="85"/>
    <n v="104"/>
    <x v="2"/>
  </r>
  <r>
    <s v="ORD50431"/>
    <d v="2025-03-14T00:00:00"/>
    <s v="City Centre Deira"/>
    <s v="P102"/>
    <n v="1"/>
    <n v="249"/>
    <x v="3"/>
    <x v="13"/>
    <s v="Electronics"/>
    <n v="150"/>
    <n v="249"/>
    <n v="150"/>
    <n v="99"/>
    <x v="2"/>
  </r>
  <r>
    <s v="ORD50688"/>
    <d v="2025-03-14T00:00:00"/>
    <s v="Mall of the Emirates"/>
    <s v="P308"/>
    <n v="1"/>
    <n v="229"/>
    <x v="1"/>
    <x v="0"/>
    <s v="Fashion"/>
    <n v="120"/>
    <n v="217.54999999999998"/>
    <n v="120"/>
    <n v="97.549999999999983"/>
    <x v="2"/>
  </r>
  <r>
    <s v="ORD50757"/>
    <d v="2025-03-14T00:00:00"/>
    <s v="Dubai Mall"/>
    <s v="P308"/>
    <n v="1"/>
    <n v="229"/>
    <x v="1"/>
    <x v="0"/>
    <s v="Fashion"/>
    <n v="120"/>
    <n v="217.54999999999998"/>
    <n v="120"/>
    <n v="97.549999999999983"/>
    <x v="2"/>
  </r>
  <r>
    <s v="ORD51276"/>
    <d v="2025-03-14T00:00:00"/>
    <s v="Dubai Mall"/>
    <s v="P301"/>
    <n v="4"/>
    <n v="179"/>
    <x v="3"/>
    <x v="2"/>
    <s v="Fashion"/>
    <n v="70"/>
    <n v="716"/>
    <n v="280"/>
    <n v="436"/>
    <x v="2"/>
  </r>
  <r>
    <s v="ORD52030"/>
    <d v="2025-03-14T00:00:00"/>
    <s v="City Centre Deira"/>
    <s v="P401"/>
    <n v="2"/>
    <n v="549"/>
    <x v="3"/>
    <x v="15"/>
    <s v="Beauty"/>
    <n v="250"/>
    <n v="1098"/>
    <n v="500"/>
    <n v="598"/>
    <x v="2"/>
  </r>
  <r>
    <s v="ORD52962"/>
    <d v="2025-03-14T00:00:00"/>
    <s v="Dubai Mall"/>
    <s v="P405"/>
    <n v="1"/>
    <n v="89"/>
    <x v="3"/>
    <x v="24"/>
    <s v="Beauty"/>
    <n v="40"/>
    <n v="89"/>
    <n v="40"/>
    <n v="49"/>
    <x v="2"/>
  </r>
  <r>
    <s v="ORD53046"/>
    <d v="2025-03-14T00:00:00"/>
    <s v="Dubai Mall"/>
    <s v="P308"/>
    <n v="1"/>
    <n v="229"/>
    <x v="3"/>
    <x v="0"/>
    <s v="Fashion"/>
    <n v="120"/>
    <n v="229"/>
    <n v="120"/>
    <n v="109"/>
    <x v="2"/>
  </r>
  <r>
    <s v="ORD53148"/>
    <d v="2025-03-14T00:00:00"/>
    <s v="Mall of the Emirates"/>
    <s v="P208"/>
    <n v="2"/>
    <n v="259"/>
    <x v="3"/>
    <x v="22"/>
    <s v="Home &amp; Kitchen"/>
    <n v="115"/>
    <n v="518"/>
    <n v="230"/>
    <n v="288"/>
    <x v="2"/>
  </r>
  <r>
    <s v="ORD53567"/>
    <d v="2025-03-14T00:00:00"/>
    <s v="Ibn Battuta Mall"/>
    <s v="P305"/>
    <n v="2"/>
    <n v="429"/>
    <x v="5"/>
    <x v="14"/>
    <s v="Fashion"/>
    <n v="300"/>
    <n v="686.40000000000009"/>
    <n v="600"/>
    <n v="86.400000000000091"/>
    <x v="2"/>
  </r>
  <r>
    <s v="ORD53623"/>
    <d v="2025-03-14T00:00:00"/>
    <s v="Online"/>
    <s v="P303"/>
    <n v="1"/>
    <n v="149"/>
    <x v="0"/>
    <x v="7"/>
    <s v="Fashion"/>
    <n v="80"/>
    <n v="126.64999999999999"/>
    <n v="80"/>
    <n v="46.649999999999991"/>
    <x v="2"/>
  </r>
  <r>
    <s v="ORD54121"/>
    <d v="2025-03-14T00:00:00"/>
    <s v="Mall of the Emirates"/>
    <s v="P301"/>
    <n v="1"/>
    <n v="179"/>
    <x v="2"/>
    <x v="2"/>
    <s v="Fashion"/>
    <n v="70"/>
    <n v="161.1"/>
    <n v="70"/>
    <n v="91.1"/>
    <x v="2"/>
  </r>
  <r>
    <s v="ORD54149"/>
    <d v="2025-03-14T00:00:00"/>
    <s v="Ibn Battuta Mall"/>
    <s v="P306"/>
    <n v="2"/>
    <n v="249"/>
    <x v="1"/>
    <x v="3"/>
    <s v="Fashion"/>
    <n v="95"/>
    <n v="473.09999999999997"/>
    <n v="190"/>
    <n v="283.09999999999997"/>
    <x v="2"/>
  </r>
  <r>
    <s v="ORD50378"/>
    <d v="2025-03-15T00:00:00"/>
    <s v="Ibn Battuta Mall"/>
    <s v="P505"/>
    <n v="1"/>
    <n v="99"/>
    <x v="2"/>
    <x v="11"/>
    <s v="Sports"/>
    <n v="45"/>
    <n v="89.100000000000009"/>
    <n v="45"/>
    <n v="44.100000000000009"/>
    <x v="2"/>
  </r>
  <r>
    <s v="ORD50456"/>
    <d v="2025-03-15T00:00:00"/>
    <s v="Dubai Mall"/>
    <s v="P103"/>
    <n v="1"/>
    <n v="1299"/>
    <x v="3"/>
    <x v="25"/>
    <s v="Electronics"/>
    <n v="820"/>
    <n v="1299"/>
    <n v="820"/>
    <n v="479"/>
    <x v="2"/>
  </r>
  <r>
    <s v="ORD50946"/>
    <d v="2025-03-15T00:00:00"/>
    <s v="Mall of the Emirates"/>
    <s v="P106"/>
    <n v="2"/>
    <n v="149"/>
    <x v="3"/>
    <x v="30"/>
    <s v="Electronics"/>
    <n v="70"/>
    <n v="298"/>
    <n v="140"/>
    <n v="158"/>
    <x v="2"/>
  </r>
  <r>
    <s v="ORD51023"/>
    <d v="2025-03-15T00:00:00"/>
    <s v="Dubai Mall"/>
    <s v="P207"/>
    <n v="1"/>
    <n v="399"/>
    <x v="1"/>
    <x v="32"/>
    <s v="Home &amp; Kitchen"/>
    <n v="250"/>
    <n v="379.04999999999995"/>
    <n v="250"/>
    <n v="129.04999999999995"/>
    <x v="2"/>
  </r>
  <r>
    <s v="ORD51470"/>
    <d v="2025-03-15T00:00:00"/>
    <s v="City Centre Deira"/>
    <s v="P102"/>
    <n v="1"/>
    <n v="249"/>
    <x v="3"/>
    <x v="13"/>
    <s v="Electronics"/>
    <n v="150"/>
    <n v="249"/>
    <n v="150"/>
    <n v="99"/>
    <x v="2"/>
  </r>
  <r>
    <s v="ORD51535"/>
    <d v="2025-03-15T00:00:00"/>
    <s v="Dubai Mall"/>
    <s v="P403"/>
    <n v="3"/>
    <n v="299"/>
    <x v="0"/>
    <x v="8"/>
    <s v="Beauty"/>
    <n v="240"/>
    <n v="762.44999999999993"/>
    <n v="720"/>
    <n v="42.449999999999932"/>
    <x v="2"/>
  </r>
  <r>
    <s v="ORD51951"/>
    <d v="2025-03-15T00:00:00"/>
    <s v="Online"/>
    <s v="P501"/>
    <n v="1"/>
    <n v="129"/>
    <x v="2"/>
    <x v="12"/>
    <s v="Sports"/>
    <n v="60"/>
    <n v="116.10000000000001"/>
    <n v="60"/>
    <n v="56.100000000000009"/>
    <x v="2"/>
  </r>
  <r>
    <s v="ORD52001"/>
    <d v="2025-03-15T00:00:00"/>
    <s v="Mall of the Emirates"/>
    <s v="P108"/>
    <n v="1"/>
    <n v="459"/>
    <x v="4"/>
    <x v="23"/>
    <s v="Electronics"/>
    <n v="300"/>
    <n v="321.29999999999995"/>
    <n v="300"/>
    <n v="21.299999999999955"/>
    <x v="2"/>
  </r>
  <r>
    <s v="ORD52187"/>
    <d v="2025-03-15T00:00:00"/>
    <s v="Ibn Battuta Mall"/>
    <s v="P303"/>
    <n v="1"/>
    <n v="149"/>
    <x v="2"/>
    <x v="7"/>
    <s v="Fashion"/>
    <n v="80"/>
    <n v="134.1"/>
    <n v="80"/>
    <n v="54.099999999999994"/>
    <x v="2"/>
  </r>
  <r>
    <s v="ORD52982"/>
    <d v="2025-03-15T00:00:00"/>
    <s v="City Centre Deira"/>
    <s v="P406"/>
    <n v="4"/>
    <n v="199"/>
    <x v="2"/>
    <x v="4"/>
    <s v="Beauty"/>
    <n v="90"/>
    <n v="716.4"/>
    <n v="360"/>
    <n v="356.4"/>
    <x v="2"/>
  </r>
  <r>
    <s v="ORD53206"/>
    <d v="2025-03-15T00:00:00"/>
    <s v="Mall of the Emirates"/>
    <s v="P105"/>
    <n v="2"/>
    <n v="899"/>
    <x v="3"/>
    <x v="31"/>
    <s v="Electronics"/>
    <n v="610"/>
    <n v="1798"/>
    <n v="1220"/>
    <n v="578"/>
    <x v="2"/>
  </r>
  <r>
    <s v="ORD53319"/>
    <d v="2025-03-15T00:00:00"/>
    <s v="Dubai Mall"/>
    <s v="P206"/>
    <n v="1"/>
    <n v="129"/>
    <x v="3"/>
    <x v="28"/>
    <s v="Home &amp; Kitchen"/>
    <n v="60"/>
    <n v="129"/>
    <n v="60"/>
    <n v="69"/>
    <x v="2"/>
  </r>
  <r>
    <s v="ORD53358"/>
    <d v="2025-03-15T00:00:00"/>
    <s v="Mall of the Emirates"/>
    <s v="P202"/>
    <n v="1"/>
    <n v="1499"/>
    <x v="3"/>
    <x v="26"/>
    <s v="Home &amp; Kitchen"/>
    <n v="1050"/>
    <n v="1499"/>
    <n v="1050"/>
    <n v="449"/>
    <x v="2"/>
  </r>
  <r>
    <s v="ORD53808"/>
    <d v="2025-03-15T00:00:00"/>
    <s v="Dubai Mall"/>
    <s v="P303"/>
    <n v="2"/>
    <n v="149"/>
    <x v="0"/>
    <x v="7"/>
    <s v="Fashion"/>
    <n v="80"/>
    <n v="253.29999999999998"/>
    <n v="160"/>
    <n v="93.299999999999983"/>
    <x v="2"/>
  </r>
  <r>
    <s v="ORD54007"/>
    <d v="2025-03-15T00:00:00"/>
    <s v="Dubai Mall"/>
    <s v="P404"/>
    <n v="2"/>
    <n v="189"/>
    <x v="3"/>
    <x v="6"/>
    <s v="Beauty"/>
    <n v="85"/>
    <n v="378"/>
    <n v="170"/>
    <n v="208"/>
    <x v="2"/>
  </r>
  <r>
    <s v="ORD50153"/>
    <d v="2025-03-16T00:00:00"/>
    <s v="Dubai Mall"/>
    <s v="P108"/>
    <n v="2"/>
    <n v="459"/>
    <x v="2"/>
    <x v="23"/>
    <s v="Electronics"/>
    <n v="300"/>
    <n v="826.2"/>
    <n v="600"/>
    <n v="226.20000000000005"/>
    <x v="2"/>
  </r>
  <r>
    <s v="ORD50195"/>
    <d v="2025-03-16T00:00:00"/>
    <s v="Online"/>
    <s v="P105"/>
    <n v="1"/>
    <n v="899"/>
    <x v="5"/>
    <x v="31"/>
    <s v="Electronics"/>
    <n v="610"/>
    <n v="719.2"/>
    <n v="610"/>
    <n v="109.20000000000005"/>
    <x v="2"/>
  </r>
  <r>
    <s v="ORD50240"/>
    <d v="2025-03-16T00:00:00"/>
    <s v="Mall of the Emirates"/>
    <s v="P102"/>
    <n v="2"/>
    <n v="249"/>
    <x v="0"/>
    <x v="13"/>
    <s v="Electronics"/>
    <n v="150"/>
    <n v="423.3"/>
    <n v="300"/>
    <n v="123.30000000000001"/>
    <x v="2"/>
  </r>
  <r>
    <s v="ORD51431"/>
    <d v="2025-03-16T00:00:00"/>
    <s v="Online"/>
    <s v="P501"/>
    <n v="3"/>
    <n v="129"/>
    <x v="3"/>
    <x v="12"/>
    <s v="Sports"/>
    <n v="60"/>
    <n v="387"/>
    <n v="180"/>
    <n v="207"/>
    <x v="2"/>
  </r>
  <r>
    <s v="ORD51720"/>
    <d v="2025-03-16T00:00:00"/>
    <s v="Ibn Battuta Mall"/>
    <s v="P102"/>
    <n v="1"/>
    <n v="249"/>
    <x v="3"/>
    <x v="13"/>
    <s v="Electronics"/>
    <n v="150"/>
    <n v="249"/>
    <n v="150"/>
    <n v="99"/>
    <x v="2"/>
  </r>
  <r>
    <s v="ORD52076"/>
    <d v="2025-03-16T00:00:00"/>
    <s v="City Centre Deira"/>
    <s v="P108"/>
    <n v="2"/>
    <n v="459"/>
    <x v="1"/>
    <x v="23"/>
    <s v="Electronics"/>
    <n v="300"/>
    <n v="872.09999999999991"/>
    <n v="600"/>
    <n v="272.09999999999991"/>
    <x v="2"/>
  </r>
  <r>
    <s v="ORD52244"/>
    <d v="2025-03-16T00:00:00"/>
    <s v="Ibn Battuta Mall"/>
    <s v="P501"/>
    <n v="2"/>
    <n v="129"/>
    <x v="3"/>
    <x v="12"/>
    <s v="Sports"/>
    <n v="60"/>
    <n v="258"/>
    <n v="120"/>
    <n v="138"/>
    <x v="2"/>
  </r>
  <r>
    <s v="ORD52310"/>
    <d v="2025-03-16T00:00:00"/>
    <s v="Dubai Mall"/>
    <s v="P305"/>
    <n v="1"/>
    <n v="429"/>
    <x v="3"/>
    <x v="14"/>
    <s v="Fashion"/>
    <n v="300"/>
    <n v="429"/>
    <n v="300"/>
    <n v="129"/>
    <x v="2"/>
  </r>
  <r>
    <s v="ORD52359"/>
    <d v="2025-03-16T00:00:00"/>
    <s v="Dubai Mall"/>
    <s v="P102"/>
    <n v="1"/>
    <n v="249"/>
    <x v="5"/>
    <x v="13"/>
    <s v="Electronics"/>
    <n v="150"/>
    <n v="199.20000000000002"/>
    <n v="150"/>
    <n v="49.200000000000017"/>
    <x v="2"/>
  </r>
  <r>
    <s v="ORD52472"/>
    <d v="2025-03-16T00:00:00"/>
    <s v="Online"/>
    <s v="P505"/>
    <n v="1"/>
    <n v="99"/>
    <x v="2"/>
    <x v="11"/>
    <s v="Sports"/>
    <n v="45"/>
    <n v="89.100000000000009"/>
    <n v="45"/>
    <n v="44.100000000000009"/>
    <x v="2"/>
  </r>
  <r>
    <s v="ORD52522"/>
    <d v="2025-03-16T00:00:00"/>
    <s v="Dubai Mall"/>
    <s v="P402"/>
    <n v="1"/>
    <n v="149"/>
    <x v="1"/>
    <x v="17"/>
    <s v="Beauty"/>
    <n v="55"/>
    <n v="141.54999999999998"/>
    <n v="55"/>
    <n v="86.549999999999983"/>
    <x v="2"/>
  </r>
  <r>
    <s v="ORD53814"/>
    <d v="2025-03-16T00:00:00"/>
    <s v="Dubai Mall"/>
    <s v="P306"/>
    <n v="1"/>
    <n v="249"/>
    <x v="5"/>
    <x v="3"/>
    <s v="Fashion"/>
    <n v="95"/>
    <n v="199.20000000000002"/>
    <n v="95"/>
    <n v="104.20000000000002"/>
    <x v="2"/>
  </r>
  <r>
    <s v="ORD53899"/>
    <d v="2025-03-16T00:00:00"/>
    <s v="Mall of the Emirates"/>
    <s v="P107"/>
    <n v="1"/>
    <n v="89"/>
    <x v="2"/>
    <x v="29"/>
    <s v="Electronics"/>
    <n v="35"/>
    <n v="80.100000000000009"/>
    <n v="35"/>
    <n v="45.100000000000009"/>
    <x v="2"/>
  </r>
  <r>
    <s v="ORD50307"/>
    <d v="2025-03-17T00:00:00"/>
    <s v="Online"/>
    <s v="P301"/>
    <n v="1"/>
    <n v="179"/>
    <x v="5"/>
    <x v="2"/>
    <s v="Fashion"/>
    <n v="70"/>
    <n v="143.20000000000002"/>
    <n v="70"/>
    <n v="73.200000000000017"/>
    <x v="2"/>
  </r>
  <r>
    <s v="ORD50838"/>
    <d v="2025-03-17T00:00:00"/>
    <s v="Ibn Battuta Mall"/>
    <s v="P301"/>
    <n v="3"/>
    <n v="179"/>
    <x v="3"/>
    <x v="2"/>
    <s v="Fashion"/>
    <n v="70"/>
    <n v="537"/>
    <n v="210"/>
    <n v="327"/>
    <x v="2"/>
  </r>
  <r>
    <s v="ORD51148"/>
    <d v="2025-03-17T00:00:00"/>
    <s v="City Centre Deira"/>
    <s v="P305"/>
    <n v="2"/>
    <n v="429"/>
    <x v="3"/>
    <x v="14"/>
    <s v="Fashion"/>
    <n v="300"/>
    <n v="858"/>
    <n v="600"/>
    <n v="258"/>
    <x v="2"/>
  </r>
  <r>
    <s v="ORD51392"/>
    <d v="2025-03-17T00:00:00"/>
    <s v="Mall of the Emirates"/>
    <s v="P107"/>
    <n v="1"/>
    <n v="89"/>
    <x v="3"/>
    <x v="29"/>
    <s v="Electronics"/>
    <n v="35"/>
    <n v="89"/>
    <n v="35"/>
    <n v="54"/>
    <x v="2"/>
  </r>
  <r>
    <s v="ORD51488"/>
    <d v="2025-03-17T00:00:00"/>
    <s v="Online"/>
    <s v="P206"/>
    <n v="2"/>
    <n v="129"/>
    <x v="3"/>
    <x v="28"/>
    <s v="Home &amp; Kitchen"/>
    <n v="60"/>
    <n v="258"/>
    <n v="120"/>
    <n v="138"/>
    <x v="2"/>
  </r>
  <r>
    <s v="ORD51779"/>
    <d v="2025-03-17T00:00:00"/>
    <s v="Online"/>
    <s v="P404"/>
    <n v="1"/>
    <n v="189"/>
    <x v="1"/>
    <x v="6"/>
    <s v="Beauty"/>
    <n v="85"/>
    <n v="179.54999999999998"/>
    <n v="85"/>
    <n v="94.549999999999983"/>
    <x v="2"/>
  </r>
  <r>
    <s v="ORD52434"/>
    <d v="2025-03-17T00:00:00"/>
    <s v="Ibn Battuta Mall"/>
    <s v="P405"/>
    <n v="2"/>
    <n v="89"/>
    <x v="3"/>
    <x v="24"/>
    <s v="Beauty"/>
    <n v="40"/>
    <n v="178"/>
    <n v="80"/>
    <n v="98"/>
    <x v="2"/>
  </r>
  <r>
    <s v="ORD52435"/>
    <d v="2025-03-17T00:00:00"/>
    <s v="Online"/>
    <s v="P502"/>
    <n v="1"/>
    <n v="799"/>
    <x v="5"/>
    <x v="19"/>
    <s v="Sports"/>
    <n v="700"/>
    <n v="639.20000000000005"/>
    <n v="700"/>
    <n v="-60.799999999999955"/>
    <x v="2"/>
  </r>
  <r>
    <s v="ORD52457"/>
    <d v="2025-03-17T00:00:00"/>
    <s v="Mall of the Emirates"/>
    <s v="P305"/>
    <n v="2"/>
    <n v="429"/>
    <x v="3"/>
    <x v="14"/>
    <s v="Fashion"/>
    <n v="300"/>
    <n v="858"/>
    <n v="600"/>
    <n v="258"/>
    <x v="2"/>
  </r>
  <r>
    <s v="ORD53124"/>
    <d v="2025-03-17T00:00:00"/>
    <s v="Dubai Mall"/>
    <s v="P104"/>
    <n v="2"/>
    <n v="199"/>
    <x v="2"/>
    <x v="1"/>
    <s v="Electronics"/>
    <n v="175"/>
    <n v="358.2"/>
    <n v="350"/>
    <n v="8.1999999999999886"/>
    <x v="2"/>
  </r>
  <r>
    <s v="ORD53189"/>
    <d v="2025-03-17T00:00:00"/>
    <s v="Online"/>
    <s v="P103"/>
    <n v="1"/>
    <n v="1299"/>
    <x v="0"/>
    <x v="25"/>
    <s v="Electronics"/>
    <n v="820"/>
    <n v="1104.1499999999999"/>
    <n v="820"/>
    <n v="284.14999999999986"/>
    <x v="2"/>
  </r>
  <r>
    <s v="ORD53460"/>
    <d v="2025-03-17T00:00:00"/>
    <s v="Dubai Mall"/>
    <s v="P104"/>
    <n v="1"/>
    <n v="199"/>
    <x v="5"/>
    <x v="1"/>
    <s v="Electronics"/>
    <n v="175"/>
    <n v="159.20000000000002"/>
    <n v="175"/>
    <n v="-15.799999999999983"/>
    <x v="2"/>
  </r>
  <r>
    <s v="ORD53515"/>
    <d v="2025-03-17T00:00:00"/>
    <s v="Ibn Battuta Mall"/>
    <s v="P404"/>
    <n v="1"/>
    <n v="189"/>
    <x v="0"/>
    <x v="6"/>
    <s v="Beauty"/>
    <n v="85"/>
    <n v="160.65"/>
    <n v="85"/>
    <n v="75.650000000000006"/>
    <x v="2"/>
  </r>
  <r>
    <s v="ORD53825"/>
    <d v="2025-03-17T00:00:00"/>
    <s v="Dubai Mall"/>
    <s v="P406"/>
    <n v="4"/>
    <n v="199"/>
    <x v="2"/>
    <x v="4"/>
    <s v="Beauty"/>
    <n v="90"/>
    <n v="716.4"/>
    <n v="360"/>
    <n v="356.4"/>
    <x v="2"/>
  </r>
  <r>
    <s v="ORD53967"/>
    <d v="2025-03-17T00:00:00"/>
    <s v="Online"/>
    <s v="P302"/>
    <n v="2"/>
    <n v="459"/>
    <x v="5"/>
    <x v="10"/>
    <s v="Fashion"/>
    <n v="190"/>
    <n v="734.40000000000009"/>
    <n v="380"/>
    <n v="354.40000000000009"/>
    <x v="2"/>
  </r>
  <r>
    <s v="ORD50168"/>
    <d v="2025-03-18T00:00:00"/>
    <s v="Dubai Mall"/>
    <s v="P404"/>
    <n v="1"/>
    <n v="189"/>
    <x v="2"/>
    <x v="6"/>
    <s v="Beauty"/>
    <n v="85"/>
    <n v="170.1"/>
    <n v="85"/>
    <n v="85.1"/>
    <x v="2"/>
  </r>
  <r>
    <s v="ORD50415"/>
    <d v="2025-03-18T00:00:00"/>
    <s v="City Centre Deira"/>
    <s v="P102"/>
    <n v="1"/>
    <n v="249"/>
    <x v="1"/>
    <x v="13"/>
    <s v="Electronics"/>
    <n v="150"/>
    <n v="236.54999999999998"/>
    <n v="150"/>
    <n v="86.549999999999983"/>
    <x v="2"/>
  </r>
  <r>
    <s v="ORD50900"/>
    <d v="2025-03-18T00:00:00"/>
    <s v="Ibn Battuta Mall"/>
    <s v="P406"/>
    <n v="2"/>
    <n v="199"/>
    <x v="3"/>
    <x v="4"/>
    <s v="Beauty"/>
    <n v="90"/>
    <n v="398"/>
    <n v="180"/>
    <n v="218"/>
    <x v="2"/>
  </r>
  <r>
    <s v="ORD51047"/>
    <d v="2025-03-18T00:00:00"/>
    <s v="Mall of the Emirates"/>
    <s v="P301"/>
    <n v="2"/>
    <n v="179"/>
    <x v="1"/>
    <x v="2"/>
    <s v="Fashion"/>
    <n v="70"/>
    <n v="340.09999999999997"/>
    <n v="140"/>
    <n v="200.09999999999997"/>
    <x v="2"/>
  </r>
  <r>
    <s v="ORD51493"/>
    <d v="2025-03-18T00:00:00"/>
    <s v="Online"/>
    <s v="P107"/>
    <n v="3"/>
    <n v="89"/>
    <x v="3"/>
    <x v="29"/>
    <s v="Electronics"/>
    <n v="35"/>
    <n v="267"/>
    <n v="105"/>
    <n v="162"/>
    <x v="2"/>
  </r>
  <r>
    <s v="ORD51499"/>
    <d v="2025-03-18T00:00:00"/>
    <s v="Online"/>
    <s v="P303"/>
    <n v="1"/>
    <n v="149"/>
    <x v="2"/>
    <x v="7"/>
    <s v="Fashion"/>
    <n v="80"/>
    <n v="134.1"/>
    <n v="80"/>
    <n v="54.099999999999994"/>
    <x v="2"/>
  </r>
  <r>
    <s v="ORD52621"/>
    <d v="2025-03-18T00:00:00"/>
    <s v="Online"/>
    <s v="P107"/>
    <n v="1"/>
    <n v="89"/>
    <x v="2"/>
    <x v="29"/>
    <s v="Electronics"/>
    <n v="35"/>
    <n v="80.100000000000009"/>
    <n v="35"/>
    <n v="45.100000000000009"/>
    <x v="2"/>
  </r>
  <r>
    <s v="ORD53844"/>
    <d v="2025-03-18T00:00:00"/>
    <s v="City Centre Deira"/>
    <s v="P106"/>
    <n v="1"/>
    <n v="149"/>
    <x v="1"/>
    <x v="30"/>
    <s v="Electronics"/>
    <n v="70"/>
    <n v="141.54999999999998"/>
    <n v="70"/>
    <n v="71.549999999999983"/>
    <x v="2"/>
  </r>
  <r>
    <s v="ORD54085"/>
    <d v="2025-03-18T00:00:00"/>
    <s v="Ibn Battuta Mall"/>
    <s v="P308"/>
    <n v="1"/>
    <n v="229"/>
    <x v="3"/>
    <x v="0"/>
    <s v="Fashion"/>
    <n v="120"/>
    <n v="229"/>
    <n v="120"/>
    <n v="109"/>
    <x v="2"/>
  </r>
  <r>
    <s v="ORD50177"/>
    <d v="2025-03-19T00:00:00"/>
    <s v="Mall of the Emirates"/>
    <s v="P203"/>
    <n v="1"/>
    <n v="349"/>
    <x v="3"/>
    <x v="21"/>
    <s v="Home &amp; Kitchen"/>
    <n v="170"/>
    <n v="349"/>
    <n v="170"/>
    <n v="179"/>
    <x v="2"/>
  </r>
  <r>
    <s v="ORD50230"/>
    <d v="2025-03-19T00:00:00"/>
    <s v="Dubai Mall"/>
    <s v="P506"/>
    <n v="1"/>
    <n v="69"/>
    <x v="0"/>
    <x v="34"/>
    <s v="Sports"/>
    <n v="25"/>
    <n v="58.65"/>
    <n v="25"/>
    <n v="33.65"/>
    <x v="2"/>
  </r>
  <r>
    <s v="ORD50437"/>
    <d v="2025-03-19T00:00:00"/>
    <s v="Online"/>
    <s v="P505"/>
    <n v="3"/>
    <n v="99"/>
    <x v="5"/>
    <x v="11"/>
    <s v="Sports"/>
    <n v="45"/>
    <n v="237.60000000000002"/>
    <n v="135"/>
    <n v="102.60000000000002"/>
    <x v="2"/>
  </r>
  <r>
    <s v="ORD51175"/>
    <d v="2025-03-19T00:00:00"/>
    <s v="Dubai Mall"/>
    <s v="P501"/>
    <n v="1"/>
    <n v="129"/>
    <x v="0"/>
    <x v="12"/>
    <s v="Sports"/>
    <n v="60"/>
    <n v="109.64999999999999"/>
    <n v="60"/>
    <n v="49.649999999999991"/>
    <x v="2"/>
  </r>
  <r>
    <s v="ORD51443"/>
    <d v="2025-03-19T00:00:00"/>
    <s v="City Centre Deira"/>
    <s v="P401"/>
    <n v="1"/>
    <n v="549"/>
    <x v="5"/>
    <x v="15"/>
    <s v="Beauty"/>
    <n v="250"/>
    <n v="439.20000000000005"/>
    <n v="250"/>
    <n v="189.20000000000005"/>
    <x v="2"/>
  </r>
  <r>
    <s v="ORD51505"/>
    <d v="2025-03-19T00:00:00"/>
    <s v="Ibn Battuta Mall"/>
    <s v="P202"/>
    <n v="1"/>
    <n v="1499"/>
    <x v="4"/>
    <x v="26"/>
    <s v="Home &amp; Kitchen"/>
    <n v="1050"/>
    <n v="1049.3"/>
    <n v="1050"/>
    <n v="-0.70000000000004547"/>
    <x v="2"/>
  </r>
  <r>
    <s v="ORD51874"/>
    <d v="2025-03-19T00:00:00"/>
    <s v="Mall of the Emirates"/>
    <s v="P403"/>
    <n v="1"/>
    <n v="299"/>
    <x v="6"/>
    <x v="8"/>
    <s v="Beauty"/>
    <n v="240"/>
    <n v="224.25"/>
    <n v="240"/>
    <n v="-15.75"/>
    <x v="2"/>
  </r>
  <r>
    <s v="ORD52495"/>
    <d v="2025-03-19T00:00:00"/>
    <s v="Mall of the Emirates"/>
    <s v="P107"/>
    <n v="1"/>
    <n v="89"/>
    <x v="3"/>
    <x v="29"/>
    <s v="Electronics"/>
    <n v="35"/>
    <n v="89"/>
    <n v="35"/>
    <n v="54"/>
    <x v="2"/>
  </r>
  <r>
    <s v="ORD52526"/>
    <d v="2025-03-19T00:00:00"/>
    <s v="City Centre Deira"/>
    <s v="P503"/>
    <n v="2"/>
    <n v="229"/>
    <x v="3"/>
    <x v="18"/>
    <s v="Sports"/>
    <n v="120"/>
    <n v="458"/>
    <n v="240"/>
    <n v="218"/>
    <x v="2"/>
  </r>
  <r>
    <s v="ORD53117"/>
    <d v="2025-03-19T00:00:00"/>
    <s v="Ibn Battuta Mall"/>
    <s v="P104"/>
    <n v="1"/>
    <n v="199"/>
    <x v="5"/>
    <x v="1"/>
    <s v="Electronics"/>
    <n v="175"/>
    <n v="159.20000000000002"/>
    <n v="175"/>
    <n v="-15.799999999999983"/>
    <x v="2"/>
  </r>
  <r>
    <s v="ORD53122"/>
    <d v="2025-03-19T00:00:00"/>
    <s v="Ibn Battuta Mall"/>
    <s v="P301"/>
    <n v="2"/>
    <n v="179"/>
    <x v="3"/>
    <x v="2"/>
    <s v="Fashion"/>
    <n v="70"/>
    <n v="358"/>
    <n v="140"/>
    <n v="218"/>
    <x v="2"/>
  </r>
  <r>
    <s v="ORD53254"/>
    <d v="2025-03-19T00:00:00"/>
    <s v="Dubai Mall"/>
    <s v="P206"/>
    <n v="1"/>
    <n v="129"/>
    <x v="3"/>
    <x v="28"/>
    <s v="Home &amp; Kitchen"/>
    <n v="60"/>
    <n v="129"/>
    <n v="60"/>
    <n v="69"/>
    <x v="2"/>
  </r>
  <r>
    <s v="ORD53273"/>
    <d v="2025-03-19T00:00:00"/>
    <s v="Online"/>
    <s v="P303"/>
    <n v="1"/>
    <n v="149"/>
    <x v="0"/>
    <x v="7"/>
    <s v="Fashion"/>
    <n v="80"/>
    <n v="126.64999999999999"/>
    <n v="80"/>
    <n v="46.649999999999991"/>
    <x v="2"/>
  </r>
  <r>
    <s v="ORD53641"/>
    <d v="2025-03-19T00:00:00"/>
    <s v="Dubai Mall"/>
    <s v="P404"/>
    <n v="2"/>
    <n v="189"/>
    <x v="5"/>
    <x v="6"/>
    <s v="Beauty"/>
    <n v="85"/>
    <n v="302.40000000000003"/>
    <n v="170"/>
    <n v="132.40000000000003"/>
    <x v="2"/>
  </r>
  <r>
    <s v="ORD53885"/>
    <d v="2025-03-19T00:00:00"/>
    <s v="Dubai Mall"/>
    <s v="P306"/>
    <n v="3"/>
    <n v="249"/>
    <x v="3"/>
    <x v="3"/>
    <s v="Fashion"/>
    <n v="95"/>
    <n v="747"/>
    <n v="285"/>
    <n v="462"/>
    <x v="2"/>
  </r>
  <r>
    <s v="ORD50023"/>
    <d v="2025-03-20T00:00:00"/>
    <s v="Dubai Mall"/>
    <s v="P205"/>
    <n v="2"/>
    <n v="289"/>
    <x v="2"/>
    <x v="9"/>
    <s v="Home &amp; Kitchen"/>
    <n v="140"/>
    <n v="520.20000000000005"/>
    <n v="280"/>
    <n v="240.20000000000005"/>
    <x v="2"/>
  </r>
  <r>
    <s v="ORD50806"/>
    <d v="2025-03-20T00:00:00"/>
    <s v="City Centre Deira"/>
    <s v="P106"/>
    <n v="1"/>
    <n v="149"/>
    <x v="1"/>
    <x v="30"/>
    <s v="Electronics"/>
    <n v="70"/>
    <n v="141.54999999999998"/>
    <n v="70"/>
    <n v="71.549999999999983"/>
    <x v="2"/>
  </r>
  <r>
    <s v="ORD51216"/>
    <d v="2025-03-20T00:00:00"/>
    <s v="Mall of the Emirates"/>
    <s v="P402"/>
    <n v="1"/>
    <n v="149"/>
    <x v="5"/>
    <x v="17"/>
    <s v="Beauty"/>
    <n v="55"/>
    <n v="119.2"/>
    <n v="55"/>
    <n v="64.2"/>
    <x v="2"/>
  </r>
  <r>
    <s v="ORD51533"/>
    <d v="2025-03-20T00:00:00"/>
    <s v="Mall of the Emirates"/>
    <s v="P105"/>
    <n v="1"/>
    <n v="899"/>
    <x v="1"/>
    <x v="31"/>
    <s v="Electronics"/>
    <n v="610"/>
    <n v="854.05"/>
    <n v="610"/>
    <n v="244.04999999999995"/>
    <x v="2"/>
  </r>
  <r>
    <s v="ORD51679"/>
    <d v="2025-03-20T00:00:00"/>
    <s v="Dubai Mall"/>
    <s v="P108"/>
    <n v="1"/>
    <n v="459"/>
    <x v="2"/>
    <x v="23"/>
    <s v="Electronics"/>
    <n v="300"/>
    <n v="413.1"/>
    <n v="300"/>
    <n v="113.10000000000002"/>
    <x v="2"/>
  </r>
  <r>
    <s v="ORD52232"/>
    <d v="2025-03-20T00:00:00"/>
    <s v="Online"/>
    <s v="P401"/>
    <n v="2"/>
    <n v="549"/>
    <x v="3"/>
    <x v="15"/>
    <s v="Beauty"/>
    <n v="250"/>
    <n v="1098"/>
    <n v="500"/>
    <n v="598"/>
    <x v="2"/>
  </r>
  <r>
    <s v="ORD53293"/>
    <d v="2025-03-20T00:00:00"/>
    <s v="Mall of the Emirates"/>
    <s v="P502"/>
    <n v="1"/>
    <n v="799"/>
    <x v="5"/>
    <x v="19"/>
    <s v="Sports"/>
    <n v="700"/>
    <n v="639.20000000000005"/>
    <n v="700"/>
    <n v="-60.799999999999955"/>
    <x v="2"/>
  </r>
  <r>
    <s v="ORD53832"/>
    <d v="2025-03-20T00:00:00"/>
    <s v="Online"/>
    <s v="P404"/>
    <n v="1"/>
    <n v="189"/>
    <x v="4"/>
    <x v="6"/>
    <s v="Beauty"/>
    <n v="85"/>
    <n v="132.29999999999998"/>
    <n v="85"/>
    <n v="47.299999999999983"/>
    <x v="2"/>
  </r>
  <r>
    <s v="ORD54105"/>
    <d v="2025-03-20T00:00:00"/>
    <s v="Online"/>
    <s v="P205"/>
    <n v="1"/>
    <n v="289"/>
    <x v="3"/>
    <x v="9"/>
    <s v="Home &amp; Kitchen"/>
    <n v="140"/>
    <n v="289"/>
    <n v="140"/>
    <n v="149"/>
    <x v="2"/>
  </r>
  <r>
    <s v="ORD50995"/>
    <d v="2025-03-21T00:00:00"/>
    <s v="Online"/>
    <s v="P308"/>
    <n v="1"/>
    <n v="229"/>
    <x v="3"/>
    <x v="0"/>
    <s v="Fashion"/>
    <n v="120"/>
    <n v="229"/>
    <n v="120"/>
    <n v="109"/>
    <x v="2"/>
  </r>
  <r>
    <s v="ORD51336"/>
    <d v="2025-03-21T00:00:00"/>
    <s v="Dubai Mall"/>
    <s v="P308"/>
    <n v="3"/>
    <n v="229"/>
    <x v="2"/>
    <x v="0"/>
    <s v="Fashion"/>
    <n v="120"/>
    <n v="618.30000000000007"/>
    <n v="360"/>
    <n v="258.30000000000007"/>
    <x v="2"/>
  </r>
  <r>
    <s v="ORD51741"/>
    <d v="2025-03-21T00:00:00"/>
    <s v="City Centre Deira"/>
    <s v="P201"/>
    <n v="2"/>
    <n v="499"/>
    <x v="2"/>
    <x v="16"/>
    <s v="Home &amp; Kitchen"/>
    <n v="290"/>
    <n v="898.2"/>
    <n v="580"/>
    <n v="318.20000000000005"/>
    <x v="2"/>
  </r>
  <r>
    <s v="ORD52083"/>
    <d v="2025-03-21T00:00:00"/>
    <s v="Ibn Battuta Mall"/>
    <s v="P106"/>
    <n v="1"/>
    <n v="149"/>
    <x v="1"/>
    <x v="30"/>
    <s v="Electronics"/>
    <n v="70"/>
    <n v="141.54999999999998"/>
    <n v="70"/>
    <n v="71.549999999999983"/>
    <x v="2"/>
  </r>
  <r>
    <s v="ORD52580"/>
    <d v="2025-03-21T00:00:00"/>
    <s v="Online"/>
    <s v="P402"/>
    <n v="2"/>
    <n v="149"/>
    <x v="1"/>
    <x v="17"/>
    <s v="Beauty"/>
    <n v="55"/>
    <n v="283.09999999999997"/>
    <n v="110"/>
    <n v="173.09999999999997"/>
    <x v="2"/>
  </r>
  <r>
    <s v="ORD53059"/>
    <d v="2025-03-21T00:00:00"/>
    <s v="City Centre Deira"/>
    <s v="P302"/>
    <n v="1"/>
    <n v="459"/>
    <x v="3"/>
    <x v="10"/>
    <s v="Fashion"/>
    <n v="190"/>
    <n v="459"/>
    <n v="190"/>
    <n v="269"/>
    <x v="2"/>
  </r>
  <r>
    <s v="ORD53113"/>
    <d v="2025-03-21T00:00:00"/>
    <s v="Dubai Mall"/>
    <s v="P107"/>
    <n v="1"/>
    <n v="89"/>
    <x v="2"/>
    <x v="29"/>
    <s v="Electronics"/>
    <n v="35"/>
    <n v="80.100000000000009"/>
    <n v="35"/>
    <n v="45.100000000000009"/>
    <x v="2"/>
  </r>
  <r>
    <s v="ORD53123"/>
    <d v="2025-03-21T00:00:00"/>
    <s v="Ibn Battuta Mall"/>
    <s v="P304"/>
    <n v="2"/>
    <n v="699"/>
    <x v="3"/>
    <x v="35"/>
    <s v="Fashion"/>
    <n v="380"/>
    <n v="1398"/>
    <n v="760"/>
    <n v="638"/>
    <x v="2"/>
  </r>
  <r>
    <s v="ORD53242"/>
    <d v="2025-03-21T00:00:00"/>
    <s v="Online"/>
    <s v="P301"/>
    <n v="2"/>
    <n v="179"/>
    <x v="3"/>
    <x v="2"/>
    <s v="Fashion"/>
    <n v="70"/>
    <n v="358"/>
    <n v="140"/>
    <n v="218"/>
    <x v="2"/>
  </r>
  <r>
    <s v="ORD54003"/>
    <d v="2025-03-21T00:00:00"/>
    <s v="Dubai Mall"/>
    <s v="P506"/>
    <n v="1"/>
    <n v="69"/>
    <x v="3"/>
    <x v="34"/>
    <s v="Sports"/>
    <n v="25"/>
    <n v="69"/>
    <n v="25"/>
    <n v="44"/>
    <x v="2"/>
  </r>
  <r>
    <s v="ORD50114"/>
    <d v="2025-03-22T00:00:00"/>
    <s v="City Centre Deira"/>
    <s v="P208"/>
    <n v="1"/>
    <n v="259"/>
    <x v="3"/>
    <x v="22"/>
    <s v="Home &amp; Kitchen"/>
    <n v="115"/>
    <n v="259"/>
    <n v="115"/>
    <n v="144"/>
    <x v="2"/>
  </r>
  <r>
    <s v="ORD50713"/>
    <d v="2025-03-22T00:00:00"/>
    <s v="Mall of the Emirates"/>
    <s v="P101"/>
    <n v="1"/>
    <n v="399"/>
    <x v="3"/>
    <x v="5"/>
    <s v="Electronics"/>
    <n v="230"/>
    <n v="399"/>
    <n v="230"/>
    <n v="169"/>
    <x v="2"/>
  </r>
  <r>
    <s v="ORD50731"/>
    <d v="2025-03-22T00:00:00"/>
    <s v="Dubai Mall"/>
    <s v="P404"/>
    <n v="1"/>
    <n v="189"/>
    <x v="1"/>
    <x v="6"/>
    <s v="Beauty"/>
    <n v="85"/>
    <n v="179.54999999999998"/>
    <n v="85"/>
    <n v="94.549999999999983"/>
    <x v="2"/>
  </r>
  <r>
    <s v="ORD50873"/>
    <d v="2025-03-22T00:00:00"/>
    <s v="Dubai Mall"/>
    <s v="P208"/>
    <n v="2"/>
    <n v="259"/>
    <x v="3"/>
    <x v="22"/>
    <s v="Home &amp; Kitchen"/>
    <n v="115"/>
    <n v="518"/>
    <n v="230"/>
    <n v="288"/>
    <x v="2"/>
  </r>
  <r>
    <s v="ORD52980"/>
    <d v="2025-03-22T00:00:00"/>
    <s v="Ibn Battuta Mall"/>
    <s v="P306"/>
    <n v="1"/>
    <n v="249"/>
    <x v="3"/>
    <x v="3"/>
    <s v="Fashion"/>
    <n v="95"/>
    <n v="249"/>
    <n v="95"/>
    <n v="154"/>
    <x v="2"/>
  </r>
  <r>
    <s v="ORD53138"/>
    <d v="2025-03-22T00:00:00"/>
    <s v="Dubai Mall"/>
    <s v="P304"/>
    <n v="3"/>
    <n v="699"/>
    <x v="0"/>
    <x v="35"/>
    <s v="Fashion"/>
    <n v="380"/>
    <n v="1782.45"/>
    <n v="1140"/>
    <n v="642.45000000000005"/>
    <x v="2"/>
  </r>
  <r>
    <s v="ORD53156"/>
    <d v="2025-03-22T00:00:00"/>
    <s v="Mall of the Emirates"/>
    <s v="P402"/>
    <n v="3"/>
    <n v="149"/>
    <x v="2"/>
    <x v="17"/>
    <s v="Beauty"/>
    <n v="55"/>
    <n v="402.3"/>
    <n v="165"/>
    <n v="237.3"/>
    <x v="2"/>
  </r>
  <r>
    <s v="ORD53261"/>
    <d v="2025-03-22T00:00:00"/>
    <s v="Dubai Mall"/>
    <s v="P404"/>
    <n v="1"/>
    <n v="189"/>
    <x v="3"/>
    <x v="6"/>
    <s v="Beauty"/>
    <n v="85"/>
    <n v="189"/>
    <n v="85"/>
    <n v="104"/>
    <x v="2"/>
  </r>
  <r>
    <s v="ORD53290"/>
    <d v="2025-03-22T00:00:00"/>
    <s v="Online"/>
    <s v="P201"/>
    <n v="2"/>
    <n v="499"/>
    <x v="1"/>
    <x v="16"/>
    <s v="Home &amp; Kitchen"/>
    <n v="290"/>
    <n v="948.09999999999991"/>
    <n v="580"/>
    <n v="368.09999999999991"/>
    <x v="2"/>
  </r>
  <r>
    <s v="ORD53572"/>
    <d v="2025-03-22T00:00:00"/>
    <s v="City Centre Deira"/>
    <s v="P208"/>
    <n v="1"/>
    <n v="259"/>
    <x v="3"/>
    <x v="22"/>
    <s v="Home &amp; Kitchen"/>
    <n v="115"/>
    <n v="259"/>
    <n v="115"/>
    <n v="144"/>
    <x v="2"/>
  </r>
  <r>
    <s v="ORD53634"/>
    <d v="2025-03-22T00:00:00"/>
    <s v="Dubai Mall"/>
    <s v="P101"/>
    <n v="1"/>
    <n v="399"/>
    <x v="3"/>
    <x v="5"/>
    <s v="Electronics"/>
    <n v="230"/>
    <n v="399"/>
    <n v="230"/>
    <n v="169"/>
    <x v="2"/>
  </r>
  <r>
    <s v="ORD53838"/>
    <d v="2025-03-22T00:00:00"/>
    <s v="Mall of the Emirates"/>
    <s v="P405"/>
    <n v="2"/>
    <n v="89"/>
    <x v="3"/>
    <x v="24"/>
    <s v="Beauty"/>
    <n v="40"/>
    <n v="178"/>
    <n v="80"/>
    <n v="98"/>
    <x v="2"/>
  </r>
  <r>
    <s v="ORD53927"/>
    <d v="2025-03-22T00:00:00"/>
    <s v="City Centre Deira"/>
    <s v="P402"/>
    <n v="1"/>
    <n v="149"/>
    <x v="0"/>
    <x v="17"/>
    <s v="Beauty"/>
    <n v="55"/>
    <n v="126.64999999999999"/>
    <n v="55"/>
    <n v="71.649999999999991"/>
    <x v="2"/>
  </r>
  <r>
    <s v="ORD54000"/>
    <d v="2025-03-22T00:00:00"/>
    <s v="Online"/>
    <s v="P403"/>
    <n v="1"/>
    <n v="299"/>
    <x v="2"/>
    <x v="8"/>
    <s v="Beauty"/>
    <n v="240"/>
    <n v="269.10000000000002"/>
    <n v="240"/>
    <n v="29.100000000000023"/>
    <x v="2"/>
  </r>
  <r>
    <s v="ORD50024"/>
    <d v="2025-03-23T00:00:00"/>
    <s v="Online"/>
    <s v="P402"/>
    <n v="1"/>
    <n v="149"/>
    <x v="4"/>
    <x v="17"/>
    <s v="Beauty"/>
    <n v="55"/>
    <n v="104.3"/>
    <n v="55"/>
    <n v="49.3"/>
    <x v="2"/>
  </r>
  <r>
    <s v="ORD50110"/>
    <d v="2025-03-23T00:00:00"/>
    <s v="Online"/>
    <s v="P207"/>
    <n v="3"/>
    <n v="399"/>
    <x v="1"/>
    <x v="32"/>
    <s v="Home &amp; Kitchen"/>
    <n v="250"/>
    <n v="1137.1499999999999"/>
    <n v="750"/>
    <n v="387.14999999999986"/>
    <x v="2"/>
  </r>
  <r>
    <s v="ORD50188"/>
    <d v="2025-03-23T00:00:00"/>
    <s v="Ibn Battuta Mall"/>
    <s v="P201"/>
    <n v="1"/>
    <n v="499"/>
    <x v="3"/>
    <x v="16"/>
    <s v="Home &amp; Kitchen"/>
    <n v="290"/>
    <n v="499"/>
    <n v="290"/>
    <n v="209"/>
    <x v="2"/>
  </r>
  <r>
    <s v="ORD50289"/>
    <d v="2025-03-23T00:00:00"/>
    <s v="City Centre Deira"/>
    <s v="P205"/>
    <n v="2"/>
    <n v="289"/>
    <x v="3"/>
    <x v="9"/>
    <s v="Home &amp; Kitchen"/>
    <n v="140"/>
    <n v="578"/>
    <n v="280"/>
    <n v="298"/>
    <x v="2"/>
  </r>
  <r>
    <s v="ORD50884"/>
    <d v="2025-03-23T00:00:00"/>
    <s v="Online"/>
    <s v="P308"/>
    <n v="1"/>
    <n v="229"/>
    <x v="1"/>
    <x v="0"/>
    <s v="Fashion"/>
    <n v="120"/>
    <n v="217.54999999999998"/>
    <n v="120"/>
    <n v="97.549999999999983"/>
    <x v="2"/>
  </r>
  <r>
    <s v="ORD50914"/>
    <d v="2025-03-23T00:00:00"/>
    <s v="Online"/>
    <s v="P103"/>
    <n v="4"/>
    <n v="1299"/>
    <x v="5"/>
    <x v="25"/>
    <s v="Electronics"/>
    <n v="820"/>
    <n v="4156.8"/>
    <n v="3280"/>
    <n v="876.80000000000018"/>
    <x v="2"/>
  </r>
  <r>
    <s v="ORD51059"/>
    <d v="2025-03-23T00:00:00"/>
    <s v="Online"/>
    <s v="P302"/>
    <n v="1"/>
    <n v="459"/>
    <x v="2"/>
    <x v="10"/>
    <s v="Fashion"/>
    <n v="190"/>
    <n v="413.1"/>
    <n v="190"/>
    <n v="223.10000000000002"/>
    <x v="2"/>
  </r>
  <r>
    <s v="ORD51290"/>
    <d v="2025-03-23T00:00:00"/>
    <s v="Mall of the Emirates"/>
    <s v="P304"/>
    <n v="3"/>
    <n v="699"/>
    <x v="5"/>
    <x v="35"/>
    <s v="Fashion"/>
    <n v="380"/>
    <n v="1677.6000000000001"/>
    <n v="1140"/>
    <n v="537.60000000000014"/>
    <x v="2"/>
  </r>
  <r>
    <s v="ORD51757"/>
    <d v="2025-03-23T00:00:00"/>
    <s v="Ibn Battuta Mall"/>
    <s v="P107"/>
    <n v="1"/>
    <n v="89"/>
    <x v="2"/>
    <x v="29"/>
    <s v="Electronics"/>
    <n v="35"/>
    <n v="80.100000000000009"/>
    <n v="35"/>
    <n v="45.100000000000009"/>
    <x v="2"/>
  </r>
  <r>
    <s v="ORD52285"/>
    <d v="2025-03-23T00:00:00"/>
    <s v="Dubai Mall"/>
    <s v="P208"/>
    <n v="1"/>
    <n v="259"/>
    <x v="2"/>
    <x v="22"/>
    <s v="Home &amp; Kitchen"/>
    <n v="115"/>
    <n v="233.1"/>
    <n v="115"/>
    <n v="118.1"/>
    <x v="2"/>
  </r>
  <r>
    <s v="ORD52400"/>
    <d v="2025-03-23T00:00:00"/>
    <s v="Dubai Mall"/>
    <s v="P205"/>
    <n v="1"/>
    <n v="289"/>
    <x v="1"/>
    <x v="9"/>
    <s v="Home &amp; Kitchen"/>
    <n v="140"/>
    <n v="274.55"/>
    <n v="140"/>
    <n v="134.55000000000001"/>
    <x v="2"/>
  </r>
  <r>
    <s v="ORD52437"/>
    <d v="2025-03-23T00:00:00"/>
    <s v="Ibn Battuta Mall"/>
    <s v="P404"/>
    <n v="3"/>
    <n v="189"/>
    <x v="1"/>
    <x v="6"/>
    <s v="Beauty"/>
    <n v="85"/>
    <n v="538.65"/>
    <n v="255"/>
    <n v="283.64999999999998"/>
    <x v="2"/>
  </r>
  <r>
    <s v="ORD53986"/>
    <d v="2025-03-23T00:00:00"/>
    <s v="Mall of the Emirates"/>
    <s v="P303"/>
    <n v="3"/>
    <n v="149"/>
    <x v="2"/>
    <x v="7"/>
    <s v="Fashion"/>
    <n v="80"/>
    <n v="402.3"/>
    <n v="240"/>
    <n v="162.30000000000001"/>
    <x v="2"/>
  </r>
  <r>
    <s v="ORD50298"/>
    <d v="2025-03-24T00:00:00"/>
    <s v="Mall of the Emirates"/>
    <s v="P105"/>
    <n v="2"/>
    <n v="899"/>
    <x v="3"/>
    <x v="31"/>
    <s v="Electronics"/>
    <n v="610"/>
    <n v="1798"/>
    <n v="1220"/>
    <n v="578"/>
    <x v="2"/>
  </r>
  <r>
    <s v="ORD51243"/>
    <d v="2025-03-24T00:00:00"/>
    <s v="Mall of the Emirates"/>
    <s v="P301"/>
    <n v="1"/>
    <n v="179"/>
    <x v="3"/>
    <x v="2"/>
    <s v="Fashion"/>
    <n v="70"/>
    <n v="179"/>
    <n v="70"/>
    <n v="109"/>
    <x v="2"/>
  </r>
  <r>
    <s v="ORD51660"/>
    <d v="2025-03-24T00:00:00"/>
    <s v="Mall of the Emirates"/>
    <s v="P406"/>
    <n v="1"/>
    <n v="199"/>
    <x v="1"/>
    <x v="4"/>
    <s v="Beauty"/>
    <n v="90"/>
    <n v="189.04999999999998"/>
    <n v="90"/>
    <n v="99.049999999999983"/>
    <x v="2"/>
  </r>
  <r>
    <s v="ORD51988"/>
    <d v="2025-03-24T00:00:00"/>
    <s v="Online"/>
    <s v="P205"/>
    <n v="1"/>
    <n v="289"/>
    <x v="1"/>
    <x v="9"/>
    <s v="Home &amp; Kitchen"/>
    <n v="140"/>
    <n v="274.55"/>
    <n v="140"/>
    <n v="134.55000000000001"/>
    <x v="2"/>
  </r>
  <r>
    <s v="ORD52047"/>
    <d v="2025-03-24T00:00:00"/>
    <s v="Mall of the Emirates"/>
    <s v="P503"/>
    <n v="2"/>
    <n v="229"/>
    <x v="1"/>
    <x v="18"/>
    <s v="Sports"/>
    <n v="120"/>
    <n v="435.09999999999997"/>
    <n v="240"/>
    <n v="195.09999999999997"/>
    <x v="2"/>
  </r>
  <r>
    <s v="ORD52635"/>
    <d v="2025-03-24T00:00:00"/>
    <s v="Ibn Battuta Mall"/>
    <s v="P405"/>
    <n v="1"/>
    <n v="89"/>
    <x v="1"/>
    <x v="24"/>
    <s v="Beauty"/>
    <n v="40"/>
    <n v="84.55"/>
    <n v="40"/>
    <n v="44.55"/>
    <x v="2"/>
  </r>
  <r>
    <s v="ORD53477"/>
    <d v="2025-03-24T00:00:00"/>
    <s v="Mall of the Emirates"/>
    <s v="P102"/>
    <n v="1"/>
    <n v="249"/>
    <x v="4"/>
    <x v="13"/>
    <s v="Electronics"/>
    <n v="150"/>
    <n v="174.29999999999998"/>
    <n v="150"/>
    <n v="24.299999999999983"/>
    <x v="2"/>
  </r>
  <r>
    <s v="ORD53565"/>
    <d v="2025-03-24T00:00:00"/>
    <s v="City Centre Deira"/>
    <s v="P406"/>
    <n v="2"/>
    <n v="199"/>
    <x v="1"/>
    <x v="4"/>
    <s v="Beauty"/>
    <n v="90"/>
    <n v="378.09999999999997"/>
    <n v="180"/>
    <n v="198.09999999999997"/>
    <x v="2"/>
  </r>
  <r>
    <s v="ORD50254"/>
    <d v="2025-03-25T00:00:00"/>
    <s v="Mall of the Emirates"/>
    <s v="P302"/>
    <n v="1"/>
    <n v="459"/>
    <x v="0"/>
    <x v="10"/>
    <s v="Fashion"/>
    <n v="190"/>
    <n v="390.15"/>
    <n v="190"/>
    <n v="200.14999999999998"/>
    <x v="2"/>
  </r>
  <r>
    <s v="ORD50387"/>
    <d v="2025-03-25T00:00:00"/>
    <s v="Ibn Battuta Mall"/>
    <s v="P303"/>
    <n v="1"/>
    <n v="149"/>
    <x v="3"/>
    <x v="7"/>
    <s v="Fashion"/>
    <n v="80"/>
    <n v="149"/>
    <n v="80"/>
    <n v="69"/>
    <x v="2"/>
  </r>
  <r>
    <s v="ORD50474"/>
    <d v="2025-03-25T00:00:00"/>
    <s v="Ibn Battuta Mall"/>
    <s v="P302"/>
    <n v="3"/>
    <n v="459"/>
    <x v="0"/>
    <x v="10"/>
    <s v="Fashion"/>
    <n v="190"/>
    <n v="1170.45"/>
    <n v="570"/>
    <n v="600.45000000000005"/>
    <x v="2"/>
  </r>
  <r>
    <s v="ORD50969"/>
    <d v="2025-03-25T00:00:00"/>
    <s v="Ibn Battuta Mall"/>
    <s v="P401"/>
    <n v="3"/>
    <n v="549"/>
    <x v="5"/>
    <x v="15"/>
    <s v="Beauty"/>
    <n v="250"/>
    <n v="1317.6000000000001"/>
    <n v="750"/>
    <n v="567.60000000000014"/>
    <x v="2"/>
  </r>
  <r>
    <s v="ORD51523"/>
    <d v="2025-03-25T00:00:00"/>
    <s v="Ibn Battuta Mall"/>
    <s v="P505"/>
    <n v="1"/>
    <n v="99"/>
    <x v="3"/>
    <x v="11"/>
    <s v="Sports"/>
    <n v="45"/>
    <n v="99"/>
    <n v="45"/>
    <n v="54"/>
    <x v="2"/>
  </r>
  <r>
    <s v="ORD51553"/>
    <d v="2025-03-25T00:00:00"/>
    <s v="City Centre Deira"/>
    <s v="P207"/>
    <n v="2"/>
    <n v="399"/>
    <x v="2"/>
    <x v="32"/>
    <s v="Home &amp; Kitchen"/>
    <n v="250"/>
    <n v="718.2"/>
    <n v="500"/>
    <n v="218.20000000000005"/>
    <x v="2"/>
  </r>
  <r>
    <s v="ORD52438"/>
    <d v="2025-03-25T00:00:00"/>
    <s v="Online"/>
    <s v="P501"/>
    <n v="1"/>
    <n v="129"/>
    <x v="0"/>
    <x v="12"/>
    <s v="Sports"/>
    <n v="60"/>
    <n v="109.64999999999999"/>
    <n v="60"/>
    <n v="49.649999999999991"/>
    <x v="2"/>
  </r>
  <r>
    <s v="ORD52854"/>
    <d v="2025-03-25T00:00:00"/>
    <s v="City Centre Deira"/>
    <s v="P105"/>
    <n v="1"/>
    <n v="899"/>
    <x v="0"/>
    <x v="31"/>
    <s v="Electronics"/>
    <n v="610"/>
    <n v="764.15"/>
    <n v="610"/>
    <n v="154.14999999999998"/>
    <x v="2"/>
  </r>
  <r>
    <s v="ORD52916"/>
    <d v="2025-03-25T00:00:00"/>
    <s v="Dubai Mall"/>
    <s v="P506"/>
    <n v="1"/>
    <n v="69"/>
    <x v="3"/>
    <x v="34"/>
    <s v="Sports"/>
    <n v="25"/>
    <n v="69"/>
    <n v="25"/>
    <n v="44"/>
    <x v="2"/>
  </r>
  <r>
    <s v="ORD53098"/>
    <d v="2025-03-25T00:00:00"/>
    <s v="Online"/>
    <s v="P304"/>
    <n v="1"/>
    <n v="699"/>
    <x v="2"/>
    <x v="35"/>
    <s v="Fashion"/>
    <n v="380"/>
    <n v="629.1"/>
    <n v="380"/>
    <n v="249.10000000000002"/>
    <x v="2"/>
  </r>
  <r>
    <s v="ORD53112"/>
    <d v="2025-03-25T00:00:00"/>
    <s v="Mall of the Emirates"/>
    <s v="P106"/>
    <n v="1"/>
    <n v="149"/>
    <x v="3"/>
    <x v="30"/>
    <s v="Electronics"/>
    <n v="70"/>
    <n v="149"/>
    <n v="70"/>
    <n v="79"/>
    <x v="2"/>
  </r>
  <r>
    <s v="ORD53729"/>
    <d v="2025-03-25T00:00:00"/>
    <s v="Mall of the Emirates"/>
    <s v="P505"/>
    <n v="1"/>
    <n v="99"/>
    <x v="1"/>
    <x v="11"/>
    <s v="Sports"/>
    <n v="45"/>
    <n v="94.05"/>
    <n v="45"/>
    <n v="49.05"/>
    <x v="2"/>
  </r>
  <r>
    <s v="ORD50234"/>
    <d v="2025-03-26T00:00:00"/>
    <s v="Mall of the Emirates"/>
    <s v="P104"/>
    <n v="2"/>
    <n v="199"/>
    <x v="0"/>
    <x v="1"/>
    <s v="Electronics"/>
    <n v="175"/>
    <n v="338.3"/>
    <n v="350"/>
    <n v="-11.699999999999989"/>
    <x v="2"/>
  </r>
  <r>
    <s v="ORD50569"/>
    <d v="2025-03-26T00:00:00"/>
    <s v="Dubai Mall"/>
    <s v="P102"/>
    <n v="2"/>
    <n v="249"/>
    <x v="3"/>
    <x v="13"/>
    <s v="Electronics"/>
    <n v="150"/>
    <n v="498"/>
    <n v="300"/>
    <n v="198"/>
    <x v="2"/>
  </r>
  <r>
    <s v="ORD51037"/>
    <d v="2025-03-26T00:00:00"/>
    <s v="Online"/>
    <s v="P206"/>
    <n v="1"/>
    <n v="129"/>
    <x v="0"/>
    <x v="28"/>
    <s v="Home &amp; Kitchen"/>
    <n v="60"/>
    <n v="109.64999999999999"/>
    <n v="60"/>
    <n v="49.649999999999991"/>
    <x v="2"/>
  </r>
  <r>
    <s v="ORD51197"/>
    <d v="2025-03-26T00:00:00"/>
    <s v="Ibn Battuta Mall"/>
    <s v="P304"/>
    <n v="2"/>
    <n v="699"/>
    <x v="3"/>
    <x v="35"/>
    <s v="Fashion"/>
    <n v="380"/>
    <n v="1398"/>
    <n v="760"/>
    <n v="638"/>
    <x v="2"/>
  </r>
  <r>
    <s v="ORD51433"/>
    <d v="2025-03-26T00:00:00"/>
    <s v="Mall of the Emirates"/>
    <s v="P503"/>
    <n v="3"/>
    <n v="229"/>
    <x v="5"/>
    <x v="18"/>
    <s v="Sports"/>
    <n v="120"/>
    <n v="549.6"/>
    <n v="360"/>
    <n v="189.60000000000002"/>
    <x v="2"/>
  </r>
  <r>
    <s v="ORD52686"/>
    <d v="2025-03-26T00:00:00"/>
    <s v="Online"/>
    <s v="P405"/>
    <n v="1"/>
    <n v="89"/>
    <x v="3"/>
    <x v="24"/>
    <s v="Beauty"/>
    <n v="40"/>
    <n v="89"/>
    <n v="40"/>
    <n v="49"/>
    <x v="2"/>
  </r>
  <r>
    <s v="ORD53314"/>
    <d v="2025-03-26T00:00:00"/>
    <s v="Mall of the Emirates"/>
    <s v="P107"/>
    <n v="1"/>
    <n v="89"/>
    <x v="3"/>
    <x v="29"/>
    <s v="Electronics"/>
    <n v="35"/>
    <n v="89"/>
    <n v="35"/>
    <n v="54"/>
    <x v="2"/>
  </r>
  <r>
    <s v="ORD53637"/>
    <d v="2025-03-26T00:00:00"/>
    <s v="City Centre Deira"/>
    <s v="P404"/>
    <n v="1"/>
    <n v="189"/>
    <x v="3"/>
    <x v="6"/>
    <s v="Beauty"/>
    <n v="85"/>
    <n v="189"/>
    <n v="85"/>
    <n v="104"/>
    <x v="2"/>
  </r>
  <r>
    <s v="ORD53816"/>
    <d v="2025-03-26T00:00:00"/>
    <s v="Online"/>
    <s v="P105"/>
    <n v="1"/>
    <n v="899"/>
    <x v="0"/>
    <x v="31"/>
    <s v="Electronics"/>
    <n v="610"/>
    <n v="764.15"/>
    <n v="610"/>
    <n v="154.14999999999998"/>
    <x v="2"/>
  </r>
  <r>
    <s v="ORD54039"/>
    <d v="2025-03-26T00:00:00"/>
    <s v="Dubai Mall"/>
    <s v="P303"/>
    <n v="1"/>
    <n v="149"/>
    <x v="2"/>
    <x v="7"/>
    <s v="Fashion"/>
    <n v="80"/>
    <n v="134.1"/>
    <n v="80"/>
    <n v="54.099999999999994"/>
    <x v="2"/>
  </r>
  <r>
    <s v="ORD50530"/>
    <d v="2025-03-27T00:00:00"/>
    <s v="Online"/>
    <s v="P502"/>
    <n v="1"/>
    <n v="799"/>
    <x v="6"/>
    <x v="19"/>
    <s v="Sports"/>
    <n v="700"/>
    <n v="599.25"/>
    <n v="700"/>
    <n v="-100.75"/>
    <x v="2"/>
  </r>
  <r>
    <s v="ORD50789"/>
    <d v="2025-03-27T00:00:00"/>
    <s v="Dubai Mall"/>
    <s v="P401"/>
    <n v="1"/>
    <n v="549"/>
    <x v="3"/>
    <x v="15"/>
    <s v="Beauty"/>
    <n v="250"/>
    <n v="549"/>
    <n v="250"/>
    <n v="299"/>
    <x v="2"/>
  </r>
  <r>
    <s v="ORD50805"/>
    <d v="2025-03-27T00:00:00"/>
    <s v="City Centre Deira"/>
    <s v="P208"/>
    <n v="1"/>
    <n v="259"/>
    <x v="3"/>
    <x v="22"/>
    <s v="Home &amp; Kitchen"/>
    <n v="115"/>
    <n v="259"/>
    <n v="115"/>
    <n v="144"/>
    <x v="2"/>
  </r>
  <r>
    <s v="ORD50905"/>
    <d v="2025-03-27T00:00:00"/>
    <s v="Online"/>
    <s v="P205"/>
    <n v="1"/>
    <n v="289"/>
    <x v="3"/>
    <x v="9"/>
    <s v="Home &amp; Kitchen"/>
    <n v="140"/>
    <n v="289"/>
    <n v="140"/>
    <n v="149"/>
    <x v="2"/>
  </r>
  <r>
    <s v="ORD51168"/>
    <d v="2025-03-27T00:00:00"/>
    <s v="Dubai Mall"/>
    <s v="P506"/>
    <n v="2"/>
    <n v="69"/>
    <x v="2"/>
    <x v="34"/>
    <s v="Sports"/>
    <n v="25"/>
    <n v="124.2"/>
    <n v="50"/>
    <n v="74.2"/>
    <x v="2"/>
  </r>
  <r>
    <s v="ORD51332"/>
    <d v="2025-03-27T00:00:00"/>
    <s v="Dubai Mall"/>
    <s v="P406"/>
    <n v="4"/>
    <n v="199"/>
    <x v="2"/>
    <x v="4"/>
    <s v="Beauty"/>
    <n v="90"/>
    <n v="716.4"/>
    <n v="360"/>
    <n v="356.4"/>
    <x v="2"/>
  </r>
  <r>
    <s v="ORD52846"/>
    <d v="2025-03-27T00:00:00"/>
    <s v="Mall of the Emirates"/>
    <s v="P505"/>
    <n v="1"/>
    <n v="99"/>
    <x v="3"/>
    <x v="11"/>
    <s v="Sports"/>
    <n v="45"/>
    <n v="99"/>
    <n v="45"/>
    <n v="54"/>
    <x v="2"/>
  </r>
  <r>
    <s v="ORD53344"/>
    <d v="2025-03-27T00:00:00"/>
    <s v="Online"/>
    <s v="P208"/>
    <n v="1"/>
    <n v="259"/>
    <x v="4"/>
    <x v="22"/>
    <s v="Home &amp; Kitchen"/>
    <n v="115"/>
    <n v="181.29999999999998"/>
    <n v="115"/>
    <n v="66.299999999999983"/>
    <x v="2"/>
  </r>
  <r>
    <s v="ORD53953"/>
    <d v="2025-03-27T00:00:00"/>
    <s v="City Centre Deira"/>
    <s v="P107"/>
    <n v="2"/>
    <n v="89"/>
    <x v="5"/>
    <x v="29"/>
    <s v="Electronics"/>
    <n v="35"/>
    <n v="142.4"/>
    <n v="70"/>
    <n v="72.400000000000006"/>
    <x v="2"/>
  </r>
  <r>
    <s v="ORD50633"/>
    <d v="2025-03-28T00:00:00"/>
    <s v="Mall of the Emirates"/>
    <s v="P306"/>
    <n v="1"/>
    <n v="249"/>
    <x v="2"/>
    <x v="3"/>
    <s v="Fashion"/>
    <n v="95"/>
    <n v="224.1"/>
    <n v="95"/>
    <n v="129.1"/>
    <x v="2"/>
  </r>
  <r>
    <s v="ORD50936"/>
    <d v="2025-03-28T00:00:00"/>
    <s v="Online"/>
    <s v="P503"/>
    <n v="1"/>
    <n v="229"/>
    <x v="3"/>
    <x v="18"/>
    <s v="Sports"/>
    <n v="120"/>
    <n v="229"/>
    <n v="120"/>
    <n v="109"/>
    <x v="2"/>
  </r>
  <r>
    <s v="ORD52170"/>
    <d v="2025-03-28T00:00:00"/>
    <s v="Mall of the Emirates"/>
    <s v="P504"/>
    <n v="1"/>
    <n v="2499"/>
    <x v="0"/>
    <x v="33"/>
    <s v="Sports"/>
    <n v="2150"/>
    <n v="2124.15"/>
    <n v="2150"/>
    <n v="-25.849999999999909"/>
    <x v="2"/>
  </r>
  <r>
    <s v="ORD52503"/>
    <d v="2025-03-28T00:00:00"/>
    <s v="Online"/>
    <s v="P204"/>
    <n v="1"/>
    <n v="1199"/>
    <x v="5"/>
    <x v="27"/>
    <s v="Home &amp; Kitchen"/>
    <n v="1080"/>
    <n v="959.2"/>
    <n v="1080"/>
    <n v="-120.79999999999995"/>
    <x v="2"/>
  </r>
  <r>
    <s v="ORD52572"/>
    <d v="2025-03-28T00:00:00"/>
    <s v="Dubai Mall"/>
    <s v="P208"/>
    <n v="1"/>
    <n v="259"/>
    <x v="2"/>
    <x v="22"/>
    <s v="Home &amp; Kitchen"/>
    <n v="115"/>
    <n v="233.1"/>
    <n v="115"/>
    <n v="118.1"/>
    <x v="2"/>
  </r>
  <r>
    <s v="ORD52594"/>
    <d v="2025-03-28T00:00:00"/>
    <s v="City Centre Deira"/>
    <s v="P307"/>
    <n v="1"/>
    <n v="399"/>
    <x v="1"/>
    <x v="20"/>
    <s v="Fashion"/>
    <n v="210"/>
    <n v="379.04999999999995"/>
    <n v="210"/>
    <n v="169.04999999999995"/>
    <x v="2"/>
  </r>
  <r>
    <s v="ORD52919"/>
    <d v="2025-03-28T00:00:00"/>
    <s v="Dubai Mall"/>
    <s v="P104"/>
    <n v="2"/>
    <n v="199"/>
    <x v="2"/>
    <x v="1"/>
    <s v="Electronics"/>
    <n v="175"/>
    <n v="358.2"/>
    <n v="350"/>
    <n v="8.1999999999999886"/>
    <x v="2"/>
  </r>
  <r>
    <s v="ORD53000"/>
    <d v="2025-03-28T00:00:00"/>
    <s v="Online"/>
    <s v="P305"/>
    <n v="1"/>
    <n v="429"/>
    <x v="0"/>
    <x v="14"/>
    <s v="Fashion"/>
    <n v="300"/>
    <n v="364.65"/>
    <n v="300"/>
    <n v="64.649999999999977"/>
    <x v="2"/>
  </r>
  <r>
    <s v="ORD53495"/>
    <d v="2025-03-28T00:00:00"/>
    <s v="Mall of the Emirates"/>
    <s v="P208"/>
    <n v="1"/>
    <n v="259"/>
    <x v="3"/>
    <x v="22"/>
    <s v="Home &amp; Kitchen"/>
    <n v="115"/>
    <n v="259"/>
    <n v="115"/>
    <n v="144"/>
    <x v="2"/>
  </r>
  <r>
    <s v="ORD54033"/>
    <d v="2025-03-28T00:00:00"/>
    <s v="Dubai Mall"/>
    <s v="P101"/>
    <n v="1"/>
    <n v="399"/>
    <x v="3"/>
    <x v="5"/>
    <s v="Electronics"/>
    <n v="230"/>
    <n v="399"/>
    <n v="230"/>
    <n v="169"/>
    <x v="2"/>
  </r>
  <r>
    <s v="ORD50304"/>
    <d v="2025-03-29T00:00:00"/>
    <s v="Mall of the Emirates"/>
    <s v="P207"/>
    <n v="2"/>
    <n v="399"/>
    <x v="0"/>
    <x v="32"/>
    <s v="Home &amp; Kitchen"/>
    <n v="250"/>
    <n v="678.3"/>
    <n v="500"/>
    <n v="178.29999999999995"/>
    <x v="2"/>
  </r>
  <r>
    <s v="ORD50352"/>
    <d v="2025-03-29T00:00:00"/>
    <s v="Mall of the Emirates"/>
    <s v="P308"/>
    <n v="1"/>
    <n v="229"/>
    <x v="3"/>
    <x v="0"/>
    <s v="Fashion"/>
    <n v="120"/>
    <n v="229"/>
    <n v="120"/>
    <n v="109"/>
    <x v="2"/>
  </r>
  <r>
    <s v="ORD50734"/>
    <d v="2025-03-29T00:00:00"/>
    <s v="City Centre Deira"/>
    <s v="P204"/>
    <n v="1"/>
    <n v="1199"/>
    <x v="6"/>
    <x v="27"/>
    <s v="Home &amp; Kitchen"/>
    <n v="1080"/>
    <n v="899.25"/>
    <n v="1080"/>
    <n v="-180.75"/>
    <x v="2"/>
  </r>
  <r>
    <s v="ORD50938"/>
    <d v="2025-03-29T00:00:00"/>
    <s v="Ibn Battuta Mall"/>
    <s v="P306"/>
    <n v="1"/>
    <n v="249"/>
    <x v="3"/>
    <x v="3"/>
    <s v="Fashion"/>
    <n v="95"/>
    <n v="249"/>
    <n v="95"/>
    <n v="154"/>
    <x v="2"/>
  </r>
  <r>
    <s v="ORD51509"/>
    <d v="2025-03-29T00:00:00"/>
    <s v="Dubai Mall"/>
    <s v="P306"/>
    <n v="1"/>
    <n v="249"/>
    <x v="5"/>
    <x v="3"/>
    <s v="Fashion"/>
    <n v="95"/>
    <n v="199.20000000000002"/>
    <n v="95"/>
    <n v="104.20000000000002"/>
    <x v="2"/>
  </r>
  <r>
    <s v="ORD51610"/>
    <d v="2025-03-29T00:00:00"/>
    <s v="Dubai Mall"/>
    <s v="P307"/>
    <n v="1"/>
    <n v="399"/>
    <x v="3"/>
    <x v="20"/>
    <s v="Fashion"/>
    <n v="210"/>
    <n v="399"/>
    <n v="210"/>
    <n v="189"/>
    <x v="2"/>
  </r>
  <r>
    <s v="ORD51809"/>
    <d v="2025-03-29T00:00:00"/>
    <s v="City Centre Deira"/>
    <s v="P504"/>
    <n v="2"/>
    <n v="2499"/>
    <x v="5"/>
    <x v="33"/>
    <s v="Sports"/>
    <n v="2150"/>
    <n v="3998.4"/>
    <n v="4300"/>
    <n v="-301.59999999999991"/>
    <x v="2"/>
  </r>
  <r>
    <s v="ORD52258"/>
    <d v="2025-03-29T00:00:00"/>
    <s v="Online"/>
    <s v="P404"/>
    <n v="1"/>
    <n v="189"/>
    <x v="4"/>
    <x v="6"/>
    <s v="Beauty"/>
    <n v="85"/>
    <n v="132.29999999999998"/>
    <n v="85"/>
    <n v="47.299999999999983"/>
    <x v="2"/>
  </r>
  <r>
    <s v="ORD53263"/>
    <d v="2025-03-29T00:00:00"/>
    <s v="Online"/>
    <s v="P404"/>
    <n v="1"/>
    <n v="189"/>
    <x v="2"/>
    <x v="6"/>
    <s v="Beauty"/>
    <n v="85"/>
    <n v="170.1"/>
    <n v="85"/>
    <n v="85.1"/>
    <x v="2"/>
  </r>
  <r>
    <s v="ORD50159"/>
    <d v="2025-03-30T00:00:00"/>
    <s v="Online"/>
    <s v="P501"/>
    <n v="2"/>
    <n v="129"/>
    <x v="5"/>
    <x v="12"/>
    <s v="Sports"/>
    <n v="60"/>
    <n v="206.4"/>
    <n v="120"/>
    <n v="86.4"/>
    <x v="2"/>
  </r>
  <r>
    <s v="ORD50219"/>
    <d v="2025-03-30T00:00:00"/>
    <s v="City Centre Deira"/>
    <s v="P307"/>
    <n v="1"/>
    <n v="399"/>
    <x v="1"/>
    <x v="20"/>
    <s v="Fashion"/>
    <n v="210"/>
    <n v="379.04999999999995"/>
    <n v="210"/>
    <n v="169.04999999999995"/>
    <x v="2"/>
  </r>
  <r>
    <s v="ORD50787"/>
    <d v="2025-03-30T00:00:00"/>
    <s v="Online"/>
    <s v="P306"/>
    <n v="2"/>
    <n v="249"/>
    <x v="1"/>
    <x v="3"/>
    <s v="Fashion"/>
    <n v="95"/>
    <n v="473.09999999999997"/>
    <n v="190"/>
    <n v="283.09999999999997"/>
    <x v="2"/>
  </r>
  <r>
    <s v="ORD51361"/>
    <d v="2025-03-30T00:00:00"/>
    <s v="Ibn Battuta Mall"/>
    <s v="P401"/>
    <n v="1"/>
    <n v="549"/>
    <x v="4"/>
    <x v="15"/>
    <s v="Beauty"/>
    <n v="250"/>
    <n v="384.29999999999995"/>
    <n v="250"/>
    <n v="134.29999999999995"/>
    <x v="2"/>
  </r>
  <r>
    <s v="ORD51773"/>
    <d v="2025-03-30T00:00:00"/>
    <s v="Mall of the Emirates"/>
    <s v="P203"/>
    <n v="1"/>
    <n v="349"/>
    <x v="1"/>
    <x v="21"/>
    <s v="Home &amp; Kitchen"/>
    <n v="170"/>
    <n v="331.55"/>
    <n v="170"/>
    <n v="161.55000000000001"/>
    <x v="2"/>
  </r>
  <r>
    <s v="ORD51829"/>
    <d v="2025-03-30T00:00:00"/>
    <s v="Ibn Battuta Mall"/>
    <s v="P201"/>
    <n v="1"/>
    <n v="499"/>
    <x v="3"/>
    <x v="16"/>
    <s v="Home &amp; Kitchen"/>
    <n v="290"/>
    <n v="499"/>
    <n v="290"/>
    <n v="209"/>
    <x v="2"/>
  </r>
  <r>
    <s v="ORD51898"/>
    <d v="2025-03-30T00:00:00"/>
    <s v="Online"/>
    <s v="P107"/>
    <n v="1"/>
    <n v="89"/>
    <x v="3"/>
    <x v="29"/>
    <s v="Electronics"/>
    <n v="35"/>
    <n v="89"/>
    <n v="35"/>
    <n v="54"/>
    <x v="2"/>
  </r>
  <r>
    <s v="ORD51901"/>
    <d v="2025-03-30T00:00:00"/>
    <s v="Online"/>
    <s v="P102"/>
    <n v="1"/>
    <n v="249"/>
    <x v="4"/>
    <x v="13"/>
    <s v="Electronics"/>
    <n v="150"/>
    <n v="174.29999999999998"/>
    <n v="150"/>
    <n v="24.299999999999983"/>
    <x v="2"/>
  </r>
  <r>
    <s v="ORD51935"/>
    <d v="2025-03-30T00:00:00"/>
    <s v="Mall of the Emirates"/>
    <s v="P301"/>
    <n v="2"/>
    <n v="179"/>
    <x v="5"/>
    <x v="2"/>
    <s v="Fashion"/>
    <n v="70"/>
    <n v="286.40000000000003"/>
    <n v="140"/>
    <n v="146.40000000000003"/>
    <x v="2"/>
  </r>
  <r>
    <s v="ORD52326"/>
    <d v="2025-03-30T00:00:00"/>
    <s v="Online"/>
    <s v="P502"/>
    <n v="4"/>
    <n v="799"/>
    <x v="0"/>
    <x v="19"/>
    <s v="Sports"/>
    <n v="700"/>
    <n v="2716.6"/>
    <n v="2800"/>
    <n v="-83.400000000000091"/>
    <x v="2"/>
  </r>
  <r>
    <s v="ORD53116"/>
    <d v="2025-03-30T00:00:00"/>
    <s v="Dubai Mall"/>
    <s v="P404"/>
    <n v="2"/>
    <n v="189"/>
    <x v="3"/>
    <x v="6"/>
    <s v="Beauty"/>
    <n v="85"/>
    <n v="378"/>
    <n v="170"/>
    <n v="208"/>
    <x v="2"/>
  </r>
  <r>
    <s v="ORD53141"/>
    <d v="2025-03-30T00:00:00"/>
    <s v="Online"/>
    <s v="P106"/>
    <n v="2"/>
    <n v="149"/>
    <x v="3"/>
    <x v="30"/>
    <s v="Electronics"/>
    <n v="70"/>
    <n v="298"/>
    <n v="140"/>
    <n v="158"/>
    <x v="2"/>
  </r>
  <r>
    <s v="ORD53168"/>
    <d v="2025-03-30T00:00:00"/>
    <s v="Online"/>
    <s v="P303"/>
    <n v="1"/>
    <n v="149"/>
    <x v="4"/>
    <x v="7"/>
    <s v="Fashion"/>
    <n v="80"/>
    <n v="104.3"/>
    <n v="80"/>
    <n v="24.299999999999997"/>
    <x v="2"/>
  </r>
  <r>
    <s v="ORD54137"/>
    <d v="2025-03-30T00:00:00"/>
    <s v="Mall of the Emirates"/>
    <s v="P201"/>
    <n v="1"/>
    <n v="499"/>
    <x v="2"/>
    <x v="16"/>
    <s v="Home &amp; Kitchen"/>
    <n v="290"/>
    <n v="449.1"/>
    <n v="290"/>
    <n v="159.10000000000002"/>
    <x v="2"/>
  </r>
  <r>
    <s v="ORD50716"/>
    <d v="2025-03-31T00:00:00"/>
    <s v="Mall of the Emirates"/>
    <s v="P206"/>
    <n v="1"/>
    <n v="129"/>
    <x v="2"/>
    <x v="28"/>
    <s v="Home &amp; Kitchen"/>
    <n v="60"/>
    <n v="116.10000000000001"/>
    <n v="60"/>
    <n v="56.100000000000009"/>
    <x v="2"/>
  </r>
  <r>
    <s v="ORD51346"/>
    <d v="2025-03-31T00:00:00"/>
    <s v="Dubai Mall"/>
    <s v="P102"/>
    <n v="1"/>
    <n v="249"/>
    <x v="3"/>
    <x v="13"/>
    <s v="Electronics"/>
    <n v="150"/>
    <n v="249"/>
    <n v="150"/>
    <n v="99"/>
    <x v="2"/>
  </r>
  <r>
    <s v="ORD52078"/>
    <d v="2025-03-31T00:00:00"/>
    <s v="Ibn Battuta Mall"/>
    <s v="P305"/>
    <n v="2"/>
    <n v="429"/>
    <x v="1"/>
    <x v="14"/>
    <s v="Fashion"/>
    <n v="300"/>
    <n v="815.09999999999991"/>
    <n v="600"/>
    <n v="215.09999999999991"/>
    <x v="2"/>
  </r>
  <r>
    <s v="ORD52567"/>
    <d v="2025-03-31T00:00:00"/>
    <s v="Online"/>
    <s v="P403"/>
    <n v="2"/>
    <n v="299"/>
    <x v="6"/>
    <x v="8"/>
    <s v="Beauty"/>
    <n v="240"/>
    <n v="448.5"/>
    <n v="480"/>
    <n v="-31.5"/>
    <x v="2"/>
  </r>
  <r>
    <s v="ORD52775"/>
    <d v="2025-03-31T00:00:00"/>
    <s v="City Centre Deira"/>
    <s v="P302"/>
    <n v="1"/>
    <n v="459"/>
    <x v="1"/>
    <x v="10"/>
    <s v="Fashion"/>
    <n v="190"/>
    <n v="436.04999999999995"/>
    <n v="190"/>
    <n v="246.04999999999995"/>
    <x v="2"/>
  </r>
  <r>
    <s v="ORD52879"/>
    <d v="2025-03-31T00:00:00"/>
    <s v="Ibn Battuta Mall"/>
    <s v="P503"/>
    <n v="1"/>
    <n v="229"/>
    <x v="4"/>
    <x v="18"/>
    <s v="Sports"/>
    <n v="120"/>
    <n v="160.29999999999998"/>
    <n v="120"/>
    <n v="40.299999999999983"/>
    <x v="2"/>
  </r>
  <r>
    <s v="ORD53079"/>
    <d v="2025-03-31T00:00:00"/>
    <s v="City Centre Deira"/>
    <s v="P208"/>
    <n v="1"/>
    <n v="259"/>
    <x v="4"/>
    <x v="22"/>
    <s v="Home &amp; Kitchen"/>
    <n v="115"/>
    <n v="181.29999999999998"/>
    <n v="115"/>
    <n v="66.299999999999983"/>
    <x v="2"/>
  </r>
  <r>
    <s v="ORD53669"/>
    <d v="2025-03-31T00:00:00"/>
    <s v="Ibn Battuta Mall"/>
    <s v="P305"/>
    <n v="1"/>
    <n v="429"/>
    <x v="5"/>
    <x v="14"/>
    <s v="Fashion"/>
    <n v="300"/>
    <n v="343.20000000000005"/>
    <n v="300"/>
    <n v="43.200000000000045"/>
    <x v="2"/>
  </r>
  <r>
    <s v="ORD53845"/>
    <d v="2025-03-31T00:00:00"/>
    <s v="Mall of the Emirates"/>
    <s v="P205"/>
    <n v="1"/>
    <n v="289"/>
    <x v="3"/>
    <x v="9"/>
    <s v="Home &amp; Kitchen"/>
    <n v="140"/>
    <n v="289"/>
    <n v="140"/>
    <n v="149"/>
    <x v="2"/>
  </r>
  <r>
    <s v="ORD50326"/>
    <d v="2025-04-01T00:00:00"/>
    <s v="Dubai Mall"/>
    <s v="P206"/>
    <n v="1"/>
    <n v="129"/>
    <x v="3"/>
    <x v="28"/>
    <s v="Home &amp; Kitchen"/>
    <n v="60"/>
    <n v="129"/>
    <n v="60"/>
    <n v="69"/>
    <x v="3"/>
  </r>
  <r>
    <s v="ORD50486"/>
    <d v="2025-04-01T00:00:00"/>
    <s v="Mall of the Emirates"/>
    <s v="P104"/>
    <n v="2"/>
    <n v="199"/>
    <x v="6"/>
    <x v="1"/>
    <s v="Electronics"/>
    <n v="175"/>
    <n v="298.5"/>
    <n v="350"/>
    <n v="-51.5"/>
    <x v="3"/>
  </r>
  <r>
    <s v="ORD50549"/>
    <d v="2025-04-01T00:00:00"/>
    <s v="Dubai Mall"/>
    <s v="P304"/>
    <n v="1"/>
    <n v="699"/>
    <x v="2"/>
    <x v="35"/>
    <s v="Fashion"/>
    <n v="380"/>
    <n v="629.1"/>
    <n v="380"/>
    <n v="249.10000000000002"/>
    <x v="3"/>
  </r>
  <r>
    <s v="ORD50930"/>
    <d v="2025-04-01T00:00:00"/>
    <s v="City Centre Deira"/>
    <s v="P502"/>
    <n v="4"/>
    <n v="799"/>
    <x v="5"/>
    <x v="19"/>
    <s v="Sports"/>
    <n v="700"/>
    <n v="2556.8000000000002"/>
    <n v="2800"/>
    <n v="-243.19999999999982"/>
    <x v="3"/>
  </r>
  <r>
    <s v="ORD51196"/>
    <d v="2025-04-01T00:00:00"/>
    <s v="Dubai Mall"/>
    <s v="P404"/>
    <n v="1"/>
    <n v="189"/>
    <x v="1"/>
    <x v="6"/>
    <s v="Beauty"/>
    <n v="85"/>
    <n v="179.54999999999998"/>
    <n v="85"/>
    <n v="94.549999999999983"/>
    <x v="3"/>
  </r>
  <r>
    <s v="ORD51247"/>
    <d v="2025-04-01T00:00:00"/>
    <s v="City Centre Deira"/>
    <s v="P108"/>
    <n v="2"/>
    <n v="459"/>
    <x v="3"/>
    <x v="23"/>
    <s v="Electronics"/>
    <n v="300"/>
    <n v="918"/>
    <n v="600"/>
    <n v="318"/>
    <x v="3"/>
  </r>
  <r>
    <s v="ORD51312"/>
    <d v="2025-04-01T00:00:00"/>
    <s v="Mall of the Emirates"/>
    <s v="P502"/>
    <n v="2"/>
    <n v="799"/>
    <x v="2"/>
    <x v="19"/>
    <s v="Sports"/>
    <n v="700"/>
    <n v="1438.2"/>
    <n v="1400"/>
    <n v="38.200000000000045"/>
    <x v="3"/>
  </r>
  <r>
    <s v="ORD51469"/>
    <d v="2025-04-01T00:00:00"/>
    <s v="Ibn Battuta Mall"/>
    <s v="P403"/>
    <n v="1"/>
    <n v="299"/>
    <x v="6"/>
    <x v="8"/>
    <s v="Beauty"/>
    <n v="240"/>
    <n v="224.25"/>
    <n v="240"/>
    <n v="-15.75"/>
    <x v="3"/>
  </r>
  <r>
    <s v="ORD51624"/>
    <d v="2025-04-01T00:00:00"/>
    <s v="City Centre Deira"/>
    <s v="P105"/>
    <n v="1"/>
    <n v="899"/>
    <x v="0"/>
    <x v="31"/>
    <s v="Electronics"/>
    <n v="610"/>
    <n v="764.15"/>
    <n v="610"/>
    <n v="154.14999999999998"/>
    <x v="3"/>
  </r>
  <r>
    <s v="ORD51817"/>
    <d v="2025-04-01T00:00:00"/>
    <s v="Online"/>
    <s v="P303"/>
    <n v="1"/>
    <n v="149"/>
    <x v="0"/>
    <x v="7"/>
    <s v="Fashion"/>
    <n v="80"/>
    <n v="126.64999999999999"/>
    <n v="80"/>
    <n v="46.649999999999991"/>
    <x v="3"/>
  </r>
  <r>
    <s v="ORD52698"/>
    <d v="2025-04-01T00:00:00"/>
    <s v="Dubai Mall"/>
    <s v="P302"/>
    <n v="1"/>
    <n v="459"/>
    <x v="3"/>
    <x v="10"/>
    <s v="Fashion"/>
    <n v="190"/>
    <n v="459"/>
    <n v="190"/>
    <n v="269"/>
    <x v="3"/>
  </r>
  <r>
    <s v="ORD52885"/>
    <d v="2025-04-01T00:00:00"/>
    <s v="Dubai Mall"/>
    <s v="P201"/>
    <n v="1"/>
    <n v="499"/>
    <x v="3"/>
    <x v="16"/>
    <s v="Home &amp; Kitchen"/>
    <n v="290"/>
    <n v="499"/>
    <n v="290"/>
    <n v="209"/>
    <x v="3"/>
  </r>
  <r>
    <s v="ORD52948"/>
    <d v="2025-04-01T00:00:00"/>
    <s v="Online"/>
    <s v="P204"/>
    <n v="1"/>
    <n v="1199"/>
    <x v="5"/>
    <x v="27"/>
    <s v="Home &amp; Kitchen"/>
    <n v="1080"/>
    <n v="959.2"/>
    <n v="1080"/>
    <n v="-120.79999999999995"/>
    <x v="3"/>
  </r>
  <r>
    <s v="ORD53423"/>
    <d v="2025-04-01T00:00:00"/>
    <s v="Mall of the Emirates"/>
    <s v="P108"/>
    <n v="1"/>
    <n v="459"/>
    <x v="3"/>
    <x v="23"/>
    <s v="Electronics"/>
    <n v="300"/>
    <n v="459"/>
    <n v="300"/>
    <n v="159"/>
    <x v="3"/>
  </r>
  <r>
    <s v="ORD50156"/>
    <d v="2025-04-02T00:00:00"/>
    <s v="Online"/>
    <s v="P501"/>
    <n v="1"/>
    <n v="129"/>
    <x v="1"/>
    <x v="12"/>
    <s v="Sports"/>
    <n v="60"/>
    <n v="122.55"/>
    <n v="60"/>
    <n v="62.55"/>
    <x v="3"/>
  </r>
  <r>
    <s v="ORD50239"/>
    <d v="2025-04-02T00:00:00"/>
    <s v="Ibn Battuta Mall"/>
    <s v="P305"/>
    <n v="2"/>
    <n v="429"/>
    <x v="3"/>
    <x v="14"/>
    <s v="Fashion"/>
    <n v="300"/>
    <n v="858"/>
    <n v="600"/>
    <n v="258"/>
    <x v="3"/>
  </r>
  <r>
    <s v="ORD50860"/>
    <d v="2025-04-02T00:00:00"/>
    <s v="Online"/>
    <s v="P501"/>
    <n v="2"/>
    <n v="129"/>
    <x v="3"/>
    <x v="12"/>
    <s v="Sports"/>
    <n v="60"/>
    <n v="258"/>
    <n v="120"/>
    <n v="138"/>
    <x v="3"/>
  </r>
  <r>
    <s v="ORD50902"/>
    <d v="2025-04-02T00:00:00"/>
    <s v="Online"/>
    <s v="P205"/>
    <n v="1"/>
    <n v="289"/>
    <x v="4"/>
    <x v="9"/>
    <s v="Home &amp; Kitchen"/>
    <n v="140"/>
    <n v="202.29999999999998"/>
    <n v="140"/>
    <n v="62.299999999999983"/>
    <x v="3"/>
  </r>
  <r>
    <s v="ORD51003"/>
    <d v="2025-04-02T00:00:00"/>
    <s v="Online"/>
    <s v="P506"/>
    <n v="1"/>
    <n v="69"/>
    <x v="4"/>
    <x v="34"/>
    <s v="Sports"/>
    <n v="25"/>
    <n v="48.3"/>
    <n v="25"/>
    <n v="23.299999999999997"/>
    <x v="3"/>
  </r>
  <r>
    <s v="ORD51090"/>
    <d v="2025-04-02T00:00:00"/>
    <s v="Online"/>
    <s v="P403"/>
    <n v="1"/>
    <n v="299"/>
    <x v="0"/>
    <x v="8"/>
    <s v="Beauty"/>
    <n v="240"/>
    <n v="254.15"/>
    <n v="240"/>
    <n v="14.150000000000006"/>
    <x v="3"/>
  </r>
  <r>
    <s v="ORD52386"/>
    <d v="2025-04-02T00:00:00"/>
    <s v="Online"/>
    <s v="P107"/>
    <n v="1"/>
    <n v="89"/>
    <x v="5"/>
    <x v="29"/>
    <s v="Electronics"/>
    <n v="35"/>
    <n v="71.2"/>
    <n v="35"/>
    <n v="36.200000000000003"/>
    <x v="3"/>
  </r>
  <r>
    <s v="ORD52561"/>
    <d v="2025-04-02T00:00:00"/>
    <s v="Mall of the Emirates"/>
    <s v="P204"/>
    <n v="1"/>
    <n v="1199"/>
    <x v="5"/>
    <x v="27"/>
    <s v="Home &amp; Kitchen"/>
    <n v="1080"/>
    <n v="959.2"/>
    <n v="1080"/>
    <n v="-120.79999999999995"/>
    <x v="3"/>
  </r>
  <r>
    <s v="ORD52870"/>
    <d v="2025-04-02T00:00:00"/>
    <s v="City Centre Deira"/>
    <s v="P302"/>
    <n v="1"/>
    <n v="459"/>
    <x v="1"/>
    <x v="10"/>
    <s v="Fashion"/>
    <n v="190"/>
    <n v="436.04999999999995"/>
    <n v="190"/>
    <n v="246.04999999999995"/>
    <x v="3"/>
  </r>
  <r>
    <s v="ORD53714"/>
    <d v="2025-04-02T00:00:00"/>
    <s v="Dubai Mall"/>
    <s v="P205"/>
    <n v="1"/>
    <n v="289"/>
    <x v="1"/>
    <x v="9"/>
    <s v="Home &amp; Kitchen"/>
    <n v="140"/>
    <n v="274.55"/>
    <n v="140"/>
    <n v="134.55000000000001"/>
    <x v="3"/>
  </r>
  <r>
    <s v="ORD53926"/>
    <d v="2025-04-02T00:00:00"/>
    <s v="Online"/>
    <s v="P501"/>
    <n v="1"/>
    <n v="129"/>
    <x v="2"/>
    <x v="12"/>
    <s v="Sports"/>
    <n v="60"/>
    <n v="116.10000000000001"/>
    <n v="60"/>
    <n v="56.100000000000009"/>
    <x v="3"/>
  </r>
  <r>
    <s v="ORD50226"/>
    <d v="2025-04-03T00:00:00"/>
    <s v="Mall of the Emirates"/>
    <s v="P308"/>
    <n v="2"/>
    <n v="229"/>
    <x v="3"/>
    <x v="0"/>
    <s v="Fashion"/>
    <n v="120"/>
    <n v="458"/>
    <n v="240"/>
    <n v="218"/>
    <x v="3"/>
  </r>
  <r>
    <s v="ORD50237"/>
    <d v="2025-04-03T00:00:00"/>
    <s v="City Centre Deira"/>
    <s v="P205"/>
    <n v="2"/>
    <n v="289"/>
    <x v="0"/>
    <x v="9"/>
    <s v="Home &amp; Kitchen"/>
    <n v="140"/>
    <n v="491.3"/>
    <n v="280"/>
    <n v="211.3"/>
    <x v="3"/>
  </r>
  <r>
    <s v="ORD50325"/>
    <d v="2025-04-03T00:00:00"/>
    <s v="City Centre Deira"/>
    <s v="P107"/>
    <n v="1"/>
    <n v="89"/>
    <x v="2"/>
    <x v="29"/>
    <s v="Electronics"/>
    <n v="35"/>
    <n v="80.100000000000009"/>
    <n v="35"/>
    <n v="45.100000000000009"/>
    <x v="3"/>
  </r>
  <r>
    <s v="ORD50864"/>
    <d v="2025-04-03T00:00:00"/>
    <s v="City Centre Deira"/>
    <s v="P303"/>
    <n v="1"/>
    <n v="149"/>
    <x v="5"/>
    <x v="7"/>
    <s v="Fashion"/>
    <n v="80"/>
    <n v="119.2"/>
    <n v="80"/>
    <n v="39.200000000000003"/>
    <x v="3"/>
  </r>
  <r>
    <s v="ORD50909"/>
    <d v="2025-04-03T00:00:00"/>
    <s v="Dubai Mall"/>
    <s v="P307"/>
    <n v="1"/>
    <n v="399"/>
    <x v="2"/>
    <x v="20"/>
    <s v="Fashion"/>
    <n v="210"/>
    <n v="359.1"/>
    <n v="210"/>
    <n v="149.10000000000002"/>
    <x v="3"/>
  </r>
  <r>
    <s v="ORD51146"/>
    <d v="2025-04-03T00:00:00"/>
    <s v="City Centre Deira"/>
    <s v="P404"/>
    <n v="4"/>
    <n v="189"/>
    <x v="0"/>
    <x v="6"/>
    <s v="Beauty"/>
    <n v="85"/>
    <n v="642.6"/>
    <n v="340"/>
    <n v="302.60000000000002"/>
    <x v="3"/>
  </r>
  <r>
    <s v="ORD52226"/>
    <d v="2025-04-03T00:00:00"/>
    <s v="Mall of the Emirates"/>
    <s v="P306"/>
    <n v="1"/>
    <n v="249"/>
    <x v="5"/>
    <x v="3"/>
    <s v="Fashion"/>
    <n v="95"/>
    <n v="199.20000000000002"/>
    <n v="95"/>
    <n v="104.20000000000002"/>
    <x v="3"/>
  </r>
  <r>
    <s v="ORD52356"/>
    <d v="2025-04-03T00:00:00"/>
    <s v="City Centre Deira"/>
    <s v="P406"/>
    <n v="2"/>
    <n v="199"/>
    <x v="3"/>
    <x v="4"/>
    <s v="Beauty"/>
    <n v="90"/>
    <n v="398"/>
    <n v="180"/>
    <n v="218"/>
    <x v="3"/>
  </r>
  <r>
    <s v="ORD52638"/>
    <d v="2025-04-03T00:00:00"/>
    <s v="City Centre Deira"/>
    <s v="P501"/>
    <n v="2"/>
    <n v="129"/>
    <x v="5"/>
    <x v="12"/>
    <s v="Sports"/>
    <n v="60"/>
    <n v="206.4"/>
    <n v="120"/>
    <n v="86.4"/>
    <x v="3"/>
  </r>
  <r>
    <s v="ORD52713"/>
    <d v="2025-04-03T00:00:00"/>
    <s v="Dubai Mall"/>
    <s v="P102"/>
    <n v="1"/>
    <n v="249"/>
    <x v="2"/>
    <x v="13"/>
    <s v="Electronics"/>
    <n v="150"/>
    <n v="224.1"/>
    <n v="150"/>
    <n v="74.099999999999994"/>
    <x v="3"/>
  </r>
  <r>
    <s v="ORD53401"/>
    <d v="2025-04-03T00:00:00"/>
    <s v="City Centre Deira"/>
    <s v="P206"/>
    <n v="1"/>
    <n v="129"/>
    <x v="3"/>
    <x v="28"/>
    <s v="Home &amp; Kitchen"/>
    <n v="60"/>
    <n v="129"/>
    <n v="60"/>
    <n v="69"/>
    <x v="3"/>
  </r>
  <r>
    <s v="ORD54091"/>
    <d v="2025-04-03T00:00:00"/>
    <s v="Ibn Battuta Mall"/>
    <s v="P406"/>
    <n v="1"/>
    <n v="199"/>
    <x v="0"/>
    <x v="4"/>
    <s v="Beauty"/>
    <n v="90"/>
    <n v="169.15"/>
    <n v="90"/>
    <n v="79.150000000000006"/>
    <x v="3"/>
  </r>
  <r>
    <s v="ORD54151"/>
    <d v="2025-04-03T00:00:00"/>
    <s v="Dubai Mall"/>
    <s v="P304"/>
    <n v="1"/>
    <n v="699"/>
    <x v="1"/>
    <x v="35"/>
    <s v="Fashion"/>
    <n v="380"/>
    <n v="664.05"/>
    <n v="380"/>
    <n v="284.04999999999995"/>
    <x v="3"/>
  </r>
  <r>
    <s v="ORD50608"/>
    <d v="2025-04-04T00:00:00"/>
    <s v="Dubai Mall"/>
    <s v="P304"/>
    <n v="2"/>
    <n v="699"/>
    <x v="3"/>
    <x v="35"/>
    <s v="Fashion"/>
    <n v="380"/>
    <n v="1398"/>
    <n v="760"/>
    <n v="638"/>
    <x v="3"/>
  </r>
  <r>
    <s v="ORD50981"/>
    <d v="2025-04-04T00:00:00"/>
    <s v="Mall of the Emirates"/>
    <s v="P208"/>
    <n v="1"/>
    <n v="259"/>
    <x v="3"/>
    <x v="22"/>
    <s v="Home &amp; Kitchen"/>
    <n v="115"/>
    <n v="259"/>
    <n v="115"/>
    <n v="144"/>
    <x v="3"/>
  </r>
  <r>
    <s v="ORD51038"/>
    <d v="2025-04-04T00:00:00"/>
    <s v="Dubai Mall"/>
    <s v="P502"/>
    <n v="3"/>
    <n v="799"/>
    <x v="0"/>
    <x v="19"/>
    <s v="Sports"/>
    <n v="700"/>
    <n v="2037.45"/>
    <n v="2100"/>
    <n v="-62.549999999999955"/>
    <x v="3"/>
  </r>
  <r>
    <s v="ORD51192"/>
    <d v="2025-04-04T00:00:00"/>
    <s v="Dubai Mall"/>
    <s v="P402"/>
    <n v="1"/>
    <n v="149"/>
    <x v="5"/>
    <x v="17"/>
    <s v="Beauty"/>
    <n v="55"/>
    <n v="119.2"/>
    <n v="55"/>
    <n v="64.2"/>
    <x v="3"/>
  </r>
  <r>
    <s v="ORD52508"/>
    <d v="2025-04-04T00:00:00"/>
    <s v="Ibn Battuta Mall"/>
    <s v="P306"/>
    <n v="1"/>
    <n v="249"/>
    <x v="2"/>
    <x v="3"/>
    <s v="Fashion"/>
    <n v="95"/>
    <n v="224.1"/>
    <n v="95"/>
    <n v="129.1"/>
    <x v="3"/>
  </r>
  <r>
    <s v="ORD52975"/>
    <d v="2025-04-04T00:00:00"/>
    <s v="City Centre Deira"/>
    <s v="P301"/>
    <n v="3"/>
    <n v="179"/>
    <x v="2"/>
    <x v="2"/>
    <s v="Fashion"/>
    <n v="70"/>
    <n v="483.3"/>
    <n v="210"/>
    <n v="273.3"/>
    <x v="3"/>
  </r>
  <r>
    <s v="ORD53243"/>
    <d v="2025-04-04T00:00:00"/>
    <s v="City Centre Deira"/>
    <s v="P207"/>
    <n v="2"/>
    <n v="399"/>
    <x v="2"/>
    <x v="32"/>
    <s v="Home &amp; Kitchen"/>
    <n v="250"/>
    <n v="718.2"/>
    <n v="500"/>
    <n v="218.20000000000005"/>
    <x v="3"/>
  </r>
  <r>
    <s v="ORD53272"/>
    <d v="2025-04-04T00:00:00"/>
    <s v="Dubai Mall"/>
    <s v="P104"/>
    <n v="1"/>
    <n v="199"/>
    <x v="5"/>
    <x v="1"/>
    <s v="Electronics"/>
    <n v="175"/>
    <n v="159.20000000000002"/>
    <n v="175"/>
    <n v="-15.799999999999983"/>
    <x v="3"/>
  </r>
  <r>
    <s v="ORD53363"/>
    <d v="2025-04-04T00:00:00"/>
    <s v="City Centre Deira"/>
    <s v="P108"/>
    <n v="2"/>
    <n v="459"/>
    <x v="5"/>
    <x v="23"/>
    <s v="Electronics"/>
    <n v="300"/>
    <n v="734.40000000000009"/>
    <n v="600"/>
    <n v="134.40000000000009"/>
    <x v="3"/>
  </r>
  <r>
    <s v="ORD53813"/>
    <d v="2025-04-04T00:00:00"/>
    <s v="Mall of the Emirates"/>
    <s v="P405"/>
    <n v="3"/>
    <n v="89"/>
    <x v="0"/>
    <x v="24"/>
    <s v="Beauty"/>
    <n v="40"/>
    <n v="226.95"/>
    <n v="120"/>
    <n v="106.94999999999999"/>
    <x v="3"/>
  </r>
  <r>
    <s v="ORD53969"/>
    <d v="2025-04-04T00:00:00"/>
    <s v="Dubai Mall"/>
    <s v="P101"/>
    <n v="2"/>
    <n v="399"/>
    <x v="3"/>
    <x v="5"/>
    <s v="Electronics"/>
    <n v="230"/>
    <n v="798"/>
    <n v="460"/>
    <n v="338"/>
    <x v="3"/>
  </r>
  <r>
    <s v="ORD50299"/>
    <d v="2025-04-05T00:00:00"/>
    <s v="Mall of the Emirates"/>
    <s v="P505"/>
    <n v="2"/>
    <n v="99"/>
    <x v="0"/>
    <x v="11"/>
    <s v="Sports"/>
    <n v="45"/>
    <n v="168.29999999999998"/>
    <n v="90"/>
    <n v="78.299999999999983"/>
    <x v="3"/>
  </r>
  <r>
    <s v="ORD50392"/>
    <d v="2025-04-05T00:00:00"/>
    <s v="Ibn Battuta Mall"/>
    <s v="P303"/>
    <n v="2"/>
    <n v="149"/>
    <x v="3"/>
    <x v="7"/>
    <s v="Fashion"/>
    <n v="80"/>
    <n v="298"/>
    <n v="160"/>
    <n v="138"/>
    <x v="3"/>
  </r>
  <r>
    <s v="ORD50671"/>
    <d v="2025-04-05T00:00:00"/>
    <s v="Dubai Mall"/>
    <s v="P104"/>
    <n v="2"/>
    <n v="199"/>
    <x v="5"/>
    <x v="1"/>
    <s v="Electronics"/>
    <n v="175"/>
    <n v="318.40000000000003"/>
    <n v="350"/>
    <n v="-31.599999999999966"/>
    <x v="3"/>
  </r>
  <r>
    <s v="ORD51579"/>
    <d v="2025-04-05T00:00:00"/>
    <s v="Dubai Mall"/>
    <s v="P208"/>
    <n v="1"/>
    <n v="259"/>
    <x v="2"/>
    <x v="22"/>
    <s v="Home &amp; Kitchen"/>
    <n v="115"/>
    <n v="233.1"/>
    <n v="115"/>
    <n v="118.1"/>
    <x v="3"/>
  </r>
  <r>
    <s v="ORD51885"/>
    <d v="2025-04-05T00:00:00"/>
    <s v="City Centre Deira"/>
    <s v="P105"/>
    <n v="1"/>
    <n v="899"/>
    <x v="1"/>
    <x v="31"/>
    <s v="Electronics"/>
    <n v="610"/>
    <n v="854.05"/>
    <n v="610"/>
    <n v="244.04999999999995"/>
    <x v="3"/>
  </r>
  <r>
    <s v="ORD52798"/>
    <d v="2025-04-05T00:00:00"/>
    <s v="Online"/>
    <s v="P404"/>
    <n v="2"/>
    <n v="189"/>
    <x v="3"/>
    <x v="6"/>
    <s v="Beauty"/>
    <n v="85"/>
    <n v="378"/>
    <n v="170"/>
    <n v="208"/>
    <x v="3"/>
  </r>
  <r>
    <s v="ORD52844"/>
    <d v="2025-04-05T00:00:00"/>
    <s v="Ibn Battuta Mall"/>
    <s v="P102"/>
    <n v="1"/>
    <n v="249"/>
    <x v="5"/>
    <x v="13"/>
    <s v="Electronics"/>
    <n v="150"/>
    <n v="199.20000000000002"/>
    <n v="150"/>
    <n v="49.200000000000017"/>
    <x v="3"/>
  </r>
  <r>
    <s v="ORD52953"/>
    <d v="2025-04-05T00:00:00"/>
    <s v="Ibn Battuta Mall"/>
    <s v="P306"/>
    <n v="1"/>
    <n v="249"/>
    <x v="2"/>
    <x v="3"/>
    <s v="Fashion"/>
    <n v="95"/>
    <n v="224.1"/>
    <n v="95"/>
    <n v="129.1"/>
    <x v="3"/>
  </r>
  <r>
    <s v="ORD53327"/>
    <d v="2025-04-05T00:00:00"/>
    <s v="Online"/>
    <s v="P101"/>
    <n v="1"/>
    <n v="399"/>
    <x v="5"/>
    <x v="5"/>
    <s v="Electronics"/>
    <n v="230"/>
    <n v="319.20000000000005"/>
    <n v="230"/>
    <n v="89.200000000000045"/>
    <x v="3"/>
  </r>
  <r>
    <s v="ORD53335"/>
    <d v="2025-04-05T00:00:00"/>
    <s v="Dubai Mall"/>
    <s v="P201"/>
    <n v="3"/>
    <n v="499"/>
    <x v="0"/>
    <x v="16"/>
    <s v="Home &amp; Kitchen"/>
    <n v="290"/>
    <n v="1272.45"/>
    <n v="870"/>
    <n v="402.45000000000005"/>
    <x v="3"/>
  </r>
  <r>
    <s v="ORD53381"/>
    <d v="2025-04-05T00:00:00"/>
    <s v="Online"/>
    <s v="P501"/>
    <n v="1"/>
    <n v="129"/>
    <x v="3"/>
    <x v="12"/>
    <s v="Sports"/>
    <n v="60"/>
    <n v="129"/>
    <n v="60"/>
    <n v="69"/>
    <x v="3"/>
  </r>
  <r>
    <s v="ORD53453"/>
    <d v="2025-04-05T00:00:00"/>
    <s v="Dubai Mall"/>
    <s v="P102"/>
    <n v="2"/>
    <n v="249"/>
    <x v="1"/>
    <x v="13"/>
    <s v="Electronics"/>
    <n v="150"/>
    <n v="473.09999999999997"/>
    <n v="300"/>
    <n v="173.09999999999997"/>
    <x v="3"/>
  </r>
  <r>
    <s v="ORD53455"/>
    <d v="2025-04-05T00:00:00"/>
    <s v="Mall of the Emirates"/>
    <s v="P206"/>
    <n v="2"/>
    <n v="129"/>
    <x v="3"/>
    <x v="28"/>
    <s v="Home &amp; Kitchen"/>
    <n v="60"/>
    <n v="258"/>
    <n v="120"/>
    <n v="138"/>
    <x v="3"/>
  </r>
  <r>
    <s v="ORD54160"/>
    <d v="2025-04-05T00:00:00"/>
    <s v="Dubai Mall"/>
    <s v="P106"/>
    <n v="1"/>
    <n v="149"/>
    <x v="3"/>
    <x v="30"/>
    <s v="Electronics"/>
    <n v="70"/>
    <n v="149"/>
    <n v="70"/>
    <n v="79"/>
    <x v="3"/>
  </r>
  <r>
    <s v="ORD50003"/>
    <d v="2025-04-06T00:00:00"/>
    <s v="Mall of the Emirates"/>
    <s v="P104"/>
    <n v="1"/>
    <n v="199"/>
    <x v="5"/>
    <x v="1"/>
    <s v="Electronics"/>
    <n v="175"/>
    <n v="159.20000000000002"/>
    <n v="175"/>
    <n v="-15.799999999999983"/>
    <x v="3"/>
  </r>
  <r>
    <s v="ORD50441"/>
    <d v="2025-04-06T00:00:00"/>
    <s v="Ibn Battuta Mall"/>
    <s v="P308"/>
    <n v="1"/>
    <n v="229"/>
    <x v="0"/>
    <x v="0"/>
    <s v="Fashion"/>
    <n v="120"/>
    <n v="194.65"/>
    <n v="120"/>
    <n v="74.650000000000006"/>
    <x v="3"/>
  </r>
  <r>
    <s v="ORD51936"/>
    <d v="2025-04-06T00:00:00"/>
    <s v="Dubai Mall"/>
    <s v="P406"/>
    <n v="1"/>
    <n v="199"/>
    <x v="1"/>
    <x v="4"/>
    <s v="Beauty"/>
    <n v="90"/>
    <n v="189.04999999999998"/>
    <n v="90"/>
    <n v="99.049999999999983"/>
    <x v="3"/>
  </r>
  <r>
    <s v="ORD53010"/>
    <d v="2025-04-06T00:00:00"/>
    <s v="Dubai Mall"/>
    <s v="P402"/>
    <n v="1"/>
    <n v="149"/>
    <x v="0"/>
    <x v="17"/>
    <s v="Beauty"/>
    <n v="55"/>
    <n v="126.64999999999999"/>
    <n v="55"/>
    <n v="71.649999999999991"/>
    <x v="3"/>
  </r>
  <r>
    <s v="ORD53071"/>
    <d v="2025-04-06T00:00:00"/>
    <s v="Dubai Mall"/>
    <s v="P501"/>
    <n v="1"/>
    <n v="129"/>
    <x v="2"/>
    <x v="12"/>
    <s v="Sports"/>
    <n v="60"/>
    <n v="116.10000000000001"/>
    <n v="60"/>
    <n v="56.100000000000009"/>
    <x v="3"/>
  </r>
  <r>
    <s v="ORD53462"/>
    <d v="2025-04-06T00:00:00"/>
    <s v="Ibn Battuta Mall"/>
    <s v="P308"/>
    <n v="1"/>
    <n v="229"/>
    <x v="1"/>
    <x v="0"/>
    <s v="Fashion"/>
    <n v="120"/>
    <n v="217.54999999999998"/>
    <n v="120"/>
    <n v="97.549999999999983"/>
    <x v="3"/>
  </r>
  <r>
    <s v="ORD53640"/>
    <d v="2025-04-06T00:00:00"/>
    <s v="Online"/>
    <s v="P206"/>
    <n v="1"/>
    <n v="129"/>
    <x v="3"/>
    <x v="28"/>
    <s v="Home &amp; Kitchen"/>
    <n v="60"/>
    <n v="129"/>
    <n v="60"/>
    <n v="69"/>
    <x v="3"/>
  </r>
  <r>
    <s v="ORD53666"/>
    <d v="2025-04-06T00:00:00"/>
    <s v="Online"/>
    <s v="P504"/>
    <n v="1"/>
    <n v="2499"/>
    <x v="6"/>
    <x v="33"/>
    <s v="Sports"/>
    <n v="2150"/>
    <n v="1874.25"/>
    <n v="2150"/>
    <n v="-275.75"/>
    <x v="3"/>
  </r>
  <r>
    <s v="ORD53801"/>
    <d v="2025-04-06T00:00:00"/>
    <s v="Dubai Mall"/>
    <s v="P406"/>
    <n v="3"/>
    <n v="199"/>
    <x v="5"/>
    <x v="4"/>
    <s v="Beauty"/>
    <n v="90"/>
    <n v="477.6"/>
    <n v="270"/>
    <n v="207.60000000000002"/>
    <x v="3"/>
  </r>
  <r>
    <s v="ORD53863"/>
    <d v="2025-04-06T00:00:00"/>
    <s v="Mall of the Emirates"/>
    <s v="P303"/>
    <n v="1"/>
    <n v="149"/>
    <x v="3"/>
    <x v="7"/>
    <s v="Fashion"/>
    <n v="80"/>
    <n v="149"/>
    <n v="80"/>
    <n v="69"/>
    <x v="3"/>
  </r>
  <r>
    <s v="ORD54136"/>
    <d v="2025-04-06T00:00:00"/>
    <s v="Dubai Mall"/>
    <s v="P501"/>
    <n v="2"/>
    <n v="129"/>
    <x v="3"/>
    <x v="12"/>
    <s v="Sports"/>
    <n v="60"/>
    <n v="258"/>
    <n v="120"/>
    <n v="138"/>
    <x v="3"/>
  </r>
  <r>
    <s v="ORD54145"/>
    <d v="2025-04-06T00:00:00"/>
    <s v="Dubai Mall"/>
    <s v="P108"/>
    <n v="2"/>
    <n v="459"/>
    <x v="3"/>
    <x v="23"/>
    <s v="Electronics"/>
    <n v="300"/>
    <n v="918"/>
    <n v="600"/>
    <n v="318"/>
    <x v="3"/>
  </r>
  <r>
    <s v="ORD50811"/>
    <d v="2025-04-07T00:00:00"/>
    <s v="Ibn Battuta Mall"/>
    <s v="P504"/>
    <n v="1"/>
    <n v="2499"/>
    <x v="6"/>
    <x v="33"/>
    <s v="Sports"/>
    <n v="2150"/>
    <n v="1874.25"/>
    <n v="2150"/>
    <n v="-275.75"/>
    <x v="3"/>
  </r>
  <r>
    <s v="ORD51395"/>
    <d v="2025-04-07T00:00:00"/>
    <s v="Online"/>
    <s v="P105"/>
    <n v="4"/>
    <n v="899"/>
    <x v="3"/>
    <x v="31"/>
    <s v="Electronics"/>
    <n v="610"/>
    <n v="3596"/>
    <n v="2440"/>
    <n v="1156"/>
    <x v="3"/>
  </r>
  <r>
    <s v="ORD51753"/>
    <d v="2025-04-07T00:00:00"/>
    <s v="Mall of the Emirates"/>
    <s v="P106"/>
    <n v="1"/>
    <n v="149"/>
    <x v="2"/>
    <x v="30"/>
    <s v="Electronics"/>
    <n v="70"/>
    <n v="134.1"/>
    <n v="70"/>
    <n v="64.099999999999994"/>
    <x v="3"/>
  </r>
  <r>
    <s v="ORD53172"/>
    <d v="2025-04-07T00:00:00"/>
    <s v="Online"/>
    <s v="P308"/>
    <n v="1"/>
    <n v="229"/>
    <x v="3"/>
    <x v="0"/>
    <s v="Fashion"/>
    <n v="120"/>
    <n v="229"/>
    <n v="120"/>
    <n v="109"/>
    <x v="3"/>
  </r>
  <r>
    <s v="ORD53247"/>
    <d v="2025-04-07T00:00:00"/>
    <s v="Ibn Battuta Mall"/>
    <s v="P104"/>
    <n v="3"/>
    <n v="199"/>
    <x v="6"/>
    <x v="1"/>
    <s v="Electronics"/>
    <n v="175"/>
    <n v="447.75"/>
    <n v="525"/>
    <n v="-77.25"/>
    <x v="3"/>
  </r>
  <r>
    <s v="ORD54032"/>
    <d v="2025-04-07T00:00:00"/>
    <s v="Dubai Mall"/>
    <s v="P403"/>
    <n v="1"/>
    <n v="299"/>
    <x v="0"/>
    <x v="8"/>
    <s v="Beauty"/>
    <n v="240"/>
    <n v="254.15"/>
    <n v="240"/>
    <n v="14.150000000000006"/>
    <x v="3"/>
  </r>
  <r>
    <s v="ORD50229"/>
    <d v="2025-04-08T00:00:00"/>
    <s v="Mall of the Emirates"/>
    <s v="P108"/>
    <n v="1"/>
    <n v="459"/>
    <x v="3"/>
    <x v="23"/>
    <s v="Electronics"/>
    <n v="300"/>
    <n v="459"/>
    <n v="300"/>
    <n v="159"/>
    <x v="3"/>
  </r>
  <r>
    <s v="ORD52059"/>
    <d v="2025-04-08T00:00:00"/>
    <s v="Dubai Mall"/>
    <s v="P405"/>
    <n v="1"/>
    <n v="89"/>
    <x v="2"/>
    <x v="24"/>
    <s v="Beauty"/>
    <n v="40"/>
    <n v="80.100000000000009"/>
    <n v="40"/>
    <n v="40.100000000000009"/>
    <x v="3"/>
  </r>
  <r>
    <s v="ORD52413"/>
    <d v="2025-04-08T00:00:00"/>
    <s v="Mall of the Emirates"/>
    <s v="P303"/>
    <n v="1"/>
    <n v="149"/>
    <x v="3"/>
    <x v="7"/>
    <s v="Fashion"/>
    <n v="80"/>
    <n v="149"/>
    <n v="80"/>
    <n v="69"/>
    <x v="3"/>
  </r>
  <r>
    <s v="ORD53058"/>
    <d v="2025-04-08T00:00:00"/>
    <s v="City Centre Deira"/>
    <s v="P406"/>
    <n v="1"/>
    <n v="199"/>
    <x v="3"/>
    <x v="4"/>
    <s v="Beauty"/>
    <n v="90"/>
    <n v="199"/>
    <n v="90"/>
    <n v="109"/>
    <x v="3"/>
  </r>
  <r>
    <s v="ORD53076"/>
    <d v="2025-04-08T00:00:00"/>
    <s v="City Centre Deira"/>
    <s v="P302"/>
    <n v="4"/>
    <n v="459"/>
    <x v="5"/>
    <x v="10"/>
    <s v="Fashion"/>
    <n v="190"/>
    <n v="1468.8000000000002"/>
    <n v="760"/>
    <n v="708.80000000000018"/>
    <x v="3"/>
  </r>
  <r>
    <s v="ORD53227"/>
    <d v="2025-04-08T00:00:00"/>
    <s v="Ibn Battuta Mall"/>
    <s v="P306"/>
    <n v="1"/>
    <n v="249"/>
    <x v="5"/>
    <x v="3"/>
    <s v="Fashion"/>
    <n v="95"/>
    <n v="199.20000000000002"/>
    <n v="95"/>
    <n v="104.20000000000002"/>
    <x v="3"/>
  </r>
  <r>
    <s v="ORD53608"/>
    <d v="2025-04-08T00:00:00"/>
    <s v="Online"/>
    <s v="P204"/>
    <n v="1"/>
    <n v="1199"/>
    <x v="5"/>
    <x v="27"/>
    <s v="Home &amp; Kitchen"/>
    <n v="1080"/>
    <n v="959.2"/>
    <n v="1080"/>
    <n v="-120.79999999999995"/>
    <x v="3"/>
  </r>
  <r>
    <s v="ORD53882"/>
    <d v="2025-04-08T00:00:00"/>
    <s v="Dubai Mall"/>
    <s v="P301"/>
    <n v="2"/>
    <n v="179"/>
    <x v="3"/>
    <x v="2"/>
    <s v="Fashion"/>
    <n v="70"/>
    <n v="358"/>
    <n v="140"/>
    <n v="218"/>
    <x v="3"/>
  </r>
  <r>
    <s v="ORD51070"/>
    <d v="2025-04-09T00:00:00"/>
    <s v="Dubai Mall"/>
    <s v="P301"/>
    <n v="1"/>
    <n v="179"/>
    <x v="5"/>
    <x v="2"/>
    <s v="Fashion"/>
    <n v="70"/>
    <n v="143.20000000000002"/>
    <n v="70"/>
    <n v="73.200000000000017"/>
    <x v="3"/>
  </r>
  <r>
    <s v="ORD51569"/>
    <d v="2025-04-09T00:00:00"/>
    <s v="Dubai Mall"/>
    <s v="P108"/>
    <n v="1"/>
    <n v="459"/>
    <x v="3"/>
    <x v="23"/>
    <s v="Electronics"/>
    <n v="300"/>
    <n v="459"/>
    <n v="300"/>
    <n v="159"/>
    <x v="3"/>
  </r>
  <r>
    <s v="ORD52070"/>
    <d v="2025-04-09T00:00:00"/>
    <s v="Mall of the Emirates"/>
    <s v="P203"/>
    <n v="4"/>
    <n v="349"/>
    <x v="5"/>
    <x v="21"/>
    <s v="Home &amp; Kitchen"/>
    <n v="170"/>
    <n v="1116.8"/>
    <n v="680"/>
    <n v="436.79999999999995"/>
    <x v="3"/>
  </r>
  <r>
    <s v="ORD52194"/>
    <d v="2025-04-09T00:00:00"/>
    <s v="Dubai Mall"/>
    <s v="P102"/>
    <n v="2"/>
    <n v="249"/>
    <x v="4"/>
    <x v="13"/>
    <s v="Electronics"/>
    <n v="150"/>
    <n v="348.59999999999997"/>
    <n v="300"/>
    <n v="48.599999999999966"/>
    <x v="3"/>
  </r>
  <r>
    <s v="ORD52256"/>
    <d v="2025-04-09T00:00:00"/>
    <s v="Online"/>
    <s v="P505"/>
    <n v="2"/>
    <n v="99"/>
    <x v="5"/>
    <x v="11"/>
    <s v="Sports"/>
    <n v="45"/>
    <n v="158.4"/>
    <n v="90"/>
    <n v="68.400000000000006"/>
    <x v="3"/>
  </r>
  <r>
    <s v="ORD52346"/>
    <d v="2025-04-09T00:00:00"/>
    <s v="City Centre Deira"/>
    <s v="P405"/>
    <n v="1"/>
    <n v="89"/>
    <x v="3"/>
    <x v="24"/>
    <s v="Beauty"/>
    <n v="40"/>
    <n v="89"/>
    <n v="40"/>
    <n v="49"/>
    <x v="3"/>
  </r>
  <r>
    <s v="ORD52461"/>
    <d v="2025-04-09T00:00:00"/>
    <s v="City Centre Deira"/>
    <s v="P401"/>
    <n v="1"/>
    <n v="549"/>
    <x v="2"/>
    <x v="15"/>
    <s v="Beauty"/>
    <n v="250"/>
    <n v="494.1"/>
    <n v="250"/>
    <n v="244.10000000000002"/>
    <x v="3"/>
  </r>
  <r>
    <s v="ORD52687"/>
    <d v="2025-04-09T00:00:00"/>
    <s v="City Centre Deira"/>
    <s v="P406"/>
    <n v="2"/>
    <n v="199"/>
    <x v="0"/>
    <x v="4"/>
    <s v="Beauty"/>
    <n v="90"/>
    <n v="338.3"/>
    <n v="180"/>
    <n v="158.30000000000001"/>
    <x v="3"/>
  </r>
  <r>
    <s v="ORD53190"/>
    <d v="2025-04-09T00:00:00"/>
    <s v="Online"/>
    <s v="P206"/>
    <n v="1"/>
    <n v="129"/>
    <x v="2"/>
    <x v="28"/>
    <s v="Home &amp; Kitchen"/>
    <n v="60"/>
    <n v="116.10000000000001"/>
    <n v="60"/>
    <n v="56.100000000000009"/>
    <x v="3"/>
  </r>
  <r>
    <s v="ORD54075"/>
    <d v="2025-04-09T00:00:00"/>
    <s v="Mall of the Emirates"/>
    <s v="P102"/>
    <n v="3"/>
    <n v="249"/>
    <x v="3"/>
    <x v="13"/>
    <s v="Electronics"/>
    <n v="150"/>
    <n v="747"/>
    <n v="450"/>
    <n v="297"/>
    <x v="3"/>
  </r>
  <r>
    <s v="ORD50560"/>
    <d v="2025-04-10T00:00:00"/>
    <s v="Dubai Mall"/>
    <s v="P103"/>
    <n v="4"/>
    <n v="1299"/>
    <x v="1"/>
    <x v="25"/>
    <s v="Electronics"/>
    <n v="820"/>
    <n v="4936.2"/>
    <n v="3280"/>
    <n v="1656.1999999999998"/>
    <x v="3"/>
  </r>
  <r>
    <s v="ORD51224"/>
    <d v="2025-04-10T00:00:00"/>
    <s v="Online"/>
    <s v="P102"/>
    <n v="1"/>
    <n v="249"/>
    <x v="2"/>
    <x v="13"/>
    <s v="Electronics"/>
    <n v="150"/>
    <n v="224.1"/>
    <n v="150"/>
    <n v="74.099999999999994"/>
    <x v="3"/>
  </r>
  <r>
    <s v="ORD52418"/>
    <d v="2025-04-10T00:00:00"/>
    <s v="Dubai Mall"/>
    <s v="P106"/>
    <n v="1"/>
    <n v="149"/>
    <x v="3"/>
    <x v="30"/>
    <s v="Electronics"/>
    <n v="70"/>
    <n v="149"/>
    <n v="70"/>
    <n v="79"/>
    <x v="3"/>
  </r>
  <r>
    <s v="ORD52525"/>
    <d v="2025-04-10T00:00:00"/>
    <s v="Online"/>
    <s v="P405"/>
    <n v="1"/>
    <n v="89"/>
    <x v="2"/>
    <x v="24"/>
    <s v="Beauty"/>
    <n v="40"/>
    <n v="80.100000000000009"/>
    <n v="40"/>
    <n v="40.100000000000009"/>
    <x v="3"/>
  </r>
  <r>
    <s v="ORD52568"/>
    <d v="2025-04-10T00:00:00"/>
    <s v="Dubai Mall"/>
    <s v="P205"/>
    <n v="2"/>
    <n v="289"/>
    <x v="3"/>
    <x v="9"/>
    <s v="Home &amp; Kitchen"/>
    <n v="140"/>
    <n v="578"/>
    <n v="280"/>
    <n v="298"/>
    <x v="3"/>
  </r>
  <r>
    <s v="ORD52778"/>
    <d v="2025-04-10T00:00:00"/>
    <s v="City Centre Deira"/>
    <s v="P107"/>
    <n v="2"/>
    <n v="89"/>
    <x v="0"/>
    <x v="29"/>
    <s v="Electronics"/>
    <n v="35"/>
    <n v="151.29999999999998"/>
    <n v="70"/>
    <n v="81.299999999999983"/>
    <x v="3"/>
  </r>
  <r>
    <s v="ORD52883"/>
    <d v="2025-04-10T00:00:00"/>
    <s v="City Centre Deira"/>
    <s v="P102"/>
    <n v="2"/>
    <n v="249"/>
    <x v="4"/>
    <x v="13"/>
    <s v="Electronics"/>
    <n v="150"/>
    <n v="348.59999999999997"/>
    <n v="300"/>
    <n v="48.599999999999966"/>
    <x v="3"/>
  </r>
  <r>
    <s v="ORD52891"/>
    <d v="2025-04-10T00:00:00"/>
    <s v="Online"/>
    <s v="P205"/>
    <n v="2"/>
    <n v="289"/>
    <x v="1"/>
    <x v="9"/>
    <s v="Home &amp; Kitchen"/>
    <n v="140"/>
    <n v="549.1"/>
    <n v="280"/>
    <n v="269.10000000000002"/>
    <x v="3"/>
  </r>
  <r>
    <s v="ORD53580"/>
    <d v="2025-04-10T00:00:00"/>
    <s v="Mall of the Emirates"/>
    <s v="P107"/>
    <n v="4"/>
    <n v="89"/>
    <x v="5"/>
    <x v="29"/>
    <s v="Electronics"/>
    <n v="35"/>
    <n v="284.8"/>
    <n v="140"/>
    <n v="144.80000000000001"/>
    <x v="3"/>
  </r>
  <r>
    <s v="ORD53653"/>
    <d v="2025-04-10T00:00:00"/>
    <s v="City Centre Deira"/>
    <s v="P106"/>
    <n v="2"/>
    <n v="149"/>
    <x v="3"/>
    <x v="30"/>
    <s v="Electronics"/>
    <n v="70"/>
    <n v="298"/>
    <n v="140"/>
    <n v="158"/>
    <x v="3"/>
  </r>
  <r>
    <s v="ORD53984"/>
    <d v="2025-04-10T00:00:00"/>
    <s v="City Centre Deira"/>
    <s v="P306"/>
    <n v="4"/>
    <n v="249"/>
    <x v="2"/>
    <x v="3"/>
    <s v="Fashion"/>
    <n v="95"/>
    <n v="896.4"/>
    <n v="380"/>
    <n v="516.4"/>
    <x v="3"/>
  </r>
  <r>
    <s v="ORD54127"/>
    <d v="2025-04-10T00:00:00"/>
    <s v="Dubai Mall"/>
    <s v="P402"/>
    <n v="2"/>
    <n v="149"/>
    <x v="3"/>
    <x v="17"/>
    <s v="Beauty"/>
    <n v="55"/>
    <n v="298"/>
    <n v="110"/>
    <n v="188"/>
    <x v="3"/>
  </r>
  <r>
    <s v="ORD50007"/>
    <d v="2025-04-11T00:00:00"/>
    <s v="City Centre Deira"/>
    <s v="P303"/>
    <n v="1"/>
    <n v="149"/>
    <x v="2"/>
    <x v="7"/>
    <s v="Fashion"/>
    <n v="80"/>
    <n v="134.1"/>
    <n v="80"/>
    <n v="54.099999999999994"/>
    <x v="3"/>
  </r>
  <r>
    <s v="ORD50484"/>
    <d v="2025-04-11T00:00:00"/>
    <s v="City Centre Deira"/>
    <s v="P307"/>
    <n v="1"/>
    <n v="399"/>
    <x v="3"/>
    <x v="20"/>
    <s v="Fashion"/>
    <n v="210"/>
    <n v="399"/>
    <n v="210"/>
    <n v="189"/>
    <x v="3"/>
  </r>
  <r>
    <s v="ORD50726"/>
    <d v="2025-04-11T00:00:00"/>
    <s v="Mall of the Emirates"/>
    <s v="P305"/>
    <n v="1"/>
    <n v="429"/>
    <x v="1"/>
    <x v="14"/>
    <s v="Fashion"/>
    <n v="300"/>
    <n v="407.54999999999995"/>
    <n v="300"/>
    <n v="107.54999999999995"/>
    <x v="3"/>
  </r>
  <r>
    <s v="ORD50871"/>
    <d v="2025-04-11T00:00:00"/>
    <s v="City Centre Deira"/>
    <s v="P504"/>
    <n v="1"/>
    <n v="2499"/>
    <x v="2"/>
    <x v="33"/>
    <s v="Sports"/>
    <n v="2150"/>
    <n v="2249.1"/>
    <n v="2150"/>
    <n v="99.099999999999909"/>
    <x v="3"/>
  </r>
  <r>
    <s v="ORD51256"/>
    <d v="2025-04-11T00:00:00"/>
    <s v="Dubai Mall"/>
    <s v="P402"/>
    <n v="1"/>
    <n v="149"/>
    <x v="3"/>
    <x v="17"/>
    <s v="Beauty"/>
    <n v="55"/>
    <n v="149"/>
    <n v="55"/>
    <n v="94"/>
    <x v="3"/>
  </r>
  <r>
    <s v="ORD51756"/>
    <d v="2025-04-11T00:00:00"/>
    <s v="Online"/>
    <s v="P505"/>
    <n v="2"/>
    <n v="99"/>
    <x v="3"/>
    <x v="11"/>
    <s v="Sports"/>
    <n v="45"/>
    <n v="198"/>
    <n v="90"/>
    <n v="108"/>
    <x v="3"/>
  </r>
  <r>
    <s v="ORD52598"/>
    <d v="2025-04-11T00:00:00"/>
    <s v="Mall of the Emirates"/>
    <s v="P403"/>
    <n v="3"/>
    <n v="299"/>
    <x v="6"/>
    <x v="8"/>
    <s v="Beauty"/>
    <n v="240"/>
    <n v="672.75"/>
    <n v="720"/>
    <n v="-47.25"/>
    <x v="3"/>
  </r>
  <r>
    <s v="ORD52624"/>
    <d v="2025-04-11T00:00:00"/>
    <s v="City Centre Deira"/>
    <s v="P201"/>
    <n v="1"/>
    <n v="499"/>
    <x v="4"/>
    <x v="16"/>
    <s v="Home &amp; Kitchen"/>
    <n v="290"/>
    <n v="349.29999999999995"/>
    <n v="290"/>
    <n v="59.299999999999955"/>
    <x v="3"/>
  </r>
  <r>
    <s v="ORD52956"/>
    <d v="2025-04-11T00:00:00"/>
    <s v="Ibn Battuta Mall"/>
    <s v="P201"/>
    <n v="3"/>
    <n v="499"/>
    <x v="2"/>
    <x v="16"/>
    <s v="Home &amp; Kitchen"/>
    <n v="290"/>
    <n v="1347.3"/>
    <n v="870"/>
    <n v="477.29999999999995"/>
    <x v="3"/>
  </r>
  <r>
    <s v="ORD53307"/>
    <d v="2025-04-11T00:00:00"/>
    <s v="Ibn Battuta Mall"/>
    <s v="P308"/>
    <n v="1"/>
    <n v="229"/>
    <x v="4"/>
    <x v="0"/>
    <s v="Fashion"/>
    <n v="120"/>
    <n v="160.29999999999998"/>
    <n v="120"/>
    <n v="40.299999999999983"/>
    <x v="3"/>
  </r>
  <r>
    <s v="ORD53378"/>
    <d v="2025-04-11T00:00:00"/>
    <s v="Mall of the Emirates"/>
    <s v="P505"/>
    <n v="1"/>
    <n v="99"/>
    <x v="2"/>
    <x v="11"/>
    <s v="Sports"/>
    <n v="45"/>
    <n v="89.100000000000009"/>
    <n v="45"/>
    <n v="44.100000000000009"/>
    <x v="3"/>
  </r>
  <r>
    <s v="ORD53561"/>
    <d v="2025-04-11T00:00:00"/>
    <s v="City Centre Deira"/>
    <s v="P306"/>
    <n v="1"/>
    <n v="249"/>
    <x v="3"/>
    <x v="3"/>
    <s v="Fashion"/>
    <n v="95"/>
    <n v="249"/>
    <n v="95"/>
    <n v="154"/>
    <x v="3"/>
  </r>
  <r>
    <s v="ORD54112"/>
    <d v="2025-04-11T00:00:00"/>
    <s v="Dubai Mall"/>
    <s v="P502"/>
    <n v="2"/>
    <n v="799"/>
    <x v="6"/>
    <x v="19"/>
    <s v="Sports"/>
    <n v="700"/>
    <n v="1198.5"/>
    <n v="1400"/>
    <n v="-201.5"/>
    <x v="3"/>
  </r>
  <r>
    <s v="ORD50081"/>
    <d v="2025-04-12T00:00:00"/>
    <s v="Online"/>
    <s v="P308"/>
    <n v="1"/>
    <n v="229"/>
    <x v="2"/>
    <x v="0"/>
    <s v="Fashion"/>
    <n v="120"/>
    <n v="206.1"/>
    <n v="120"/>
    <n v="86.1"/>
    <x v="3"/>
  </r>
  <r>
    <s v="ORD50359"/>
    <d v="2025-04-12T00:00:00"/>
    <s v="City Centre Deira"/>
    <s v="P402"/>
    <n v="1"/>
    <n v="149"/>
    <x v="3"/>
    <x v="17"/>
    <s v="Beauty"/>
    <n v="55"/>
    <n v="149"/>
    <n v="55"/>
    <n v="94"/>
    <x v="3"/>
  </r>
  <r>
    <s v="ORD51120"/>
    <d v="2025-04-12T00:00:00"/>
    <s v="City Centre Deira"/>
    <s v="P301"/>
    <n v="3"/>
    <n v="179"/>
    <x v="3"/>
    <x v="2"/>
    <s v="Fashion"/>
    <n v="70"/>
    <n v="537"/>
    <n v="210"/>
    <n v="327"/>
    <x v="3"/>
  </r>
  <r>
    <s v="ORD51206"/>
    <d v="2025-04-12T00:00:00"/>
    <s v="Dubai Mall"/>
    <s v="P107"/>
    <n v="2"/>
    <n v="89"/>
    <x v="3"/>
    <x v="29"/>
    <s v="Electronics"/>
    <n v="35"/>
    <n v="178"/>
    <n v="70"/>
    <n v="108"/>
    <x v="3"/>
  </r>
  <r>
    <s v="ORD51212"/>
    <d v="2025-04-12T00:00:00"/>
    <s v="Mall of the Emirates"/>
    <s v="P506"/>
    <n v="1"/>
    <n v="69"/>
    <x v="3"/>
    <x v="34"/>
    <s v="Sports"/>
    <n v="25"/>
    <n v="69"/>
    <n v="25"/>
    <n v="44"/>
    <x v="3"/>
  </r>
  <r>
    <s v="ORD51281"/>
    <d v="2025-04-12T00:00:00"/>
    <s v="Ibn Battuta Mall"/>
    <s v="P402"/>
    <n v="1"/>
    <n v="149"/>
    <x v="1"/>
    <x v="17"/>
    <s v="Beauty"/>
    <n v="55"/>
    <n v="141.54999999999998"/>
    <n v="55"/>
    <n v="86.549999999999983"/>
    <x v="3"/>
  </r>
  <r>
    <s v="ORD51895"/>
    <d v="2025-04-12T00:00:00"/>
    <s v="Mall of the Emirates"/>
    <s v="P201"/>
    <n v="4"/>
    <n v="499"/>
    <x v="2"/>
    <x v="16"/>
    <s v="Home &amp; Kitchen"/>
    <n v="290"/>
    <n v="1796.4"/>
    <n v="1160"/>
    <n v="636.40000000000009"/>
    <x v="3"/>
  </r>
  <r>
    <s v="ORD51923"/>
    <d v="2025-04-12T00:00:00"/>
    <s v="Online"/>
    <s v="P202"/>
    <n v="4"/>
    <n v="1499"/>
    <x v="4"/>
    <x v="26"/>
    <s v="Home &amp; Kitchen"/>
    <n v="1050"/>
    <n v="4197.2"/>
    <n v="4200"/>
    <n v="-2.8000000000001819"/>
    <x v="3"/>
  </r>
  <r>
    <s v="ORD51986"/>
    <d v="2025-04-12T00:00:00"/>
    <s v="Online"/>
    <s v="P107"/>
    <n v="2"/>
    <n v="89"/>
    <x v="1"/>
    <x v="29"/>
    <s v="Electronics"/>
    <n v="35"/>
    <n v="169.1"/>
    <n v="70"/>
    <n v="99.1"/>
    <x v="3"/>
  </r>
  <r>
    <s v="ORD52033"/>
    <d v="2025-04-12T00:00:00"/>
    <s v="Mall of the Emirates"/>
    <s v="P203"/>
    <n v="3"/>
    <n v="349"/>
    <x v="3"/>
    <x v="21"/>
    <s v="Home &amp; Kitchen"/>
    <n v="170"/>
    <n v="1047"/>
    <n v="510"/>
    <n v="537"/>
    <x v="3"/>
  </r>
  <r>
    <s v="ORD52651"/>
    <d v="2025-04-12T00:00:00"/>
    <s v="Dubai Mall"/>
    <s v="P307"/>
    <n v="1"/>
    <n v="399"/>
    <x v="4"/>
    <x v="20"/>
    <s v="Fashion"/>
    <n v="210"/>
    <n v="279.29999999999995"/>
    <n v="210"/>
    <n v="69.299999999999955"/>
    <x v="3"/>
  </r>
  <r>
    <s v="ORD53032"/>
    <d v="2025-04-12T00:00:00"/>
    <s v="Dubai Mall"/>
    <s v="P401"/>
    <n v="1"/>
    <n v="549"/>
    <x v="3"/>
    <x v="15"/>
    <s v="Beauty"/>
    <n v="250"/>
    <n v="549"/>
    <n v="250"/>
    <n v="299"/>
    <x v="3"/>
  </r>
  <r>
    <s v="ORD53324"/>
    <d v="2025-04-12T00:00:00"/>
    <s v="Mall of the Emirates"/>
    <s v="P104"/>
    <n v="2"/>
    <n v="199"/>
    <x v="2"/>
    <x v="1"/>
    <s v="Electronics"/>
    <n v="175"/>
    <n v="358.2"/>
    <n v="350"/>
    <n v="8.1999999999999886"/>
    <x v="3"/>
  </r>
  <r>
    <s v="ORD53373"/>
    <d v="2025-04-12T00:00:00"/>
    <s v="Mall of the Emirates"/>
    <s v="P303"/>
    <n v="3"/>
    <n v="149"/>
    <x v="3"/>
    <x v="7"/>
    <s v="Fashion"/>
    <n v="80"/>
    <n v="447"/>
    <n v="240"/>
    <n v="207"/>
    <x v="3"/>
  </r>
  <r>
    <s v="ORD53635"/>
    <d v="2025-04-12T00:00:00"/>
    <s v="Dubai Mall"/>
    <s v="P305"/>
    <n v="1"/>
    <n v="429"/>
    <x v="3"/>
    <x v="14"/>
    <s v="Fashion"/>
    <n v="300"/>
    <n v="429"/>
    <n v="300"/>
    <n v="129"/>
    <x v="3"/>
  </r>
  <r>
    <s v="ORD50055"/>
    <d v="2025-04-13T00:00:00"/>
    <s v="Dubai Mall"/>
    <s v="P404"/>
    <n v="2"/>
    <n v="189"/>
    <x v="0"/>
    <x v="6"/>
    <s v="Beauty"/>
    <n v="85"/>
    <n v="321.3"/>
    <n v="170"/>
    <n v="151.30000000000001"/>
    <x v="3"/>
  </r>
  <r>
    <s v="ORD50072"/>
    <d v="2025-04-13T00:00:00"/>
    <s v="Dubai Mall"/>
    <s v="P208"/>
    <n v="1"/>
    <n v="259"/>
    <x v="3"/>
    <x v="22"/>
    <s v="Home &amp; Kitchen"/>
    <n v="115"/>
    <n v="259"/>
    <n v="115"/>
    <n v="144"/>
    <x v="3"/>
  </r>
  <r>
    <s v="ORD50575"/>
    <d v="2025-04-13T00:00:00"/>
    <s v="Dubai Mall"/>
    <s v="P308"/>
    <n v="1"/>
    <n v="229"/>
    <x v="3"/>
    <x v="0"/>
    <s v="Fashion"/>
    <n v="120"/>
    <n v="229"/>
    <n v="120"/>
    <n v="109"/>
    <x v="3"/>
  </r>
  <r>
    <s v="ORD50849"/>
    <d v="2025-04-13T00:00:00"/>
    <s v="Online"/>
    <s v="P506"/>
    <n v="2"/>
    <n v="69"/>
    <x v="2"/>
    <x v="34"/>
    <s v="Sports"/>
    <n v="25"/>
    <n v="124.2"/>
    <n v="50"/>
    <n v="74.2"/>
    <x v="3"/>
  </r>
  <r>
    <s v="ORD51819"/>
    <d v="2025-04-13T00:00:00"/>
    <s v="Online"/>
    <s v="P301"/>
    <n v="1"/>
    <n v="179"/>
    <x v="1"/>
    <x v="2"/>
    <s v="Fashion"/>
    <n v="70"/>
    <n v="170.04999999999998"/>
    <n v="70"/>
    <n v="100.04999999999998"/>
    <x v="3"/>
  </r>
  <r>
    <s v="ORD52403"/>
    <d v="2025-04-13T00:00:00"/>
    <s v="Online"/>
    <s v="P201"/>
    <n v="1"/>
    <n v="499"/>
    <x v="1"/>
    <x v="16"/>
    <s v="Home &amp; Kitchen"/>
    <n v="290"/>
    <n v="474.04999999999995"/>
    <n v="290"/>
    <n v="184.04999999999995"/>
    <x v="3"/>
  </r>
  <r>
    <s v="ORD52743"/>
    <d v="2025-04-13T00:00:00"/>
    <s v="Online"/>
    <s v="P403"/>
    <n v="1"/>
    <n v="299"/>
    <x v="6"/>
    <x v="8"/>
    <s v="Beauty"/>
    <n v="240"/>
    <n v="224.25"/>
    <n v="240"/>
    <n v="-15.75"/>
    <x v="3"/>
  </r>
  <r>
    <s v="ORD52812"/>
    <d v="2025-04-13T00:00:00"/>
    <s v="Dubai Mall"/>
    <s v="P402"/>
    <n v="1"/>
    <n v="149"/>
    <x v="3"/>
    <x v="17"/>
    <s v="Beauty"/>
    <n v="55"/>
    <n v="149"/>
    <n v="55"/>
    <n v="94"/>
    <x v="3"/>
  </r>
  <r>
    <s v="ORD52821"/>
    <d v="2025-04-13T00:00:00"/>
    <s v="Mall of the Emirates"/>
    <s v="P405"/>
    <n v="1"/>
    <n v="89"/>
    <x v="2"/>
    <x v="24"/>
    <s v="Beauty"/>
    <n v="40"/>
    <n v="80.100000000000009"/>
    <n v="40"/>
    <n v="40.100000000000009"/>
    <x v="3"/>
  </r>
  <r>
    <s v="ORD53017"/>
    <d v="2025-04-13T00:00:00"/>
    <s v="Mall of the Emirates"/>
    <s v="P207"/>
    <n v="3"/>
    <n v="399"/>
    <x v="0"/>
    <x v="32"/>
    <s v="Home &amp; Kitchen"/>
    <n v="250"/>
    <n v="1017.4499999999999"/>
    <n v="750"/>
    <n v="267.44999999999993"/>
    <x v="3"/>
  </r>
  <r>
    <s v="ORD53057"/>
    <d v="2025-04-13T00:00:00"/>
    <s v="Online"/>
    <s v="P301"/>
    <n v="3"/>
    <n v="179"/>
    <x v="5"/>
    <x v="2"/>
    <s v="Fashion"/>
    <n v="70"/>
    <n v="429.6"/>
    <n v="210"/>
    <n v="219.60000000000002"/>
    <x v="3"/>
  </r>
  <r>
    <s v="ORD53646"/>
    <d v="2025-04-13T00:00:00"/>
    <s v="Mall of the Emirates"/>
    <s v="P303"/>
    <n v="1"/>
    <n v="149"/>
    <x v="5"/>
    <x v="7"/>
    <s v="Fashion"/>
    <n v="80"/>
    <n v="119.2"/>
    <n v="80"/>
    <n v="39.200000000000003"/>
    <x v="3"/>
  </r>
  <r>
    <s v="ORD50272"/>
    <d v="2025-04-14T00:00:00"/>
    <s v="Dubai Mall"/>
    <s v="P302"/>
    <n v="2"/>
    <n v="459"/>
    <x v="3"/>
    <x v="10"/>
    <s v="Fashion"/>
    <n v="190"/>
    <n v="918"/>
    <n v="380"/>
    <n v="538"/>
    <x v="3"/>
  </r>
  <r>
    <s v="ORD50570"/>
    <d v="2025-04-14T00:00:00"/>
    <s v="City Centre Deira"/>
    <s v="P307"/>
    <n v="3"/>
    <n v="399"/>
    <x v="2"/>
    <x v="20"/>
    <s v="Fashion"/>
    <n v="210"/>
    <n v="1077.3"/>
    <n v="630"/>
    <n v="447.29999999999995"/>
    <x v="3"/>
  </r>
  <r>
    <s v="ORD50607"/>
    <d v="2025-04-14T00:00:00"/>
    <s v="Ibn Battuta Mall"/>
    <s v="P105"/>
    <n v="2"/>
    <n v="899"/>
    <x v="3"/>
    <x v="31"/>
    <s v="Electronics"/>
    <n v="610"/>
    <n v="1798"/>
    <n v="1220"/>
    <n v="578"/>
    <x v="3"/>
  </r>
  <r>
    <s v="ORD50750"/>
    <d v="2025-04-14T00:00:00"/>
    <s v="Dubai Mall"/>
    <s v="P108"/>
    <n v="4"/>
    <n v="459"/>
    <x v="5"/>
    <x v="23"/>
    <s v="Electronics"/>
    <n v="300"/>
    <n v="1468.8000000000002"/>
    <n v="1200"/>
    <n v="268.80000000000018"/>
    <x v="3"/>
  </r>
  <r>
    <s v="ORD52043"/>
    <d v="2025-04-14T00:00:00"/>
    <s v="City Centre Deira"/>
    <s v="P102"/>
    <n v="1"/>
    <n v="249"/>
    <x v="3"/>
    <x v="13"/>
    <s v="Electronics"/>
    <n v="150"/>
    <n v="249"/>
    <n v="150"/>
    <n v="99"/>
    <x v="3"/>
  </r>
  <r>
    <s v="ORD52219"/>
    <d v="2025-04-14T00:00:00"/>
    <s v="Mall of the Emirates"/>
    <s v="P104"/>
    <n v="4"/>
    <n v="199"/>
    <x v="2"/>
    <x v="1"/>
    <s v="Electronics"/>
    <n v="175"/>
    <n v="716.4"/>
    <n v="700"/>
    <n v="16.399999999999977"/>
    <x v="3"/>
  </r>
  <r>
    <s v="ORD52240"/>
    <d v="2025-04-14T00:00:00"/>
    <s v="Online"/>
    <s v="P401"/>
    <n v="1"/>
    <n v="549"/>
    <x v="3"/>
    <x v="15"/>
    <s v="Beauty"/>
    <n v="250"/>
    <n v="549"/>
    <n v="250"/>
    <n v="299"/>
    <x v="3"/>
  </r>
  <r>
    <s v="ORD52304"/>
    <d v="2025-04-14T00:00:00"/>
    <s v="Dubai Mall"/>
    <s v="P403"/>
    <n v="1"/>
    <n v="299"/>
    <x v="2"/>
    <x v="8"/>
    <s v="Beauty"/>
    <n v="240"/>
    <n v="269.10000000000002"/>
    <n v="240"/>
    <n v="29.100000000000023"/>
    <x v="3"/>
  </r>
  <r>
    <s v="ORD52869"/>
    <d v="2025-04-14T00:00:00"/>
    <s v="City Centre Deira"/>
    <s v="P403"/>
    <n v="1"/>
    <n v="299"/>
    <x v="2"/>
    <x v="8"/>
    <s v="Beauty"/>
    <n v="240"/>
    <n v="269.10000000000002"/>
    <n v="240"/>
    <n v="29.100000000000023"/>
    <x v="3"/>
  </r>
  <r>
    <s v="ORD52954"/>
    <d v="2025-04-14T00:00:00"/>
    <s v="Online"/>
    <s v="P404"/>
    <n v="2"/>
    <n v="189"/>
    <x v="3"/>
    <x v="6"/>
    <s v="Beauty"/>
    <n v="85"/>
    <n v="378"/>
    <n v="170"/>
    <n v="208"/>
    <x v="3"/>
  </r>
  <r>
    <s v="ORD52979"/>
    <d v="2025-04-14T00:00:00"/>
    <s v="Dubai Mall"/>
    <s v="P506"/>
    <n v="1"/>
    <n v="69"/>
    <x v="3"/>
    <x v="34"/>
    <s v="Sports"/>
    <n v="25"/>
    <n v="69"/>
    <n v="25"/>
    <n v="44"/>
    <x v="3"/>
  </r>
  <r>
    <s v="ORD53177"/>
    <d v="2025-04-14T00:00:00"/>
    <s v="Mall of the Emirates"/>
    <s v="P106"/>
    <n v="2"/>
    <n v="149"/>
    <x v="1"/>
    <x v="30"/>
    <s v="Electronics"/>
    <n v="70"/>
    <n v="283.09999999999997"/>
    <n v="140"/>
    <n v="143.09999999999997"/>
    <x v="3"/>
  </r>
  <r>
    <s v="ORD54178"/>
    <d v="2025-04-14T00:00:00"/>
    <s v="City Centre Deira"/>
    <s v="P404"/>
    <n v="1"/>
    <n v="189"/>
    <x v="3"/>
    <x v="6"/>
    <s v="Beauty"/>
    <n v="85"/>
    <n v="189"/>
    <n v="85"/>
    <n v="104"/>
    <x v="3"/>
  </r>
  <r>
    <s v="ORD50029"/>
    <d v="2025-04-15T00:00:00"/>
    <s v="Dubai Mall"/>
    <s v="P402"/>
    <n v="1"/>
    <n v="149"/>
    <x v="3"/>
    <x v="17"/>
    <s v="Beauty"/>
    <n v="55"/>
    <n v="149"/>
    <n v="55"/>
    <n v="94"/>
    <x v="3"/>
  </r>
  <r>
    <s v="ORD50061"/>
    <d v="2025-04-15T00:00:00"/>
    <s v="Online"/>
    <s v="P104"/>
    <n v="2"/>
    <n v="199"/>
    <x v="2"/>
    <x v="1"/>
    <s v="Electronics"/>
    <n v="175"/>
    <n v="358.2"/>
    <n v="350"/>
    <n v="8.1999999999999886"/>
    <x v="3"/>
  </r>
  <r>
    <s v="ORD50119"/>
    <d v="2025-04-15T00:00:00"/>
    <s v="Mall of the Emirates"/>
    <s v="P406"/>
    <n v="1"/>
    <n v="199"/>
    <x v="3"/>
    <x v="4"/>
    <s v="Beauty"/>
    <n v="90"/>
    <n v="199"/>
    <n v="90"/>
    <n v="109"/>
    <x v="3"/>
  </r>
  <r>
    <s v="ORD50256"/>
    <d v="2025-04-15T00:00:00"/>
    <s v="Mall of the Emirates"/>
    <s v="P304"/>
    <n v="1"/>
    <n v="699"/>
    <x v="3"/>
    <x v="35"/>
    <s v="Fashion"/>
    <n v="380"/>
    <n v="699"/>
    <n v="380"/>
    <n v="319"/>
    <x v="3"/>
  </r>
  <r>
    <s v="ORD50923"/>
    <d v="2025-04-15T00:00:00"/>
    <s v="Mall of the Emirates"/>
    <s v="P306"/>
    <n v="1"/>
    <n v="249"/>
    <x v="3"/>
    <x v="3"/>
    <s v="Fashion"/>
    <n v="95"/>
    <n v="249"/>
    <n v="95"/>
    <n v="154"/>
    <x v="3"/>
  </r>
  <r>
    <s v="ORD51108"/>
    <d v="2025-04-15T00:00:00"/>
    <s v="Mall of the Emirates"/>
    <s v="P204"/>
    <n v="1"/>
    <n v="1199"/>
    <x v="5"/>
    <x v="27"/>
    <s v="Home &amp; Kitchen"/>
    <n v="1080"/>
    <n v="959.2"/>
    <n v="1080"/>
    <n v="-120.79999999999995"/>
    <x v="3"/>
  </r>
  <r>
    <s v="ORD51260"/>
    <d v="2025-04-15T00:00:00"/>
    <s v="Online"/>
    <s v="P301"/>
    <n v="3"/>
    <n v="179"/>
    <x v="3"/>
    <x v="2"/>
    <s v="Fashion"/>
    <n v="70"/>
    <n v="537"/>
    <n v="210"/>
    <n v="327"/>
    <x v="3"/>
  </r>
  <r>
    <s v="ORD51261"/>
    <d v="2025-04-15T00:00:00"/>
    <s v="City Centre Deira"/>
    <s v="P106"/>
    <n v="1"/>
    <n v="149"/>
    <x v="3"/>
    <x v="30"/>
    <s v="Electronics"/>
    <n v="70"/>
    <n v="149"/>
    <n v="70"/>
    <n v="79"/>
    <x v="3"/>
  </r>
  <r>
    <s v="ORD51511"/>
    <d v="2025-04-15T00:00:00"/>
    <s v="Mall of the Emirates"/>
    <s v="P103"/>
    <n v="1"/>
    <n v="1299"/>
    <x v="2"/>
    <x v="25"/>
    <s v="Electronics"/>
    <n v="820"/>
    <n v="1169.1000000000001"/>
    <n v="820"/>
    <n v="349.10000000000014"/>
    <x v="3"/>
  </r>
  <r>
    <s v="ORD52162"/>
    <d v="2025-04-15T00:00:00"/>
    <s v="Online"/>
    <s v="P102"/>
    <n v="1"/>
    <n v="249"/>
    <x v="2"/>
    <x v="13"/>
    <s v="Electronics"/>
    <n v="150"/>
    <n v="224.1"/>
    <n v="150"/>
    <n v="74.099999999999994"/>
    <x v="3"/>
  </r>
  <r>
    <s v="ORD52653"/>
    <d v="2025-04-15T00:00:00"/>
    <s v="Online"/>
    <s v="P304"/>
    <n v="1"/>
    <n v="699"/>
    <x v="2"/>
    <x v="35"/>
    <s v="Fashion"/>
    <n v="380"/>
    <n v="629.1"/>
    <n v="380"/>
    <n v="249.10000000000002"/>
    <x v="3"/>
  </r>
  <r>
    <s v="ORD52776"/>
    <d v="2025-04-15T00:00:00"/>
    <s v="City Centre Deira"/>
    <s v="P303"/>
    <n v="2"/>
    <n v="149"/>
    <x v="3"/>
    <x v="7"/>
    <s v="Fashion"/>
    <n v="80"/>
    <n v="298"/>
    <n v="160"/>
    <n v="138"/>
    <x v="3"/>
  </r>
  <r>
    <s v="ORD52826"/>
    <d v="2025-04-15T00:00:00"/>
    <s v="Dubai Mall"/>
    <s v="P206"/>
    <n v="1"/>
    <n v="129"/>
    <x v="1"/>
    <x v="28"/>
    <s v="Home &amp; Kitchen"/>
    <n v="60"/>
    <n v="122.55"/>
    <n v="60"/>
    <n v="62.55"/>
    <x v="3"/>
  </r>
  <r>
    <s v="ORD52959"/>
    <d v="2025-04-15T00:00:00"/>
    <s v="Ibn Battuta Mall"/>
    <s v="P107"/>
    <n v="4"/>
    <n v="89"/>
    <x v="0"/>
    <x v="29"/>
    <s v="Electronics"/>
    <n v="35"/>
    <n v="302.59999999999997"/>
    <n v="140"/>
    <n v="162.59999999999997"/>
    <x v="3"/>
  </r>
  <r>
    <s v="ORD53188"/>
    <d v="2025-04-15T00:00:00"/>
    <s v="Ibn Battuta Mall"/>
    <s v="P202"/>
    <n v="1"/>
    <n v="1499"/>
    <x v="1"/>
    <x v="26"/>
    <s v="Home &amp; Kitchen"/>
    <n v="1050"/>
    <n v="1424.05"/>
    <n v="1050"/>
    <n v="374.04999999999995"/>
    <x v="3"/>
  </r>
  <r>
    <s v="ORD53937"/>
    <d v="2025-04-15T00:00:00"/>
    <s v="Online"/>
    <s v="P105"/>
    <n v="3"/>
    <n v="899"/>
    <x v="3"/>
    <x v="31"/>
    <s v="Electronics"/>
    <n v="610"/>
    <n v="2697"/>
    <n v="1830"/>
    <n v="867"/>
    <x v="3"/>
  </r>
  <r>
    <s v="ORD54097"/>
    <d v="2025-04-15T00:00:00"/>
    <s v="City Centre Deira"/>
    <s v="P206"/>
    <n v="1"/>
    <n v="129"/>
    <x v="3"/>
    <x v="28"/>
    <s v="Home &amp; Kitchen"/>
    <n v="60"/>
    <n v="129"/>
    <n v="60"/>
    <n v="69"/>
    <x v="3"/>
  </r>
  <r>
    <s v="ORD50628"/>
    <d v="2025-04-16T00:00:00"/>
    <s v="Online"/>
    <s v="P405"/>
    <n v="1"/>
    <n v="89"/>
    <x v="1"/>
    <x v="24"/>
    <s v="Beauty"/>
    <n v="40"/>
    <n v="84.55"/>
    <n v="40"/>
    <n v="44.55"/>
    <x v="3"/>
  </r>
  <r>
    <s v="ORD50712"/>
    <d v="2025-04-16T00:00:00"/>
    <s v="Mall of the Emirates"/>
    <s v="P106"/>
    <n v="2"/>
    <n v="149"/>
    <x v="2"/>
    <x v="30"/>
    <s v="Electronics"/>
    <n v="70"/>
    <n v="268.2"/>
    <n v="140"/>
    <n v="128.19999999999999"/>
    <x v="3"/>
  </r>
  <r>
    <s v="ORD50866"/>
    <d v="2025-04-16T00:00:00"/>
    <s v="Ibn Battuta Mall"/>
    <s v="P406"/>
    <n v="1"/>
    <n v="199"/>
    <x v="1"/>
    <x v="4"/>
    <s v="Beauty"/>
    <n v="90"/>
    <n v="189.04999999999998"/>
    <n v="90"/>
    <n v="99.049999999999983"/>
    <x v="3"/>
  </r>
  <r>
    <s v="ORD50912"/>
    <d v="2025-04-16T00:00:00"/>
    <s v="Ibn Battuta Mall"/>
    <s v="P207"/>
    <n v="2"/>
    <n v="399"/>
    <x v="5"/>
    <x v="32"/>
    <s v="Home &amp; Kitchen"/>
    <n v="250"/>
    <n v="638.40000000000009"/>
    <n v="500"/>
    <n v="138.40000000000009"/>
    <x v="3"/>
  </r>
  <r>
    <s v="ORD51074"/>
    <d v="2025-04-16T00:00:00"/>
    <s v="Dubai Mall"/>
    <s v="P403"/>
    <n v="1"/>
    <n v="299"/>
    <x v="0"/>
    <x v="8"/>
    <s v="Beauty"/>
    <n v="240"/>
    <n v="254.15"/>
    <n v="240"/>
    <n v="14.150000000000006"/>
    <x v="3"/>
  </r>
  <r>
    <s v="ORD51590"/>
    <d v="2025-04-16T00:00:00"/>
    <s v="Mall of the Emirates"/>
    <s v="P304"/>
    <n v="3"/>
    <n v="699"/>
    <x v="2"/>
    <x v="35"/>
    <s v="Fashion"/>
    <n v="380"/>
    <n v="1887.3"/>
    <n v="1140"/>
    <n v="747.3"/>
    <x v="3"/>
  </r>
  <r>
    <s v="ORD51668"/>
    <d v="2025-04-16T00:00:00"/>
    <s v="Online"/>
    <s v="P105"/>
    <n v="1"/>
    <n v="899"/>
    <x v="3"/>
    <x v="31"/>
    <s v="Electronics"/>
    <n v="610"/>
    <n v="899"/>
    <n v="610"/>
    <n v="289"/>
    <x v="3"/>
  </r>
  <r>
    <s v="ORD51880"/>
    <d v="2025-04-16T00:00:00"/>
    <s v="Mall of the Emirates"/>
    <s v="P303"/>
    <n v="1"/>
    <n v="149"/>
    <x v="3"/>
    <x v="7"/>
    <s v="Fashion"/>
    <n v="80"/>
    <n v="149"/>
    <n v="80"/>
    <n v="69"/>
    <x v="3"/>
  </r>
  <r>
    <s v="ORD51965"/>
    <d v="2025-04-16T00:00:00"/>
    <s v="Mall of the Emirates"/>
    <s v="P207"/>
    <n v="1"/>
    <n v="399"/>
    <x v="5"/>
    <x v="32"/>
    <s v="Home &amp; Kitchen"/>
    <n v="250"/>
    <n v="319.20000000000005"/>
    <n v="250"/>
    <n v="69.200000000000045"/>
    <x v="3"/>
  </r>
  <r>
    <s v="ORD52141"/>
    <d v="2025-04-16T00:00:00"/>
    <s v="City Centre Deira"/>
    <s v="P406"/>
    <n v="1"/>
    <n v="199"/>
    <x v="5"/>
    <x v="4"/>
    <s v="Beauty"/>
    <n v="90"/>
    <n v="159.20000000000002"/>
    <n v="90"/>
    <n v="69.200000000000017"/>
    <x v="3"/>
  </r>
  <r>
    <s v="ORD52578"/>
    <d v="2025-04-16T00:00:00"/>
    <s v="Mall of the Emirates"/>
    <s v="P403"/>
    <n v="1"/>
    <n v="299"/>
    <x v="6"/>
    <x v="8"/>
    <s v="Beauty"/>
    <n v="240"/>
    <n v="224.25"/>
    <n v="240"/>
    <n v="-15.75"/>
    <x v="3"/>
  </r>
  <r>
    <s v="ORD53087"/>
    <d v="2025-04-16T00:00:00"/>
    <s v="Dubai Mall"/>
    <s v="P205"/>
    <n v="1"/>
    <n v="289"/>
    <x v="3"/>
    <x v="9"/>
    <s v="Home &amp; Kitchen"/>
    <n v="140"/>
    <n v="289"/>
    <n v="140"/>
    <n v="149"/>
    <x v="3"/>
  </r>
  <r>
    <s v="ORD50288"/>
    <d v="2025-04-17T00:00:00"/>
    <s v="City Centre Deira"/>
    <s v="P308"/>
    <n v="4"/>
    <n v="229"/>
    <x v="0"/>
    <x v="0"/>
    <s v="Fashion"/>
    <n v="120"/>
    <n v="778.6"/>
    <n v="480"/>
    <n v="298.60000000000002"/>
    <x v="3"/>
  </r>
  <r>
    <s v="ORD50599"/>
    <d v="2025-04-17T00:00:00"/>
    <s v="City Centre Deira"/>
    <s v="P205"/>
    <n v="1"/>
    <n v="289"/>
    <x v="3"/>
    <x v="9"/>
    <s v="Home &amp; Kitchen"/>
    <n v="140"/>
    <n v="289"/>
    <n v="140"/>
    <n v="149"/>
    <x v="3"/>
  </r>
  <r>
    <s v="ORD50813"/>
    <d v="2025-04-17T00:00:00"/>
    <s v="Mall of the Emirates"/>
    <s v="P301"/>
    <n v="2"/>
    <n v="179"/>
    <x v="3"/>
    <x v="2"/>
    <s v="Fashion"/>
    <n v="70"/>
    <n v="358"/>
    <n v="140"/>
    <n v="218"/>
    <x v="3"/>
  </r>
  <r>
    <s v="ORD52185"/>
    <d v="2025-04-17T00:00:00"/>
    <s v="Online"/>
    <s v="P108"/>
    <n v="4"/>
    <n v="459"/>
    <x v="2"/>
    <x v="23"/>
    <s v="Electronics"/>
    <n v="300"/>
    <n v="1652.4"/>
    <n v="1200"/>
    <n v="452.40000000000009"/>
    <x v="3"/>
  </r>
  <r>
    <s v="ORD52887"/>
    <d v="2025-04-17T00:00:00"/>
    <s v="Ibn Battuta Mall"/>
    <s v="P201"/>
    <n v="1"/>
    <n v="499"/>
    <x v="3"/>
    <x v="16"/>
    <s v="Home &amp; Kitchen"/>
    <n v="290"/>
    <n v="499"/>
    <n v="290"/>
    <n v="209"/>
    <x v="3"/>
  </r>
  <r>
    <s v="ORD53219"/>
    <d v="2025-04-17T00:00:00"/>
    <s v="City Centre Deira"/>
    <s v="P308"/>
    <n v="1"/>
    <n v="229"/>
    <x v="1"/>
    <x v="0"/>
    <s v="Fashion"/>
    <n v="120"/>
    <n v="217.54999999999998"/>
    <n v="120"/>
    <n v="97.549999999999983"/>
    <x v="3"/>
  </r>
  <r>
    <s v="ORD53222"/>
    <d v="2025-04-17T00:00:00"/>
    <s v="Ibn Battuta Mall"/>
    <s v="P404"/>
    <n v="2"/>
    <n v="189"/>
    <x v="3"/>
    <x v="6"/>
    <s v="Beauty"/>
    <n v="85"/>
    <n v="378"/>
    <n v="170"/>
    <n v="208"/>
    <x v="3"/>
  </r>
  <r>
    <s v="ORD53355"/>
    <d v="2025-04-17T00:00:00"/>
    <s v="Ibn Battuta Mall"/>
    <s v="P105"/>
    <n v="2"/>
    <n v="899"/>
    <x v="5"/>
    <x v="31"/>
    <s v="Electronics"/>
    <n v="610"/>
    <n v="1438.4"/>
    <n v="1220"/>
    <n v="218.40000000000009"/>
    <x v="3"/>
  </r>
  <r>
    <s v="ORD53356"/>
    <d v="2025-04-17T00:00:00"/>
    <s v="Dubai Mall"/>
    <s v="P204"/>
    <n v="2"/>
    <n v="1199"/>
    <x v="5"/>
    <x v="27"/>
    <s v="Home &amp; Kitchen"/>
    <n v="1080"/>
    <n v="1918.4"/>
    <n v="2160"/>
    <n v="-241.59999999999991"/>
    <x v="3"/>
  </r>
  <r>
    <s v="ORD53955"/>
    <d v="2025-04-17T00:00:00"/>
    <s v="Mall of the Emirates"/>
    <s v="P203"/>
    <n v="4"/>
    <n v="349"/>
    <x v="3"/>
    <x v="21"/>
    <s v="Home &amp; Kitchen"/>
    <n v="170"/>
    <n v="1396"/>
    <n v="680"/>
    <n v="716"/>
    <x v="3"/>
  </r>
  <r>
    <s v="ORD54197"/>
    <d v="2025-04-17T00:00:00"/>
    <s v="Dubai Mall"/>
    <s v="P404"/>
    <n v="4"/>
    <n v="189"/>
    <x v="0"/>
    <x v="6"/>
    <s v="Beauty"/>
    <n v="85"/>
    <n v="642.6"/>
    <n v="340"/>
    <n v="302.60000000000002"/>
    <x v="3"/>
  </r>
  <r>
    <s v="ORD50701"/>
    <d v="2025-04-18T00:00:00"/>
    <s v="Online"/>
    <s v="P506"/>
    <n v="3"/>
    <n v="69"/>
    <x v="2"/>
    <x v="34"/>
    <s v="Sports"/>
    <n v="25"/>
    <n v="186.3"/>
    <n v="75"/>
    <n v="111.30000000000001"/>
    <x v="3"/>
  </r>
  <r>
    <s v="ORD50735"/>
    <d v="2025-04-18T00:00:00"/>
    <s v="Online"/>
    <s v="P406"/>
    <n v="1"/>
    <n v="199"/>
    <x v="0"/>
    <x v="4"/>
    <s v="Beauty"/>
    <n v="90"/>
    <n v="169.15"/>
    <n v="90"/>
    <n v="79.150000000000006"/>
    <x v="3"/>
  </r>
  <r>
    <s v="ORD51337"/>
    <d v="2025-04-18T00:00:00"/>
    <s v="Dubai Mall"/>
    <s v="P403"/>
    <n v="1"/>
    <n v="299"/>
    <x v="6"/>
    <x v="8"/>
    <s v="Beauty"/>
    <n v="240"/>
    <n v="224.25"/>
    <n v="240"/>
    <n v="-15.75"/>
    <x v="3"/>
  </r>
  <r>
    <s v="ORD51445"/>
    <d v="2025-04-18T00:00:00"/>
    <s v="Dubai Mall"/>
    <s v="P503"/>
    <n v="1"/>
    <n v="229"/>
    <x v="3"/>
    <x v="18"/>
    <s v="Sports"/>
    <n v="120"/>
    <n v="229"/>
    <n v="120"/>
    <n v="109"/>
    <x v="3"/>
  </r>
  <r>
    <s v="ORD51716"/>
    <d v="2025-04-18T00:00:00"/>
    <s v="Dubai Mall"/>
    <s v="P106"/>
    <n v="3"/>
    <n v="149"/>
    <x v="3"/>
    <x v="30"/>
    <s v="Electronics"/>
    <n v="70"/>
    <n v="447"/>
    <n v="210"/>
    <n v="237"/>
    <x v="3"/>
  </r>
  <r>
    <s v="ORD51795"/>
    <d v="2025-04-18T00:00:00"/>
    <s v="Mall of the Emirates"/>
    <s v="P303"/>
    <n v="1"/>
    <n v="149"/>
    <x v="3"/>
    <x v="7"/>
    <s v="Fashion"/>
    <n v="80"/>
    <n v="149"/>
    <n v="80"/>
    <n v="69"/>
    <x v="3"/>
  </r>
  <r>
    <s v="ORD52343"/>
    <d v="2025-04-18T00:00:00"/>
    <s v="Mall of the Emirates"/>
    <s v="P403"/>
    <n v="1"/>
    <n v="299"/>
    <x v="5"/>
    <x v="8"/>
    <s v="Beauty"/>
    <n v="240"/>
    <n v="239.20000000000002"/>
    <n v="240"/>
    <n v="-0.79999999999998295"/>
    <x v="3"/>
  </r>
  <r>
    <s v="ORD52484"/>
    <d v="2025-04-18T00:00:00"/>
    <s v="Mall of the Emirates"/>
    <s v="P405"/>
    <n v="2"/>
    <n v="89"/>
    <x v="4"/>
    <x v="24"/>
    <s v="Beauty"/>
    <n v="40"/>
    <n v="124.6"/>
    <n v="80"/>
    <n v="44.599999999999994"/>
    <x v="3"/>
  </r>
  <r>
    <s v="ORD53504"/>
    <d v="2025-04-18T00:00:00"/>
    <s v="Mall of the Emirates"/>
    <s v="P202"/>
    <n v="2"/>
    <n v="1499"/>
    <x v="3"/>
    <x v="26"/>
    <s v="Home &amp; Kitchen"/>
    <n v="1050"/>
    <n v="2998"/>
    <n v="2100"/>
    <n v="898"/>
    <x v="3"/>
  </r>
  <r>
    <s v="ORD53837"/>
    <d v="2025-04-18T00:00:00"/>
    <s v="Dubai Mall"/>
    <s v="P103"/>
    <n v="1"/>
    <n v="1299"/>
    <x v="1"/>
    <x v="25"/>
    <s v="Electronics"/>
    <n v="820"/>
    <n v="1234.05"/>
    <n v="820"/>
    <n v="414.04999999999995"/>
    <x v="3"/>
  </r>
  <r>
    <s v="ORD50398"/>
    <d v="2025-04-19T00:00:00"/>
    <s v="Dubai Mall"/>
    <s v="P305"/>
    <n v="2"/>
    <n v="429"/>
    <x v="3"/>
    <x v="14"/>
    <s v="Fashion"/>
    <n v="300"/>
    <n v="858"/>
    <n v="600"/>
    <n v="258"/>
    <x v="3"/>
  </r>
  <r>
    <s v="ORD50446"/>
    <d v="2025-04-19T00:00:00"/>
    <s v="Mall of the Emirates"/>
    <s v="P201"/>
    <n v="2"/>
    <n v="499"/>
    <x v="3"/>
    <x v="16"/>
    <s v="Home &amp; Kitchen"/>
    <n v="290"/>
    <n v="998"/>
    <n v="580"/>
    <n v="418"/>
    <x v="3"/>
  </r>
  <r>
    <s v="ORD50468"/>
    <d v="2025-04-19T00:00:00"/>
    <s v="Dubai Mall"/>
    <s v="P505"/>
    <n v="1"/>
    <n v="99"/>
    <x v="4"/>
    <x v="11"/>
    <s v="Sports"/>
    <n v="45"/>
    <n v="69.3"/>
    <n v="45"/>
    <n v="24.299999999999997"/>
    <x v="3"/>
  </r>
  <r>
    <s v="ORD50539"/>
    <d v="2025-04-19T00:00:00"/>
    <s v="Mall of the Emirates"/>
    <s v="P306"/>
    <n v="1"/>
    <n v="249"/>
    <x v="0"/>
    <x v="3"/>
    <s v="Fashion"/>
    <n v="95"/>
    <n v="211.65"/>
    <n v="95"/>
    <n v="116.65"/>
    <x v="3"/>
  </r>
  <r>
    <s v="ORD50658"/>
    <d v="2025-04-19T00:00:00"/>
    <s v="Mall of the Emirates"/>
    <s v="P103"/>
    <n v="2"/>
    <n v="1299"/>
    <x v="1"/>
    <x v="25"/>
    <s v="Electronics"/>
    <n v="820"/>
    <n v="2468.1"/>
    <n v="1640"/>
    <n v="828.09999999999991"/>
    <x v="3"/>
  </r>
  <r>
    <s v="ORD51556"/>
    <d v="2025-04-19T00:00:00"/>
    <s v="Online"/>
    <s v="P308"/>
    <n v="2"/>
    <n v="229"/>
    <x v="3"/>
    <x v="0"/>
    <s v="Fashion"/>
    <n v="120"/>
    <n v="458"/>
    <n v="240"/>
    <n v="218"/>
    <x v="3"/>
  </r>
  <r>
    <s v="ORD51645"/>
    <d v="2025-04-19T00:00:00"/>
    <s v="Ibn Battuta Mall"/>
    <s v="P205"/>
    <n v="2"/>
    <n v="289"/>
    <x v="2"/>
    <x v="9"/>
    <s v="Home &amp; Kitchen"/>
    <n v="140"/>
    <n v="520.20000000000005"/>
    <n v="280"/>
    <n v="240.20000000000005"/>
    <x v="3"/>
  </r>
  <r>
    <s v="ORD51931"/>
    <d v="2025-04-19T00:00:00"/>
    <s v="Mall of the Emirates"/>
    <s v="P301"/>
    <n v="3"/>
    <n v="179"/>
    <x v="3"/>
    <x v="2"/>
    <s v="Fashion"/>
    <n v="70"/>
    <n v="537"/>
    <n v="210"/>
    <n v="327"/>
    <x v="3"/>
  </r>
  <r>
    <s v="ORD51955"/>
    <d v="2025-04-19T00:00:00"/>
    <s v="Mall of the Emirates"/>
    <s v="P406"/>
    <n v="1"/>
    <n v="199"/>
    <x v="3"/>
    <x v="4"/>
    <s v="Beauty"/>
    <n v="90"/>
    <n v="199"/>
    <n v="90"/>
    <n v="109"/>
    <x v="3"/>
  </r>
  <r>
    <s v="ORD52440"/>
    <d v="2025-04-19T00:00:00"/>
    <s v="Dubai Mall"/>
    <s v="P206"/>
    <n v="1"/>
    <n v="129"/>
    <x v="3"/>
    <x v="28"/>
    <s v="Home &amp; Kitchen"/>
    <n v="60"/>
    <n v="129"/>
    <n v="60"/>
    <n v="69"/>
    <x v="3"/>
  </r>
  <r>
    <s v="ORD52447"/>
    <d v="2025-04-19T00:00:00"/>
    <s v="Dubai Mall"/>
    <s v="P106"/>
    <n v="1"/>
    <n v="149"/>
    <x v="1"/>
    <x v="30"/>
    <s v="Electronics"/>
    <n v="70"/>
    <n v="141.54999999999998"/>
    <n v="70"/>
    <n v="71.549999999999983"/>
    <x v="3"/>
  </r>
  <r>
    <s v="ORD52501"/>
    <d v="2025-04-19T00:00:00"/>
    <s v="Mall of the Emirates"/>
    <s v="P103"/>
    <n v="1"/>
    <n v="1299"/>
    <x v="2"/>
    <x v="25"/>
    <s v="Electronics"/>
    <n v="820"/>
    <n v="1169.1000000000001"/>
    <n v="820"/>
    <n v="349.10000000000014"/>
    <x v="3"/>
  </r>
  <r>
    <s v="ORD53239"/>
    <d v="2025-04-19T00:00:00"/>
    <s v="Dubai Mall"/>
    <s v="P501"/>
    <n v="1"/>
    <n v="129"/>
    <x v="3"/>
    <x v="12"/>
    <s v="Sports"/>
    <n v="60"/>
    <n v="129"/>
    <n v="60"/>
    <n v="69"/>
    <x v="3"/>
  </r>
  <r>
    <s v="ORD54012"/>
    <d v="2025-04-19T00:00:00"/>
    <s v="Online"/>
    <s v="P301"/>
    <n v="1"/>
    <n v="179"/>
    <x v="3"/>
    <x v="2"/>
    <s v="Fashion"/>
    <n v="70"/>
    <n v="179"/>
    <n v="70"/>
    <n v="109"/>
    <x v="3"/>
  </r>
  <r>
    <s v="ORD54154"/>
    <d v="2025-04-19T00:00:00"/>
    <s v="Mall of the Emirates"/>
    <s v="P208"/>
    <n v="1"/>
    <n v="259"/>
    <x v="0"/>
    <x v="22"/>
    <s v="Home &amp; Kitchen"/>
    <n v="115"/>
    <n v="220.15"/>
    <n v="115"/>
    <n v="105.15"/>
    <x v="3"/>
  </r>
  <r>
    <s v="ORD50046"/>
    <d v="2025-04-20T00:00:00"/>
    <s v="Ibn Battuta Mall"/>
    <s v="P207"/>
    <n v="1"/>
    <n v="399"/>
    <x v="3"/>
    <x v="32"/>
    <s v="Home &amp; Kitchen"/>
    <n v="250"/>
    <n v="399"/>
    <n v="250"/>
    <n v="149"/>
    <x v="3"/>
  </r>
  <r>
    <s v="ORD50105"/>
    <d v="2025-04-20T00:00:00"/>
    <s v="Online"/>
    <s v="P308"/>
    <n v="4"/>
    <n v="229"/>
    <x v="3"/>
    <x v="0"/>
    <s v="Fashion"/>
    <n v="120"/>
    <n v="916"/>
    <n v="480"/>
    <n v="436"/>
    <x v="3"/>
  </r>
  <r>
    <s v="ORD50625"/>
    <d v="2025-04-20T00:00:00"/>
    <s v="Dubai Mall"/>
    <s v="P205"/>
    <n v="4"/>
    <n v="289"/>
    <x v="3"/>
    <x v="9"/>
    <s v="Home &amp; Kitchen"/>
    <n v="140"/>
    <n v="1156"/>
    <n v="560"/>
    <n v="596"/>
    <x v="3"/>
  </r>
  <r>
    <s v="ORD51021"/>
    <d v="2025-04-20T00:00:00"/>
    <s v="Online"/>
    <s v="P405"/>
    <n v="2"/>
    <n v="89"/>
    <x v="2"/>
    <x v="24"/>
    <s v="Beauty"/>
    <n v="40"/>
    <n v="160.20000000000002"/>
    <n v="80"/>
    <n v="80.200000000000017"/>
    <x v="3"/>
  </r>
  <r>
    <s v="ORD51249"/>
    <d v="2025-04-20T00:00:00"/>
    <s v="Dubai Mall"/>
    <s v="P307"/>
    <n v="3"/>
    <n v="399"/>
    <x v="0"/>
    <x v="20"/>
    <s v="Fashion"/>
    <n v="210"/>
    <n v="1017.4499999999999"/>
    <n v="630"/>
    <n v="387.44999999999993"/>
    <x v="3"/>
  </r>
  <r>
    <s v="ORD52383"/>
    <d v="2025-04-20T00:00:00"/>
    <s v="Online"/>
    <s v="P108"/>
    <n v="2"/>
    <n v="459"/>
    <x v="3"/>
    <x v="23"/>
    <s v="Electronics"/>
    <n v="300"/>
    <n v="918"/>
    <n v="600"/>
    <n v="318"/>
    <x v="3"/>
  </r>
  <r>
    <s v="ORD52536"/>
    <d v="2025-04-20T00:00:00"/>
    <s v="Dubai Mall"/>
    <s v="P205"/>
    <n v="2"/>
    <n v="289"/>
    <x v="0"/>
    <x v="9"/>
    <s v="Home &amp; Kitchen"/>
    <n v="140"/>
    <n v="491.3"/>
    <n v="280"/>
    <n v="211.3"/>
    <x v="3"/>
  </r>
  <r>
    <s v="ORD53809"/>
    <d v="2025-04-20T00:00:00"/>
    <s v="City Centre Deira"/>
    <s v="P506"/>
    <n v="3"/>
    <n v="69"/>
    <x v="0"/>
    <x v="34"/>
    <s v="Sports"/>
    <n v="25"/>
    <n v="175.95"/>
    <n v="75"/>
    <n v="100.94999999999999"/>
    <x v="3"/>
  </r>
  <r>
    <s v="ORD50534"/>
    <d v="2025-04-21T00:00:00"/>
    <s v="Mall of the Emirates"/>
    <s v="P207"/>
    <n v="1"/>
    <n v="399"/>
    <x v="1"/>
    <x v="32"/>
    <s v="Home &amp; Kitchen"/>
    <n v="250"/>
    <n v="379.04999999999995"/>
    <n v="250"/>
    <n v="129.04999999999995"/>
    <x v="3"/>
  </r>
  <r>
    <s v="ORD50751"/>
    <d v="2025-04-21T00:00:00"/>
    <s v="Dubai Mall"/>
    <s v="P304"/>
    <n v="1"/>
    <n v="699"/>
    <x v="5"/>
    <x v="35"/>
    <s v="Fashion"/>
    <n v="380"/>
    <n v="559.20000000000005"/>
    <n v="380"/>
    <n v="179.20000000000005"/>
    <x v="3"/>
  </r>
  <r>
    <s v="ORD51639"/>
    <d v="2025-04-21T00:00:00"/>
    <s v="Mall of the Emirates"/>
    <s v="P502"/>
    <n v="1"/>
    <n v="799"/>
    <x v="5"/>
    <x v="19"/>
    <s v="Sports"/>
    <n v="700"/>
    <n v="639.20000000000005"/>
    <n v="700"/>
    <n v="-60.799999999999955"/>
    <x v="3"/>
  </r>
  <r>
    <s v="ORD52602"/>
    <d v="2025-04-21T00:00:00"/>
    <s v="Online"/>
    <s v="P302"/>
    <n v="1"/>
    <n v="459"/>
    <x v="0"/>
    <x v="10"/>
    <s v="Fashion"/>
    <n v="190"/>
    <n v="390.15"/>
    <n v="190"/>
    <n v="200.14999999999998"/>
    <x v="3"/>
  </r>
  <r>
    <s v="ORD53207"/>
    <d v="2025-04-21T00:00:00"/>
    <s v="Online"/>
    <s v="P102"/>
    <n v="1"/>
    <n v="249"/>
    <x v="3"/>
    <x v="13"/>
    <s v="Electronics"/>
    <n v="150"/>
    <n v="249"/>
    <n v="150"/>
    <n v="99"/>
    <x v="3"/>
  </r>
  <r>
    <s v="ORD54042"/>
    <d v="2025-04-21T00:00:00"/>
    <s v="Mall of the Emirates"/>
    <s v="P503"/>
    <n v="1"/>
    <n v="229"/>
    <x v="3"/>
    <x v="18"/>
    <s v="Sports"/>
    <n v="120"/>
    <n v="229"/>
    <n v="120"/>
    <n v="109"/>
    <x v="3"/>
  </r>
  <r>
    <s v="ORD50083"/>
    <d v="2025-04-22T00:00:00"/>
    <s v="Online"/>
    <s v="P303"/>
    <n v="2"/>
    <n v="149"/>
    <x v="5"/>
    <x v="7"/>
    <s v="Fashion"/>
    <n v="80"/>
    <n v="238.4"/>
    <n v="160"/>
    <n v="78.400000000000006"/>
    <x v="3"/>
  </r>
  <r>
    <s v="ORD50540"/>
    <d v="2025-04-22T00:00:00"/>
    <s v="City Centre Deira"/>
    <s v="P405"/>
    <n v="1"/>
    <n v="89"/>
    <x v="5"/>
    <x v="24"/>
    <s v="Beauty"/>
    <n v="40"/>
    <n v="71.2"/>
    <n v="40"/>
    <n v="31.200000000000003"/>
    <x v="3"/>
  </r>
  <r>
    <s v="ORD51130"/>
    <d v="2025-04-22T00:00:00"/>
    <s v="Ibn Battuta Mall"/>
    <s v="P304"/>
    <n v="1"/>
    <n v="699"/>
    <x v="1"/>
    <x v="35"/>
    <s v="Fashion"/>
    <n v="380"/>
    <n v="664.05"/>
    <n v="380"/>
    <n v="284.04999999999995"/>
    <x v="3"/>
  </r>
  <r>
    <s v="ORD51344"/>
    <d v="2025-04-22T00:00:00"/>
    <s v="Mall of the Emirates"/>
    <s v="P107"/>
    <n v="3"/>
    <n v="89"/>
    <x v="3"/>
    <x v="29"/>
    <s v="Electronics"/>
    <n v="35"/>
    <n v="267"/>
    <n v="105"/>
    <n v="162"/>
    <x v="3"/>
  </r>
  <r>
    <s v="ORD51875"/>
    <d v="2025-04-22T00:00:00"/>
    <s v="Online"/>
    <s v="P404"/>
    <n v="3"/>
    <n v="189"/>
    <x v="3"/>
    <x v="6"/>
    <s v="Beauty"/>
    <n v="85"/>
    <n v="567"/>
    <n v="255"/>
    <n v="312"/>
    <x v="3"/>
  </r>
  <r>
    <s v="ORD52146"/>
    <d v="2025-04-22T00:00:00"/>
    <s v="City Centre Deira"/>
    <s v="P303"/>
    <n v="2"/>
    <n v="149"/>
    <x v="0"/>
    <x v="7"/>
    <s v="Fashion"/>
    <n v="80"/>
    <n v="253.29999999999998"/>
    <n v="160"/>
    <n v="93.299999999999983"/>
    <x v="3"/>
  </r>
  <r>
    <s v="ORD52395"/>
    <d v="2025-04-22T00:00:00"/>
    <s v="Mall of the Emirates"/>
    <s v="P305"/>
    <n v="1"/>
    <n v="429"/>
    <x v="3"/>
    <x v="14"/>
    <s v="Fashion"/>
    <n v="300"/>
    <n v="429"/>
    <n v="300"/>
    <n v="129"/>
    <x v="3"/>
  </r>
  <r>
    <s v="ORD53041"/>
    <d v="2025-04-22T00:00:00"/>
    <s v="Online"/>
    <s v="P101"/>
    <n v="4"/>
    <n v="399"/>
    <x v="5"/>
    <x v="5"/>
    <s v="Electronics"/>
    <n v="230"/>
    <n v="1276.8000000000002"/>
    <n v="920"/>
    <n v="356.80000000000018"/>
    <x v="3"/>
  </r>
  <r>
    <s v="ORD53476"/>
    <d v="2025-04-22T00:00:00"/>
    <s v="Dubai Mall"/>
    <s v="P305"/>
    <n v="1"/>
    <n v="429"/>
    <x v="2"/>
    <x v="14"/>
    <s v="Fashion"/>
    <n v="300"/>
    <n v="386.1"/>
    <n v="300"/>
    <n v="86.100000000000023"/>
    <x v="3"/>
  </r>
  <r>
    <s v="ORD53478"/>
    <d v="2025-04-22T00:00:00"/>
    <s v="Dubai Mall"/>
    <s v="P106"/>
    <n v="1"/>
    <n v="149"/>
    <x v="0"/>
    <x v="30"/>
    <s v="Electronics"/>
    <n v="70"/>
    <n v="126.64999999999999"/>
    <n v="70"/>
    <n v="56.649999999999991"/>
    <x v="3"/>
  </r>
  <r>
    <s v="ORD53586"/>
    <d v="2025-04-22T00:00:00"/>
    <s v="Online"/>
    <s v="P505"/>
    <n v="1"/>
    <n v="99"/>
    <x v="4"/>
    <x v="11"/>
    <s v="Sports"/>
    <n v="45"/>
    <n v="69.3"/>
    <n v="45"/>
    <n v="24.299999999999997"/>
    <x v="3"/>
  </r>
  <r>
    <s v="ORD53631"/>
    <d v="2025-04-22T00:00:00"/>
    <s v="Mall of the Emirates"/>
    <s v="P103"/>
    <n v="1"/>
    <n v="1299"/>
    <x v="3"/>
    <x v="25"/>
    <s v="Electronics"/>
    <n v="820"/>
    <n v="1299"/>
    <n v="820"/>
    <n v="479"/>
    <x v="3"/>
  </r>
  <r>
    <s v="ORD53946"/>
    <d v="2025-04-22T00:00:00"/>
    <s v="Mall of the Emirates"/>
    <s v="P304"/>
    <n v="4"/>
    <n v="699"/>
    <x v="3"/>
    <x v="35"/>
    <s v="Fashion"/>
    <n v="380"/>
    <n v="2796"/>
    <n v="1520"/>
    <n v="1276"/>
    <x v="3"/>
  </r>
  <r>
    <s v="ORD54043"/>
    <d v="2025-04-22T00:00:00"/>
    <s v="Online"/>
    <s v="P101"/>
    <n v="1"/>
    <n v="399"/>
    <x v="2"/>
    <x v="5"/>
    <s v="Electronics"/>
    <n v="230"/>
    <n v="359.1"/>
    <n v="230"/>
    <n v="129.10000000000002"/>
    <x v="3"/>
  </r>
  <r>
    <s v="ORD50137"/>
    <d v="2025-04-23T00:00:00"/>
    <s v="City Centre Deira"/>
    <s v="P206"/>
    <n v="1"/>
    <n v="129"/>
    <x v="3"/>
    <x v="28"/>
    <s v="Home &amp; Kitchen"/>
    <n v="60"/>
    <n v="129"/>
    <n v="60"/>
    <n v="69"/>
    <x v="3"/>
  </r>
  <r>
    <s v="ORD50330"/>
    <d v="2025-04-23T00:00:00"/>
    <s v="Online"/>
    <s v="P303"/>
    <n v="3"/>
    <n v="149"/>
    <x v="0"/>
    <x v="7"/>
    <s v="Fashion"/>
    <n v="80"/>
    <n v="379.95"/>
    <n v="240"/>
    <n v="139.94999999999999"/>
    <x v="3"/>
  </r>
  <r>
    <s v="ORD50385"/>
    <d v="2025-04-23T00:00:00"/>
    <s v="Mall of the Emirates"/>
    <s v="P206"/>
    <n v="1"/>
    <n v="129"/>
    <x v="3"/>
    <x v="28"/>
    <s v="Home &amp; Kitchen"/>
    <n v="60"/>
    <n v="129"/>
    <n v="60"/>
    <n v="69"/>
    <x v="3"/>
  </r>
  <r>
    <s v="ORD50940"/>
    <d v="2025-04-23T00:00:00"/>
    <s v="Ibn Battuta Mall"/>
    <s v="P108"/>
    <n v="1"/>
    <n v="459"/>
    <x v="3"/>
    <x v="23"/>
    <s v="Electronics"/>
    <n v="300"/>
    <n v="459"/>
    <n v="300"/>
    <n v="159"/>
    <x v="3"/>
  </r>
  <r>
    <s v="ORD50949"/>
    <d v="2025-04-23T00:00:00"/>
    <s v="Dubai Mall"/>
    <s v="P101"/>
    <n v="1"/>
    <n v="399"/>
    <x v="1"/>
    <x v="5"/>
    <s v="Electronics"/>
    <n v="230"/>
    <n v="379.04999999999995"/>
    <n v="230"/>
    <n v="149.04999999999995"/>
    <x v="3"/>
  </r>
  <r>
    <s v="ORD51264"/>
    <d v="2025-04-23T00:00:00"/>
    <s v="Ibn Battuta Mall"/>
    <s v="P303"/>
    <n v="1"/>
    <n v="149"/>
    <x v="2"/>
    <x v="7"/>
    <s v="Fashion"/>
    <n v="80"/>
    <n v="134.1"/>
    <n v="80"/>
    <n v="54.099999999999994"/>
    <x v="3"/>
  </r>
  <r>
    <s v="ORD51812"/>
    <d v="2025-04-23T00:00:00"/>
    <s v="Online"/>
    <s v="P202"/>
    <n v="1"/>
    <n v="1499"/>
    <x v="3"/>
    <x v="26"/>
    <s v="Home &amp; Kitchen"/>
    <n v="1050"/>
    <n v="1499"/>
    <n v="1050"/>
    <n v="449"/>
    <x v="3"/>
  </r>
  <r>
    <s v="ORD51961"/>
    <d v="2025-04-23T00:00:00"/>
    <s v="Mall of the Emirates"/>
    <s v="P506"/>
    <n v="1"/>
    <n v="69"/>
    <x v="3"/>
    <x v="34"/>
    <s v="Sports"/>
    <n v="25"/>
    <n v="69"/>
    <n v="25"/>
    <n v="44"/>
    <x v="3"/>
  </r>
  <r>
    <s v="ORD52075"/>
    <d v="2025-04-23T00:00:00"/>
    <s v="City Centre Deira"/>
    <s v="P506"/>
    <n v="3"/>
    <n v="69"/>
    <x v="3"/>
    <x v="34"/>
    <s v="Sports"/>
    <n v="25"/>
    <n v="207"/>
    <n v="75"/>
    <n v="132"/>
    <x v="3"/>
  </r>
  <r>
    <s v="ORD52375"/>
    <d v="2025-04-23T00:00:00"/>
    <s v="Ibn Battuta Mall"/>
    <s v="P303"/>
    <n v="1"/>
    <n v="149"/>
    <x v="5"/>
    <x v="7"/>
    <s v="Fashion"/>
    <n v="80"/>
    <n v="119.2"/>
    <n v="80"/>
    <n v="39.200000000000003"/>
    <x v="3"/>
  </r>
  <r>
    <s v="ORD52853"/>
    <d v="2025-04-23T00:00:00"/>
    <s v="Online"/>
    <s v="P206"/>
    <n v="1"/>
    <n v="129"/>
    <x v="1"/>
    <x v="28"/>
    <s v="Home &amp; Kitchen"/>
    <n v="60"/>
    <n v="122.55"/>
    <n v="60"/>
    <n v="62.55"/>
    <x v="3"/>
  </r>
  <r>
    <s v="ORD53365"/>
    <d v="2025-04-23T00:00:00"/>
    <s v="City Centre Deira"/>
    <s v="P208"/>
    <n v="1"/>
    <n v="259"/>
    <x v="4"/>
    <x v="22"/>
    <s v="Home &amp; Kitchen"/>
    <n v="115"/>
    <n v="181.29999999999998"/>
    <n v="115"/>
    <n v="66.299999999999983"/>
    <x v="3"/>
  </r>
  <r>
    <s v="ORD53785"/>
    <d v="2025-04-23T00:00:00"/>
    <s v="Dubai Mall"/>
    <s v="P505"/>
    <n v="3"/>
    <n v="99"/>
    <x v="3"/>
    <x v="11"/>
    <s v="Sports"/>
    <n v="45"/>
    <n v="297"/>
    <n v="135"/>
    <n v="162"/>
    <x v="3"/>
  </r>
  <r>
    <s v="ORD50714"/>
    <d v="2025-04-24T00:00:00"/>
    <s v="Online"/>
    <s v="P505"/>
    <n v="1"/>
    <n v="99"/>
    <x v="3"/>
    <x v="11"/>
    <s v="Sports"/>
    <n v="45"/>
    <n v="99"/>
    <n v="45"/>
    <n v="54"/>
    <x v="3"/>
  </r>
  <r>
    <s v="ORD50746"/>
    <d v="2025-04-24T00:00:00"/>
    <s v="Online"/>
    <s v="P101"/>
    <n v="1"/>
    <n v="399"/>
    <x v="1"/>
    <x v="5"/>
    <s v="Electronics"/>
    <n v="230"/>
    <n v="379.04999999999995"/>
    <n v="230"/>
    <n v="149.04999999999995"/>
    <x v="3"/>
  </r>
  <r>
    <s v="ORD51364"/>
    <d v="2025-04-24T00:00:00"/>
    <s v="Online"/>
    <s v="P304"/>
    <n v="4"/>
    <n v="699"/>
    <x v="5"/>
    <x v="35"/>
    <s v="Fashion"/>
    <n v="380"/>
    <n v="2236.8000000000002"/>
    <n v="1520"/>
    <n v="716.80000000000018"/>
    <x v="3"/>
  </r>
  <r>
    <s v="ORD51893"/>
    <d v="2025-04-24T00:00:00"/>
    <s v="Online"/>
    <s v="P307"/>
    <n v="2"/>
    <n v="399"/>
    <x v="2"/>
    <x v="20"/>
    <s v="Fashion"/>
    <n v="210"/>
    <n v="718.2"/>
    <n v="420"/>
    <n v="298.20000000000005"/>
    <x v="3"/>
  </r>
  <r>
    <s v="ORD51958"/>
    <d v="2025-04-24T00:00:00"/>
    <s v="Mall of the Emirates"/>
    <s v="P104"/>
    <n v="1"/>
    <n v="199"/>
    <x v="5"/>
    <x v="1"/>
    <s v="Electronics"/>
    <n v="175"/>
    <n v="159.20000000000002"/>
    <n v="175"/>
    <n v="-15.799999999999983"/>
    <x v="3"/>
  </r>
  <r>
    <s v="ORD52600"/>
    <d v="2025-04-24T00:00:00"/>
    <s v="Dubai Mall"/>
    <s v="P301"/>
    <n v="2"/>
    <n v="179"/>
    <x v="3"/>
    <x v="2"/>
    <s v="Fashion"/>
    <n v="70"/>
    <n v="358"/>
    <n v="140"/>
    <n v="218"/>
    <x v="3"/>
  </r>
  <r>
    <s v="ORD53390"/>
    <d v="2025-04-24T00:00:00"/>
    <s v="Dubai Mall"/>
    <s v="P107"/>
    <n v="1"/>
    <n v="89"/>
    <x v="3"/>
    <x v="29"/>
    <s v="Electronics"/>
    <n v="35"/>
    <n v="89"/>
    <n v="35"/>
    <n v="54"/>
    <x v="3"/>
  </r>
  <r>
    <s v="ORD54180"/>
    <d v="2025-04-24T00:00:00"/>
    <s v="Online"/>
    <s v="P104"/>
    <n v="1"/>
    <n v="199"/>
    <x v="0"/>
    <x v="1"/>
    <s v="Electronics"/>
    <n v="175"/>
    <n v="169.15"/>
    <n v="175"/>
    <n v="-5.8499999999999943"/>
    <x v="3"/>
  </r>
  <r>
    <s v="ORD50116"/>
    <d v="2025-04-25T00:00:00"/>
    <s v="Mall of the Emirates"/>
    <s v="P301"/>
    <n v="4"/>
    <n v="179"/>
    <x v="3"/>
    <x v="2"/>
    <s v="Fashion"/>
    <n v="70"/>
    <n v="716"/>
    <n v="280"/>
    <n v="436"/>
    <x v="3"/>
  </r>
  <r>
    <s v="ORD50223"/>
    <d v="2025-04-25T00:00:00"/>
    <s v="Dubai Mall"/>
    <s v="P406"/>
    <n v="2"/>
    <n v="199"/>
    <x v="3"/>
    <x v="4"/>
    <s v="Beauty"/>
    <n v="90"/>
    <n v="398"/>
    <n v="180"/>
    <n v="218"/>
    <x v="3"/>
  </r>
  <r>
    <s v="ORD50556"/>
    <d v="2025-04-25T00:00:00"/>
    <s v="Mall of the Emirates"/>
    <s v="P203"/>
    <n v="1"/>
    <n v="349"/>
    <x v="2"/>
    <x v="21"/>
    <s v="Home &amp; Kitchen"/>
    <n v="170"/>
    <n v="314.10000000000002"/>
    <n v="170"/>
    <n v="144.10000000000002"/>
    <x v="3"/>
  </r>
  <r>
    <s v="ORD50669"/>
    <d v="2025-04-25T00:00:00"/>
    <s v="Dubai Mall"/>
    <s v="P405"/>
    <n v="1"/>
    <n v="89"/>
    <x v="3"/>
    <x v="24"/>
    <s v="Beauty"/>
    <n v="40"/>
    <n v="89"/>
    <n v="40"/>
    <n v="49"/>
    <x v="3"/>
  </r>
  <r>
    <s v="ORD50676"/>
    <d v="2025-04-25T00:00:00"/>
    <s v="Mall of the Emirates"/>
    <s v="P105"/>
    <n v="1"/>
    <n v="899"/>
    <x v="0"/>
    <x v="31"/>
    <s v="Electronics"/>
    <n v="610"/>
    <n v="764.15"/>
    <n v="610"/>
    <n v="154.14999999999998"/>
    <x v="3"/>
  </r>
  <r>
    <s v="ORD51852"/>
    <d v="2025-04-25T00:00:00"/>
    <s v="Online"/>
    <s v="P501"/>
    <n v="1"/>
    <n v="129"/>
    <x v="0"/>
    <x v="12"/>
    <s v="Sports"/>
    <n v="60"/>
    <n v="109.64999999999999"/>
    <n v="60"/>
    <n v="49.649999999999991"/>
    <x v="3"/>
  </r>
  <r>
    <s v="ORD51949"/>
    <d v="2025-04-25T00:00:00"/>
    <s v="Dubai Mall"/>
    <s v="P107"/>
    <n v="1"/>
    <n v="89"/>
    <x v="5"/>
    <x v="29"/>
    <s v="Electronics"/>
    <n v="35"/>
    <n v="71.2"/>
    <n v="35"/>
    <n v="36.200000000000003"/>
    <x v="3"/>
  </r>
  <r>
    <s v="ORD52092"/>
    <d v="2025-04-25T00:00:00"/>
    <s v="Mall of the Emirates"/>
    <s v="P106"/>
    <n v="2"/>
    <n v="149"/>
    <x v="0"/>
    <x v="30"/>
    <s v="Electronics"/>
    <n v="70"/>
    <n v="253.29999999999998"/>
    <n v="140"/>
    <n v="113.29999999999998"/>
    <x v="3"/>
  </r>
  <r>
    <s v="ORD52415"/>
    <d v="2025-04-25T00:00:00"/>
    <s v="City Centre Deira"/>
    <s v="P104"/>
    <n v="2"/>
    <n v="199"/>
    <x v="6"/>
    <x v="1"/>
    <s v="Electronics"/>
    <n v="175"/>
    <n v="298.5"/>
    <n v="350"/>
    <n v="-51.5"/>
    <x v="3"/>
  </r>
  <r>
    <s v="ORD52469"/>
    <d v="2025-04-25T00:00:00"/>
    <s v="Online"/>
    <s v="P305"/>
    <n v="1"/>
    <n v="429"/>
    <x v="3"/>
    <x v="14"/>
    <s v="Fashion"/>
    <n v="300"/>
    <n v="429"/>
    <n v="300"/>
    <n v="129"/>
    <x v="3"/>
  </r>
  <r>
    <s v="ORD52691"/>
    <d v="2025-04-25T00:00:00"/>
    <s v="Online"/>
    <s v="P106"/>
    <n v="3"/>
    <n v="149"/>
    <x v="3"/>
    <x v="30"/>
    <s v="Electronics"/>
    <n v="70"/>
    <n v="447"/>
    <n v="210"/>
    <n v="237"/>
    <x v="3"/>
  </r>
  <r>
    <s v="ORD53197"/>
    <d v="2025-04-25T00:00:00"/>
    <s v="Dubai Mall"/>
    <s v="P106"/>
    <n v="1"/>
    <n v="149"/>
    <x v="3"/>
    <x v="30"/>
    <s v="Electronics"/>
    <n v="70"/>
    <n v="149"/>
    <n v="70"/>
    <n v="79"/>
    <x v="3"/>
  </r>
  <r>
    <s v="ORD53624"/>
    <d v="2025-04-25T00:00:00"/>
    <s v="Dubai Mall"/>
    <s v="P106"/>
    <n v="1"/>
    <n v="149"/>
    <x v="3"/>
    <x v="30"/>
    <s v="Electronics"/>
    <n v="70"/>
    <n v="149"/>
    <n v="70"/>
    <n v="79"/>
    <x v="3"/>
  </r>
  <r>
    <s v="ORD54065"/>
    <d v="2025-04-25T00:00:00"/>
    <s v="Dubai Mall"/>
    <s v="P205"/>
    <n v="1"/>
    <n v="289"/>
    <x v="3"/>
    <x v="9"/>
    <s v="Home &amp; Kitchen"/>
    <n v="140"/>
    <n v="289"/>
    <n v="140"/>
    <n v="149"/>
    <x v="3"/>
  </r>
  <r>
    <s v="ORD50395"/>
    <d v="2025-04-26T00:00:00"/>
    <s v="Mall of the Emirates"/>
    <s v="P405"/>
    <n v="1"/>
    <n v="89"/>
    <x v="0"/>
    <x v="24"/>
    <s v="Beauty"/>
    <n v="40"/>
    <n v="75.649999999999991"/>
    <n v="40"/>
    <n v="35.649999999999991"/>
    <x v="3"/>
  </r>
  <r>
    <s v="ORD50545"/>
    <d v="2025-04-26T00:00:00"/>
    <s v="Dubai Mall"/>
    <s v="P302"/>
    <n v="1"/>
    <n v="459"/>
    <x v="2"/>
    <x v="10"/>
    <s v="Fashion"/>
    <n v="190"/>
    <n v="413.1"/>
    <n v="190"/>
    <n v="223.10000000000002"/>
    <x v="3"/>
  </r>
  <r>
    <s v="ORD50644"/>
    <d v="2025-04-26T00:00:00"/>
    <s v="Dubai Mall"/>
    <s v="P104"/>
    <n v="2"/>
    <n v="199"/>
    <x v="6"/>
    <x v="1"/>
    <s v="Electronics"/>
    <n v="175"/>
    <n v="298.5"/>
    <n v="350"/>
    <n v="-51.5"/>
    <x v="3"/>
  </r>
  <r>
    <s v="ORD51086"/>
    <d v="2025-04-26T00:00:00"/>
    <s v="Mall of the Emirates"/>
    <s v="P206"/>
    <n v="2"/>
    <n v="129"/>
    <x v="3"/>
    <x v="28"/>
    <s v="Home &amp; Kitchen"/>
    <n v="60"/>
    <n v="258"/>
    <n v="120"/>
    <n v="138"/>
    <x v="3"/>
  </r>
  <r>
    <s v="ORD51177"/>
    <d v="2025-04-26T00:00:00"/>
    <s v="Dubai Mall"/>
    <s v="P303"/>
    <n v="2"/>
    <n v="149"/>
    <x v="2"/>
    <x v="7"/>
    <s v="Fashion"/>
    <n v="80"/>
    <n v="268.2"/>
    <n v="160"/>
    <n v="108.19999999999999"/>
    <x v="3"/>
  </r>
  <r>
    <s v="ORD51987"/>
    <d v="2025-04-26T00:00:00"/>
    <s v="Dubai Mall"/>
    <s v="P102"/>
    <n v="1"/>
    <n v="249"/>
    <x v="0"/>
    <x v="13"/>
    <s v="Electronics"/>
    <n v="150"/>
    <n v="211.65"/>
    <n v="150"/>
    <n v="61.650000000000006"/>
    <x v="3"/>
  </r>
  <r>
    <s v="ORD52992"/>
    <d v="2025-04-26T00:00:00"/>
    <s v="City Centre Deira"/>
    <s v="P208"/>
    <n v="2"/>
    <n v="259"/>
    <x v="0"/>
    <x v="22"/>
    <s v="Home &amp; Kitchen"/>
    <n v="115"/>
    <n v="440.3"/>
    <n v="230"/>
    <n v="210.3"/>
    <x v="3"/>
  </r>
  <r>
    <s v="ORD53180"/>
    <d v="2025-04-26T00:00:00"/>
    <s v="Ibn Battuta Mall"/>
    <s v="P107"/>
    <n v="1"/>
    <n v="89"/>
    <x v="2"/>
    <x v="29"/>
    <s v="Electronics"/>
    <n v="35"/>
    <n v="80.100000000000009"/>
    <n v="35"/>
    <n v="45.100000000000009"/>
    <x v="3"/>
  </r>
  <r>
    <s v="ORD53226"/>
    <d v="2025-04-26T00:00:00"/>
    <s v="City Centre Deira"/>
    <s v="P207"/>
    <n v="3"/>
    <n v="399"/>
    <x v="3"/>
    <x v="32"/>
    <s v="Home &amp; Kitchen"/>
    <n v="250"/>
    <n v="1197"/>
    <n v="750"/>
    <n v="447"/>
    <x v="3"/>
  </r>
  <r>
    <s v="ORD53734"/>
    <d v="2025-04-26T00:00:00"/>
    <s v="Online"/>
    <s v="P403"/>
    <n v="2"/>
    <n v="299"/>
    <x v="6"/>
    <x v="8"/>
    <s v="Beauty"/>
    <n v="240"/>
    <n v="448.5"/>
    <n v="480"/>
    <n v="-31.5"/>
    <x v="3"/>
  </r>
  <r>
    <s v="ORD54148"/>
    <d v="2025-04-26T00:00:00"/>
    <s v="Online"/>
    <s v="P402"/>
    <n v="2"/>
    <n v="149"/>
    <x v="2"/>
    <x v="17"/>
    <s v="Beauty"/>
    <n v="55"/>
    <n v="268.2"/>
    <n v="110"/>
    <n v="158.19999999999999"/>
    <x v="3"/>
  </r>
  <r>
    <s v="ORD54187"/>
    <d v="2025-04-26T00:00:00"/>
    <s v="Dubai Mall"/>
    <s v="P107"/>
    <n v="1"/>
    <n v="89"/>
    <x v="5"/>
    <x v="29"/>
    <s v="Electronics"/>
    <n v="35"/>
    <n v="71.2"/>
    <n v="35"/>
    <n v="36.200000000000003"/>
    <x v="3"/>
  </r>
  <r>
    <s v="ORD50079"/>
    <d v="2025-04-27T00:00:00"/>
    <s v="Mall of the Emirates"/>
    <s v="P101"/>
    <n v="2"/>
    <n v="399"/>
    <x v="3"/>
    <x v="5"/>
    <s v="Electronics"/>
    <n v="230"/>
    <n v="798"/>
    <n v="460"/>
    <n v="338"/>
    <x v="3"/>
  </r>
  <r>
    <s v="ORD50249"/>
    <d v="2025-04-27T00:00:00"/>
    <s v="Mall of the Emirates"/>
    <s v="P206"/>
    <n v="4"/>
    <n v="129"/>
    <x v="2"/>
    <x v="28"/>
    <s v="Home &amp; Kitchen"/>
    <n v="60"/>
    <n v="464.40000000000003"/>
    <n v="240"/>
    <n v="224.40000000000003"/>
    <x v="3"/>
  </r>
  <r>
    <s v="ORD50520"/>
    <d v="2025-04-27T00:00:00"/>
    <s v="City Centre Deira"/>
    <s v="P203"/>
    <n v="3"/>
    <n v="349"/>
    <x v="2"/>
    <x v="21"/>
    <s v="Home &amp; Kitchen"/>
    <n v="170"/>
    <n v="942.30000000000007"/>
    <n v="510"/>
    <n v="432.30000000000007"/>
    <x v="3"/>
  </r>
  <r>
    <s v="ORD50986"/>
    <d v="2025-04-27T00:00:00"/>
    <s v="Dubai Mall"/>
    <s v="P303"/>
    <n v="2"/>
    <n v="149"/>
    <x v="2"/>
    <x v="7"/>
    <s v="Fashion"/>
    <n v="80"/>
    <n v="268.2"/>
    <n v="160"/>
    <n v="108.19999999999999"/>
    <x v="3"/>
  </r>
  <r>
    <s v="ORD51180"/>
    <d v="2025-04-27T00:00:00"/>
    <s v="Mall of the Emirates"/>
    <s v="P208"/>
    <n v="1"/>
    <n v="259"/>
    <x v="5"/>
    <x v="22"/>
    <s v="Home &amp; Kitchen"/>
    <n v="115"/>
    <n v="207.20000000000002"/>
    <n v="115"/>
    <n v="92.200000000000017"/>
    <x v="3"/>
  </r>
  <r>
    <s v="ORD51866"/>
    <d v="2025-04-27T00:00:00"/>
    <s v="Mall of the Emirates"/>
    <s v="P207"/>
    <n v="3"/>
    <n v="399"/>
    <x v="3"/>
    <x v="32"/>
    <s v="Home &amp; Kitchen"/>
    <n v="250"/>
    <n v="1197"/>
    <n v="750"/>
    <n v="447"/>
    <x v="3"/>
  </r>
  <r>
    <s v="ORD51959"/>
    <d v="2025-04-27T00:00:00"/>
    <s v="Mall of the Emirates"/>
    <s v="P308"/>
    <n v="2"/>
    <n v="229"/>
    <x v="0"/>
    <x v="0"/>
    <s v="Fashion"/>
    <n v="120"/>
    <n v="389.3"/>
    <n v="240"/>
    <n v="149.30000000000001"/>
    <x v="3"/>
  </r>
  <r>
    <s v="ORD52197"/>
    <d v="2025-04-27T00:00:00"/>
    <s v="City Centre Deira"/>
    <s v="P101"/>
    <n v="1"/>
    <n v="399"/>
    <x v="0"/>
    <x v="5"/>
    <s v="Electronics"/>
    <n v="230"/>
    <n v="339.15"/>
    <n v="230"/>
    <n v="109.14999999999998"/>
    <x v="3"/>
  </r>
  <r>
    <s v="ORD52228"/>
    <d v="2025-04-27T00:00:00"/>
    <s v="Dubai Mall"/>
    <s v="P505"/>
    <n v="1"/>
    <n v="99"/>
    <x v="3"/>
    <x v="11"/>
    <s v="Sports"/>
    <n v="45"/>
    <n v="99"/>
    <n v="45"/>
    <n v="54"/>
    <x v="3"/>
  </r>
  <r>
    <s v="ORD52257"/>
    <d v="2025-04-27T00:00:00"/>
    <s v="Online"/>
    <s v="P106"/>
    <n v="2"/>
    <n v="149"/>
    <x v="3"/>
    <x v="30"/>
    <s v="Electronics"/>
    <n v="70"/>
    <n v="298"/>
    <n v="140"/>
    <n v="158"/>
    <x v="3"/>
  </r>
  <r>
    <s v="ORD52938"/>
    <d v="2025-04-27T00:00:00"/>
    <s v="Ibn Battuta Mall"/>
    <s v="P103"/>
    <n v="1"/>
    <n v="1299"/>
    <x v="3"/>
    <x v="25"/>
    <s v="Electronics"/>
    <n v="820"/>
    <n v="1299"/>
    <n v="820"/>
    <n v="479"/>
    <x v="3"/>
  </r>
  <r>
    <s v="ORD53171"/>
    <d v="2025-04-27T00:00:00"/>
    <s v="Online"/>
    <s v="P303"/>
    <n v="4"/>
    <n v="149"/>
    <x v="2"/>
    <x v="7"/>
    <s v="Fashion"/>
    <n v="80"/>
    <n v="536.4"/>
    <n v="320"/>
    <n v="216.39999999999998"/>
    <x v="3"/>
  </r>
  <r>
    <s v="ORD54034"/>
    <d v="2025-04-27T00:00:00"/>
    <s v="Online"/>
    <s v="P308"/>
    <n v="1"/>
    <n v="229"/>
    <x v="3"/>
    <x v="0"/>
    <s v="Fashion"/>
    <n v="120"/>
    <n v="229"/>
    <n v="120"/>
    <n v="109"/>
    <x v="3"/>
  </r>
  <r>
    <s v="ORD50042"/>
    <d v="2025-04-28T00:00:00"/>
    <s v="Dubai Mall"/>
    <s v="P504"/>
    <n v="2"/>
    <n v="2499"/>
    <x v="0"/>
    <x v="33"/>
    <s v="Sports"/>
    <n v="2150"/>
    <n v="4248.3"/>
    <n v="4300"/>
    <n v="-51.699999999999818"/>
    <x v="3"/>
  </r>
  <r>
    <s v="ORD50802"/>
    <d v="2025-04-28T00:00:00"/>
    <s v="Mall of the Emirates"/>
    <s v="P403"/>
    <n v="2"/>
    <n v="299"/>
    <x v="5"/>
    <x v="8"/>
    <s v="Beauty"/>
    <n v="240"/>
    <n v="478.40000000000003"/>
    <n v="480"/>
    <n v="-1.5999999999999659"/>
    <x v="3"/>
  </r>
  <r>
    <s v="ORD51065"/>
    <d v="2025-04-28T00:00:00"/>
    <s v="Dubai Mall"/>
    <s v="P102"/>
    <n v="1"/>
    <n v="249"/>
    <x v="1"/>
    <x v="13"/>
    <s v="Electronics"/>
    <n v="150"/>
    <n v="236.54999999999998"/>
    <n v="150"/>
    <n v="86.549999999999983"/>
    <x v="3"/>
  </r>
  <r>
    <s v="ORD53369"/>
    <d v="2025-04-28T00:00:00"/>
    <s v="Dubai Mall"/>
    <s v="P108"/>
    <n v="1"/>
    <n v="459"/>
    <x v="2"/>
    <x v="23"/>
    <s v="Electronics"/>
    <n v="300"/>
    <n v="413.1"/>
    <n v="300"/>
    <n v="113.10000000000002"/>
    <x v="3"/>
  </r>
  <r>
    <s v="ORD53748"/>
    <d v="2025-04-28T00:00:00"/>
    <s v="Ibn Battuta Mall"/>
    <s v="P101"/>
    <n v="4"/>
    <n v="399"/>
    <x v="1"/>
    <x v="5"/>
    <s v="Electronics"/>
    <n v="230"/>
    <n v="1516.1999999999998"/>
    <n v="920"/>
    <n v="596.19999999999982"/>
    <x v="3"/>
  </r>
  <r>
    <s v="ORD53964"/>
    <d v="2025-04-28T00:00:00"/>
    <s v="Mall of the Emirates"/>
    <s v="P401"/>
    <n v="1"/>
    <n v="549"/>
    <x v="3"/>
    <x v="15"/>
    <s v="Beauty"/>
    <n v="250"/>
    <n v="549"/>
    <n v="250"/>
    <n v="299"/>
    <x v="3"/>
  </r>
  <r>
    <s v="ORD50443"/>
    <d v="2025-04-29T00:00:00"/>
    <s v="Mall of the Emirates"/>
    <s v="P208"/>
    <n v="1"/>
    <n v="259"/>
    <x v="3"/>
    <x v="22"/>
    <s v="Home &amp; Kitchen"/>
    <n v="115"/>
    <n v="259"/>
    <n v="115"/>
    <n v="144"/>
    <x v="3"/>
  </r>
  <r>
    <s v="ORD50664"/>
    <d v="2025-04-29T00:00:00"/>
    <s v="Dubai Mall"/>
    <s v="P501"/>
    <n v="1"/>
    <n v="129"/>
    <x v="0"/>
    <x v="12"/>
    <s v="Sports"/>
    <n v="60"/>
    <n v="109.64999999999999"/>
    <n v="60"/>
    <n v="49.649999999999991"/>
    <x v="3"/>
  </r>
  <r>
    <s v="ORD51030"/>
    <d v="2025-04-29T00:00:00"/>
    <s v="Ibn Battuta Mall"/>
    <s v="P205"/>
    <n v="2"/>
    <n v="289"/>
    <x v="1"/>
    <x v="9"/>
    <s v="Home &amp; Kitchen"/>
    <n v="140"/>
    <n v="549.1"/>
    <n v="280"/>
    <n v="269.10000000000002"/>
    <x v="3"/>
  </r>
  <r>
    <s v="ORD51333"/>
    <d v="2025-04-29T00:00:00"/>
    <s v="Mall of the Emirates"/>
    <s v="P102"/>
    <n v="2"/>
    <n v="249"/>
    <x v="5"/>
    <x v="13"/>
    <s v="Electronics"/>
    <n v="150"/>
    <n v="398.40000000000003"/>
    <n v="300"/>
    <n v="98.400000000000034"/>
    <x v="3"/>
  </r>
  <r>
    <s v="ORD51762"/>
    <d v="2025-04-29T00:00:00"/>
    <s v="City Centre Deira"/>
    <s v="P504"/>
    <n v="1"/>
    <n v="2499"/>
    <x v="6"/>
    <x v="33"/>
    <s v="Sports"/>
    <n v="2150"/>
    <n v="1874.25"/>
    <n v="2150"/>
    <n v="-275.75"/>
    <x v="3"/>
  </r>
  <r>
    <s v="ORD52027"/>
    <d v="2025-04-29T00:00:00"/>
    <s v="Dubai Mall"/>
    <s v="P504"/>
    <n v="4"/>
    <n v="2499"/>
    <x v="0"/>
    <x v="33"/>
    <s v="Sports"/>
    <n v="2150"/>
    <n v="8496.6"/>
    <n v="8600"/>
    <n v="-103.39999999999964"/>
    <x v="3"/>
  </r>
  <r>
    <s v="ORD52402"/>
    <d v="2025-04-29T00:00:00"/>
    <s v="Dubai Mall"/>
    <s v="P307"/>
    <n v="2"/>
    <n v="399"/>
    <x v="0"/>
    <x v="20"/>
    <s v="Fashion"/>
    <n v="210"/>
    <n v="678.3"/>
    <n v="420"/>
    <n v="258.29999999999995"/>
    <x v="3"/>
  </r>
  <r>
    <s v="ORD52476"/>
    <d v="2025-04-29T00:00:00"/>
    <s v="City Centre Deira"/>
    <s v="P105"/>
    <n v="2"/>
    <n v="899"/>
    <x v="3"/>
    <x v="31"/>
    <s v="Electronics"/>
    <n v="610"/>
    <n v="1798"/>
    <n v="1220"/>
    <n v="578"/>
    <x v="3"/>
  </r>
  <r>
    <s v="ORD52678"/>
    <d v="2025-04-29T00:00:00"/>
    <s v="Dubai Mall"/>
    <s v="P106"/>
    <n v="1"/>
    <n v="149"/>
    <x v="3"/>
    <x v="30"/>
    <s v="Electronics"/>
    <n v="70"/>
    <n v="149"/>
    <n v="70"/>
    <n v="79"/>
    <x v="3"/>
  </r>
  <r>
    <s v="ORD52851"/>
    <d v="2025-04-29T00:00:00"/>
    <s v="Dubai Mall"/>
    <s v="P104"/>
    <n v="4"/>
    <n v="199"/>
    <x v="6"/>
    <x v="1"/>
    <s v="Electronics"/>
    <n v="175"/>
    <n v="597"/>
    <n v="700"/>
    <n v="-103"/>
    <x v="3"/>
  </r>
  <r>
    <s v="ORD53013"/>
    <d v="2025-04-29T00:00:00"/>
    <s v="Mall of the Emirates"/>
    <s v="P405"/>
    <n v="4"/>
    <n v="89"/>
    <x v="0"/>
    <x v="24"/>
    <s v="Beauty"/>
    <n v="40"/>
    <n v="302.59999999999997"/>
    <n v="160"/>
    <n v="142.59999999999997"/>
    <x v="3"/>
  </r>
  <r>
    <s v="ORD53078"/>
    <d v="2025-04-29T00:00:00"/>
    <s v="Online"/>
    <s v="P302"/>
    <n v="1"/>
    <n v="459"/>
    <x v="3"/>
    <x v="10"/>
    <s v="Fashion"/>
    <n v="190"/>
    <n v="459"/>
    <n v="190"/>
    <n v="269"/>
    <x v="3"/>
  </r>
  <r>
    <s v="ORD53130"/>
    <d v="2025-04-29T00:00:00"/>
    <s v="Dubai Mall"/>
    <s v="P208"/>
    <n v="2"/>
    <n v="259"/>
    <x v="2"/>
    <x v="22"/>
    <s v="Home &amp; Kitchen"/>
    <n v="115"/>
    <n v="466.2"/>
    <n v="230"/>
    <n v="236.2"/>
    <x v="3"/>
  </r>
  <r>
    <s v="ORD53205"/>
    <d v="2025-04-29T00:00:00"/>
    <s v="City Centre Deira"/>
    <s v="P506"/>
    <n v="1"/>
    <n v="69"/>
    <x v="2"/>
    <x v="34"/>
    <s v="Sports"/>
    <n v="25"/>
    <n v="62.1"/>
    <n v="25"/>
    <n v="37.1"/>
    <x v="3"/>
  </r>
  <r>
    <s v="ORD53245"/>
    <d v="2025-04-29T00:00:00"/>
    <s v="Dubai Mall"/>
    <s v="P307"/>
    <n v="1"/>
    <n v="399"/>
    <x v="3"/>
    <x v="20"/>
    <s v="Fashion"/>
    <n v="210"/>
    <n v="399"/>
    <n v="210"/>
    <n v="189"/>
    <x v="3"/>
  </r>
  <r>
    <s v="ORD53317"/>
    <d v="2025-04-29T00:00:00"/>
    <s v="Dubai Mall"/>
    <s v="P107"/>
    <n v="1"/>
    <n v="89"/>
    <x v="1"/>
    <x v="29"/>
    <s v="Electronics"/>
    <n v="35"/>
    <n v="84.55"/>
    <n v="35"/>
    <n v="49.55"/>
    <x v="3"/>
  </r>
  <r>
    <s v="ORD53507"/>
    <d v="2025-04-29T00:00:00"/>
    <s v="Online"/>
    <s v="P106"/>
    <n v="2"/>
    <n v="149"/>
    <x v="0"/>
    <x v="30"/>
    <s v="Electronics"/>
    <n v="70"/>
    <n v="253.29999999999998"/>
    <n v="140"/>
    <n v="113.29999999999998"/>
    <x v="3"/>
  </r>
  <r>
    <s v="ORD53609"/>
    <d v="2025-04-29T00:00:00"/>
    <s v="City Centre Deira"/>
    <s v="P107"/>
    <n v="1"/>
    <n v="89"/>
    <x v="3"/>
    <x v="29"/>
    <s v="Electronics"/>
    <n v="35"/>
    <n v="89"/>
    <n v="35"/>
    <n v="54"/>
    <x v="3"/>
  </r>
  <r>
    <s v="ORD53928"/>
    <d v="2025-04-29T00:00:00"/>
    <s v="Mall of the Emirates"/>
    <s v="P108"/>
    <n v="1"/>
    <n v="459"/>
    <x v="2"/>
    <x v="23"/>
    <s v="Electronics"/>
    <n v="300"/>
    <n v="413.1"/>
    <n v="300"/>
    <n v="113.10000000000002"/>
    <x v="3"/>
  </r>
  <r>
    <s v="ORD54142"/>
    <d v="2025-04-29T00:00:00"/>
    <s v="Dubai Mall"/>
    <s v="P105"/>
    <n v="1"/>
    <n v="899"/>
    <x v="1"/>
    <x v="31"/>
    <s v="Electronics"/>
    <n v="610"/>
    <n v="854.05"/>
    <n v="610"/>
    <n v="244.04999999999995"/>
    <x v="3"/>
  </r>
  <r>
    <s v="ORD50084"/>
    <d v="2025-04-30T00:00:00"/>
    <s v="City Centre Deira"/>
    <s v="P501"/>
    <n v="1"/>
    <n v="129"/>
    <x v="3"/>
    <x v="12"/>
    <s v="Sports"/>
    <n v="60"/>
    <n v="129"/>
    <n v="60"/>
    <n v="69"/>
    <x v="3"/>
  </r>
  <r>
    <s v="ORD50427"/>
    <d v="2025-04-30T00:00:00"/>
    <s v="City Centre Deira"/>
    <s v="P302"/>
    <n v="1"/>
    <n v="459"/>
    <x v="3"/>
    <x v="10"/>
    <s v="Fashion"/>
    <n v="190"/>
    <n v="459"/>
    <n v="190"/>
    <n v="269"/>
    <x v="3"/>
  </r>
  <r>
    <s v="ORD50453"/>
    <d v="2025-04-30T00:00:00"/>
    <s v="Online"/>
    <s v="P205"/>
    <n v="1"/>
    <n v="289"/>
    <x v="3"/>
    <x v="9"/>
    <s v="Home &amp; Kitchen"/>
    <n v="140"/>
    <n v="289"/>
    <n v="140"/>
    <n v="149"/>
    <x v="3"/>
  </r>
  <r>
    <s v="ORD50845"/>
    <d v="2025-04-30T00:00:00"/>
    <s v="Ibn Battuta Mall"/>
    <s v="P101"/>
    <n v="2"/>
    <n v="399"/>
    <x v="1"/>
    <x v="5"/>
    <s v="Electronics"/>
    <n v="230"/>
    <n v="758.09999999999991"/>
    <n v="460"/>
    <n v="298.09999999999991"/>
    <x v="3"/>
  </r>
  <r>
    <s v="ORD50856"/>
    <d v="2025-04-30T00:00:00"/>
    <s v="Ibn Battuta Mall"/>
    <s v="P304"/>
    <n v="1"/>
    <n v="699"/>
    <x v="3"/>
    <x v="35"/>
    <s v="Fashion"/>
    <n v="380"/>
    <n v="699"/>
    <n v="380"/>
    <n v="319"/>
    <x v="3"/>
  </r>
  <r>
    <s v="ORD50952"/>
    <d v="2025-04-30T00:00:00"/>
    <s v="Ibn Battuta Mall"/>
    <s v="P208"/>
    <n v="1"/>
    <n v="259"/>
    <x v="3"/>
    <x v="22"/>
    <s v="Home &amp; Kitchen"/>
    <n v="115"/>
    <n v="259"/>
    <n v="115"/>
    <n v="144"/>
    <x v="3"/>
  </r>
  <r>
    <s v="ORD51140"/>
    <d v="2025-04-30T00:00:00"/>
    <s v="Online"/>
    <s v="P102"/>
    <n v="2"/>
    <n v="249"/>
    <x v="3"/>
    <x v="13"/>
    <s v="Electronics"/>
    <n v="150"/>
    <n v="498"/>
    <n v="300"/>
    <n v="198"/>
    <x v="3"/>
  </r>
  <r>
    <s v="ORD51724"/>
    <d v="2025-04-30T00:00:00"/>
    <s v="Online"/>
    <s v="P106"/>
    <n v="3"/>
    <n v="149"/>
    <x v="3"/>
    <x v="30"/>
    <s v="Electronics"/>
    <n v="70"/>
    <n v="447"/>
    <n v="210"/>
    <n v="237"/>
    <x v="3"/>
  </r>
  <r>
    <s v="ORD52394"/>
    <d v="2025-04-30T00:00:00"/>
    <s v="Online"/>
    <s v="P104"/>
    <n v="1"/>
    <n v="199"/>
    <x v="2"/>
    <x v="1"/>
    <s v="Electronics"/>
    <n v="175"/>
    <n v="179.1"/>
    <n v="175"/>
    <n v="4.0999999999999943"/>
    <x v="3"/>
  </r>
  <r>
    <s v="ORD52785"/>
    <d v="2025-04-30T00:00:00"/>
    <s v="Online"/>
    <s v="P301"/>
    <n v="2"/>
    <n v="179"/>
    <x v="2"/>
    <x v="2"/>
    <s v="Fashion"/>
    <n v="70"/>
    <n v="322.2"/>
    <n v="140"/>
    <n v="182.2"/>
    <x v="3"/>
  </r>
  <r>
    <s v="ORD52814"/>
    <d v="2025-04-30T00:00:00"/>
    <s v="Mall of the Emirates"/>
    <s v="P107"/>
    <n v="1"/>
    <n v="89"/>
    <x v="1"/>
    <x v="29"/>
    <s v="Electronics"/>
    <n v="35"/>
    <n v="84.55"/>
    <n v="35"/>
    <n v="49.55"/>
    <x v="3"/>
  </r>
  <r>
    <s v="ORD53294"/>
    <d v="2025-04-30T00:00:00"/>
    <s v="Dubai Mall"/>
    <s v="P504"/>
    <n v="1"/>
    <n v="2499"/>
    <x v="6"/>
    <x v="33"/>
    <s v="Sports"/>
    <n v="2150"/>
    <n v="1874.25"/>
    <n v="2150"/>
    <n v="-275.75"/>
    <x v="3"/>
  </r>
  <r>
    <s v="ORD50128"/>
    <d v="2025-05-01T00:00:00"/>
    <s v="Mall of the Emirates"/>
    <s v="P306"/>
    <n v="1"/>
    <n v="249"/>
    <x v="3"/>
    <x v="3"/>
    <s v="Fashion"/>
    <n v="95"/>
    <n v="249"/>
    <n v="95"/>
    <n v="154"/>
    <x v="4"/>
  </r>
  <r>
    <s v="ORD50220"/>
    <d v="2025-05-01T00:00:00"/>
    <s v="Online"/>
    <s v="P107"/>
    <n v="1"/>
    <n v="89"/>
    <x v="3"/>
    <x v="29"/>
    <s v="Electronics"/>
    <n v="35"/>
    <n v="89"/>
    <n v="35"/>
    <n v="54"/>
    <x v="4"/>
  </r>
  <r>
    <s v="ORD50224"/>
    <d v="2025-05-01T00:00:00"/>
    <s v="Mall of the Emirates"/>
    <s v="P303"/>
    <n v="1"/>
    <n v="149"/>
    <x v="0"/>
    <x v="7"/>
    <s v="Fashion"/>
    <n v="80"/>
    <n v="126.64999999999999"/>
    <n v="80"/>
    <n v="46.649999999999991"/>
    <x v="4"/>
  </r>
  <r>
    <s v="ORD50235"/>
    <d v="2025-05-01T00:00:00"/>
    <s v="Ibn Battuta Mall"/>
    <s v="P201"/>
    <n v="3"/>
    <n v="499"/>
    <x v="2"/>
    <x v="16"/>
    <s v="Home &amp; Kitchen"/>
    <n v="290"/>
    <n v="1347.3"/>
    <n v="870"/>
    <n v="477.29999999999995"/>
    <x v="4"/>
  </r>
  <r>
    <s v="ORD51303"/>
    <d v="2025-05-01T00:00:00"/>
    <s v="Dubai Mall"/>
    <s v="P205"/>
    <n v="2"/>
    <n v="289"/>
    <x v="5"/>
    <x v="9"/>
    <s v="Home &amp; Kitchen"/>
    <n v="140"/>
    <n v="462.40000000000003"/>
    <n v="280"/>
    <n v="182.40000000000003"/>
    <x v="4"/>
  </r>
  <r>
    <s v="ORD51574"/>
    <d v="2025-05-01T00:00:00"/>
    <s v="Mall of the Emirates"/>
    <s v="P502"/>
    <n v="1"/>
    <n v="799"/>
    <x v="6"/>
    <x v="19"/>
    <s v="Sports"/>
    <n v="700"/>
    <n v="599.25"/>
    <n v="700"/>
    <n v="-100.75"/>
    <x v="4"/>
  </r>
  <r>
    <s v="ORD51789"/>
    <d v="2025-05-01T00:00:00"/>
    <s v="City Centre Deira"/>
    <s v="P404"/>
    <n v="1"/>
    <n v="189"/>
    <x v="1"/>
    <x v="6"/>
    <s v="Beauty"/>
    <n v="85"/>
    <n v="179.54999999999998"/>
    <n v="85"/>
    <n v="94.549999999999983"/>
    <x v="4"/>
  </r>
  <r>
    <s v="ORD51984"/>
    <d v="2025-05-01T00:00:00"/>
    <s v="Dubai Mall"/>
    <s v="P203"/>
    <n v="2"/>
    <n v="349"/>
    <x v="3"/>
    <x v="21"/>
    <s v="Home &amp; Kitchen"/>
    <n v="170"/>
    <n v="698"/>
    <n v="340"/>
    <n v="358"/>
    <x v="4"/>
  </r>
  <r>
    <s v="ORD52046"/>
    <d v="2025-05-01T00:00:00"/>
    <s v="Dubai Mall"/>
    <s v="P406"/>
    <n v="4"/>
    <n v="199"/>
    <x v="1"/>
    <x v="4"/>
    <s v="Beauty"/>
    <n v="90"/>
    <n v="756.19999999999993"/>
    <n v="360"/>
    <n v="396.19999999999993"/>
    <x v="4"/>
  </r>
  <r>
    <s v="ORD52770"/>
    <d v="2025-05-01T00:00:00"/>
    <s v="Dubai Mall"/>
    <s v="P406"/>
    <n v="1"/>
    <n v="199"/>
    <x v="3"/>
    <x v="4"/>
    <s v="Beauty"/>
    <n v="90"/>
    <n v="199"/>
    <n v="90"/>
    <n v="109"/>
    <x v="4"/>
  </r>
  <r>
    <s v="ORD52835"/>
    <d v="2025-05-01T00:00:00"/>
    <s v="Mall of the Emirates"/>
    <s v="P102"/>
    <n v="1"/>
    <n v="249"/>
    <x v="3"/>
    <x v="13"/>
    <s v="Electronics"/>
    <n v="150"/>
    <n v="249"/>
    <n v="150"/>
    <n v="99"/>
    <x v="4"/>
  </r>
  <r>
    <s v="ORD52855"/>
    <d v="2025-05-01T00:00:00"/>
    <s v="Mall of the Emirates"/>
    <s v="P303"/>
    <n v="3"/>
    <n v="149"/>
    <x v="3"/>
    <x v="7"/>
    <s v="Fashion"/>
    <n v="80"/>
    <n v="447"/>
    <n v="240"/>
    <n v="207"/>
    <x v="4"/>
  </r>
  <r>
    <s v="ORD53864"/>
    <d v="2025-05-01T00:00:00"/>
    <s v="Dubai Mall"/>
    <s v="P305"/>
    <n v="2"/>
    <n v="429"/>
    <x v="1"/>
    <x v="14"/>
    <s v="Fashion"/>
    <n v="300"/>
    <n v="815.09999999999991"/>
    <n v="600"/>
    <n v="215.09999999999991"/>
    <x v="4"/>
  </r>
  <r>
    <s v="ORD54076"/>
    <d v="2025-05-01T00:00:00"/>
    <s v="Online"/>
    <s v="P308"/>
    <n v="3"/>
    <n v="229"/>
    <x v="1"/>
    <x v="0"/>
    <s v="Fashion"/>
    <n v="120"/>
    <n v="652.65"/>
    <n v="360"/>
    <n v="292.64999999999998"/>
    <x v="4"/>
  </r>
  <r>
    <s v="ORD50164"/>
    <d v="2025-05-02T00:00:00"/>
    <s v="Online"/>
    <s v="P406"/>
    <n v="3"/>
    <n v="199"/>
    <x v="1"/>
    <x v="4"/>
    <s v="Beauty"/>
    <n v="90"/>
    <n v="567.15"/>
    <n v="270"/>
    <n v="297.14999999999998"/>
    <x v="4"/>
  </r>
  <r>
    <s v="ORD50447"/>
    <d v="2025-05-02T00:00:00"/>
    <s v="City Centre Deira"/>
    <s v="P308"/>
    <n v="1"/>
    <n v="229"/>
    <x v="1"/>
    <x v="0"/>
    <s v="Fashion"/>
    <n v="120"/>
    <n v="217.54999999999998"/>
    <n v="120"/>
    <n v="97.549999999999983"/>
    <x v="4"/>
  </r>
  <r>
    <s v="ORD50684"/>
    <d v="2025-05-02T00:00:00"/>
    <s v="Ibn Battuta Mall"/>
    <s v="P102"/>
    <n v="1"/>
    <n v="249"/>
    <x v="5"/>
    <x v="13"/>
    <s v="Electronics"/>
    <n v="150"/>
    <n v="199.20000000000002"/>
    <n v="150"/>
    <n v="49.200000000000017"/>
    <x v="4"/>
  </r>
  <r>
    <s v="ORD51341"/>
    <d v="2025-05-02T00:00:00"/>
    <s v="Online"/>
    <s v="P503"/>
    <n v="1"/>
    <n v="229"/>
    <x v="3"/>
    <x v="18"/>
    <s v="Sports"/>
    <n v="120"/>
    <n v="229"/>
    <n v="120"/>
    <n v="109"/>
    <x v="4"/>
  </r>
  <r>
    <s v="ORD51412"/>
    <d v="2025-05-02T00:00:00"/>
    <s v="Online"/>
    <s v="P105"/>
    <n v="1"/>
    <n v="899"/>
    <x v="3"/>
    <x v="31"/>
    <s v="Electronics"/>
    <n v="610"/>
    <n v="899"/>
    <n v="610"/>
    <n v="289"/>
    <x v="4"/>
  </r>
  <r>
    <s v="ORD51459"/>
    <d v="2025-05-02T00:00:00"/>
    <s v="Ibn Battuta Mall"/>
    <s v="P105"/>
    <n v="1"/>
    <n v="899"/>
    <x v="3"/>
    <x v="31"/>
    <s v="Electronics"/>
    <n v="610"/>
    <n v="899"/>
    <n v="610"/>
    <n v="289"/>
    <x v="4"/>
  </r>
  <r>
    <s v="ORD52198"/>
    <d v="2025-05-02T00:00:00"/>
    <s v="Ibn Battuta Mall"/>
    <s v="P304"/>
    <n v="1"/>
    <n v="699"/>
    <x v="3"/>
    <x v="35"/>
    <s v="Fashion"/>
    <n v="380"/>
    <n v="699"/>
    <n v="380"/>
    <n v="319"/>
    <x v="4"/>
  </r>
  <r>
    <s v="ORD52298"/>
    <d v="2025-05-02T00:00:00"/>
    <s v="Online"/>
    <s v="P104"/>
    <n v="1"/>
    <n v="199"/>
    <x v="6"/>
    <x v="1"/>
    <s v="Electronics"/>
    <n v="175"/>
    <n v="149.25"/>
    <n v="175"/>
    <n v="-25.75"/>
    <x v="4"/>
  </r>
  <r>
    <s v="ORD52417"/>
    <d v="2025-05-02T00:00:00"/>
    <s v="Mall of the Emirates"/>
    <s v="P305"/>
    <n v="1"/>
    <n v="429"/>
    <x v="3"/>
    <x v="14"/>
    <s v="Fashion"/>
    <n v="300"/>
    <n v="429"/>
    <n v="300"/>
    <n v="129"/>
    <x v="4"/>
  </r>
  <r>
    <s v="ORD52427"/>
    <d v="2025-05-02T00:00:00"/>
    <s v="Online"/>
    <s v="P308"/>
    <n v="1"/>
    <n v="229"/>
    <x v="3"/>
    <x v="0"/>
    <s v="Fashion"/>
    <n v="120"/>
    <n v="229"/>
    <n v="120"/>
    <n v="109"/>
    <x v="4"/>
  </r>
  <r>
    <s v="ORD52481"/>
    <d v="2025-05-02T00:00:00"/>
    <s v="Online"/>
    <s v="P502"/>
    <n v="1"/>
    <n v="799"/>
    <x v="5"/>
    <x v="19"/>
    <s v="Sports"/>
    <n v="700"/>
    <n v="639.20000000000005"/>
    <n v="700"/>
    <n v="-60.799999999999955"/>
    <x v="4"/>
  </r>
  <r>
    <s v="ORD52489"/>
    <d v="2025-05-02T00:00:00"/>
    <s v="Online"/>
    <s v="P403"/>
    <n v="3"/>
    <n v="299"/>
    <x v="0"/>
    <x v="8"/>
    <s v="Beauty"/>
    <n v="240"/>
    <n v="762.44999999999993"/>
    <n v="720"/>
    <n v="42.449999999999932"/>
    <x v="4"/>
  </r>
  <r>
    <s v="ORD53300"/>
    <d v="2025-05-02T00:00:00"/>
    <s v="Ibn Battuta Mall"/>
    <s v="P104"/>
    <n v="2"/>
    <n v="199"/>
    <x v="5"/>
    <x v="1"/>
    <s v="Electronics"/>
    <n v="175"/>
    <n v="318.40000000000003"/>
    <n v="350"/>
    <n v="-31.599999999999966"/>
    <x v="4"/>
  </r>
  <r>
    <s v="ORD53306"/>
    <d v="2025-05-02T00:00:00"/>
    <s v="Ibn Battuta Mall"/>
    <s v="P402"/>
    <n v="4"/>
    <n v="149"/>
    <x v="2"/>
    <x v="17"/>
    <s v="Beauty"/>
    <n v="55"/>
    <n v="536.4"/>
    <n v="220"/>
    <n v="316.39999999999998"/>
    <x v="4"/>
  </r>
  <r>
    <s v="ORD50344"/>
    <d v="2025-05-03T00:00:00"/>
    <s v="Ibn Battuta Mall"/>
    <s v="P103"/>
    <n v="2"/>
    <n v="1299"/>
    <x v="1"/>
    <x v="25"/>
    <s v="Electronics"/>
    <n v="820"/>
    <n v="2468.1"/>
    <n v="1640"/>
    <n v="828.09999999999991"/>
    <x v="4"/>
  </r>
  <r>
    <s v="ORD50823"/>
    <d v="2025-05-03T00:00:00"/>
    <s v="Mall of the Emirates"/>
    <s v="P302"/>
    <n v="2"/>
    <n v="459"/>
    <x v="3"/>
    <x v="10"/>
    <s v="Fashion"/>
    <n v="190"/>
    <n v="918"/>
    <n v="380"/>
    <n v="538"/>
    <x v="4"/>
  </r>
  <r>
    <s v="ORD50979"/>
    <d v="2025-05-03T00:00:00"/>
    <s v="City Centre Deira"/>
    <s v="P305"/>
    <n v="1"/>
    <n v="429"/>
    <x v="3"/>
    <x v="14"/>
    <s v="Fashion"/>
    <n v="300"/>
    <n v="429"/>
    <n v="300"/>
    <n v="129"/>
    <x v="4"/>
  </r>
  <r>
    <s v="ORD51274"/>
    <d v="2025-05-03T00:00:00"/>
    <s v="Mall of the Emirates"/>
    <s v="P304"/>
    <n v="1"/>
    <n v="699"/>
    <x v="2"/>
    <x v="35"/>
    <s v="Fashion"/>
    <n v="380"/>
    <n v="629.1"/>
    <n v="380"/>
    <n v="249.10000000000002"/>
    <x v="4"/>
  </r>
  <r>
    <s v="ORD51697"/>
    <d v="2025-05-03T00:00:00"/>
    <s v="Dubai Mall"/>
    <s v="P101"/>
    <n v="1"/>
    <n v="399"/>
    <x v="1"/>
    <x v="5"/>
    <s v="Electronics"/>
    <n v="230"/>
    <n v="379.04999999999995"/>
    <n v="230"/>
    <n v="149.04999999999995"/>
    <x v="4"/>
  </r>
  <r>
    <s v="ORD51739"/>
    <d v="2025-05-03T00:00:00"/>
    <s v="Dubai Mall"/>
    <s v="P306"/>
    <n v="2"/>
    <n v="249"/>
    <x v="1"/>
    <x v="3"/>
    <s v="Fashion"/>
    <n v="95"/>
    <n v="473.09999999999997"/>
    <n v="190"/>
    <n v="283.09999999999997"/>
    <x v="4"/>
  </r>
  <r>
    <s v="ORD52516"/>
    <d v="2025-05-03T00:00:00"/>
    <s v="City Centre Deira"/>
    <s v="P303"/>
    <n v="3"/>
    <n v="149"/>
    <x v="1"/>
    <x v="7"/>
    <s v="Fashion"/>
    <n v="80"/>
    <n v="424.65"/>
    <n v="240"/>
    <n v="184.64999999999998"/>
    <x v="4"/>
  </r>
  <r>
    <s v="ORD52520"/>
    <d v="2025-05-03T00:00:00"/>
    <s v="Dubai Mall"/>
    <s v="P206"/>
    <n v="1"/>
    <n v="129"/>
    <x v="2"/>
    <x v="28"/>
    <s v="Home &amp; Kitchen"/>
    <n v="60"/>
    <n v="116.10000000000001"/>
    <n v="60"/>
    <n v="56.100000000000009"/>
    <x v="4"/>
  </r>
  <r>
    <s v="ORD52748"/>
    <d v="2025-05-03T00:00:00"/>
    <s v="Mall of the Emirates"/>
    <s v="P107"/>
    <n v="4"/>
    <n v="89"/>
    <x v="3"/>
    <x v="29"/>
    <s v="Electronics"/>
    <n v="35"/>
    <n v="356"/>
    <n v="140"/>
    <n v="216"/>
    <x v="4"/>
  </r>
  <r>
    <s v="ORD53131"/>
    <d v="2025-05-03T00:00:00"/>
    <s v="Dubai Mall"/>
    <s v="P102"/>
    <n v="1"/>
    <n v="249"/>
    <x v="3"/>
    <x v="13"/>
    <s v="Electronics"/>
    <n v="150"/>
    <n v="249"/>
    <n v="150"/>
    <n v="99"/>
    <x v="4"/>
  </r>
  <r>
    <s v="ORD53677"/>
    <d v="2025-05-03T00:00:00"/>
    <s v="Mall of the Emirates"/>
    <s v="P406"/>
    <n v="2"/>
    <n v="199"/>
    <x v="0"/>
    <x v="4"/>
    <s v="Beauty"/>
    <n v="90"/>
    <n v="338.3"/>
    <n v="180"/>
    <n v="158.30000000000001"/>
    <x v="4"/>
  </r>
  <r>
    <s v="ORD50006"/>
    <d v="2025-05-04T00:00:00"/>
    <s v="Online"/>
    <s v="P306"/>
    <n v="1"/>
    <n v="249"/>
    <x v="1"/>
    <x v="3"/>
    <s v="Fashion"/>
    <n v="95"/>
    <n v="236.54999999999998"/>
    <n v="95"/>
    <n v="141.54999999999998"/>
    <x v="4"/>
  </r>
  <r>
    <s v="ORD50196"/>
    <d v="2025-05-04T00:00:00"/>
    <s v="Mall of the Emirates"/>
    <s v="P402"/>
    <n v="1"/>
    <n v="149"/>
    <x v="1"/>
    <x v="17"/>
    <s v="Beauty"/>
    <n v="55"/>
    <n v="141.54999999999998"/>
    <n v="55"/>
    <n v="86.549999999999983"/>
    <x v="4"/>
  </r>
  <r>
    <s v="ORD50345"/>
    <d v="2025-05-04T00:00:00"/>
    <s v="Ibn Battuta Mall"/>
    <s v="P103"/>
    <n v="1"/>
    <n v="1299"/>
    <x v="5"/>
    <x v="25"/>
    <s v="Electronics"/>
    <n v="820"/>
    <n v="1039.2"/>
    <n v="820"/>
    <n v="219.20000000000005"/>
    <x v="4"/>
  </r>
  <r>
    <s v="ORD50444"/>
    <d v="2025-05-04T00:00:00"/>
    <s v="Ibn Battuta Mall"/>
    <s v="P201"/>
    <n v="1"/>
    <n v="499"/>
    <x v="3"/>
    <x v="16"/>
    <s v="Home &amp; Kitchen"/>
    <n v="290"/>
    <n v="499"/>
    <n v="290"/>
    <n v="209"/>
    <x v="4"/>
  </r>
  <r>
    <s v="ORD51124"/>
    <d v="2025-05-04T00:00:00"/>
    <s v="Online"/>
    <s v="P206"/>
    <n v="1"/>
    <n v="129"/>
    <x v="2"/>
    <x v="28"/>
    <s v="Home &amp; Kitchen"/>
    <n v="60"/>
    <n v="116.10000000000001"/>
    <n v="60"/>
    <n v="56.100000000000009"/>
    <x v="4"/>
  </r>
  <r>
    <s v="ORD51568"/>
    <d v="2025-05-04T00:00:00"/>
    <s v="Mall of the Emirates"/>
    <s v="P303"/>
    <n v="2"/>
    <n v="149"/>
    <x v="3"/>
    <x v="7"/>
    <s v="Fashion"/>
    <n v="80"/>
    <n v="298"/>
    <n v="160"/>
    <n v="138"/>
    <x v="4"/>
  </r>
  <r>
    <s v="ORD51703"/>
    <d v="2025-05-04T00:00:00"/>
    <s v="Dubai Mall"/>
    <s v="P406"/>
    <n v="1"/>
    <n v="199"/>
    <x v="1"/>
    <x v="4"/>
    <s v="Beauty"/>
    <n v="90"/>
    <n v="189.04999999999998"/>
    <n v="90"/>
    <n v="99.049999999999983"/>
    <x v="4"/>
  </r>
  <r>
    <s v="ORD51814"/>
    <d v="2025-05-04T00:00:00"/>
    <s v="Online"/>
    <s v="P402"/>
    <n v="1"/>
    <n v="149"/>
    <x v="0"/>
    <x v="17"/>
    <s v="Beauty"/>
    <n v="55"/>
    <n v="126.64999999999999"/>
    <n v="55"/>
    <n v="71.649999999999991"/>
    <x v="4"/>
  </r>
  <r>
    <s v="ORD51969"/>
    <d v="2025-05-04T00:00:00"/>
    <s v="Online"/>
    <s v="P208"/>
    <n v="3"/>
    <n v="259"/>
    <x v="1"/>
    <x v="22"/>
    <s v="Home &amp; Kitchen"/>
    <n v="115"/>
    <n v="738.15"/>
    <n v="345"/>
    <n v="393.15"/>
    <x v="4"/>
  </r>
  <r>
    <s v="ORD52654"/>
    <d v="2025-05-04T00:00:00"/>
    <s v="Online"/>
    <s v="P208"/>
    <n v="2"/>
    <n v="259"/>
    <x v="1"/>
    <x v="22"/>
    <s v="Home &amp; Kitchen"/>
    <n v="115"/>
    <n v="492.09999999999997"/>
    <n v="230"/>
    <n v="262.09999999999997"/>
    <x v="4"/>
  </r>
  <r>
    <s v="ORD52860"/>
    <d v="2025-05-04T00:00:00"/>
    <s v="Online"/>
    <s v="P301"/>
    <n v="2"/>
    <n v="179"/>
    <x v="1"/>
    <x v="2"/>
    <s v="Fashion"/>
    <n v="70"/>
    <n v="340.09999999999997"/>
    <n v="140"/>
    <n v="200.09999999999997"/>
    <x v="4"/>
  </r>
  <r>
    <s v="ORD53223"/>
    <d v="2025-05-04T00:00:00"/>
    <s v="Dubai Mall"/>
    <s v="P307"/>
    <n v="1"/>
    <n v="399"/>
    <x v="2"/>
    <x v="20"/>
    <s v="Fashion"/>
    <n v="210"/>
    <n v="359.1"/>
    <n v="210"/>
    <n v="149.10000000000002"/>
    <x v="4"/>
  </r>
  <r>
    <s v="ORD53270"/>
    <d v="2025-05-04T00:00:00"/>
    <s v="Online"/>
    <s v="P501"/>
    <n v="1"/>
    <n v="129"/>
    <x v="2"/>
    <x v="12"/>
    <s v="Sports"/>
    <n v="60"/>
    <n v="116.10000000000001"/>
    <n v="60"/>
    <n v="56.100000000000009"/>
    <x v="4"/>
  </r>
  <r>
    <s v="ORD53315"/>
    <d v="2025-05-04T00:00:00"/>
    <s v="Dubai Mall"/>
    <s v="P205"/>
    <n v="1"/>
    <n v="289"/>
    <x v="3"/>
    <x v="9"/>
    <s v="Home &amp; Kitchen"/>
    <n v="140"/>
    <n v="289"/>
    <n v="140"/>
    <n v="149"/>
    <x v="4"/>
  </r>
  <r>
    <s v="ORD54182"/>
    <d v="2025-05-04T00:00:00"/>
    <s v="Ibn Battuta Mall"/>
    <s v="P207"/>
    <n v="1"/>
    <n v="399"/>
    <x v="0"/>
    <x v="32"/>
    <s v="Home &amp; Kitchen"/>
    <n v="250"/>
    <n v="339.15"/>
    <n v="250"/>
    <n v="89.149999999999977"/>
    <x v="4"/>
  </r>
  <r>
    <s v="ORD50021"/>
    <d v="2025-05-05T00:00:00"/>
    <s v="Mall of the Emirates"/>
    <s v="P101"/>
    <n v="2"/>
    <n v="399"/>
    <x v="3"/>
    <x v="5"/>
    <s v="Electronics"/>
    <n v="230"/>
    <n v="798"/>
    <n v="460"/>
    <n v="338"/>
    <x v="4"/>
  </r>
  <r>
    <s v="ORD50062"/>
    <d v="2025-05-05T00:00:00"/>
    <s v="Online"/>
    <s v="P501"/>
    <n v="4"/>
    <n v="129"/>
    <x v="1"/>
    <x v="12"/>
    <s v="Sports"/>
    <n v="60"/>
    <n v="490.2"/>
    <n v="240"/>
    <n v="250.2"/>
    <x v="4"/>
  </r>
  <r>
    <s v="ORD50565"/>
    <d v="2025-05-05T00:00:00"/>
    <s v="Dubai Mall"/>
    <s v="P308"/>
    <n v="1"/>
    <n v="229"/>
    <x v="1"/>
    <x v="0"/>
    <s v="Fashion"/>
    <n v="120"/>
    <n v="217.54999999999998"/>
    <n v="120"/>
    <n v="97.549999999999983"/>
    <x v="4"/>
  </r>
  <r>
    <s v="ORD50635"/>
    <d v="2025-05-05T00:00:00"/>
    <s v="Ibn Battuta Mall"/>
    <s v="P404"/>
    <n v="2"/>
    <n v="189"/>
    <x v="3"/>
    <x v="6"/>
    <s v="Beauty"/>
    <n v="85"/>
    <n v="378"/>
    <n v="170"/>
    <n v="208"/>
    <x v="4"/>
  </r>
  <r>
    <s v="ORD50955"/>
    <d v="2025-05-05T00:00:00"/>
    <s v="Dubai Mall"/>
    <s v="P302"/>
    <n v="2"/>
    <n v="459"/>
    <x v="3"/>
    <x v="10"/>
    <s v="Fashion"/>
    <n v="190"/>
    <n v="918"/>
    <n v="380"/>
    <n v="538"/>
    <x v="4"/>
  </r>
  <r>
    <s v="ORD51394"/>
    <d v="2025-05-05T00:00:00"/>
    <s v="Mall of the Emirates"/>
    <s v="P201"/>
    <n v="1"/>
    <n v="499"/>
    <x v="0"/>
    <x v="16"/>
    <s v="Home &amp; Kitchen"/>
    <n v="290"/>
    <n v="424.15"/>
    <n v="290"/>
    <n v="134.14999999999998"/>
    <x v="4"/>
  </r>
  <r>
    <s v="ORD52192"/>
    <d v="2025-05-05T00:00:00"/>
    <s v="Dubai Mall"/>
    <s v="P302"/>
    <n v="3"/>
    <n v="459"/>
    <x v="3"/>
    <x v="10"/>
    <s v="Fashion"/>
    <n v="190"/>
    <n v="1377"/>
    <n v="570"/>
    <n v="807"/>
    <x v="4"/>
  </r>
  <r>
    <s v="ORD52243"/>
    <d v="2025-05-05T00:00:00"/>
    <s v="City Centre Deira"/>
    <s v="P203"/>
    <n v="1"/>
    <n v="349"/>
    <x v="2"/>
    <x v="21"/>
    <s v="Home &amp; Kitchen"/>
    <n v="170"/>
    <n v="314.10000000000002"/>
    <n v="170"/>
    <n v="144.10000000000002"/>
    <x v="4"/>
  </r>
  <r>
    <s v="ORD53083"/>
    <d v="2025-05-05T00:00:00"/>
    <s v="Mall of the Emirates"/>
    <s v="P502"/>
    <n v="1"/>
    <n v="799"/>
    <x v="5"/>
    <x v="19"/>
    <s v="Sports"/>
    <n v="700"/>
    <n v="639.20000000000005"/>
    <n v="700"/>
    <n v="-60.799999999999955"/>
    <x v="4"/>
  </r>
  <r>
    <s v="ORD53268"/>
    <d v="2025-05-05T00:00:00"/>
    <s v="Ibn Battuta Mall"/>
    <s v="P202"/>
    <n v="1"/>
    <n v="1499"/>
    <x v="3"/>
    <x v="26"/>
    <s v="Home &amp; Kitchen"/>
    <n v="1050"/>
    <n v="1499"/>
    <n v="1050"/>
    <n v="449"/>
    <x v="4"/>
  </r>
  <r>
    <s v="ORD53484"/>
    <d v="2025-05-05T00:00:00"/>
    <s v="Dubai Mall"/>
    <s v="P204"/>
    <n v="1"/>
    <n v="1199"/>
    <x v="5"/>
    <x v="27"/>
    <s v="Home &amp; Kitchen"/>
    <n v="1080"/>
    <n v="959.2"/>
    <n v="1080"/>
    <n v="-120.79999999999995"/>
    <x v="4"/>
  </r>
  <r>
    <s v="ORD53548"/>
    <d v="2025-05-05T00:00:00"/>
    <s v="Dubai Mall"/>
    <s v="P206"/>
    <n v="1"/>
    <n v="129"/>
    <x v="3"/>
    <x v="28"/>
    <s v="Home &amp; Kitchen"/>
    <n v="60"/>
    <n v="129"/>
    <n v="60"/>
    <n v="69"/>
    <x v="4"/>
  </r>
  <r>
    <s v="ORD50118"/>
    <d v="2025-05-06T00:00:00"/>
    <s v="Dubai Mall"/>
    <s v="P306"/>
    <n v="2"/>
    <n v="249"/>
    <x v="1"/>
    <x v="3"/>
    <s v="Fashion"/>
    <n v="95"/>
    <n v="473.09999999999997"/>
    <n v="190"/>
    <n v="283.09999999999997"/>
    <x v="4"/>
  </r>
  <r>
    <s v="ORD50510"/>
    <d v="2025-05-06T00:00:00"/>
    <s v="City Centre Deira"/>
    <s v="P208"/>
    <n v="2"/>
    <n v="259"/>
    <x v="2"/>
    <x v="22"/>
    <s v="Home &amp; Kitchen"/>
    <n v="115"/>
    <n v="466.2"/>
    <n v="230"/>
    <n v="236.2"/>
    <x v="4"/>
  </r>
  <r>
    <s v="ORD50513"/>
    <d v="2025-05-06T00:00:00"/>
    <s v="Ibn Battuta Mall"/>
    <s v="P405"/>
    <n v="1"/>
    <n v="89"/>
    <x v="3"/>
    <x v="24"/>
    <s v="Beauty"/>
    <n v="40"/>
    <n v="89"/>
    <n v="40"/>
    <n v="49"/>
    <x v="4"/>
  </r>
  <r>
    <s v="ORD51178"/>
    <d v="2025-05-06T00:00:00"/>
    <s v="Dubai Mall"/>
    <s v="P305"/>
    <n v="1"/>
    <n v="429"/>
    <x v="0"/>
    <x v="14"/>
    <s v="Fashion"/>
    <n v="300"/>
    <n v="364.65"/>
    <n v="300"/>
    <n v="64.649999999999977"/>
    <x v="4"/>
  </r>
  <r>
    <s v="ORD51326"/>
    <d v="2025-05-06T00:00:00"/>
    <s v="Dubai Mall"/>
    <s v="P308"/>
    <n v="3"/>
    <n v="229"/>
    <x v="3"/>
    <x v="0"/>
    <s v="Fashion"/>
    <n v="120"/>
    <n v="687"/>
    <n v="360"/>
    <n v="327"/>
    <x v="4"/>
  </r>
  <r>
    <s v="ORD51765"/>
    <d v="2025-05-06T00:00:00"/>
    <s v="City Centre Deira"/>
    <s v="P304"/>
    <n v="1"/>
    <n v="699"/>
    <x v="0"/>
    <x v="35"/>
    <s v="Fashion"/>
    <n v="380"/>
    <n v="594.15"/>
    <n v="380"/>
    <n v="214.14999999999998"/>
    <x v="4"/>
  </r>
  <r>
    <s v="ORD52278"/>
    <d v="2025-05-06T00:00:00"/>
    <s v="City Centre Deira"/>
    <s v="P206"/>
    <n v="3"/>
    <n v="129"/>
    <x v="2"/>
    <x v="28"/>
    <s v="Home &amp; Kitchen"/>
    <n v="60"/>
    <n v="348.3"/>
    <n v="180"/>
    <n v="168.3"/>
    <x v="4"/>
  </r>
  <r>
    <s v="ORD52786"/>
    <d v="2025-05-06T00:00:00"/>
    <s v="City Centre Deira"/>
    <s v="P206"/>
    <n v="1"/>
    <n v="129"/>
    <x v="3"/>
    <x v="28"/>
    <s v="Home &amp; Kitchen"/>
    <n v="60"/>
    <n v="129"/>
    <n v="60"/>
    <n v="69"/>
    <x v="4"/>
  </r>
  <r>
    <s v="ORD52976"/>
    <d v="2025-05-06T00:00:00"/>
    <s v="Online"/>
    <s v="P108"/>
    <n v="1"/>
    <n v="459"/>
    <x v="3"/>
    <x v="23"/>
    <s v="Electronics"/>
    <n v="300"/>
    <n v="459"/>
    <n v="300"/>
    <n v="159"/>
    <x v="4"/>
  </r>
  <r>
    <s v="ORD53209"/>
    <d v="2025-05-06T00:00:00"/>
    <s v="Mall of the Emirates"/>
    <s v="P205"/>
    <n v="3"/>
    <n v="289"/>
    <x v="3"/>
    <x v="9"/>
    <s v="Home &amp; Kitchen"/>
    <n v="140"/>
    <n v="867"/>
    <n v="420"/>
    <n v="447"/>
    <x v="4"/>
  </r>
  <r>
    <s v="ORD53906"/>
    <d v="2025-05-06T00:00:00"/>
    <s v="City Centre Deira"/>
    <s v="P403"/>
    <n v="1"/>
    <n v="299"/>
    <x v="6"/>
    <x v="8"/>
    <s v="Beauty"/>
    <n v="240"/>
    <n v="224.25"/>
    <n v="240"/>
    <n v="-15.75"/>
    <x v="4"/>
  </r>
  <r>
    <s v="ORD54123"/>
    <d v="2025-05-06T00:00:00"/>
    <s v="City Centre Deira"/>
    <s v="P107"/>
    <n v="1"/>
    <n v="89"/>
    <x v="3"/>
    <x v="29"/>
    <s v="Electronics"/>
    <n v="35"/>
    <n v="89"/>
    <n v="35"/>
    <n v="54"/>
    <x v="4"/>
  </r>
  <r>
    <s v="ORD50165"/>
    <d v="2025-05-07T00:00:00"/>
    <s v="City Centre Deira"/>
    <s v="P401"/>
    <n v="1"/>
    <n v="549"/>
    <x v="3"/>
    <x v="15"/>
    <s v="Beauty"/>
    <n v="250"/>
    <n v="549"/>
    <n v="250"/>
    <n v="299"/>
    <x v="4"/>
  </r>
  <r>
    <s v="ORD50730"/>
    <d v="2025-05-07T00:00:00"/>
    <s v="Online"/>
    <s v="P402"/>
    <n v="4"/>
    <n v="149"/>
    <x v="0"/>
    <x v="17"/>
    <s v="Beauty"/>
    <n v="55"/>
    <n v="506.59999999999997"/>
    <n v="220"/>
    <n v="286.59999999999997"/>
    <x v="4"/>
  </r>
  <r>
    <s v="ORD51643"/>
    <d v="2025-05-07T00:00:00"/>
    <s v="Dubai Mall"/>
    <s v="P302"/>
    <n v="2"/>
    <n v="459"/>
    <x v="3"/>
    <x v="10"/>
    <s v="Fashion"/>
    <n v="190"/>
    <n v="918"/>
    <n v="380"/>
    <n v="538"/>
    <x v="4"/>
  </r>
  <r>
    <s v="ORD51715"/>
    <d v="2025-05-07T00:00:00"/>
    <s v="Dubai Mall"/>
    <s v="P102"/>
    <n v="1"/>
    <n v="249"/>
    <x v="0"/>
    <x v="13"/>
    <s v="Electronics"/>
    <n v="150"/>
    <n v="211.65"/>
    <n v="150"/>
    <n v="61.650000000000006"/>
    <x v="4"/>
  </r>
  <r>
    <s v="ORD51837"/>
    <d v="2025-05-07T00:00:00"/>
    <s v="Ibn Battuta Mall"/>
    <s v="P302"/>
    <n v="1"/>
    <n v="459"/>
    <x v="1"/>
    <x v="10"/>
    <s v="Fashion"/>
    <n v="190"/>
    <n v="436.04999999999995"/>
    <n v="190"/>
    <n v="246.04999999999995"/>
    <x v="4"/>
  </r>
  <r>
    <s v="ORD52177"/>
    <d v="2025-05-07T00:00:00"/>
    <s v="Online"/>
    <s v="P303"/>
    <n v="1"/>
    <n v="149"/>
    <x v="1"/>
    <x v="7"/>
    <s v="Fashion"/>
    <n v="80"/>
    <n v="141.54999999999998"/>
    <n v="80"/>
    <n v="61.549999999999983"/>
    <x v="4"/>
  </r>
  <r>
    <s v="ORD52426"/>
    <d v="2025-05-07T00:00:00"/>
    <s v="City Centre Deira"/>
    <s v="P108"/>
    <n v="1"/>
    <n v="459"/>
    <x v="0"/>
    <x v="23"/>
    <s v="Electronics"/>
    <n v="300"/>
    <n v="390.15"/>
    <n v="300"/>
    <n v="90.149999999999977"/>
    <x v="4"/>
  </r>
  <r>
    <s v="ORD52692"/>
    <d v="2025-05-07T00:00:00"/>
    <s v="Dubai Mall"/>
    <s v="P403"/>
    <n v="1"/>
    <n v="299"/>
    <x v="6"/>
    <x v="8"/>
    <s v="Beauty"/>
    <n v="240"/>
    <n v="224.25"/>
    <n v="240"/>
    <n v="-15.75"/>
    <x v="4"/>
  </r>
  <r>
    <s v="ORD53584"/>
    <d v="2025-05-07T00:00:00"/>
    <s v="City Centre Deira"/>
    <s v="P207"/>
    <n v="1"/>
    <n v="399"/>
    <x v="3"/>
    <x v="32"/>
    <s v="Home &amp; Kitchen"/>
    <n v="250"/>
    <n v="399"/>
    <n v="250"/>
    <n v="149"/>
    <x v="4"/>
  </r>
  <r>
    <s v="ORD53848"/>
    <d v="2025-05-07T00:00:00"/>
    <s v="Ibn Battuta Mall"/>
    <s v="P103"/>
    <n v="1"/>
    <n v="1299"/>
    <x v="3"/>
    <x v="25"/>
    <s v="Electronics"/>
    <n v="820"/>
    <n v="1299"/>
    <n v="820"/>
    <n v="479"/>
    <x v="4"/>
  </r>
  <r>
    <s v="ORD50125"/>
    <d v="2025-05-08T00:00:00"/>
    <s v="City Centre Deira"/>
    <s v="P303"/>
    <n v="1"/>
    <n v="149"/>
    <x v="2"/>
    <x v="7"/>
    <s v="Fashion"/>
    <n v="80"/>
    <n v="134.1"/>
    <n v="80"/>
    <n v="54.099999999999994"/>
    <x v="4"/>
  </r>
  <r>
    <s v="ORD50291"/>
    <d v="2025-05-08T00:00:00"/>
    <s v="City Centre Deira"/>
    <s v="P206"/>
    <n v="3"/>
    <n v="129"/>
    <x v="2"/>
    <x v="28"/>
    <s v="Home &amp; Kitchen"/>
    <n v="60"/>
    <n v="348.3"/>
    <n v="180"/>
    <n v="168.3"/>
    <x v="4"/>
  </r>
  <r>
    <s v="ORD51007"/>
    <d v="2025-05-08T00:00:00"/>
    <s v="Mall of the Emirates"/>
    <s v="P106"/>
    <n v="1"/>
    <n v="149"/>
    <x v="3"/>
    <x v="30"/>
    <s v="Electronics"/>
    <n v="70"/>
    <n v="149"/>
    <n v="70"/>
    <n v="79"/>
    <x v="4"/>
  </r>
  <r>
    <s v="ORD51526"/>
    <d v="2025-05-08T00:00:00"/>
    <s v="Online"/>
    <s v="P302"/>
    <n v="2"/>
    <n v="459"/>
    <x v="1"/>
    <x v="10"/>
    <s v="Fashion"/>
    <n v="190"/>
    <n v="872.09999999999991"/>
    <n v="380"/>
    <n v="492.09999999999991"/>
    <x v="4"/>
  </r>
  <r>
    <s v="ORD51805"/>
    <d v="2025-05-08T00:00:00"/>
    <s v="Mall of the Emirates"/>
    <s v="P302"/>
    <n v="1"/>
    <n v="459"/>
    <x v="3"/>
    <x v="10"/>
    <s v="Fashion"/>
    <n v="190"/>
    <n v="459"/>
    <n v="190"/>
    <n v="269"/>
    <x v="4"/>
  </r>
  <r>
    <s v="ORD51878"/>
    <d v="2025-05-08T00:00:00"/>
    <s v="Online"/>
    <s v="P104"/>
    <n v="1"/>
    <n v="199"/>
    <x v="0"/>
    <x v="1"/>
    <s v="Electronics"/>
    <n v="175"/>
    <n v="169.15"/>
    <n v="175"/>
    <n v="-5.8499999999999943"/>
    <x v="4"/>
  </r>
  <r>
    <s v="ORD52053"/>
    <d v="2025-05-08T00:00:00"/>
    <s v="Ibn Battuta Mall"/>
    <s v="P302"/>
    <n v="2"/>
    <n v="459"/>
    <x v="3"/>
    <x v="10"/>
    <s v="Fashion"/>
    <n v="190"/>
    <n v="918"/>
    <n v="380"/>
    <n v="538"/>
    <x v="4"/>
  </r>
  <r>
    <s v="ORD52180"/>
    <d v="2025-05-08T00:00:00"/>
    <s v="Online"/>
    <s v="P501"/>
    <n v="1"/>
    <n v="129"/>
    <x v="3"/>
    <x v="12"/>
    <s v="Sports"/>
    <n v="60"/>
    <n v="129"/>
    <n v="60"/>
    <n v="69"/>
    <x v="4"/>
  </r>
  <r>
    <s v="ORD52643"/>
    <d v="2025-05-08T00:00:00"/>
    <s v="Mall of the Emirates"/>
    <s v="P102"/>
    <n v="2"/>
    <n v="249"/>
    <x v="3"/>
    <x v="13"/>
    <s v="Electronics"/>
    <n v="150"/>
    <n v="498"/>
    <n v="300"/>
    <n v="198"/>
    <x v="4"/>
  </r>
  <r>
    <s v="ORD52818"/>
    <d v="2025-05-08T00:00:00"/>
    <s v="Ibn Battuta Mall"/>
    <s v="P104"/>
    <n v="1"/>
    <n v="199"/>
    <x v="6"/>
    <x v="1"/>
    <s v="Electronics"/>
    <n v="175"/>
    <n v="149.25"/>
    <n v="175"/>
    <n v="-25.75"/>
    <x v="4"/>
  </r>
  <r>
    <s v="ORD53012"/>
    <d v="2025-05-08T00:00:00"/>
    <s v="Mall of the Emirates"/>
    <s v="P502"/>
    <n v="1"/>
    <n v="799"/>
    <x v="0"/>
    <x v="19"/>
    <s v="Sports"/>
    <n v="700"/>
    <n v="679.15"/>
    <n v="700"/>
    <n v="-20.850000000000023"/>
    <x v="4"/>
  </r>
  <r>
    <s v="ORD53654"/>
    <d v="2025-05-08T00:00:00"/>
    <s v="City Centre Deira"/>
    <s v="P205"/>
    <n v="2"/>
    <n v="289"/>
    <x v="2"/>
    <x v="9"/>
    <s v="Home &amp; Kitchen"/>
    <n v="140"/>
    <n v="520.20000000000005"/>
    <n v="280"/>
    <n v="240.20000000000005"/>
    <x v="4"/>
  </r>
  <r>
    <s v="ORD53735"/>
    <d v="2025-05-08T00:00:00"/>
    <s v="Mall of the Emirates"/>
    <s v="P406"/>
    <n v="2"/>
    <n v="199"/>
    <x v="2"/>
    <x v="4"/>
    <s v="Beauty"/>
    <n v="90"/>
    <n v="358.2"/>
    <n v="180"/>
    <n v="178.2"/>
    <x v="4"/>
  </r>
  <r>
    <s v="ORD50362"/>
    <d v="2025-05-09T00:00:00"/>
    <s v="Mall of the Emirates"/>
    <s v="P207"/>
    <n v="1"/>
    <n v="399"/>
    <x v="5"/>
    <x v="32"/>
    <s v="Home &amp; Kitchen"/>
    <n v="250"/>
    <n v="319.20000000000005"/>
    <n v="250"/>
    <n v="69.200000000000045"/>
    <x v="4"/>
  </r>
  <r>
    <s v="ORD50471"/>
    <d v="2025-05-09T00:00:00"/>
    <s v="Mall of the Emirates"/>
    <s v="P306"/>
    <n v="1"/>
    <n v="249"/>
    <x v="5"/>
    <x v="3"/>
    <s v="Fashion"/>
    <n v="95"/>
    <n v="199.20000000000002"/>
    <n v="95"/>
    <n v="104.20000000000002"/>
    <x v="4"/>
  </r>
  <r>
    <s v="ORD51079"/>
    <d v="2025-05-09T00:00:00"/>
    <s v="Dubai Mall"/>
    <s v="P306"/>
    <n v="1"/>
    <n v="249"/>
    <x v="3"/>
    <x v="3"/>
    <s v="Fashion"/>
    <n v="95"/>
    <n v="249"/>
    <n v="95"/>
    <n v="154"/>
    <x v="4"/>
  </r>
  <r>
    <s v="ORD51103"/>
    <d v="2025-05-09T00:00:00"/>
    <s v="Ibn Battuta Mall"/>
    <s v="P404"/>
    <n v="1"/>
    <n v="189"/>
    <x v="1"/>
    <x v="6"/>
    <s v="Beauty"/>
    <n v="85"/>
    <n v="179.54999999999998"/>
    <n v="85"/>
    <n v="94.549999999999983"/>
    <x v="4"/>
  </r>
  <r>
    <s v="ORD51166"/>
    <d v="2025-05-09T00:00:00"/>
    <s v="Mall of the Emirates"/>
    <s v="P107"/>
    <n v="2"/>
    <n v="89"/>
    <x v="3"/>
    <x v="29"/>
    <s v="Electronics"/>
    <n v="35"/>
    <n v="178"/>
    <n v="70"/>
    <n v="108"/>
    <x v="4"/>
  </r>
  <r>
    <s v="ORD51222"/>
    <d v="2025-05-09T00:00:00"/>
    <s v="Online"/>
    <s v="P201"/>
    <n v="2"/>
    <n v="499"/>
    <x v="3"/>
    <x v="16"/>
    <s v="Home &amp; Kitchen"/>
    <n v="290"/>
    <n v="998"/>
    <n v="580"/>
    <n v="418"/>
    <x v="4"/>
  </r>
  <r>
    <s v="ORD51744"/>
    <d v="2025-05-09T00:00:00"/>
    <s v="Online"/>
    <s v="P403"/>
    <n v="1"/>
    <n v="299"/>
    <x v="5"/>
    <x v="8"/>
    <s v="Beauty"/>
    <n v="240"/>
    <n v="239.20000000000002"/>
    <n v="240"/>
    <n v="-0.79999999999998295"/>
    <x v="4"/>
  </r>
  <r>
    <s v="ORD51928"/>
    <d v="2025-05-09T00:00:00"/>
    <s v="City Centre Deira"/>
    <s v="P404"/>
    <n v="3"/>
    <n v="189"/>
    <x v="3"/>
    <x v="6"/>
    <s v="Beauty"/>
    <n v="85"/>
    <n v="567"/>
    <n v="255"/>
    <n v="312"/>
    <x v="4"/>
  </r>
  <r>
    <s v="ORD52320"/>
    <d v="2025-05-09T00:00:00"/>
    <s v="Online"/>
    <s v="P301"/>
    <n v="1"/>
    <n v="179"/>
    <x v="2"/>
    <x v="2"/>
    <s v="Fashion"/>
    <n v="70"/>
    <n v="161.1"/>
    <n v="70"/>
    <n v="91.1"/>
    <x v="4"/>
  </r>
  <r>
    <s v="ORD52332"/>
    <d v="2025-05-09T00:00:00"/>
    <s v="City Centre Deira"/>
    <s v="P102"/>
    <n v="2"/>
    <n v="249"/>
    <x v="2"/>
    <x v="13"/>
    <s v="Electronics"/>
    <n v="150"/>
    <n v="448.2"/>
    <n v="300"/>
    <n v="148.19999999999999"/>
    <x v="4"/>
  </r>
  <r>
    <s v="ORD52783"/>
    <d v="2025-05-09T00:00:00"/>
    <s v="Online"/>
    <s v="P207"/>
    <n v="2"/>
    <n v="399"/>
    <x v="2"/>
    <x v="32"/>
    <s v="Home &amp; Kitchen"/>
    <n v="250"/>
    <n v="718.2"/>
    <n v="500"/>
    <n v="218.20000000000005"/>
    <x v="4"/>
  </r>
  <r>
    <s v="ORD53109"/>
    <d v="2025-05-09T00:00:00"/>
    <s v="Dubai Mall"/>
    <s v="P501"/>
    <n v="2"/>
    <n v="129"/>
    <x v="2"/>
    <x v="12"/>
    <s v="Sports"/>
    <n v="60"/>
    <n v="232.20000000000002"/>
    <n v="120"/>
    <n v="112.20000000000002"/>
    <x v="4"/>
  </r>
  <r>
    <s v="ORD53399"/>
    <d v="2025-05-09T00:00:00"/>
    <s v="Online"/>
    <s v="P306"/>
    <n v="1"/>
    <n v="249"/>
    <x v="3"/>
    <x v="3"/>
    <s v="Fashion"/>
    <n v="95"/>
    <n v="249"/>
    <n v="95"/>
    <n v="154"/>
    <x v="4"/>
  </r>
  <r>
    <s v="ORD53688"/>
    <d v="2025-05-09T00:00:00"/>
    <s v="Online"/>
    <s v="P206"/>
    <n v="2"/>
    <n v="129"/>
    <x v="5"/>
    <x v="28"/>
    <s v="Home &amp; Kitchen"/>
    <n v="60"/>
    <n v="206.4"/>
    <n v="120"/>
    <n v="86.4"/>
    <x v="4"/>
  </r>
  <r>
    <s v="ORD50277"/>
    <d v="2025-05-10T00:00:00"/>
    <s v="Dubai Mall"/>
    <s v="P103"/>
    <n v="1"/>
    <n v="1299"/>
    <x v="3"/>
    <x v="25"/>
    <s v="Electronics"/>
    <n v="820"/>
    <n v="1299"/>
    <n v="820"/>
    <n v="479"/>
    <x v="4"/>
  </r>
  <r>
    <s v="ORD50371"/>
    <d v="2025-05-10T00:00:00"/>
    <s v="Online"/>
    <s v="P308"/>
    <n v="1"/>
    <n v="229"/>
    <x v="5"/>
    <x v="0"/>
    <s v="Fashion"/>
    <n v="120"/>
    <n v="183.20000000000002"/>
    <n v="120"/>
    <n v="63.200000000000017"/>
    <x v="4"/>
  </r>
  <r>
    <s v="ORD50422"/>
    <d v="2025-05-10T00:00:00"/>
    <s v="Mall of the Emirates"/>
    <s v="P304"/>
    <n v="1"/>
    <n v="699"/>
    <x v="3"/>
    <x v="35"/>
    <s v="Fashion"/>
    <n v="380"/>
    <n v="699"/>
    <n v="380"/>
    <n v="319"/>
    <x v="4"/>
  </r>
  <r>
    <s v="ORD50508"/>
    <d v="2025-05-10T00:00:00"/>
    <s v="Dubai Mall"/>
    <s v="P406"/>
    <n v="1"/>
    <n v="199"/>
    <x v="3"/>
    <x v="4"/>
    <s v="Beauty"/>
    <n v="90"/>
    <n v="199"/>
    <n v="90"/>
    <n v="109"/>
    <x v="4"/>
  </r>
  <r>
    <s v="ORD51464"/>
    <d v="2025-05-10T00:00:00"/>
    <s v="City Centre Deira"/>
    <s v="P106"/>
    <n v="3"/>
    <n v="149"/>
    <x v="2"/>
    <x v="30"/>
    <s v="Electronics"/>
    <n v="70"/>
    <n v="402.3"/>
    <n v="210"/>
    <n v="192.3"/>
    <x v="4"/>
  </r>
  <r>
    <s v="ORD51634"/>
    <d v="2025-05-10T00:00:00"/>
    <s v="City Centre Deira"/>
    <s v="P205"/>
    <n v="1"/>
    <n v="289"/>
    <x v="0"/>
    <x v="9"/>
    <s v="Home &amp; Kitchen"/>
    <n v="140"/>
    <n v="245.65"/>
    <n v="140"/>
    <n v="105.65"/>
    <x v="4"/>
  </r>
  <r>
    <s v="ORD52100"/>
    <d v="2025-05-10T00:00:00"/>
    <s v="Dubai Mall"/>
    <s v="P105"/>
    <n v="1"/>
    <n v="899"/>
    <x v="2"/>
    <x v="31"/>
    <s v="Electronics"/>
    <n v="610"/>
    <n v="809.1"/>
    <n v="610"/>
    <n v="199.10000000000002"/>
    <x v="4"/>
  </r>
  <r>
    <s v="ORD52571"/>
    <d v="2025-05-10T00:00:00"/>
    <s v="Online"/>
    <s v="P207"/>
    <n v="1"/>
    <n v="399"/>
    <x v="3"/>
    <x v="32"/>
    <s v="Home &amp; Kitchen"/>
    <n v="250"/>
    <n v="399"/>
    <n v="250"/>
    <n v="149"/>
    <x v="4"/>
  </r>
  <r>
    <s v="ORD52789"/>
    <d v="2025-05-10T00:00:00"/>
    <s v="Online"/>
    <s v="P107"/>
    <n v="2"/>
    <n v="89"/>
    <x v="5"/>
    <x v="29"/>
    <s v="Electronics"/>
    <n v="35"/>
    <n v="142.4"/>
    <n v="70"/>
    <n v="72.400000000000006"/>
    <x v="4"/>
  </r>
  <r>
    <s v="ORD52931"/>
    <d v="2025-05-10T00:00:00"/>
    <s v="Dubai Mall"/>
    <s v="P305"/>
    <n v="1"/>
    <n v="429"/>
    <x v="0"/>
    <x v="14"/>
    <s v="Fashion"/>
    <n v="300"/>
    <n v="364.65"/>
    <n v="300"/>
    <n v="64.649999999999977"/>
    <x v="4"/>
  </r>
  <r>
    <s v="ORD52949"/>
    <d v="2025-05-10T00:00:00"/>
    <s v="Ibn Battuta Mall"/>
    <s v="P404"/>
    <n v="1"/>
    <n v="189"/>
    <x v="3"/>
    <x v="6"/>
    <s v="Beauty"/>
    <n v="85"/>
    <n v="189"/>
    <n v="85"/>
    <n v="104"/>
    <x v="4"/>
  </r>
  <r>
    <s v="ORD53333"/>
    <d v="2025-05-10T00:00:00"/>
    <s v="Dubai Mall"/>
    <s v="P405"/>
    <n v="1"/>
    <n v="89"/>
    <x v="2"/>
    <x v="24"/>
    <s v="Beauty"/>
    <n v="40"/>
    <n v="80.100000000000009"/>
    <n v="40"/>
    <n v="40.100000000000009"/>
    <x v="4"/>
  </r>
  <r>
    <s v="ORD53897"/>
    <d v="2025-05-10T00:00:00"/>
    <s v="City Centre Deira"/>
    <s v="P306"/>
    <n v="2"/>
    <n v="249"/>
    <x v="3"/>
    <x v="3"/>
    <s v="Fashion"/>
    <n v="95"/>
    <n v="498"/>
    <n v="190"/>
    <n v="308"/>
    <x v="4"/>
  </r>
  <r>
    <s v="ORD53981"/>
    <d v="2025-05-10T00:00:00"/>
    <s v="Online"/>
    <s v="P506"/>
    <n v="1"/>
    <n v="69"/>
    <x v="3"/>
    <x v="34"/>
    <s v="Sports"/>
    <n v="25"/>
    <n v="69"/>
    <n v="25"/>
    <n v="44"/>
    <x v="4"/>
  </r>
  <r>
    <s v="ORD53994"/>
    <d v="2025-05-10T00:00:00"/>
    <s v="Mall of the Emirates"/>
    <s v="P306"/>
    <n v="2"/>
    <n v="249"/>
    <x v="5"/>
    <x v="3"/>
    <s v="Fashion"/>
    <n v="95"/>
    <n v="398.40000000000003"/>
    <n v="190"/>
    <n v="208.40000000000003"/>
    <x v="4"/>
  </r>
  <r>
    <s v="ORD54198"/>
    <d v="2025-05-10T00:00:00"/>
    <s v="Dubai Mall"/>
    <s v="P207"/>
    <n v="2"/>
    <n v="399"/>
    <x v="0"/>
    <x v="32"/>
    <s v="Home &amp; Kitchen"/>
    <n v="250"/>
    <n v="678.3"/>
    <n v="500"/>
    <n v="178.29999999999995"/>
    <x v="4"/>
  </r>
  <r>
    <s v="ORD50026"/>
    <d v="2025-05-11T00:00:00"/>
    <s v="City Centre Deira"/>
    <s v="P108"/>
    <n v="1"/>
    <n v="459"/>
    <x v="0"/>
    <x v="23"/>
    <s v="Electronics"/>
    <n v="300"/>
    <n v="390.15"/>
    <n v="300"/>
    <n v="90.149999999999977"/>
    <x v="4"/>
  </r>
  <r>
    <s v="ORD50412"/>
    <d v="2025-05-11T00:00:00"/>
    <s v="City Centre Deira"/>
    <s v="P207"/>
    <n v="1"/>
    <n v="399"/>
    <x v="2"/>
    <x v="32"/>
    <s v="Home &amp; Kitchen"/>
    <n v="250"/>
    <n v="359.1"/>
    <n v="250"/>
    <n v="109.10000000000002"/>
    <x v="4"/>
  </r>
  <r>
    <s v="ORD51128"/>
    <d v="2025-05-11T00:00:00"/>
    <s v="City Centre Deira"/>
    <s v="P506"/>
    <n v="1"/>
    <n v="69"/>
    <x v="2"/>
    <x v="34"/>
    <s v="Sports"/>
    <n v="25"/>
    <n v="62.1"/>
    <n v="25"/>
    <n v="37.1"/>
    <x v="4"/>
  </r>
  <r>
    <s v="ORD51354"/>
    <d v="2025-05-11T00:00:00"/>
    <s v="City Centre Deira"/>
    <s v="P101"/>
    <n v="2"/>
    <n v="399"/>
    <x v="0"/>
    <x v="5"/>
    <s v="Electronics"/>
    <n v="230"/>
    <n v="678.3"/>
    <n v="460"/>
    <n v="218.29999999999995"/>
    <x v="4"/>
  </r>
  <r>
    <s v="ORD51402"/>
    <d v="2025-05-11T00:00:00"/>
    <s v="Mall of the Emirates"/>
    <s v="P503"/>
    <n v="1"/>
    <n v="229"/>
    <x v="3"/>
    <x v="18"/>
    <s v="Sports"/>
    <n v="120"/>
    <n v="229"/>
    <n v="120"/>
    <n v="109"/>
    <x v="4"/>
  </r>
  <r>
    <s v="ORD51820"/>
    <d v="2025-05-11T00:00:00"/>
    <s v="Ibn Battuta Mall"/>
    <s v="P106"/>
    <n v="2"/>
    <n v="149"/>
    <x v="3"/>
    <x v="30"/>
    <s v="Electronics"/>
    <n v="70"/>
    <n v="298"/>
    <n v="140"/>
    <n v="158"/>
    <x v="4"/>
  </r>
  <r>
    <s v="ORD52044"/>
    <d v="2025-05-11T00:00:00"/>
    <s v="Online"/>
    <s v="P506"/>
    <n v="2"/>
    <n v="69"/>
    <x v="3"/>
    <x v="34"/>
    <s v="Sports"/>
    <n v="25"/>
    <n v="138"/>
    <n v="50"/>
    <n v="88"/>
    <x v="4"/>
  </r>
  <r>
    <s v="ORD52314"/>
    <d v="2025-05-11T00:00:00"/>
    <s v="Dubai Mall"/>
    <s v="P501"/>
    <n v="4"/>
    <n v="129"/>
    <x v="5"/>
    <x v="12"/>
    <s v="Sports"/>
    <n v="60"/>
    <n v="412.8"/>
    <n v="240"/>
    <n v="172.8"/>
    <x v="4"/>
  </r>
  <r>
    <s v="ORD52505"/>
    <d v="2025-05-11T00:00:00"/>
    <s v="Online"/>
    <s v="P404"/>
    <n v="2"/>
    <n v="189"/>
    <x v="0"/>
    <x v="6"/>
    <s v="Beauty"/>
    <n v="85"/>
    <n v="321.3"/>
    <n v="170"/>
    <n v="151.30000000000001"/>
    <x v="4"/>
  </r>
  <r>
    <s v="ORD52616"/>
    <d v="2025-05-11T00:00:00"/>
    <s v="Dubai Mall"/>
    <s v="P303"/>
    <n v="3"/>
    <n v="149"/>
    <x v="3"/>
    <x v="7"/>
    <s v="Fashion"/>
    <n v="80"/>
    <n v="447"/>
    <n v="240"/>
    <n v="207"/>
    <x v="4"/>
  </r>
  <r>
    <s v="ORD53143"/>
    <d v="2025-05-11T00:00:00"/>
    <s v="City Centre Deira"/>
    <s v="P402"/>
    <n v="3"/>
    <n v="149"/>
    <x v="0"/>
    <x v="17"/>
    <s v="Beauty"/>
    <n v="55"/>
    <n v="379.95"/>
    <n v="165"/>
    <n v="214.95"/>
    <x v="4"/>
  </r>
  <r>
    <s v="ORD50261"/>
    <d v="2025-05-12T00:00:00"/>
    <s v="Ibn Battuta Mall"/>
    <s v="P403"/>
    <n v="1"/>
    <n v="299"/>
    <x v="2"/>
    <x v="8"/>
    <s v="Beauty"/>
    <n v="240"/>
    <n v="269.10000000000002"/>
    <n v="240"/>
    <n v="29.100000000000023"/>
    <x v="4"/>
  </r>
  <r>
    <s v="ORD50274"/>
    <d v="2025-05-12T00:00:00"/>
    <s v="Ibn Battuta Mall"/>
    <s v="P308"/>
    <n v="2"/>
    <n v="229"/>
    <x v="3"/>
    <x v="0"/>
    <s v="Fashion"/>
    <n v="120"/>
    <n v="458"/>
    <n v="240"/>
    <n v="218"/>
    <x v="4"/>
  </r>
  <r>
    <s v="ORD50706"/>
    <d v="2025-05-12T00:00:00"/>
    <s v="Dubai Mall"/>
    <s v="P505"/>
    <n v="1"/>
    <n v="99"/>
    <x v="4"/>
    <x v="11"/>
    <s v="Sports"/>
    <n v="45"/>
    <n v="69.3"/>
    <n v="45"/>
    <n v="24.299999999999997"/>
    <x v="4"/>
  </r>
  <r>
    <s v="ORD50862"/>
    <d v="2025-05-12T00:00:00"/>
    <s v="Online"/>
    <s v="P403"/>
    <n v="2"/>
    <n v="299"/>
    <x v="5"/>
    <x v="8"/>
    <s v="Beauty"/>
    <n v="240"/>
    <n v="478.40000000000003"/>
    <n v="480"/>
    <n v="-1.5999999999999659"/>
    <x v="4"/>
  </r>
  <r>
    <s v="ORD51092"/>
    <d v="2025-05-12T00:00:00"/>
    <s v="Mall of the Emirates"/>
    <s v="P302"/>
    <n v="2"/>
    <n v="459"/>
    <x v="2"/>
    <x v="10"/>
    <s v="Fashion"/>
    <n v="190"/>
    <n v="826.2"/>
    <n v="380"/>
    <n v="446.20000000000005"/>
    <x v="4"/>
  </r>
  <r>
    <s v="ORD51238"/>
    <d v="2025-05-12T00:00:00"/>
    <s v="Ibn Battuta Mall"/>
    <s v="P401"/>
    <n v="1"/>
    <n v="549"/>
    <x v="3"/>
    <x v="15"/>
    <s v="Beauty"/>
    <n v="250"/>
    <n v="549"/>
    <n v="250"/>
    <n v="299"/>
    <x v="4"/>
  </r>
  <r>
    <s v="ORD51453"/>
    <d v="2025-05-12T00:00:00"/>
    <s v="Mall of the Emirates"/>
    <s v="P105"/>
    <n v="2"/>
    <n v="899"/>
    <x v="2"/>
    <x v="31"/>
    <s v="Electronics"/>
    <n v="610"/>
    <n v="1618.2"/>
    <n v="1220"/>
    <n v="398.20000000000005"/>
    <x v="4"/>
  </r>
  <r>
    <s v="ORD51663"/>
    <d v="2025-05-12T00:00:00"/>
    <s v="Ibn Battuta Mall"/>
    <s v="P406"/>
    <n v="2"/>
    <n v="199"/>
    <x v="2"/>
    <x v="4"/>
    <s v="Beauty"/>
    <n v="90"/>
    <n v="358.2"/>
    <n v="180"/>
    <n v="178.2"/>
    <x v="4"/>
  </r>
  <r>
    <s v="ORD52081"/>
    <d v="2025-05-12T00:00:00"/>
    <s v="Dubai Mall"/>
    <s v="P406"/>
    <n v="1"/>
    <n v="199"/>
    <x v="2"/>
    <x v="4"/>
    <s v="Beauty"/>
    <n v="90"/>
    <n v="179.1"/>
    <n v="90"/>
    <n v="89.1"/>
    <x v="4"/>
  </r>
  <r>
    <s v="ORD52121"/>
    <d v="2025-05-12T00:00:00"/>
    <s v="Dubai Mall"/>
    <s v="P206"/>
    <n v="1"/>
    <n v="129"/>
    <x v="3"/>
    <x v="28"/>
    <s v="Home &amp; Kitchen"/>
    <n v="60"/>
    <n v="129"/>
    <n v="60"/>
    <n v="69"/>
    <x v="4"/>
  </r>
  <r>
    <s v="ORD52523"/>
    <d v="2025-05-12T00:00:00"/>
    <s v="Online"/>
    <s v="P505"/>
    <n v="2"/>
    <n v="99"/>
    <x v="5"/>
    <x v="11"/>
    <s v="Sports"/>
    <n v="45"/>
    <n v="158.4"/>
    <n v="90"/>
    <n v="68.400000000000006"/>
    <x v="4"/>
  </r>
  <r>
    <s v="ORD52873"/>
    <d v="2025-05-12T00:00:00"/>
    <s v="Dubai Mall"/>
    <s v="P107"/>
    <n v="1"/>
    <n v="89"/>
    <x v="5"/>
    <x v="29"/>
    <s v="Electronics"/>
    <n v="35"/>
    <n v="71.2"/>
    <n v="35"/>
    <n v="36.200000000000003"/>
    <x v="4"/>
  </r>
  <r>
    <s v="ORD53028"/>
    <d v="2025-05-12T00:00:00"/>
    <s v="Ibn Battuta Mall"/>
    <s v="P301"/>
    <n v="2"/>
    <n v="179"/>
    <x v="3"/>
    <x v="2"/>
    <s v="Fashion"/>
    <n v="70"/>
    <n v="358"/>
    <n v="140"/>
    <n v="218"/>
    <x v="4"/>
  </r>
  <r>
    <s v="ORD53962"/>
    <d v="2025-05-12T00:00:00"/>
    <s v="Dubai Mall"/>
    <s v="P107"/>
    <n v="1"/>
    <n v="89"/>
    <x v="3"/>
    <x v="29"/>
    <s v="Electronics"/>
    <n v="35"/>
    <n v="89"/>
    <n v="35"/>
    <n v="54"/>
    <x v="4"/>
  </r>
  <r>
    <s v="ORD53982"/>
    <d v="2025-05-12T00:00:00"/>
    <s v="Dubai Mall"/>
    <s v="P506"/>
    <n v="1"/>
    <n v="69"/>
    <x v="3"/>
    <x v="34"/>
    <s v="Sports"/>
    <n v="25"/>
    <n v="69"/>
    <n v="25"/>
    <n v="44"/>
    <x v="4"/>
  </r>
  <r>
    <s v="ORD54090"/>
    <d v="2025-05-12T00:00:00"/>
    <s v="Mall of the Emirates"/>
    <s v="P206"/>
    <n v="2"/>
    <n v="129"/>
    <x v="3"/>
    <x v="28"/>
    <s v="Home &amp; Kitchen"/>
    <n v="60"/>
    <n v="258"/>
    <n v="120"/>
    <n v="138"/>
    <x v="4"/>
  </r>
  <r>
    <s v="ORD50099"/>
    <d v="2025-05-13T00:00:00"/>
    <s v="Dubai Mall"/>
    <s v="P202"/>
    <n v="2"/>
    <n v="1499"/>
    <x v="3"/>
    <x v="26"/>
    <s v="Home &amp; Kitchen"/>
    <n v="1050"/>
    <n v="2998"/>
    <n v="2100"/>
    <n v="898"/>
    <x v="4"/>
  </r>
  <r>
    <s v="ORD50284"/>
    <d v="2025-05-13T00:00:00"/>
    <s v="Dubai Mall"/>
    <s v="P308"/>
    <n v="1"/>
    <n v="229"/>
    <x v="1"/>
    <x v="0"/>
    <s v="Fashion"/>
    <n v="120"/>
    <n v="217.54999999999998"/>
    <n v="120"/>
    <n v="97.549999999999983"/>
    <x v="4"/>
  </r>
  <r>
    <s v="ORD50778"/>
    <d v="2025-05-13T00:00:00"/>
    <s v="Dubai Mall"/>
    <s v="P106"/>
    <n v="1"/>
    <n v="149"/>
    <x v="0"/>
    <x v="30"/>
    <s v="Electronics"/>
    <n v="70"/>
    <n v="126.64999999999999"/>
    <n v="70"/>
    <n v="56.649999999999991"/>
    <x v="4"/>
  </r>
  <r>
    <s v="ORD50927"/>
    <d v="2025-05-13T00:00:00"/>
    <s v="Online"/>
    <s v="P207"/>
    <n v="3"/>
    <n v="399"/>
    <x v="1"/>
    <x v="32"/>
    <s v="Home &amp; Kitchen"/>
    <n v="250"/>
    <n v="1137.1499999999999"/>
    <n v="750"/>
    <n v="387.14999999999986"/>
    <x v="4"/>
  </r>
  <r>
    <s v="ORD51347"/>
    <d v="2025-05-13T00:00:00"/>
    <s v="Ibn Battuta Mall"/>
    <s v="P308"/>
    <n v="1"/>
    <n v="229"/>
    <x v="2"/>
    <x v="0"/>
    <s v="Fashion"/>
    <n v="120"/>
    <n v="206.1"/>
    <n v="120"/>
    <n v="86.1"/>
    <x v="4"/>
  </r>
  <r>
    <s v="ORD51615"/>
    <d v="2025-05-13T00:00:00"/>
    <s v="Ibn Battuta Mall"/>
    <s v="P108"/>
    <n v="3"/>
    <n v="459"/>
    <x v="3"/>
    <x v="23"/>
    <s v="Electronics"/>
    <n v="300"/>
    <n v="1377"/>
    <n v="900"/>
    <n v="477"/>
    <x v="4"/>
  </r>
  <r>
    <s v="ORD51865"/>
    <d v="2025-05-13T00:00:00"/>
    <s v="City Centre Deira"/>
    <s v="P208"/>
    <n v="1"/>
    <n v="259"/>
    <x v="1"/>
    <x v="22"/>
    <s v="Home &amp; Kitchen"/>
    <n v="115"/>
    <n v="246.04999999999998"/>
    <n v="115"/>
    <n v="131.04999999999998"/>
    <x v="4"/>
  </r>
  <r>
    <s v="ORD52188"/>
    <d v="2025-05-13T00:00:00"/>
    <s v="Mall of the Emirates"/>
    <s v="P503"/>
    <n v="1"/>
    <n v="229"/>
    <x v="0"/>
    <x v="18"/>
    <s v="Sports"/>
    <n v="120"/>
    <n v="194.65"/>
    <n v="120"/>
    <n v="74.650000000000006"/>
    <x v="4"/>
  </r>
  <r>
    <s v="ORD52264"/>
    <d v="2025-05-13T00:00:00"/>
    <s v="Dubai Mall"/>
    <s v="P401"/>
    <n v="3"/>
    <n v="549"/>
    <x v="3"/>
    <x v="15"/>
    <s v="Beauty"/>
    <n v="250"/>
    <n v="1647"/>
    <n v="750"/>
    <n v="897"/>
    <x v="4"/>
  </r>
  <r>
    <s v="ORD52305"/>
    <d v="2025-05-13T00:00:00"/>
    <s v="City Centre Deira"/>
    <s v="P406"/>
    <n v="3"/>
    <n v="199"/>
    <x v="3"/>
    <x v="4"/>
    <s v="Beauty"/>
    <n v="90"/>
    <n v="597"/>
    <n v="270"/>
    <n v="327"/>
    <x v="4"/>
  </r>
  <r>
    <s v="ORD52747"/>
    <d v="2025-05-13T00:00:00"/>
    <s v="Mall of the Emirates"/>
    <s v="P102"/>
    <n v="4"/>
    <n v="249"/>
    <x v="4"/>
    <x v="13"/>
    <s v="Electronics"/>
    <n v="150"/>
    <n v="697.19999999999993"/>
    <n v="600"/>
    <n v="97.199999999999932"/>
    <x v="4"/>
  </r>
  <r>
    <s v="ORD53019"/>
    <d v="2025-05-13T00:00:00"/>
    <s v="City Centre Deira"/>
    <s v="P206"/>
    <n v="1"/>
    <n v="129"/>
    <x v="1"/>
    <x v="28"/>
    <s v="Home &amp; Kitchen"/>
    <n v="60"/>
    <n v="122.55"/>
    <n v="60"/>
    <n v="62.55"/>
    <x v="4"/>
  </r>
  <r>
    <s v="ORD53107"/>
    <d v="2025-05-13T00:00:00"/>
    <s v="Dubai Mall"/>
    <s v="P201"/>
    <n v="2"/>
    <n v="499"/>
    <x v="1"/>
    <x v="16"/>
    <s v="Home &amp; Kitchen"/>
    <n v="290"/>
    <n v="948.09999999999991"/>
    <n v="580"/>
    <n v="368.09999999999991"/>
    <x v="4"/>
  </r>
  <r>
    <s v="ORD53146"/>
    <d v="2025-05-13T00:00:00"/>
    <s v="Mall of the Emirates"/>
    <s v="P406"/>
    <n v="1"/>
    <n v="199"/>
    <x v="1"/>
    <x v="4"/>
    <s v="Beauty"/>
    <n v="90"/>
    <n v="189.04999999999998"/>
    <n v="90"/>
    <n v="99.049999999999983"/>
    <x v="4"/>
  </r>
  <r>
    <s v="ORD53352"/>
    <d v="2025-05-13T00:00:00"/>
    <s v="Dubai Mall"/>
    <s v="P306"/>
    <n v="1"/>
    <n v="249"/>
    <x v="3"/>
    <x v="3"/>
    <s v="Fashion"/>
    <n v="95"/>
    <n v="249"/>
    <n v="95"/>
    <n v="154"/>
    <x v="4"/>
  </r>
  <r>
    <s v="ORD53920"/>
    <d v="2025-05-13T00:00:00"/>
    <s v="Ibn Battuta Mall"/>
    <s v="P206"/>
    <n v="1"/>
    <n v="129"/>
    <x v="4"/>
    <x v="28"/>
    <s v="Home &amp; Kitchen"/>
    <n v="60"/>
    <n v="90.3"/>
    <n v="60"/>
    <n v="30.299999999999997"/>
    <x v="4"/>
  </r>
  <r>
    <s v="ORD50078"/>
    <d v="2025-05-14T00:00:00"/>
    <s v="Online"/>
    <s v="P105"/>
    <n v="1"/>
    <n v="899"/>
    <x v="3"/>
    <x v="31"/>
    <s v="Electronics"/>
    <n v="610"/>
    <n v="899"/>
    <n v="610"/>
    <n v="289"/>
    <x v="4"/>
  </r>
  <r>
    <s v="ORD50186"/>
    <d v="2025-05-14T00:00:00"/>
    <s v="Mall of the Emirates"/>
    <s v="P205"/>
    <n v="2"/>
    <n v="289"/>
    <x v="3"/>
    <x v="9"/>
    <s v="Home &amp; Kitchen"/>
    <n v="140"/>
    <n v="578"/>
    <n v="280"/>
    <n v="298"/>
    <x v="4"/>
  </r>
  <r>
    <s v="ORD50236"/>
    <d v="2025-05-14T00:00:00"/>
    <s v="Ibn Battuta Mall"/>
    <s v="P102"/>
    <n v="2"/>
    <n v="249"/>
    <x v="1"/>
    <x v="13"/>
    <s v="Electronics"/>
    <n v="150"/>
    <n v="473.09999999999997"/>
    <n v="300"/>
    <n v="173.09999999999997"/>
    <x v="4"/>
  </r>
  <r>
    <s v="ORD50264"/>
    <d v="2025-05-14T00:00:00"/>
    <s v="Mall of the Emirates"/>
    <s v="P205"/>
    <n v="1"/>
    <n v="289"/>
    <x v="5"/>
    <x v="9"/>
    <s v="Home &amp; Kitchen"/>
    <n v="140"/>
    <n v="231.20000000000002"/>
    <n v="140"/>
    <n v="91.200000000000017"/>
    <x v="4"/>
  </r>
  <r>
    <s v="ORD51633"/>
    <d v="2025-05-14T00:00:00"/>
    <s v="Dubai Mall"/>
    <s v="P303"/>
    <n v="1"/>
    <n v="149"/>
    <x v="1"/>
    <x v="7"/>
    <s v="Fashion"/>
    <n v="80"/>
    <n v="141.54999999999998"/>
    <n v="80"/>
    <n v="61.549999999999983"/>
    <x v="4"/>
  </r>
  <r>
    <s v="ORD51834"/>
    <d v="2025-05-14T00:00:00"/>
    <s v="Online"/>
    <s v="P206"/>
    <n v="3"/>
    <n v="129"/>
    <x v="1"/>
    <x v="28"/>
    <s v="Home &amp; Kitchen"/>
    <n v="60"/>
    <n v="367.65"/>
    <n v="180"/>
    <n v="187.64999999999998"/>
    <x v="4"/>
  </r>
  <r>
    <s v="ORD52577"/>
    <d v="2025-05-14T00:00:00"/>
    <s v="Mall of the Emirates"/>
    <s v="P303"/>
    <n v="1"/>
    <n v="149"/>
    <x v="1"/>
    <x v="7"/>
    <s v="Fashion"/>
    <n v="80"/>
    <n v="141.54999999999998"/>
    <n v="80"/>
    <n v="61.549999999999983"/>
    <x v="4"/>
  </r>
  <r>
    <s v="ORD52595"/>
    <d v="2025-05-14T00:00:00"/>
    <s v="Dubai Mall"/>
    <s v="P503"/>
    <n v="1"/>
    <n v="229"/>
    <x v="5"/>
    <x v="18"/>
    <s v="Sports"/>
    <n v="120"/>
    <n v="183.20000000000002"/>
    <n v="120"/>
    <n v="63.200000000000017"/>
    <x v="4"/>
  </r>
  <r>
    <s v="ORD52710"/>
    <d v="2025-05-14T00:00:00"/>
    <s v="Mall of the Emirates"/>
    <s v="P203"/>
    <n v="4"/>
    <n v="349"/>
    <x v="3"/>
    <x v="21"/>
    <s v="Home &amp; Kitchen"/>
    <n v="170"/>
    <n v="1396"/>
    <n v="680"/>
    <n v="716"/>
    <x v="4"/>
  </r>
  <r>
    <s v="ORD53229"/>
    <d v="2025-05-14T00:00:00"/>
    <s v="Online"/>
    <s v="P107"/>
    <n v="1"/>
    <n v="89"/>
    <x v="0"/>
    <x v="29"/>
    <s v="Electronics"/>
    <n v="35"/>
    <n v="75.649999999999991"/>
    <n v="35"/>
    <n v="40.649999999999991"/>
    <x v="4"/>
  </r>
  <r>
    <s v="ORD53747"/>
    <d v="2025-05-14T00:00:00"/>
    <s v="Dubai Mall"/>
    <s v="P105"/>
    <n v="2"/>
    <n v="899"/>
    <x v="1"/>
    <x v="31"/>
    <s v="Electronics"/>
    <n v="610"/>
    <n v="1708.1"/>
    <n v="1220"/>
    <n v="488.09999999999991"/>
    <x v="4"/>
  </r>
  <r>
    <s v="ORD53952"/>
    <d v="2025-05-14T00:00:00"/>
    <s v="Dubai Mall"/>
    <s v="P401"/>
    <n v="2"/>
    <n v="549"/>
    <x v="3"/>
    <x v="15"/>
    <s v="Beauty"/>
    <n v="250"/>
    <n v="1098"/>
    <n v="500"/>
    <n v="598"/>
    <x v="4"/>
  </r>
  <r>
    <s v="ORD53968"/>
    <d v="2025-05-14T00:00:00"/>
    <s v="City Centre Deira"/>
    <s v="P207"/>
    <n v="1"/>
    <n v="399"/>
    <x v="3"/>
    <x v="32"/>
    <s v="Home &amp; Kitchen"/>
    <n v="250"/>
    <n v="399"/>
    <n v="250"/>
    <n v="149"/>
    <x v="4"/>
  </r>
  <r>
    <s v="ORD50601"/>
    <d v="2025-05-15T00:00:00"/>
    <s v="Ibn Battuta Mall"/>
    <s v="P107"/>
    <n v="1"/>
    <n v="89"/>
    <x v="3"/>
    <x v="29"/>
    <s v="Electronics"/>
    <n v="35"/>
    <n v="89"/>
    <n v="35"/>
    <n v="54"/>
    <x v="4"/>
  </r>
  <r>
    <s v="ORD50616"/>
    <d v="2025-05-15T00:00:00"/>
    <s v="Online"/>
    <s v="P302"/>
    <n v="1"/>
    <n v="459"/>
    <x v="3"/>
    <x v="10"/>
    <s v="Fashion"/>
    <n v="190"/>
    <n v="459"/>
    <n v="190"/>
    <n v="269"/>
    <x v="4"/>
  </r>
  <r>
    <s v="ORD50674"/>
    <d v="2025-05-15T00:00:00"/>
    <s v="Dubai Mall"/>
    <s v="P503"/>
    <n v="1"/>
    <n v="229"/>
    <x v="3"/>
    <x v="18"/>
    <s v="Sports"/>
    <n v="120"/>
    <n v="229"/>
    <n v="120"/>
    <n v="109"/>
    <x v="4"/>
  </r>
  <r>
    <s v="ORD50755"/>
    <d v="2025-05-15T00:00:00"/>
    <s v="Dubai Mall"/>
    <s v="P301"/>
    <n v="1"/>
    <n v="179"/>
    <x v="0"/>
    <x v="2"/>
    <s v="Fashion"/>
    <n v="70"/>
    <n v="152.15"/>
    <n v="70"/>
    <n v="82.15"/>
    <x v="4"/>
  </r>
  <r>
    <s v="ORD50782"/>
    <d v="2025-05-15T00:00:00"/>
    <s v="Dubai Mall"/>
    <s v="P402"/>
    <n v="3"/>
    <n v="149"/>
    <x v="2"/>
    <x v="17"/>
    <s v="Beauty"/>
    <n v="55"/>
    <n v="402.3"/>
    <n v="165"/>
    <n v="237.3"/>
    <x v="4"/>
  </r>
  <r>
    <s v="ORD50830"/>
    <d v="2025-05-15T00:00:00"/>
    <s v="Ibn Battuta Mall"/>
    <s v="P404"/>
    <n v="1"/>
    <n v="189"/>
    <x v="1"/>
    <x v="6"/>
    <s v="Beauty"/>
    <n v="85"/>
    <n v="179.54999999999998"/>
    <n v="85"/>
    <n v="94.549999999999983"/>
    <x v="4"/>
  </r>
  <r>
    <s v="ORD51137"/>
    <d v="2025-05-15T00:00:00"/>
    <s v="Mall of the Emirates"/>
    <s v="P403"/>
    <n v="2"/>
    <n v="299"/>
    <x v="0"/>
    <x v="8"/>
    <s v="Beauty"/>
    <n v="240"/>
    <n v="508.3"/>
    <n v="480"/>
    <n v="28.300000000000011"/>
    <x v="4"/>
  </r>
  <r>
    <s v="ORD51213"/>
    <d v="2025-05-15T00:00:00"/>
    <s v="Mall of the Emirates"/>
    <s v="P301"/>
    <n v="2"/>
    <n v="179"/>
    <x v="3"/>
    <x v="2"/>
    <s v="Fashion"/>
    <n v="70"/>
    <n v="358"/>
    <n v="140"/>
    <n v="218"/>
    <x v="4"/>
  </r>
  <r>
    <s v="ORD51273"/>
    <d v="2025-05-15T00:00:00"/>
    <s v="Mall of the Emirates"/>
    <s v="P505"/>
    <n v="1"/>
    <n v="99"/>
    <x v="3"/>
    <x v="11"/>
    <s v="Sports"/>
    <n v="45"/>
    <n v="99"/>
    <n v="45"/>
    <n v="54"/>
    <x v="4"/>
  </r>
  <r>
    <s v="ORD51322"/>
    <d v="2025-05-15T00:00:00"/>
    <s v="Ibn Battuta Mall"/>
    <s v="P103"/>
    <n v="3"/>
    <n v="1299"/>
    <x v="3"/>
    <x v="25"/>
    <s v="Electronics"/>
    <n v="820"/>
    <n v="3897"/>
    <n v="2460"/>
    <n v="1437"/>
    <x v="4"/>
  </r>
  <r>
    <s v="ORD52420"/>
    <d v="2025-05-15T00:00:00"/>
    <s v="Ibn Battuta Mall"/>
    <s v="P501"/>
    <n v="2"/>
    <n v="129"/>
    <x v="1"/>
    <x v="12"/>
    <s v="Sports"/>
    <n v="60"/>
    <n v="245.1"/>
    <n v="120"/>
    <n v="125.1"/>
    <x v="4"/>
  </r>
  <r>
    <s v="ORD52824"/>
    <d v="2025-05-15T00:00:00"/>
    <s v="Online"/>
    <s v="P107"/>
    <n v="2"/>
    <n v="89"/>
    <x v="2"/>
    <x v="29"/>
    <s v="Electronics"/>
    <n v="35"/>
    <n v="160.20000000000002"/>
    <n v="70"/>
    <n v="90.200000000000017"/>
    <x v="4"/>
  </r>
  <r>
    <s v="ORD53475"/>
    <d v="2025-05-15T00:00:00"/>
    <s v="Mall of the Emirates"/>
    <s v="P104"/>
    <n v="1"/>
    <n v="199"/>
    <x v="2"/>
    <x v="1"/>
    <s v="Electronics"/>
    <n v="175"/>
    <n v="179.1"/>
    <n v="175"/>
    <n v="4.0999999999999943"/>
    <x v="4"/>
  </r>
  <r>
    <s v="ORD53511"/>
    <d v="2025-05-15T00:00:00"/>
    <s v="Mall of the Emirates"/>
    <s v="P104"/>
    <n v="1"/>
    <n v="199"/>
    <x v="5"/>
    <x v="1"/>
    <s v="Electronics"/>
    <n v="175"/>
    <n v="159.20000000000002"/>
    <n v="175"/>
    <n v="-15.799999999999983"/>
    <x v="4"/>
  </r>
  <r>
    <s v="ORD54133"/>
    <d v="2025-05-15T00:00:00"/>
    <s v="Ibn Battuta Mall"/>
    <s v="P205"/>
    <n v="2"/>
    <n v="289"/>
    <x v="5"/>
    <x v="9"/>
    <s v="Home &amp; Kitchen"/>
    <n v="140"/>
    <n v="462.40000000000003"/>
    <n v="280"/>
    <n v="182.40000000000003"/>
    <x v="4"/>
  </r>
  <r>
    <s v="ORD50194"/>
    <d v="2025-05-16T00:00:00"/>
    <s v="City Centre Deira"/>
    <s v="P106"/>
    <n v="3"/>
    <n v="149"/>
    <x v="3"/>
    <x v="30"/>
    <s v="Electronics"/>
    <n v="70"/>
    <n v="447"/>
    <n v="210"/>
    <n v="237"/>
    <x v="4"/>
  </r>
  <r>
    <s v="ORD50756"/>
    <d v="2025-05-16T00:00:00"/>
    <s v="Ibn Battuta Mall"/>
    <s v="P101"/>
    <n v="1"/>
    <n v="399"/>
    <x v="2"/>
    <x v="5"/>
    <s v="Electronics"/>
    <n v="230"/>
    <n v="359.1"/>
    <n v="230"/>
    <n v="129.10000000000002"/>
    <x v="4"/>
  </r>
  <r>
    <s v="ORD51627"/>
    <d v="2025-05-16T00:00:00"/>
    <s v="Online"/>
    <s v="P501"/>
    <n v="1"/>
    <n v="129"/>
    <x v="3"/>
    <x v="12"/>
    <s v="Sports"/>
    <n v="60"/>
    <n v="129"/>
    <n v="60"/>
    <n v="69"/>
    <x v="4"/>
  </r>
  <r>
    <s v="ORD51788"/>
    <d v="2025-05-16T00:00:00"/>
    <s v="City Centre Deira"/>
    <s v="P104"/>
    <n v="1"/>
    <n v="199"/>
    <x v="0"/>
    <x v="1"/>
    <s v="Electronics"/>
    <n v="175"/>
    <n v="169.15"/>
    <n v="175"/>
    <n v="-5.8499999999999943"/>
    <x v="4"/>
  </r>
  <r>
    <s v="ORD52051"/>
    <d v="2025-05-16T00:00:00"/>
    <s v="City Centre Deira"/>
    <s v="P206"/>
    <n v="1"/>
    <n v="129"/>
    <x v="1"/>
    <x v="28"/>
    <s v="Home &amp; Kitchen"/>
    <n v="60"/>
    <n v="122.55"/>
    <n v="60"/>
    <n v="62.55"/>
    <x v="4"/>
  </r>
  <r>
    <s v="ORD52431"/>
    <d v="2025-05-16T00:00:00"/>
    <s v="Dubai Mall"/>
    <s v="P105"/>
    <n v="1"/>
    <n v="899"/>
    <x v="1"/>
    <x v="31"/>
    <s v="Electronics"/>
    <n v="610"/>
    <n v="854.05"/>
    <n v="610"/>
    <n v="244.04999999999995"/>
    <x v="4"/>
  </r>
  <r>
    <s v="ORD53089"/>
    <d v="2025-05-16T00:00:00"/>
    <s v="Mall of the Emirates"/>
    <s v="P502"/>
    <n v="1"/>
    <n v="799"/>
    <x v="6"/>
    <x v="19"/>
    <s v="Sports"/>
    <n v="700"/>
    <n v="599.25"/>
    <n v="700"/>
    <n v="-100.75"/>
    <x v="4"/>
  </r>
  <r>
    <s v="ORD53276"/>
    <d v="2025-05-16T00:00:00"/>
    <s v="Online"/>
    <s v="P106"/>
    <n v="1"/>
    <n v="149"/>
    <x v="2"/>
    <x v="30"/>
    <s v="Electronics"/>
    <n v="70"/>
    <n v="134.1"/>
    <n v="70"/>
    <n v="64.099999999999994"/>
    <x v="4"/>
  </r>
  <r>
    <s v="ORD53444"/>
    <d v="2025-05-16T00:00:00"/>
    <s v="Online"/>
    <s v="P301"/>
    <n v="1"/>
    <n v="179"/>
    <x v="3"/>
    <x v="2"/>
    <s v="Fashion"/>
    <n v="70"/>
    <n v="179"/>
    <n v="70"/>
    <n v="109"/>
    <x v="4"/>
  </r>
  <r>
    <s v="ORD53931"/>
    <d v="2025-05-16T00:00:00"/>
    <s v="Mall of the Emirates"/>
    <s v="P403"/>
    <n v="2"/>
    <n v="299"/>
    <x v="5"/>
    <x v="8"/>
    <s v="Beauty"/>
    <n v="240"/>
    <n v="478.40000000000003"/>
    <n v="480"/>
    <n v="-1.5999999999999659"/>
    <x v="4"/>
  </r>
  <r>
    <s v="ORD54060"/>
    <d v="2025-05-16T00:00:00"/>
    <s v="Mall of the Emirates"/>
    <s v="P206"/>
    <n v="2"/>
    <n v="129"/>
    <x v="3"/>
    <x v="28"/>
    <s v="Home &amp; Kitchen"/>
    <n v="60"/>
    <n v="258"/>
    <n v="120"/>
    <n v="138"/>
    <x v="4"/>
  </r>
  <r>
    <s v="ORD50728"/>
    <d v="2025-05-17T00:00:00"/>
    <s v="Mall of the Emirates"/>
    <s v="P308"/>
    <n v="1"/>
    <n v="229"/>
    <x v="5"/>
    <x v="0"/>
    <s v="Fashion"/>
    <n v="120"/>
    <n v="183.20000000000002"/>
    <n v="120"/>
    <n v="63.200000000000017"/>
    <x v="4"/>
  </r>
  <r>
    <s v="ORD50867"/>
    <d v="2025-05-17T00:00:00"/>
    <s v="Mall of the Emirates"/>
    <s v="P201"/>
    <n v="1"/>
    <n v="499"/>
    <x v="3"/>
    <x v="16"/>
    <s v="Home &amp; Kitchen"/>
    <n v="290"/>
    <n v="499"/>
    <n v="290"/>
    <n v="209"/>
    <x v="4"/>
  </r>
  <r>
    <s v="ORD50889"/>
    <d v="2025-05-17T00:00:00"/>
    <s v="Mall of the Emirates"/>
    <s v="P306"/>
    <n v="1"/>
    <n v="249"/>
    <x v="2"/>
    <x v="3"/>
    <s v="Fashion"/>
    <n v="95"/>
    <n v="224.1"/>
    <n v="95"/>
    <n v="129.1"/>
    <x v="4"/>
  </r>
  <r>
    <s v="ORD51327"/>
    <d v="2025-05-17T00:00:00"/>
    <s v="Mall of the Emirates"/>
    <s v="P103"/>
    <n v="2"/>
    <n v="1299"/>
    <x v="3"/>
    <x v="25"/>
    <s v="Electronics"/>
    <n v="820"/>
    <n v="2598"/>
    <n v="1640"/>
    <n v="958"/>
    <x v="4"/>
  </r>
  <r>
    <s v="ORD51414"/>
    <d v="2025-05-17T00:00:00"/>
    <s v="Online"/>
    <s v="P405"/>
    <n v="2"/>
    <n v="89"/>
    <x v="3"/>
    <x v="24"/>
    <s v="Beauty"/>
    <n v="40"/>
    <n v="178"/>
    <n v="80"/>
    <n v="98"/>
    <x v="4"/>
  </r>
  <r>
    <s v="ORD51463"/>
    <d v="2025-05-17T00:00:00"/>
    <s v="Online"/>
    <s v="P307"/>
    <n v="1"/>
    <n v="399"/>
    <x v="3"/>
    <x v="20"/>
    <s v="Fashion"/>
    <n v="210"/>
    <n v="399"/>
    <n v="210"/>
    <n v="189"/>
    <x v="4"/>
  </r>
  <r>
    <s v="ORD52128"/>
    <d v="2025-05-17T00:00:00"/>
    <s v="Dubai Mall"/>
    <s v="P303"/>
    <n v="4"/>
    <n v="149"/>
    <x v="4"/>
    <x v="7"/>
    <s v="Fashion"/>
    <n v="80"/>
    <n v="417.2"/>
    <n v="320"/>
    <n v="97.199999999999989"/>
    <x v="4"/>
  </r>
  <r>
    <s v="ORD52511"/>
    <d v="2025-05-17T00:00:00"/>
    <s v="Online"/>
    <s v="P301"/>
    <n v="1"/>
    <n v="179"/>
    <x v="3"/>
    <x v="2"/>
    <s v="Fashion"/>
    <n v="70"/>
    <n v="179"/>
    <n v="70"/>
    <n v="109"/>
    <x v="4"/>
  </r>
  <r>
    <s v="ORD53351"/>
    <d v="2025-05-17T00:00:00"/>
    <s v="City Centre Deira"/>
    <s v="P102"/>
    <n v="2"/>
    <n v="249"/>
    <x v="3"/>
    <x v="13"/>
    <s v="Electronics"/>
    <n v="150"/>
    <n v="498"/>
    <n v="300"/>
    <n v="198"/>
    <x v="4"/>
  </r>
  <r>
    <s v="ORD53755"/>
    <d v="2025-05-17T00:00:00"/>
    <s v="Mall of the Emirates"/>
    <s v="P305"/>
    <n v="1"/>
    <n v="429"/>
    <x v="3"/>
    <x v="14"/>
    <s v="Fashion"/>
    <n v="300"/>
    <n v="429"/>
    <n v="300"/>
    <n v="129"/>
    <x v="4"/>
  </r>
  <r>
    <s v="ORD53759"/>
    <d v="2025-05-17T00:00:00"/>
    <s v="Ibn Battuta Mall"/>
    <s v="P406"/>
    <n v="1"/>
    <n v="199"/>
    <x v="1"/>
    <x v="4"/>
    <s v="Beauty"/>
    <n v="90"/>
    <n v="189.04999999999998"/>
    <n v="90"/>
    <n v="99.049999999999983"/>
    <x v="4"/>
  </r>
  <r>
    <s v="ORD50605"/>
    <d v="2025-05-18T00:00:00"/>
    <s v="Mall of the Emirates"/>
    <s v="P205"/>
    <n v="1"/>
    <n v="289"/>
    <x v="2"/>
    <x v="9"/>
    <s v="Home &amp; Kitchen"/>
    <n v="140"/>
    <n v="260.10000000000002"/>
    <n v="140"/>
    <n v="120.10000000000002"/>
    <x v="4"/>
  </r>
  <r>
    <s v="ORD50640"/>
    <d v="2025-05-18T00:00:00"/>
    <s v="City Centre Deira"/>
    <s v="P404"/>
    <n v="2"/>
    <n v="189"/>
    <x v="3"/>
    <x v="6"/>
    <s v="Beauty"/>
    <n v="85"/>
    <n v="378"/>
    <n v="170"/>
    <n v="208"/>
    <x v="4"/>
  </r>
  <r>
    <s v="ORD51194"/>
    <d v="2025-05-18T00:00:00"/>
    <s v="Mall of the Emirates"/>
    <s v="P206"/>
    <n v="1"/>
    <n v="129"/>
    <x v="3"/>
    <x v="28"/>
    <s v="Home &amp; Kitchen"/>
    <n v="60"/>
    <n v="129"/>
    <n v="60"/>
    <n v="69"/>
    <x v="4"/>
  </r>
  <r>
    <s v="ORD51232"/>
    <d v="2025-05-18T00:00:00"/>
    <s v="Mall of the Emirates"/>
    <s v="P405"/>
    <n v="1"/>
    <n v="89"/>
    <x v="4"/>
    <x v="24"/>
    <s v="Beauty"/>
    <n v="40"/>
    <n v="62.3"/>
    <n v="40"/>
    <n v="22.299999999999997"/>
    <x v="4"/>
  </r>
  <r>
    <s v="ORD51248"/>
    <d v="2025-05-18T00:00:00"/>
    <s v="City Centre Deira"/>
    <s v="P506"/>
    <n v="1"/>
    <n v="69"/>
    <x v="3"/>
    <x v="34"/>
    <s v="Sports"/>
    <n v="25"/>
    <n v="69"/>
    <n v="25"/>
    <n v="44"/>
    <x v="4"/>
  </r>
  <r>
    <s v="ORD51275"/>
    <d v="2025-05-18T00:00:00"/>
    <s v="Dubai Mall"/>
    <s v="P303"/>
    <n v="2"/>
    <n v="149"/>
    <x v="3"/>
    <x v="7"/>
    <s v="Fashion"/>
    <n v="80"/>
    <n v="298"/>
    <n v="160"/>
    <n v="138"/>
    <x v="4"/>
  </r>
  <r>
    <s v="ORD52057"/>
    <d v="2025-05-18T00:00:00"/>
    <s v="Ibn Battuta Mall"/>
    <s v="P105"/>
    <n v="1"/>
    <n v="899"/>
    <x v="2"/>
    <x v="31"/>
    <s v="Electronics"/>
    <n v="610"/>
    <n v="809.1"/>
    <n v="610"/>
    <n v="199.10000000000002"/>
    <x v="4"/>
  </r>
  <r>
    <s v="ORD52196"/>
    <d v="2025-05-18T00:00:00"/>
    <s v="Mall of the Emirates"/>
    <s v="P102"/>
    <n v="3"/>
    <n v="249"/>
    <x v="3"/>
    <x v="13"/>
    <s v="Electronics"/>
    <n v="150"/>
    <n v="747"/>
    <n v="450"/>
    <n v="297"/>
    <x v="4"/>
  </r>
  <r>
    <s v="ORD52245"/>
    <d v="2025-05-18T00:00:00"/>
    <s v="Online"/>
    <s v="P205"/>
    <n v="1"/>
    <n v="289"/>
    <x v="4"/>
    <x v="9"/>
    <s v="Home &amp; Kitchen"/>
    <n v="140"/>
    <n v="202.29999999999998"/>
    <n v="140"/>
    <n v="62.299999999999983"/>
    <x v="4"/>
  </r>
  <r>
    <s v="ORD52574"/>
    <d v="2025-05-18T00:00:00"/>
    <s v="City Centre Deira"/>
    <s v="P101"/>
    <n v="1"/>
    <n v="399"/>
    <x v="3"/>
    <x v="5"/>
    <s v="Electronics"/>
    <n v="230"/>
    <n v="399"/>
    <n v="230"/>
    <n v="169"/>
    <x v="4"/>
  </r>
  <r>
    <s v="ORD53403"/>
    <d v="2025-05-18T00:00:00"/>
    <s v="Mall of the Emirates"/>
    <s v="P505"/>
    <n v="1"/>
    <n v="99"/>
    <x v="0"/>
    <x v="11"/>
    <s v="Sports"/>
    <n v="45"/>
    <n v="84.149999999999991"/>
    <n v="45"/>
    <n v="39.149999999999991"/>
    <x v="4"/>
  </r>
  <r>
    <s v="ORD53668"/>
    <d v="2025-05-18T00:00:00"/>
    <s v="Dubai Mall"/>
    <s v="P107"/>
    <n v="1"/>
    <n v="89"/>
    <x v="3"/>
    <x v="29"/>
    <s v="Electronics"/>
    <n v="35"/>
    <n v="89"/>
    <n v="35"/>
    <n v="54"/>
    <x v="4"/>
  </r>
  <r>
    <s v="ORD53873"/>
    <d v="2025-05-18T00:00:00"/>
    <s v="Mall of the Emirates"/>
    <s v="P406"/>
    <n v="1"/>
    <n v="199"/>
    <x v="1"/>
    <x v="4"/>
    <s v="Beauty"/>
    <n v="90"/>
    <n v="189.04999999999998"/>
    <n v="90"/>
    <n v="99.049999999999983"/>
    <x v="4"/>
  </r>
  <r>
    <s v="ORD53966"/>
    <d v="2025-05-18T00:00:00"/>
    <s v="Mall of the Emirates"/>
    <s v="P306"/>
    <n v="1"/>
    <n v="249"/>
    <x v="4"/>
    <x v="3"/>
    <s v="Fashion"/>
    <n v="95"/>
    <n v="174.29999999999998"/>
    <n v="95"/>
    <n v="79.299999999999983"/>
    <x v="4"/>
  </r>
  <r>
    <s v="ORD50683"/>
    <d v="2025-05-19T00:00:00"/>
    <s v="Dubai Mall"/>
    <s v="P306"/>
    <n v="2"/>
    <n v="249"/>
    <x v="3"/>
    <x v="3"/>
    <s v="Fashion"/>
    <n v="95"/>
    <n v="498"/>
    <n v="190"/>
    <n v="308"/>
    <x v="4"/>
  </r>
  <r>
    <s v="ORD50875"/>
    <d v="2025-05-19T00:00:00"/>
    <s v="Online"/>
    <s v="P501"/>
    <n v="1"/>
    <n v="129"/>
    <x v="1"/>
    <x v="12"/>
    <s v="Sports"/>
    <n v="60"/>
    <n v="122.55"/>
    <n v="60"/>
    <n v="62.55"/>
    <x v="4"/>
  </r>
  <r>
    <s v="ORD51348"/>
    <d v="2025-05-19T00:00:00"/>
    <s v="Online"/>
    <s v="P401"/>
    <n v="1"/>
    <n v="549"/>
    <x v="2"/>
    <x v="15"/>
    <s v="Beauty"/>
    <n v="250"/>
    <n v="494.1"/>
    <n v="250"/>
    <n v="244.10000000000002"/>
    <x v="4"/>
  </r>
  <r>
    <s v="ORD51894"/>
    <d v="2025-05-19T00:00:00"/>
    <s v="Online"/>
    <s v="P404"/>
    <n v="1"/>
    <n v="189"/>
    <x v="0"/>
    <x v="6"/>
    <s v="Beauty"/>
    <n v="85"/>
    <n v="160.65"/>
    <n v="85"/>
    <n v="75.650000000000006"/>
    <x v="4"/>
  </r>
  <r>
    <s v="ORD51938"/>
    <d v="2025-05-19T00:00:00"/>
    <s v="Dubai Mall"/>
    <s v="P506"/>
    <n v="1"/>
    <n v="69"/>
    <x v="3"/>
    <x v="34"/>
    <s v="Sports"/>
    <n v="25"/>
    <n v="69"/>
    <n v="25"/>
    <n v="44"/>
    <x v="4"/>
  </r>
  <r>
    <s v="ORD52488"/>
    <d v="2025-05-19T00:00:00"/>
    <s v="Mall of the Emirates"/>
    <s v="P405"/>
    <n v="1"/>
    <n v="89"/>
    <x v="1"/>
    <x v="24"/>
    <s v="Beauty"/>
    <n v="40"/>
    <n v="84.55"/>
    <n v="40"/>
    <n v="44.55"/>
    <x v="4"/>
  </r>
  <r>
    <s v="ORD52585"/>
    <d v="2025-05-19T00:00:00"/>
    <s v="Mall of the Emirates"/>
    <s v="P208"/>
    <n v="1"/>
    <n v="259"/>
    <x v="3"/>
    <x v="22"/>
    <s v="Home &amp; Kitchen"/>
    <n v="115"/>
    <n v="259"/>
    <n v="115"/>
    <n v="144"/>
    <x v="4"/>
  </r>
  <r>
    <s v="ORD54144"/>
    <d v="2025-05-19T00:00:00"/>
    <s v="Dubai Mall"/>
    <s v="P102"/>
    <n v="2"/>
    <n v="249"/>
    <x v="1"/>
    <x v="13"/>
    <s v="Electronics"/>
    <n v="150"/>
    <n v="473.09999999999997"/>
    <n v="300"/>
    <n v="173.09999999999997"/>
    <x v="4"/>
  </r>
  <r>
    <s v="ORD50103"/>
    <d v="2025-05-20T00:00:00"/>
    <s v="City Centre Deira"/>
    <s v="P503"/>
    <n v="1"/>
    <n v="229"/>
    <x v="2"/>
    <x v="18"/>
    <s v="Sports"/>
    <n v="120"/>
    <n v="206.1"/>
    <n v="120"/>
    <n v="86.1"/>
    <x v="4"/>
  </r>
  <r>
    <s v="ORD50769"/>
    <d v="2025-05-20T00:00:00"/>
    <s v="Ibn Battuta Mall"/>
    <s v="P204"/>
    <n v="4"/>
    <n v="1199"/>
    <x v="5"/>
    <x v="27"/>
    <s v="Home &amp; Kitchen"/>
    <n v="1080"/>
    <n v="3836.8"/>
    <n v="4320"/>
    <n v="-483.19999999999982"/>
    <x v="4"/>
  </r>
  <r>
    <s v="ORD50825"/>
    <d v="2025-05-20T00:00:00"/>
    <s v="Dubai Mall"/>
    <s v="P108"/>
    <n v="2"/>
    <n v="459"/>
    <x v="3"/>
    <x v="23"/>
    <s v="Electronics"/>
    <n v="300"/>
    <n v="918"/>
    <n v="600"/>
    <n v="318"/>
    <x v="4"/>
  </r>
  <r>
    <s v="ORD51295"/>
    <d v="2025-05-20T00:00:00"/>
    <s v="Mall of the Emirates"/>
    <s v="P406"/>
    <n v="3"/>
    <n v="199"/>
    <x v="0"/>
    <x v="4"/>
    <s v="Beauty"/>
    <n v="90"/>
    <n v="507.45"/>
    <n v="270"/>
    <n v="237.45"/>
    <x v="4"/>
  </r>
  <r>
    <s v="ORD51342"/>
    <d v="2025-05-20T00:00:00"/>
    <s v="Dubai Mall"/>
    <s v="P203"/>
    <n v="2"/>
    <n v="349"/>
    <x v="3"/>
    <x v="21"/>
    <s v="Home &amp; Kitchen"/>
    <n v="170"/>
    <n v="698"/>
    <n v="340"/>
    <n v="358"/>
    <x v="4"/>
  </r>
  <r>
    <s v="ORD51355"/>
    <d v="2025-05-20T00:00:00"/>
    <s v="City Centre Deira"/>
    <s v="P404"/>
    <n v="1"/>
    <n v="189"/>
    <x v="3"/>
    <x v="6"/>
    <s v="Beauty"/>
    <n v="85"/>
    <n v="189"/>
    <n v="85"/>
    <n v="104"/>
    <x v="4"/>
  </r>
  <r>
    <s v="ORD51404"/>
    <d v="2025-05-20T00:00:00"/>
    <s v="Ibn Battuta Mall"/>
    <s v="P306"/>
    <n v="2"/>
    <n v="249"/>
    <x v="3"/>
    <x v="3"/>
    <s v="Fashion"/>
    <n v="95"/>
    <n v="498"/>
    <n v="190"/>
    <n v="308"/>
    <x v="4"/>
  </r>
  <r>
    <s v="ORD51418"/>
    <d v="2025-05-20T00:00:00"/>
    <s v="Dubai Mall"/>
    <s v="P406"/>
    <n v="1"/>
    <n v="199"/>
    <x v="3"/>
    <x v="4"/>
    <s v="Beauty"/>
    <n v="90"/>
    <n v="199"/>
    <n v="90"/>
    <n v="109"/>
    <x v="4"/>
  </r>
  <r>
    <s v="ORD51440"/>
    <d v="2025-05-20T00:00:00"/>
    <s v="Online"/>
    <s v="P104"/>
    <n v="1"/>
    <n v="199"/>
    <x v="6"/>
    <x v="1"/>
    <s v="Electronics"/>
    <n v="175"/>
    <n v="149.25"/>
    <n v="175"/>
    <n v="-25.75"/>
    <x v="4"/>
  </r>
  <r>
    <s v="ORD51671"/>
    <d v="2025-05-20T00:00:00"/>
    <s v="Mall of the Emirates"/>
    <s v="P107"/>
    <n v="1"/>
    <n v="89"/>
    <x v="2"/>
    <x v="29"/>
    <s v="Electronics"/>
    <n v="35"/>
    <n v="80.100000000000009"/>
    <n v="35"/>
    <n v="45.100000000000009"/>
    <x v="4"/>
  </r>
  <r>
    <s v="ORD51793"/>
    <d v="2025-05-20T00:00:00"/>
    <s v="Dubai Mall"/>
    <s v="P108"/>
    <n v="1"/>
    <n v="459"/>
    <x v="1"/>
    <x v="23"/>
    <s v="Electronics"/>
    <n v="300"/>
    <n v="436.04999999999995"/>
    <n v="300"/>
    <n v="136.04999999999995"/>
    <x v="4"/>
  </r>
  <r>
    <s v="ORD52797"/>
    <d v="2025-05-20T00:00:00"/>
    <s v="Online"/>
    <s v="P206"/>
    <n v="4"/>
    <n v="129"/>
    <x v="0"/>
    <x v="28"/>
    <s v="Home &amp; Kitchen"/>
    <n v="60"/>
    <n v="438.59999999999997"/>
    <n v="240"/>
    <n v="198.59999999999997"/>
    <x v="4"/>
  </r>
  <r>
    <s v="ORD52997"/>
    <d v="2025-05-20T00:00:00"/>
    <s v="Online"/>
    <s v="P502"/>
    <n v="1"/>
    <n v="799"/>
    <x v="0"/>
    <x v="19"/>
    <s v="Sports"/>
    <n v="700"/>
    <n v="679.15"/>
    <n v="700"/>
    <n v="-20.850000000000023"/>
    <x v="4"/>
  </r>
  <r>
    <s v="ORD53165"/>
    <d v="2025-05-20T00:00:00"/>
    <s v="Dubai Mall"/>
    <s v="P104"/>
    <n v="2"/>
    <n v="199"/>
    <x v="2"/>
    <x v="1"/>
    <s v="Electronics"/>
    <n v="175"/>
    <n v="358.2"/>
    <n v="350"/>
    <n v="8.1999999999999886"/>
    <x v="4"/>
  </r>
  <r>
    <s v="ORD53185"/>
    <d v="2025-05-20T00:00:00"/>
    <s v="City Centre Deira"/>
    <s v="P104"/>
    <n v="1"/>
    <n v="199"/>
    <x v="2"/>
    <x v="1"/>
    <s v="Electronics"/>
    <n v="175"/>
    <n v="179.1"/>
    <n v="175"/>
    <n v="4.0999999999999943"/>
    <x v="4"/>
  </r>
  <r>
    <s v="ORD54122"/>
    <d v="2025-05-20T00:00:00"/>
    <s v="Mall of the Emirates"/>
    <s v="P104"/>
    <n v="1"/>
    <n v="199"/>
    <x v="6"/>
    <x v="1"/>
    <s v="Electronics"/>
    <n v="175"/>
    <n v="149.25"/>
    <n v="175"/>
    <n v="-25.75"/>
    <x v="4"/>
  </r>
  <r>
    <s v="ORD50257"/>
    <d v="2025-05-21T00:00:00"/>
    <s v="Ibn Battuta Mall"/>
    <s v="P306"/>
    <n v="2"/>
    <n v="249"/>
    <x v="1"/>
    <x v="3"/>
    <s v="Fashion"/>
    <n v="95"/>
    <n v="473.09999999999997"/>
    <n v="190"/>
    <n v="283.09999999999997"/>
    <x v="4"/>
  </r>
  <r>
    <s v="ORD50405"/>
    <d v="2025-05-21T00:00:00"/>
    <s v="Dubai Mall"/>
    <s v="P302"/>
    <n v="1"/>
    <n v="459"/>
    <x v="3"/>
    <x v="10"/>
    <s v="Fashion"/>
    <n v="190"/>
    <n v="459"/>
    <n v="190"/>
    <n v="269"/>
    <x v="4"/>
  </r>
  <r>
    <s v="ORD50768"/>
    <d v="2025-05-21T00:00:00"/>
    <s v="Online"/>
    <s v="P301"/>
    <n v="4"/>
    <n v="179"/>
    <x v="0"/>
    <x v="2"/>
    <s v="Fashion"/>
    <n v="70"/>
    <n v="608.6"/>
    <n v="280"/>
    <n v="328.6"/>
    <x v="4"/>
  </r>
  <r>
    <s v="ORD51537"/>
    <d v="2025-05-21T00:00:00"/>
    <s v="Dubai Mall"/>
    <s v="P302"/>
    <n v="1"/>
    <n v="459"/>
    <x v="3"/>
    <x v="10"/>
    <s v="Fashion"/>
    <n v="190"/>
    <n v="459"/>
    <n v="190"/>
    <n v="269"/>
    <x v="4"/>
  </r>
  <r>
    <s v="ORD51570"/>
    <d v="2025-05-21T00:00:00"/>
    <s v="Online"/>
    <s v="P204"/>
    <n v="1"/>
    <n v="1199"/>
    <x v="5"/>
    <x v="27"/>
    <s v="Home &amp; Kitchen"/>
    <n v="1080"/>
    <n v="959.2"/>
    <n v="1080"/>
    <n v="-120.79999999999995"/>
    <x v="4"/>
  </r>
  <r>
    <s v="ORD52441"/>
    <d v="2025-05-21T00:00:00"/>
    <s v="Dubai Mall"/>
    <s v="P401"/>
    <n v="1"/>
    <n v="549"/>
    <x v="2"/>
    <x v="15"/>
    <s v="Beauty"/>
    <n v="250"/>
    <n v="494.1"/>
    <n v="250"/>
    <n v="244.10000000000002"/>
    <x v="4"/>
  </r>
  <r>
    <s v="ORD52848"/>
    <d v="2025-05-21T00:00:00"/>
    <s v="Dubai Mall"/>
    <s v="P205"/>
    <n v="1"/>
    <n v="289"/>
    <x v="2"/>
    <x v="9"/>
    <s v="Home &amp; Kitchen"/>
    <n v="140"/>
    <n v="260.10000000000002"/>
    <n v="140"/>
    <n v="120.10000000000002"/>
    <x v="4"/>
  </r>
  <r>
    <s v="ORD53021"/>
    <d v="2025-05-21T00:00:00"/>
    <s v="City Centre Deira"/>
    <s v="P206"/>
    <n v="1"/>
    <n v="129"/>
    <x v="2"/>
    <x v="28"/>
    <s v="Home &amp; Kitchen"/>
    <n v="60"/>
    <n v="116.10000000000001"/>
    <n v="60"/>
    <n v="56.100000000000009"/>
    <x v="4"/>
  </r>
  <r>
    <s v="ORD53483"/>
    <d v="2025-05-21T00:00:00"/>
    <s v="Dubai Mall"/>
    <s v="P405"/>
    <n v="1"/>
    <n v="89"/>
    <x v="3"/>
    <x v="24"/>
    <s v="Beauty"/>
    <n v="40"/>
    <n v="89"/>
    <n v="40"/>
    <n v="49"/>
    <x v="4"/>
  </r>
  <r>
    <s v="ORD54099"/>
    <d v="2025-05-21T00:00:00"/>
    <s v="Mall of the Emirates"/>
    <s v="P308"/>
    <n v="1"/>
    <n v="229"/>
    <x v="4"/>
    <x v="0"/>
    <s v="Fashion"/>
    <n v="120"/>
    <n v="160.29999999999998"/>
    <n v="120"/>
    <n v="40.299999999999983"/>
    <x v="4"/>
  </r>
  <r>
    <s v="ORD54101"/>
    <d v="2025-05-21T00:00:00"/>
    <s v="City Centre Deira"/>
    <s v="P105"/>
    <n v="1"/>
    <n v="899"/>
    <x v="5"/>
    <x v="31"/>
    <s v="Electronics"/>
    <n v="610"/>
    <n v="719.2"/>
    <n v="610"/>
    <n v="109.20000000000005"/>
    <x v="4"/>
  </r>
  <r>
    <s v="ORD50048"/>
    <d v="2025-05-22T00:00:00"/>
    <s v="Dubai Mall"/>
    <s v="P404"/>
    <n v="1"/>
    <n v="189"/>
    <x v="5"/>
    <x v="6"/>
    <s v="Beauty"/>
    <n v="85"/>
    <n v="151.20000000000002"/>
    <n v="85"/>
    <n v="66.200000000000017"/>
    <x v="4"/>
  </r>
  <r>
    <s v="ORD50281"/>
    <d v="2025-05-22T00:00:00"/>
    <s v="Mall of the Emirates"/>
    <s v="P103"/>
    <n v="1"/>
    <n v="1299"/>
    <x v="4"/>
    <x v="25"/>
    <s v="Electronics"/>
    <n v="820"/>
    <n v="909.3"/>
    <n v="820"/>
    <n v="89.299999999999955"/>
    <x v="4"/>
  </r>
  <r>
    <s v="ORD50742"/>
    <d v="2025-05-22T00:00:00"/>
    <s v="City Centre Deira"/>
    <s v="P406"/>
    <n v="1"/>
    <n v="199"/>
    <x v="3"/>
    <x v="4"/>
    <s v="Beauty"/>
    <n v="90"/>
    <n v="199"/>
    <n v="90"/>
    <n v="109"/>
    <x v="4"/>
  </r>
  <r>
    <s v="ORD51184"/>
    <d v="2025-05-22T00:00:00"/>
    <s v="Dubai Mall"/>
    <s v="P503"/>
    <n v="1"/>
    <n v="229"/>
    <x v="3"/>
    <x v="18"/>
    <s v="Sports"/>
    <n v="120"/>
    <n v="229"/>
    <n v="120"/>
    <n v="109"/>
    <x v="4"/>
  </r>
  <r>
    <s v="ORD51745"/>
    <d v="2025-05-22T00:00:00"/>
    <s v="City Centre Deira"/>
    <s v="P106"/>
    <n v="1"/>
    <n v="149"/>
    <x v="1"/>
    <x v="30"/>
    <s v="Electronics"/>
    <n v="70"/>
    <n v="141.54999999999998"/>
    <n v="70"/>
    <n v="71.549999999999983"/>
    <x v="4"/>
  </r>
  <r>
    <s v="ORD52125"/>
    <d v="2025-05-22T00:00:00"/>
    <s v="Dubai Mall"/>
    <s v="P401"/>
    <n v="1"/>
    <n v="549"/>
    <x v="2"/>
    <x v="15"/>
    <s v="Beauty"/>
    <n v="250"/>
    <n v="494.1"/>
    <n v="250"/>
    <n v="244.10000000000002"/>
    <x v="4"/>
  </r>
  <r>
    <s v="ORD52634"/>
    <d v="2025-05-22T00:00:00"/>
    <s v="Ibn Battuta Mall"/>
    <s v="P103"/>
    <n v="2"/>
    <n v="1299"/>
    <x v="3"/>
    <x v="25"/>
    <s v="Electronics"/>
    <n v="820"/>
    <n v="2598"/>
    <n v="1640"/>
    <n v="958"/>
    <x v="4"/>
  </r>
  <r>
    <s v="ORD53011"/>
    <d v="2025-05-22T00:00:00"/>
    <s v="City Centre Deira"/>
    <s v="P205"/>
    <n v="1"/>
    <n v="289"/>
    <x v="2"/>
    <x v="9"/>
    <s v="Home &amp; Kitchen"/>
    <n v="140"/>
    <n v="260.10000000000002"/>
    <n v="140"/>
    <n v="120.10000000000002"/>
    <x v="4"/>
  </r>
  <r>
    <s v="ORD53554"/>
    <d v="2025-05-22T00:00:00"/>
    <s v="Dubai Mall"/>
    <s v="P105"/>
    <n v="2"/>
    <n v="899"/>
    <x v="3"/>
    <x v="31"/>
    <s v="Electronics"/>
    <n v="610"/>
    <n v="1798"/>
    <n v="1220"/>
    <n v="578"/>
    <x v="4"/>
  </r>
  <r>
    <s v="ORD54179"/>
    <d v="2025-05-22T00:00:00"/>
    <s v="Mall of the Emirates"/>
    <s v="P207"/>
    <n v="2"/>
    <n v="399"/>
    <x v="3"/>
    <x v="32"/>
    <s v="Home &amp; Kitchen"/>
    <n v="250"/>
    <n v="798"/>
    <n v="500"/>
    <n v="298"/>
    <x v="4"/>
  </r>
  <r>
    <s v="ORD50351"/>
    <d v="2025-05-23T00:00:00"/>
    <s v="Dubai Mall"/>
    <s v="P307"/>
    <n v="1"/>
    <n v="399"/>
    <x v="0"/>
    <x v="20"/>
    <s v="Fashion"/>
    <n v="210"/>
    <n v="339.15"/>
    <n v="210"/>
    <n v="129.14999999999998"/>
    <x v="4"/>
  </r>
  <r>
    <s v="ORD50423"/>
    <d v="2025-05-23T00:00:00"/>
    <s v="Dubai Mall"/>
    <s v="P503"/>
    <n v="1"/>
    <n v="229"/>
    <x v="0"/>
    <x v="18"/>
    <s v="Sports"/>
    <n v="120"/>
    <n v="194.65"/>
    <n v="120"/>
    <n v="74.650000000000006"/>
    <x v="4"/>
  </r>
  <r>
    <s v="ORD50857"/>
    <d v="2025-05-23T00:00:00"/>
    <s v="Ibn Battuta Mall"/>
    <s v="P307"/>
    <n v="2"/>
    <n v="399"/>
    <x v="3"/>
    <x v="20"/>
    <s v="Fashion"/>
    <n v="210"/>
    <n v="798"/>
    <n v="420"/>
    <n v="378"/>
    <x v="4"/>
  </r>
  <r>
    <s v="ORD51306"/>
    <d v="2025-05-23T00:00:00"/>
    <s v="Dubai Mall"/>
    <s v="P505"/>
    <n v="2"/>
    <n v="99"/>
    <x v="3"/>
    <x v="11"/>
    <s v="Sports"/>
    <n v="45"/>
    <n v="198"/>
    <n v="90"/>
    <n v="108"/>
    <x v="4"/>
  </r>
  <r>
    <s v="ORD52365"/>
    <d v="2025-05-23T00:00:00"/>
    <s v="Dubai Mall"/>
    <s v="P306"/>
    <n v="4"/>
    <n v="249"/>
    <x v="1"/>
    <x v="3"/>
    <s v="Fashion"/>
    <n v="95"/>
    <n v="946.19999999999993"/>
    <n v="380"/>
    <n v="566.19999999999993"/>
    <x v="4"/>
  </r>
  <r>
    <s v="ORD52597"/>
    <d v="2025-05-23T00:00:00"/>
    <s v="Dubai Mall"/>
    <s v="P503"/>
    <n v="1"/>
    <n v="229"/>
    <x v="3"/>
    <x v="18"/>
    <s v="Sports"/>
    <n v="120"/>
    <n v="229"/>
    <n v="120"/>
    <n v="109"/>
    <x v="4"/>
  </r>
  <r>
    <s v="ORD52716"/>
    <d v="2025-05-23T00:00:00"/>
    <s v="Mall of the Emirates"/>
    <s v="P305"/>
    <n v="1"/>
    <n v="429"/>
    <x v="3"/>
    <x v="14"/>
    <s v="Fashion"/>
    <n v="300"/>
    <n v="429"/>
    <n v="300"/>
    <n v="129"/>
    <x v="4"/>
  </r>
  <r>
    <s v="ORD53291"/>
    <d v="2025-05-23T00:00:00"/>
    <s v="City Centre Deira"/>
    <s v="P303"/>
    <n v="1"/>
    <n v="149"/>
    <x v="0"/>
    <x v="7"/>
    <s v="Fashion"/>
    <n v="80"/>
    <n v="126.64999999999999"/>
    <n v="80"/>
    <n v="46.649999999999991"/>
    <x v="4"/>
  </r>
  <r>
    <s v="ORD53342"/>
    <d v="2025-05-23T00:00:00"/>
    <s v="City Centre Deira"/>
    <s v="P204"/>
    <n v="1"/>
    <n v="1199"/>
    <x v="0"/>
    <x v="27"/>
    <s v="Home &amp; Kitchen"/>
    <n v="1080"/>
    <n v="1019.15"/>
    <n v="1080"/>
    <n v="-60.850000000000023"/>
    <x v="4"/>
  </r>
  <r>
    <s v="ORD53412"/>
    <d v="2025-05-23T00:00:00"/>
    <s v="Mall of the Emirates"/>
    <s v="P307"/>
    <n v="1"/>
    <n v="399"/>
    <x v="2"/>
    <x v="20"/>
    <s v="Fashion"/>
    <n v="210"/>
    <n v="359.1"/>
    <n v="210"/>
    <n v="149.10000000000002"/>
    <x v="4"/>
  </r>
  <r>
    <s v="ORD53491"/>
    <d v="2025-05-23T00:00:00"/>
    <s v="Mall of the Emirates"/>
    <s v="P405"/>
    <n v="1"/>
    <n v="89"/>
    <x v="2"/>
    <x v="24"/>
    <s v="Beauty"/>
    <n v="40"/>
    <n v="80.100000000000009"/>
    <n v="40"/>
    <n v="40.100000000000009"/>
    <x v="4"/>
  </r>
  <r>
    <s v="ORD53773"/>
    <d v="2025-05-23T00:00:00"/>
    <s v="Dubai Mall"/>
    <s v="P405"/>
    <n v="2"/>
    <n v="89"/>
    <x v="3"/>
    <x v="24"/>
    <s v="Beauty"/>
    <n v="40"/>
    <n v="178"/>
    <n v="80"/>
    <n v="98"/>
    <x v="4"/>
  </r>
  <r>
    <s v="ORD54026"/>
    <d v="2025-05-23T00:00:00"/>
    <s v="City Centre Deira"/>
    <s v="P301"/>
    <n v="3"/>
    <n v="179"/>
    <x v="5"/>
    <x v="2"/>
    <s v="Fashion"/>
    <n v="70"/>
    <n v="429.6"/>
    <n v="210"/>
    <n v="219.60000000000002"/>
    <x v="4"/>
  </r>
  <r>
    <s v="ORD50265"/>
    <d v="2025-05-24T00:00:00"/>
    <s v="Mall of the Emirates"/>
    <s v="P304"/>
    <n v="1"/>
    <n v="699"/>
    <x v="1"/>
    <x v="35"/>
    <s v="Fashion"/>
    <n v="380"/>
    <n v="664.05"/>
    <n v="380"/>
    <n v="284.04999999999995"/>
    <x v="4"/>
  </r>
  <r>
    <s v="ORD50973"/>
    <d v="2025-05-24T00:00:00"/>
    <s v="Online"/>
    <s v="P204"/>
    <n v="1"/>
    <n v="1199"/>
    <x v="5"/>
    <x v="27"/>
    <s v="Home &amp; Kitchen"/>
    <n v="1080"/>
    <n v="959.2"/>
    <n v="1080"/>
    <n v="-120.79999999999995"/>
    <x v="4"/>
  </r>
  <r>
    <s v="ORD51549"/>
    <d v="2025-05-24T00:00:00"/>
    <s v="Mall of the Emirates"/>
    <s v="P107"/>
    <n v="3"/>
    <n v="89"/>
    <x v="3"/>
    <x v="29"/>
    <s v="Electronics"/>
    <n v="35"/>
    <n v="267"/>
    <n v="105"/>
    <n v="162"/>
    <x v="4"/>
  </r>
  <r>
    <s v="ORD51676"/>
    <d v="2025-05-24T00:00:00"/>
    <s v="City Centre Deira"/>
    <s v="P403"/>
    <n v="1"/>
    <n v="299"/>
    <x v="2"/>
    <x v="8"/>
    <s v="Beauty"/>
    <n v="240"/>
    <n v="269.10000000000002"/>
    <n v="240"/>
    <n v="29.100000000000023"/>
    <x v="4"/>
  </r>
  <r>
    <s v="ORD53029"/>
    <d v="2025-05-24T00:00:00"/>
    <s v="Mall of the Emirates"/>
    <s v="P105"/>
    <n v="1"/>
    <n v="899"/>
    <x v="0"/>
    <x v="31"/>
    <s v="Electronics"/>
    <n v="610"/>
    <n v="764.15"/>
    <n v="610"/>
    <n v="154.14999999999998"/>
    <x v="4"/>
  </r>
  <r>
    <s v="ORD53103"/>
    <d v="2025-05-24T00:00:00"/>
    <s v="Mall of the Emirates"/>
    <s v="P106"/>
    <n v="1"/>
    <n v="149"/>
    <x v="2"/>
    <x v="30"/>
    <s v="Electronics"/>
    <n v="70"/>
    <n v="134.1"/>
    <n v="70"/>
    <n v="64.099999999999994"/>
    <x v="4"/>
  </r>
  <r>
    <s v="ORD53386"/>
    <d v="2025-05-24T00:00:00"/>
    <s v="Dubai Mall"/>
    <s v="P208"/>
    <n v="1"/>
    <n v="259"/>
    <x v="2"/>
    <x v="22"/>
    <s v="Home &amp; Kitchen"/>
    <n v="115"/>
    <n v="233.1"/>
    <n v="115"/>
    <n v="118.1"/>
    <x v="4"/>
  </r>
  <r>
    <s v="ORD53411"/>
    <d v="2025-05-24T00:00:00"/>
    <s v="Online"/>
    <s v="P308"/>
    <n v="3"/>
    <n v="229"/>
    <x v="3"/>
    <x v="0"/>
    <s v="Fashion"/>
    <n v="120"/>
    <n v="687"/>
    <n v="360"/>
    <n v="327"/>
    <x v="4"/>
  </r>
  <r>
    <s v="ORD53706"/>
    <d v="2025-05-24T00:00:00"/>
    <s v="Dubai Mall"/>
    <s v="P403"/>
    <n v="2"/>
    <n v="299"/>
    <x v="6"/>
    <x v="8"/>
    <s v="Beauty"/>
    <n v="240"/>
    <n v="448.5"/>
    <n v="480"/>
    <n v="-31.5"/>
    <x v="4"/>
  </r>
  <r>
    <s v="ORD53990"/>
    <d v="2025-05-24T00:00:00"/>
    <s v="City Centre Deira"/>
    <s v="P105"/>
    <n v="1"/>
    <n v="899"/>
    <x v="2"/>
    <x v="31"/>
    <s v="Electronics"/>
    <n v="610"/>
    <n v="809.1"/>
    <n v="610"/>
    <n v="199.10000000000002"/>
    <x v="4"/>
  </r>
  <r>
    <s v="ORD54068"/>
    <d v="2025-05-24T00:00:00"/>
    <s v="Dubai Mall"/>
    <s v="P306"/>
    <n v="1"/>
    <n v="249"/>
    <x v="0"/>
    <x v="3"/>
    <s v="Fashion"/>
    <n v="95"/>
    <n v="211.65"/>
    <n v="95"/>
    <n v="116.65"/>
    <x v="4"/>
  </r>
  <r>
    <s v="ORD50093"/>
    <d v="2025-05-25T00:00:00"/>
    <s v="Dubai Mall"/>
    <s v="P502"/>
    <n v="1"/>
    <n v="799"/>
    <x v="0"/>
    <x v="19"/>
    <s v="Sports"/>
    <n v="700"/>
    <n v="679.15"/>
    <n v="700"/>
    <n v="-20.850000000000023"/>
    <x v="4"/>
  </r>
  <r>
    <s v="ORD50758"/>
    <d v="2025-05-25T00:00:00"/>
    <s v="Online"/>
    <s v="P107"/>
    <n v="1"/>
    <n v="89"/>
    <x v="3"/>
    <x v="29"/>
    <s v="Electronics"/>
    <n v="35"/>
    <n v="89"/>
    <n v="35"/>
    <n v="54"/>
    <x v="4"/>
  </r>
  <r>
    <s v="ORD51472"/>
    <d v="2025-05-25T00:00:00"/>
    <s v="Ibn Battuta Mall"/>
    <s v="P405"/>
    <n v="1"/>
    <n v="89"/>
    <x v="3"/>
    <x v="24"/>
    <s v="Beauty"/>
    <n v="40"/>
    <n v="89"/>
    <n v="40"/>
    <n v="49"/>
    <x v="4"/>
  </r>
  <r>
    <s v="ORD51564"/>
    <d v="2025-05-25T00:00:00"/>
    <s v="Online"/>
    <s v="P305"/>
    <n v="4"/>
    <n v="429"/>
    <x v="4"/>
    <x v="14"/>
    <s v="Fashion"/>
    <n v="300"/>
    <n v="1201.1999999999998"/>
    <n v="1200"/>
    <n v="1.1999999999998181"/>
    <x v="4"/>
  </r>
  <r>
    <s v="ORD52153"/>
    <d v="2025-05-25T00:00:00"/>
    <s v="City Centre Deira"/>
    <s v="P102"/>
    <n v="3"/>
    <n v="249"/>
    <x v="0"/>
    <x v="13"/>
    <s v="Electronics"/>
    <n v="150"/>
    <n v="634.94999999999993"/>
    <n v="450"/>
    <n v="184.94999999999993"/>
    <x v="4"/>
  </r>
  <r>
    <s v="ORD52527"/>
    <d v="2025-05-25T00:00:00"/>
    <s v="Dubai Mall"/>
    <s v="P308"/>
    <n v="3"/>
    <n v="229"/>
    <x v="2"/>
    <x v="0"/>
    <s v="Fashion"/>
    <n v="120"/>
    <n v="618.30000000000007"/>
    <n v="360"/>
    <n v="258.30000000000007"/>
    <x v="4"/>
  </r>
  <r>
    <s v="ORD53049"/>
    <d v="2025-05-25T00:00:00"/>
    <s v="Mall of the Emirates"/>
    <s v="P105"/>
    <n v="1"/>
    <n v="899"/>
    <x v="0"/>
    <x v="31"/>
    <s v="Electronics"/>
    <n v="610"/>
    <n v="764.15"/>
    <n v="610"/>
    <n v="154.14999999999998"/>
    <x v="4"/>
  </r>
  <r>
    <s v="ORD53115"/>
    <d v="2025-05-25T00:00:00"/>
    <s v="Dubai Mall"/>
    <s v="P304"/>
    <n v="2"/>
    <n v="699"/>
    <x v="3"/>
    <x v="35"/>
    <s v="Fashion"/>
    <n v="380"/>
    <n v="1398"/>
    <n v="760"/>
    <n v="638"/>
    <x v="4"/>
  </r>
  <r>
    <s v="ORD53230"/>
    <d v="2025-05-25T00:00:00"/>
    <s v="Dubai Mall"/>
    <s v="P207"/>
    <n v="1"/>
    <n v="399"/>
    <x v="5"/>
    <x v="32"/>
    <s v="Home &amp; Kitchen"/>
    <n v="250"/>
    <n v="319.20000000000005"/>
    <n v="250"/>
    <n v="69.200000000000045"/>
    <x v="4"/>
  </r>
  <r>
    <s v="ORD53432"/>
    <d v="2025-05-25T00:00:00"/>
    <s v="Ibn Battuta Mall"/>
    <s v="P301"/>
    <n v="2"/>
    <n v="179"/>
    <x v="3"/>
    <x v="2"/>
    <s v="Fashion"/>
    <n v="70"/>
    <n v="358"/>
    <n v="140"/>
    <n v="218"/>
    <x v="4"/>
  </r>
  <r>
    <s v="ORD53539"/>
    <d v="2025-05-25T00:00:00"/>
    <s v="Dubai Mall"/>
    <s v="P402"/>
    <n v="2"/>
    <n v="149"/>
    <x v="3"/>
    <x v="17"/>
    <s v="Beauty"/>
    <n v="55"/>
    <n v="298"/>
    <n v="110"/>
    <n v="188"/>
    <x v="4"/>
  </r>
  <r>
    <s v="ORD53596"/>
    <d v="2025-05-25T00:00:00"/>
    <s v="Online"/>
    <s v="P203"/>
    <n v="1"/>
    <n v="349"/>
    <x v="3"/>
    <x v="21"/>
    <s v="Home &amp; Kitchen"/>
    <n v="170"/>
    <n v="349"/>
    <n v="170"/>
    <n v="179"/>
    <x v="4"/>
  </r>
  <r>
    <s v="ORD50305"/>
    <d v="2025-05-26T00:00:00"/>
    <s v="City Centre Deira"/>
    <s v="P108"/>
    <n v="1"/>
    <n v="459"/>
    <x v="3"/>
    <x v="23"/>
    <s v="Electronics"/>
    <n v="300"/>
    <n v="459"/>
    <n v="300"/>
    <n v="159"/>
    <x v="4"/>
  </r>
  <r>
    <s v="ORD50476"/>
    <d v="2025-05-26T00:00:00"/>
    <s v="City Centre Deira"/>
    <s v="P307"/>
    <n v="1"/>
    <n v="399"/>
    <x v="1"/>
    <x v="20"/>
    <s v="Fashion"/>
    <n v="210"/>
    <n v="379.04999999999995"/>
    <n v="210"/>
    <n v="169.04999999999995"/>
    <x v="4"/>
  </r>
  <r>
    <s v="ORD52093"/>
    <d v="2025-05-26T00:00:00"/>
    <s v="Online"/>
    <s v="P307"/>
    <n v="1"/>
    <n v="399"/>
    <x v="3"/>
    <x v="20"/>
    <s v="Fashion"/>
    <n v="210"/>
    <n v="399"/>
    <n v="210"/>
    <n v="189"/>
    <x v="4"/>
  </r>
  <r>
    <s v="ORD52308"/>
    <d v="2025-05-26T00:00:00"/>
    <s v="Mall of the Emirates"/>
    <s v="P302"/>
    <n v="1"/>
    <n v="459"/>
    <x v="3"/>
    <x v="10"/>
    <s v="Fashion"/>
    <n v="190"/>
    <n v="459"/>
    <n v="190"/>
    <n v="269"/>
    <x v="4"/>
  </r>
  <r>
    <s v="ORD52311"/>
    <d v="2025-05-26T00:00:00"/>
    <s v="City Centre Deira"/>
    <s v="P505"/>
    <n v="1"/>
    <n v="99"/>
    <x v="2"/>
    <x v="11"/>
    <s v="Sports"/>
    <n v="45"/>
    <n v="89.100000000000009"/>
    <n v="45"/>
    <n v="44.100000000000009"/>
    <x v="4"/>
  </r>
  <r>
    <s v="ORD53404"/>
    <d v="2025-05-26T00:00:00"/>
    <s v="Online"/>
    <s v="P105"/>
    <n v="2"/>
    <n v="899"/>
    <x v="0"/>
    <x v="31"/>
    <s v="Electronics"/>
    <n v="610"/>
    <n v="1528.3"/>
    <n v="1220"/>
    <n v="308.29999999999995"/>
    <x v="4"/>
  </r>
  <r>
    <s v="ORD53860"/>
    <d v="2025-05-26T00:00:00"/>
    <s v="Mall of the Emirates"/>
    <s v="P102"/>
    <n v="2"/>
    <n v="249"/>
    <x v="3"/>
    <x v="13"/>
    <s v="Electronics"/>
    <n v="150"/>
    <n v="498"/>
    <n v="300"/>
    <n v="198"/>
    <x v="4"/>
  </r>
  <r>
    <s v="ORD54038"/>
    <d v="2025-05-26T00:00:00"/>
    <s v="Online"/>
    <s v="P405"/>
    <n v="1"/>
    <n v="89"/>
    <x v="2"/>
    <x v="24"/>
    <s v="Beauty"/>
    <n v="40"/>
    <n v="80.100000000000009"/>
    <n v="40"/>
    <n v="40.100000000000009"/>
    <x v="4"/>
  </r>
  <r>
    <s v="ORD50358"/>
    <d v="2025-05-27T00:00:00"/>
    <s v="Dubai Mall"/>
    <s v="P504"/>
    <n v="2"/>
    <n v="2499"/>
    <x v="0"/>
    <x v="33"/>
    <s v="Sports"/>
    <n v="2150"/>
    <n v="4248.3"/>
    <n v="4300"/>
    <n v="-51.699999999999818"/>
    <x v="4"/>
  </r>
  <r>
    <s v="ORD50396"/>
    <d v="2025-05-27T00:00:00"/>
    <s v="Dubai Mall"/>
    <s v="P307"/>
    <n v="2"/>
    <n v="399"/>
    <x v="3"/>
    <x v="20"/>
    <s v="Fashion"/>
    <n v="210"/>
    <n v="798"/>
    <n v="420"/>
    <n v="378"/>
    <x v="4"/>
  </r>
  <r>
    <s v="ORD50615"/>
    <d v="2025-05-27T00:00:00"/>
    <s v="Mall of the Emirates"/>
    <s v="P306"/>
    <n v="1"/>
    <n v="249"/>
    <x v="1"/>
    <x v="3"/>
    <s v="Fashion"/>
    <n v="95"/>
    <n v="236.54999999999998"/>
    <n v="95"/>
    <n v="141.54999999999998"/>
    <x v="4"/>
  </r>
  <r>
    <s v="ORD51398"/>
    <d v="2025-05-27T00:00:00"/>
    <s v="Online"/>
    <s v="P405"/>
    <n v="1"/>
    <n v="89"/>
    <x v="2"/>
    <x v="24"/>
    <s v="Beauty"/>
    <n v="40"/>
    <n v="80.100000000000009"/>
    <n v="40"/>
    <n v="40.100000000000009"/>
    <x v="4"/>
  </r>
  <r>
    <s v="ORD51774"/>
    <d v="2025-05-27T00:00:00"/>
    <s v="Dubai Mall"/>
    <s v="P305"/>
    <n v="2"/>
    <n v="429"/>
    <x v="5"/>
    <x v="14"/>
    <s v="Fashion"/>
    <n v="300"/>
    <n v="686.40000000000009"/>
    <n v="600"/>
    <n v="86.400000000000091"/>
    <x v="4"/>
  </r>
  <r>
    <s v="ORD52068"/>
    <d v="2025-05-27T00:00:00"/>
    <s v="City Centre Deira"/>
    <s v="P105"/>
    <n v="2"/>
    <n v="899"/>
    <x v="1"/>
    <x v="31"/>
    <s v="Electronics"/>
    <n v="610"/>
    <n v="1708.1"/>
    <n v="1220"/>
    <n v="488.09999999999991"/>
    <x v="4"/>
  </r>
  <r>
    <s v="ORD52297"/>
    <d v="2025-05-27T00:00:00"/>
    <s v="Dubai Mall"/>
    <s v="P206"/>
    <n v="3"/>
    <n v="129"/>
    <x v="4"/>
    <x v="28"/>
    <s v="Home &amp; Kitchen"/>
    <n v="60"/>
    <n v="270.89999999999998"/>
    <n v="180"/>
    <n v="90.899999999999977"/>
    <x v="4"/>
  </r>
  <r>
    <s v="ORD53164"/>
    <d v="2025-05-27T00:00:00"/>
    <s v="Dubai Mall"/>
    <s v="P107"/>
    <n v="3"/>
    <n v="89"/>
    <x v="3"/>
    <x v="29"/>
    <s v="Electronics"/>
    <n v="35"/>
    <n v="267"/>
    <n v="105"/>
    <n v="162"/>
    <x v="4"/>
  </r>
  <r>
    <s v="ORD54050"/>
    <d v="2025-05-27T00:00:00"/>
    <s v="Dubai Mall"/>
    <s v="P506"/>
    <n v="2"/>
    <n v="69"/>
    <x v="3"/>
    <x v="34"/>
    <s v="Sports"/>
    <n v="25"/>
    <n v="138"/>
    <n v="50"/>
    <n v="88"/>
    <x v="4"/>
  </r>
  <r>
    <s v="ORD50499"/>
    <d v="2025-05-28T00:00:00"/>
    <s v="Ibn Battuta Mall"/>
    <s v="P107"/>
    <n v="1"/>
    <n v="89"/>
    <x v="3"/>
    <x v="29"/>
    <s v="Electronics"/>
    <n v="35"/>
    <n v="89"/>
    <n v="35"/>
    <n v="54"/>
    <x v="4"/>
  </r>
  <r>
    <s v="ORD51179"/>
    <d v="2025-05-28T00:00:00"/>
    <s v="Dubai Mall"/>
    <s v="P207"/>
    <n v="1"/>
    <n v="399"/>
    <x v="3"/>
    <x v="32"/>
    <s v="Home &amp; Kitchen"/>
    <n v="250"/>
    <n v="399"/>
    <n v="250"/>
    <n v="149"/>
    <x v="4"/>
  </r>
  <r>
    <s v="ORD51297"/>
    <d v="2025-05-28T00:00:00"/>
    <s v="Mall of the Emirates"/>
    <s v="P406"/>
    <n v="1"/>
    <n v="199"/>
    <x v="5"/>
    <x v="4"/>
    <s v="Beauty"/>
    <n v="90"/>
    <n v="159.20000000000002"/>
    <n v="90"/>
    <n v="69.200000000000017"/>
    <x v="4"/>
  </r>
  <r>
    <s v="ORD51982"/>
    <d v="2025-05-28T00:00:00"/>
    <s v="City Centre Deira"/>
    <s v="P402"/>
    <n v="4"/>
    <n v="149"/>
    <x v="5"/>
    <x v="17"/>
    <s v="Beauty"/>
    <n v="55"/>
    <n v="476.8"/>
    <n v="220"/>
    <n v="256.8"/>
    <x v="4"/>
  </r>
  <r>
    <s v="ORD52355"/>
    <d v="2025-05-28T00:00:00"/>
    <s v="Online"/>
    <s v="P108"/>
    <n v="2"/>
    <n v="459"/>
    <x v="4"/>
    <x v="23"/>
    <s v="Electronics"/>
    <n v="300"/>
    <n v="642.59999999999991"/>
    <n v="600"/>
    <n v="42.599999999999909"/>
    <x v="4"/>
  </r>
  <r>
    <s v="ORD52957"/>
    <d v="2025-05-28T00:00:00"/>
    <s v="Dubai Mall"/>
    <s v="P105"/>
    <n v="1"/>
    <n v="899"/>
    <x v="3"/>
    <x v="31"/>
    <s v="Electronics"/>
    <n v="610"/>
    <n v="899"/>
    <n v="610"/>
    <n v="289"/>
    <x v="4"/>
  </r>
  <r>
    <s v="ORD53387"/>
    <d v="2025-05-28T00:00:00"/>
    <s v="Ibn Battuta Mall"/>
    <s v="P505"/>
    <n v="1"/>
    <n v="99"/>
    <x v="3"/>
    <x v="11"/>
    <s v="Sports"/>
    <n v="45"/>
    <n v="99"/>
    <n v="45"/>
    <n v="54"/>
    <x v="4"/>
  </r>
  <r>
    <s v="ORD53738"/>
    <d v="2025-05-28T00:00:00"/>
    <s v="Dubai Mall"/>
    <s v="P104"/>
    <n v="3"/>
    <n v="199"/>
    <x v="5"/>
    <x v="1"/>
    <s v="Electronics"/>
    <n v="175"/>
    <n v="477.6"/>
    <n v="525"/>
    <n v="-47.399999999999977"/>
    <x v="4"/>
  </r>
  <r>
    <s v="ORD50122"/>
    <d v="2025-05-29T00:00:00"/>
    <s v="Dubai Mall"/>
    <s v="P402"/>
    <n v="1"/>
    <n v="149"/>
    <x v="5"/>
    <x v="17"/>
    <s v="Beauty"/>
    <n v="55"/>
    <n v="119.2"/>
    <n v="55"/>
    <n v="64.2"/>
    <x v="4"/>
  </r>
  <r>
    <s v="ORD50315"/>
    <d v="2025-05-29T00:00:00"/>
    <s v="Online"/>
    <s v="P406"/>
    <n v="1"/>
    <n v="199"/>
    <x v="0"/>
    <x v="4"/>
    <s v="Beauty"/>
    <n v="90"/>
    <n v="169.15"/>
    <n v="90"/>
    <n v="79.150000000000006"/>
    <x v="4"/>
  </r>
  <r>
    <s v="ORD50420"/>
    <d v="2025-05-29T00:00:00"/>
    <s v="Online"/>
    <s v="P306"/>
    <n v="4"/>
    <n v="249"/>
    <x v="3"/>
    <x v="3"/>
    <s v="Fashion"/>
    <n v="95"/>
    <n v="996"/>
    <n v="380"/>
    <n v="616"/>
    <x v="4"/>
  </r>
  <r>
    <s v="ORD50576"/>
    <d v="2025-05-29T00:00:00"/>
    <s v="City Centre Deira"/>
    <s v="P503"/>
    <n v="1"/>
    <n v="229"/>
    <x v="2"/>
    <x v="18"/>
    <s v="Sports"/>
    <n v="120"/>
    <n v="206.1"/>
    <n v="120"/>
    <n v="86.1"/>
    <x v="4"/>
  </r>
  <r>
    <s v="ORD50591"/>
    <d v="2025-05-29T00:00:00"/>
    <s v="Online"/>
    <s v="P304"/>
    <n v="1"/>
    <n v="699"/>
    <x v="3"/>
    <x v="35"/>
    <s v="Fashion"/>
    <n v="380"/>
    <n v="699"/>
    <n v="380"/>
    <n v="319"/>
    <x v="4"/>
  </r>
  <r>
    <s v="ORD50618"/>
    <d v="2025-05-29T00:00:00"/>
    <s v="City Centre Deira"/>
    <s v="P103"/>
    <n v="1"/>
    <n v="1299"/>
    <x v="3"/>
    <x v="25"/>
    <s v="Electronics"/>
    <n v="820"/>
    <n v="1299"/>
    <n v="820"/>
    <n v="479"/>
    <x v="4"/>
  </r>
  <r>
    <s v="ORD50892"/>
    <d v="2025-05-29T00:00:00"/>
    <s v="Mall of the Emirates"/>
    <s v="P205"/>
    <n v="1"/>
    <n v="289"/>
    <x v="2"/>
    <x v="9"/>
    <s v="Home &amp; Kitchen"/>
    <n v="140"/>
    <n v="260.10000000000002"/>
    <n v="140"/>
    <n v="120.10000000000002"/>
    <x v="4"/>
  </r>
  <r>
    <s v="ORD51685"/>
    <d v="2025-05-29T00:00:00"/>
    <s v="Mall of the Emirates"/>
    <s v="P506"/>
    <n v="1"/>
    <n v="69"/>
    <x v="3"/>
    <x v="34"/>
    <s v="Sports"/>
    <n v="25"/>
    <n v="69"/>
    <n v="25"/>
    <n v="44"/>
    <x v="4"/>
  </r>
  <r>
    <s v="ORD52788"/>
    <d v="2025-05-29T00:00:00"/>
    <s v="City Centre Deira"/>
    <s v="P503"/>
    <n v="1"/>
    <n v="229"/>
    <x v="3"/>
    <x v="18"/>
    <s v="Sports"/>
    <n v="120"/>
    <n v="229"/>
    <n v="120"/>
    <n v="109"/>
    <x v="4"/>
  </r>
  <r>
    <s v="ORD52939"/>
    <d v="2025-05-29T00:00:00"/>
    <s v="Online"/>
    <s v="P304"/>
    <n v="1"/>
    <n v="699"/>
    <x v="0"/>
    <x v="35"/>
    <s v="Fashion"/>
    <n v="380"/>
    <n v="594.15"/>
    <n v="380"/>
    <n v="214.14999999999998"/>
    <x v="4"/>
  </r>
  <r>
    <s v="ORD53241"/>
    <d v="2025-05-29T00:00:00"/>
    <s v="Dubai Mall"/>
    <s v="P308"/>
    <n v="1"/>
    <n v="229"/>
    <x v="2"/>
    <x v="0"/>
    <s v="Fashion"/>
    <n v="120"/>
    <n v="206.1"/>
    <n v="120"/>
    <n v="86.1"/>
    <x v="4"/>
  </r>
  <r>
    <s v="ORD53433"/>
    <d v="2025-05-29T00:00:00"/>
    <s v="Mall of the Emirates"/>
    <s v="P104"/>
    <n v="1"/>
    <n v="199"/>
    <x v="5"/>
    <x v="1"/>
    <s v="Electronics"/>
    <n v="175"/>
    <n v="159.20000000000002"/>
    <n v="175"/>
    <n v="-15.799999999999983"/>
    <x v="4"/>
  </r>
  <r>
    <s v="ORD53555"/>
    <d v="2025-05-29T00:00:00"/>
    <s v="Online"/>
    <s v="P403"/>
    <n v="1"/>
    <n v="299"/>
    <x v="5"/>
    <x v="8"/>
    <s v="Beauty"/>
    <n v="240"/>
    <n v="239.20000000000002"/>
    <n v="240"/>
    <n v="-0.79999999999998295"/>
    <x v="4"/>
  </r>
  <r>
    <s v="ORD53756"/>
    <d v="2025-05-29T00:00:00"/>
    <s v="Mall of the Emirates"/>
    <s v="P503"/>
    <n v="1"/>
    <n v="229"/>
    <x v="1"/>
    <x v="18"/>
    <s v="Sports"/>
    <n v="120"/>
    <n v="217.54999999999998"/>
    <n v="120"/>
    <n v="97.549999999999983"/>
    <x v="4"/>
  </r>
  <r>
    <s v="ORD53960"/>
    <d v="2025-05-29T00:00:00"/>
    <s v="Dubai Mall"/>
    <s v="P206"/>
    <n v="3"/>
    <n v="129"/>
    <x v="3"/>
    <x v="28"/>
    <s v="Home &amp; Kitchen"/>
    <n v="60"/>
    <n v="387"/>
    <n v="180"/>
    <n v="207"/>
    <x v="4"/>
  </r>
  <r>
    <s v="ORD50792"/>
    <d v="2025-05-30T00:00:00"/>
    <s v="Mall of the Emirates"/>
    <s v="P105"/>
    <n v="3"/>
    <n v="899"/>
    <x v="5"/>
    <x v="31"/>
    <s v="Electronics"/>
    <n v="610"/>
    <n v="2157.6"/>
    <n v="1830"/>
    <n v="327.59999999999991"/>
    <x v="4"/>
  </r>
  <r>
    <s v="ORD50807"/>
    <d v="2025-05-30T00:00:00"/>
    <s v="Online"/>
    <s v="P104"/>
    <n v="1"/>
    <n v="199"/>
    <x v="6"/>
    <x v="1"/>
    <s v="Electronics"/>
    <n v="175"/>
    <n v="149.25"/>
    <n v="175"/>
    <n v="-25.75"/>
    <x v="4"/>
  </r>
  <r>
    <s v="ORD51020"/>
    <d v="2025-05-30T00:00:00"/>
    <s v="City Centre Deira"/>
    <s v="P307"/>
    <n v="1"/>
    <n v="399"/>
    <x v="1"/>
    <x v="20"/>
    <s v="Fashion"/>
    <n v="210"/>
    <n v="379.04999999999995"/>
    <n v="210"/>
    <n v="169.04999999999995"/>
    <x v="4"/>
  </r>
  <r>
    <s v="ORD51139"/>
    <d v="2025-05-30T00:00:00"/>
    <s v="Dubai Mall"/>
    <s v="P203"/>
    <n v="1"/>
    <n v="349"/>
    <x v="1"/>
    <x v="21"/>
    <s v="Home &amp; Kitchen"/>
    <n v="170"/>
    <n v="331.55"/>
    <n v="170"/>
    <n v="161.55000000000001"/>
    <x v="4"/>
  </r>
  <r>
    <s v="ORD51160"/>
    <d v="2025-05-30T00:00:00"/>
    <s v="Mall of the Emirates"/>
    <s v="P301"/>
    <n v="3"/>
    <n v="179"/>
    <x v="2"/>
    <x v="2"/>
    <s v="Fashion"/>
    <n v="70"/>
    <n v="483.3"/>
    <n v="210"/>
    <n v="273.3"/>
    <x v="4"/>
  </r>
  <r>
    <s v="ORD52086"/>
    <d v="2025-05-30T00:00:00"/>
    <s v="City Centre Deira"/>
    <s v="P308"/>
    <n v="2"/>
    <n v="229"/>
    <x v="3"/>
    <x v="0"/>
    <s v="Fashion"/>
    <n v="120"/>
    <n v="458"/>
    <n v="240"/>
    <n v="218"/>
    <x v="4"/>
  </r>
  <r>
    <s v="ORD52156"/>
    <d v="2025-05-30T00:00:00"/>
    <s v="Ibn Battuta Mall"/>
    <s v="P207"/>
    <n v="1"/>
    <n v="399"/>
    <x v="3"/>
    <x v="32"/>
    <s v="Home &amp; Kitchen"/>
    <n v="250"/>
    <n v="399"/>
    <n v="250"/>
    <n v="149"/>
    <x v="4"/>
  </r>
  <r>
    <s v="ORD53394"/>
    <d v="2025-05-30T00:00:00"/>
    <s v="Ibn Battuta Mall"/>
    <s v="P402"/>
    <n v="1"/>
    <n v="149"/>
    <x v="2"/>
    <x v="17"/>
    <s v="Beauty"/>
    <n v="55"/>
    <n v="134.1"/>
    <n v="55"/>
    <n v="79.099999999999994"/>
    <x v="4"/>
  </r>
  <r>
    <s v="ORD53398"/>
    <d v="2025-05-30T00:00:00"/>
    <s v="Mall of the Emirates"/>
    <s v="P403"/>
    <n v="2"/>
    <n v="299"/>
    <x v="2"/>
    <x v="8"/>
    <s v="Beauty"/>
    <n v="240"/>
    <n v="538.20000000000005"/>
    <n v="480"/>
    <n v="58.200000000000045"/>
    <x v="4"/>
  </r>
  <r>
    <s v="ORD54004"/>
    <d v="2025-05-30T00:00:00"/>
    <s v="Online"/>
    <s v="P306"/>
    <n v="2"/>
    <n v="249"/>
    <x v="1"/>
    <x v="3"/>
    <s v="Fashion"/>
    <n v="95"/>
    <n v="473.09999999999997"/>
    <n v="190"/>
    <n v="283.09999999999997"/>
    <x v="4"/>
  </r>
  <r>
    <s v="ORD50652"/>
    <d v="2025-05-31T00:00:00"/>
    <s v="Online"/>
    <s v="P504"/>
    <n v="2"/>
    <n v="2499"/>
    <x v="6"/>
    <x v="33"/>
    <s v="Sports"/>
    <n v="2150"/>
    <n v="3748.5"/>
    <n v="4300"/>
    <n v="-551.5"/>
    <x v="4"/>
  </r>
  <r>
    <s v="ORD50793"/>
    <d v="2025-05-31T00:00:00"/>
    <s v="Mall of the Emirates"/>
    <s v="P101"/>
    <n v="3"/>
    <n v="399"/>
    <x v="1"/>
    <x v="5"/>
    <s v="Electronics"/>
    <n v="230"/>
    <n v="1137.1499999999999"/>
    <n v="690"/>
    <n v="447.14999999999986"/>
    <x v="4"/>
  </r>
  <r>
    <s v="ORD51075"/>
    <d v="2025-05-31T00:00:00"/>
    <s v="Online"/>
    <s v="P505"/>
    <n v="3"/>
    <n v="99"/>
    <x v="1"/>
    <x v="11"/>
    <s v="Sports"/>
    <n v="45"/>
    <n v="282.14999999999998"/>
    <n v="135"/>
    <n v="147.14999999999998"/>
    <x v="4"/>
  </r>
  <r>
    <s v="ORD52391"/>
    <d v="2025-05-31T00:00:00"/>
    <s v="Dubai Mall"/>
    <s v="P107"/>
    <n v="3"/>
    <n v="89"/>
    <x v="2"/>
    <x v="29"/>
    <s v="Electronics"/>
    <n v="35"/>
    <n v="240.3"/>
    <n v="105"/>
    <n v="135.30000000000001"/>
    <x v="4"/>
  </r>
  <r>
    <s v="ORD52780"/>
    <d v="2025-05-31T00:00:00"/>
    <s v="Mall of the Emirates"/>
    <s v="P303"/>
    <n v="2"/>
    <n v="149"/>
    <x v="3"/>
    <x v="7"/>
    <s v="Fashion"/>
    <n v="80"/>
    <n v="298"/>
    <n v="160"/>
    <n v="138"/>
    <x v="4"/>
  </r>
  <r>
    <s v="ORD53181"/>
    <d v="2025-05-31T00:00:00"/>
    <s v="Mall of the Emirates"/>
    <s v="P102"/>
    <n v="3"/>
    <n v="249"/>
    <x v="3"/>
    <x v="13"/>
    <s v="Electronics"/>
    <n v="150"/>
    <n v="747"/>
    <n v="450"/>
    <n v="297"/>
    <x v="4"/>
  </r>
  <r>
    <s v="ORD53336"/>
    <d v="2025-05-31T00:00:00"/>
    <s v="Dubai Mall"/>
    <s v="P301"/>
    <n v="2"/>
    <n v="179"/>
    <x v="1"/>
    <x v="2"/>
    <s v="Fashion"/>
    <n v="70"/>
    <n v="340.09999999999997"/>
    <n v="140"/>
    <n v="200.09999999999997"/>
    <x v="4"/>
  </r>
  <r>
    <s v="ORD53559"/>
    <d v="2025-05-31T00:00:00"/>
    <s v="City Centre Deira"/>
    <s v="P506"/>
    <n v="1"/>
    <n v="69"/>
    <x v="3"/>
    <x v="34"/>
    <s v="Sports"/>
    <n v="25"/>
    <n v="69"/>
    <n v="25"/>
    <n v="44"/>
    <x v="4"/>
  </r>
  <r>
    <s v="ORD53636"/>
    <d v="2025-05-31T00:00:00"/>
    <s v="Mall of the Emirates"/>
    <s v="P305"/>
    <n v="1"/>
    <n v="429"/>
    <x v="2"/>
    <x v="14"/>
    <s v="Fashion"/>
    <n v="300"/>
    <n v="386.1"/>
    <n v="300"/>
    <n v="86.100000000000023"/>
    <x v="4"/>
  </r>
  <r>
    <s v="ORD53956"/>
    <d v="2025-05-31T00:00:00"/>
    <s v="Dubai Mall"/>
    <s v="P303"/>
    <n v="1"/>
    <n v="149"/>
    <x v="0"/>
    <x v="7"/>
    <s v="Fashion"/>
    <n v="80"/>
    <n v="126.64999999999999"/>
    <n v="80"/>
    <n v="46.649999999999991"/>
    <x v="4"/>
  </r>
  <r>
    <s v="ORD54139"/>
    <d v="2025-05-31T00:00:00"/>
    <s v="Online"/>
    <s v="P306"/>
    <n v="1"/>
    <n v="249"/>
    <x v="3"/>
    <x v="3"/>
    <s v="Fashion"/>
    <n v="95"/>
    <n v="249"/>
    <n v="95"/>
    <n v="154"/>
    <x v="4"/>
  </r>
  <r>
    <s v="ORD50678"/>
    <d v="2025-06-01T00:00:00"/>
    <s v="Mall of the Emirates"/>
    <s v="P203"/>
    <n v="1"/>
    <n v="349"/>
    <x v="5"/>
    <x v="21"/>
    <s v="Home &amp; Kitchen"/>
    <n v="170"/>
    <n v="279.2"/>
    <n v="170"/>
    <n v="109.19999999999999"/>
    <x v="5"/>
  </r>
  <r>
    <s v="ORD51028"/>
    <d v="2025-06-01T00:00:00"/>
    <s v="Online"/>
    <s v="P303"/>
    <n v="1"/>
    <n v="149"/>
    <x v="3"/>
    <x v="7"/>
    <s v="Fashion"/>
    <n v="80"/>
    <n v="149"/>
    <n v="80"/>
    <n v="69"/>
    <x v="5"/>
  </r>
  <r>
    <s v="ORD52215"/>
    <d v="2025-06-01T00:00:00"/>
    <s v="Online"/>
    <s v="P304"/>
    <n v="1"/>
    <n v="699"/>
    <x v="5"/>
    <x v="35"/>
    <s v="Fashion"/>
    <n v="380"/>
    <n v="559.20000000000005"/>
    <n v="380"/>
    <n v="179.20000000000005"/>
    <x v="5"/>
  </r>
  <r>
    <s v="ORD52576"/>
    <d v="2025-06-01T00:00:00"/>
    <s v="City Centre Deira"/>
    <s v="P404"/>
    <n v="2"/>
    <n v="189"/>
    <x v="3"/>
    <x v="6"/>
    <s v="Beauty"/>
    <n v="85"/>
    <n v="378"/>
    <n v="170"/>
    <n v="208"/>
    <x v="5"/>
  </r>
  <r>
    <s v="ORD52582"/>
    <d v="2025-06-01T00:00:00"/>
    <s v="Mall of the Emirates"/>
    <s v="P306"/>
    <n v="1"/>
    <n v="249"/>
    <x v="3"/>
    <x v="3"/>
    <s v="Fashion"/>
    <n v="95"/>
    <n v="249"/>
    <n v="95"/>
    <n v="154"/>
    <x v="5"/>
  </r>
  <r>
    <s v="ORD52586"/>
    <d v="2025-06-01T00:00:00"/>
    <s v="Online"/>
    <s v="P303"/>
    <n v="1"/>
    <n v="149"/>
    <x v="3"/>
    <x v="7"/>
    <s v="Fashion"/>
    <n v="80"/>
    <n v="149"/>
    <n v="80"/>
    <n v="69"/>
    <x v="5"/>
  </r>
  <r>
    <s v="ORD52663"/>
    <d v="2025-06-01T00:00:00"/>
    <s v="Mall of the Emirates"/>
    <s v="P105"/>
    <n v="2"/>
    <n v="899"/>
    <x v="0"/>
    <x v="31"/>
    <s v="Electronics"/>
    <n v="610"/>
    <n v="1528.3"/>
    <n v="1220"/>
    <n v="308.29999999999995"/>
    <x v="5"/>
  </r>
  <r>
    <s v="ORD52832"/>
    <d v="2025-06-01T00:00:00"/>
    <s v="City Centre Deira"/>
    <s v="P305"/>
    <n v="1"/>
    <n v="429"/>
    <x v="3"/>
    <x v="14"/>
    <s v="Fashion"/>
    <n v="300"/>
    <n v="429"/>
    <n v="300"/>
    <n v="129"/>
    <x v="5"/>
  </r>
  <r>
    <s v="ORD53854"/>
    <d v="2025-06-01T00:00:00"/>
    <s v="Mall of the Emirates"/>
    <s v="P106"/>
    <n v="3"/>
    <n v="149"/>
    <x v="3"/>
    <x v="30"/>
    <s v="Electronics"/>
    <n v="70"/>
    <n v="447"/>
    <n v="210"/>
    <n v="237"/>
    <x v="5"/>
  </r>
  <r>
    <s v="ORD54128"/>
    <d v="2025-06-01T00:00:00"/>
    <s v="Ibn Battuta Mall"/>
    <s v="P403"/>
    <n v="1"/>
    <n v="299"/>
    <x v="5"/>
    <x v="8"/>
    <s v="Beauty"/>
    <n v="240"/>
    <n v="239.20000000000002"/>
    <n v="240"/>
    <n v="-0.79999999999998295"/>
    <x v="5"/>
  </r>
  <r>
    <s v="ORD50268"/>
    <d v="2025-06-02T00:00:00"/>
    <s v="Dubai Mall"/>
    <s v="P307"/>
    <n v="3"/>
    <n v="399"/>
    <x v="1"/>
    <x v="20"/>
    <s v="Fashion"/>
    <n v="210"/>
    <n v="1137.1499999999999"/>
    <n v="630"/>
    <n v="507.14999999999986"/>
    <x v="5"/>
  </r>
  <r>
    <s v="ORD50278"/>
    <d v="2025-06-02T00:00:00"/>
    <s v="City Centre Deira"/>
    <s v="P201"/>
    <n v="1"/>
    <n v="499"/>
    <x v="1"/>
    <x v="16"/>
    <s v="Home &amp; Kitchen"/>
    <n v="290"/>
    <n v="474.04999999999995"/>
    <n v="290"/>
    <n v="184.04999999999995"/>
    <x v="5"/>
  </r>
  <r>
    <s v="ORD50593"/>
    <d v="2025-06-02T00:00:00"/>
    <s v="Online"/>
    <s v="P203"/>
    <n v="2"/>
    <n v="349"/>
    <x v="2"/>
    <x v="21"/>
    <s v="Home &amp; Kitchen"/>
    <n v="170"/>
    <n v="628.20000000000005"/>
    <n v="340"/>
    <n v="288.20000000000005"/>
    <x v="5"/>
  </r>
  <r>
    <s v="ORD50841"/>
    <d v="2025-06-02T00:00:00"/>
    <s v="Ibn Battuta Mall"/>
    <s v="P301"/>
    <n v="1"/>
    <n v="179"/>
    <x v="3"/>
    <x v="2"/>
    <s v="Fashion"/>
    <n v="70"/>
    <n v="179"/>
    <n v="70"/>
    <n v="109"/>
    <x v="5"/>
  </r>
  <r>
    <s v="ORD50859"/>
    <d v="2025-06-02T00:00:00"/>
    <s v="City Centre Deira"/>
    <s v="P206"/>
    <n v="1"/>
    <n v="129"/>
    <x v="2"/>
    <x v="28"/>
    <s v="Home &amp; Kitchen"/>
    <n v="60"/>
    <n v="116.10000000000001"/>
    <n v="60"/>
    <n v="56.100000000000009"/>
    <x v="5"/>
  </r>
  <r>
    <s v="ORD50934"/>
    <d v="2025-06-02T00:00:00"/>
    <s v="City Centre Deira"/>
    <s v="P302"/>
    <n v="1"/>
    <n v="459"/>
    <x v="5"/>
    <x v="10"/>
    <s v="Fashion"/>
    <n v="190"/>
    <n v="367.20000000000005"/>
    <n v="190"/>
    <n v="177.20000000000005"/>
    <x v="5"/>
  </r>
  <r>
    <s v="ORD51017"/>
    <d v="2025-06-02T00:00:00"/>
    <s v="City Centre Deira"/>
    <s v="P403"/>
    <n v="1"/>
    <n v="299"/>
    <x v="6"/>
    <x v="8"/>
    <s v="Beauty"/>
    <n v="240"/>
    <n v="224.25"/>
    <n v="240"/>
    <n v="-15.75"/>
    <x v="5"/>
  </r>
  <r>
    <s v="ORD51357"/>
    <d v="2025-06-02T00:00:00"/>
    <s v="Online"/>
    <s v="P404"/>
    <n v="1"/>
    <n v="189"/>
    <x v="3"/>
    <x v="6"/>
    <s v="Beauty"/>
    <n v="85"/>
    <n v="189"/>
    <n v="85"/>
    <n v="104"/>
    <x v="5"/>
  </r>
  <r>
    <s v="ORD52657"/>
    <d v="2025-06-02T00:00:00"/>
    <s v="Mall of the Emirates"/>
    <s v="P402"/>
    <n v="1"/>
    <n v="149"/>
    <x v="3"/>
    <x v="17"/>
    <s v="Beauty"/>
    <n v="55"/>
    <n v="149"/>
    <n v="55"/>
    <n v="94"/>
    <x v="5"/>
  </r>
  <r>
    <s v="ORD52867"/>
    <d v="2025-06-02T00:00:00"/>
    <s v="Online"/>
    <s v="P308"/>
    <n v="1"/>
    <n v="229"/>
    <x v="0"/>
    <x v="0"/>
    <s v="Fashion"/>
    <n v="120"/>
    <n v="194.65"/>
    <n v="120"/>
    <n v="74.650000000000006"/>
    <x v="5"/>
  </r>
  <r>
    <s v="ORD53343"/>
    <d v="2025-06-02T00:00:00"/>
    <s v="Dubai Mall"/>
    <s v="P401"/>
    <n v="1"/>
    <n v="549"/>
    <x v="4"/>
    <x v="15"/>
    <s v="Beauty"/>
    <n v="250"/>
    <n v="384.29999999999995"/>
    <n v="250"/>
    <n v="134.29999999999995"/>
    <x v="5"/>
  </r>
  <r>
    <s v="ORD54015"/>
    <d v="2025-06-02T00:00:00"/>
    <s v="Mall of the Emirates"/>
    <s v="P501"/>
    <n v="3"/>
    <n v="129"/>
    <x v="3"/>
    <x v="12"/>
    <s v="Sports"/>
    <n v="60"/>
    <n v="387"/>
    <n v="180"/>
    <n v="207"/>
    <x v="5"/>
  </r>
  <r>
    <s v="ORD50214"/>
    <d v="2025-06-03T00:00:00"/>
    <s v="Dubai Mall"/>
    <s v="P101"/>
    <n v="1"/>
    <n v="399"/>
    <x v="1"/>
    <x v="5"/>
    <s v="Electronics"/>
    <n v="230"/>
    <n v="379.04999999999995"/>
    <n v="230"/>
    <n v="149.04999999999995"/>
    <x v="5"/>
  </r>
  <r>
    <s v="ORD51712"/>
    <d v="2025-06-03T00:00:00"/>
    <s v="Dubai Mall"/>
    <s v="P102"/>
    <n v="2"/>
    <n v="249"/>
    <x v="5"/>
    <x v="13"/>
    <s v="Electronics"/>
    <n v="150"/>
    <n v="398.40000000000003"/>
    <n v="300"/>
    <n v="98.400000000000034"/>
    <x v="5"/>
  </r>
  <r>
    <s v="ORD53304"/>
    <d v="2025-06-03T00:00:00"/>
    <s v="Dubai Mall"/>
    <s v="P505"/>
    <n v="3"/>
    <n v="99"/>
    <x v="5"/>
    <x v="11"/>
    <s v="Sports"/>
    <n v="45"/>
    <n v="237.60000000000002"/>
    <n v="135"/>
    <n v="102.60000000000002"/>
    <x v="5"/>
  </r>
  <r>
    <s v="ORD53370"/>
    <d v="2025-06-03T00:00:00"/>
    <s v="City Centre Deira"/>
    <s v="P307"/>
    <n v="2"/>
    <n v="399"/>
    <x v="2"/>
    <x v="20"/>
    <s v="Fashion"/>
    <n v="210"/>
    <n v="718.2"/>
    <n v="420"/>
    <n v="298.20000000000005"/>
    <x v="5"/>
  </r>
  <r>
    <s v="ORD53416"/>
    <d v="2025-06-03T00:00:00"/>
    <s v="City Centre Deira"/>
    <s v="P402"/>
    <n v="1"/>
    <n v="149"/>
    <x v="3"/>
    <x v="17"/>
    <s v="Beauty"/>
    <n v="55"/>
    <n v="149"/>
    <n v="55"/>
    <n v="94"/>
    <x v="5"/>
  </r>
  <r>
    <s v="ORD53527"/>
    <d v="2025-06-03T00:00:00"/>
    <s v="Mall of the Emirates"/>
    <s v="P205"/>
    <n v="1"/>
    <n v="289"/>
    <x v="5"/>
    <x v="9"/>
    <s v="Home &amp; Kitchen"/>
    <n v="140"/>
    <n v="231.20000000000002"/>
    <n v="140"/>
    <n v="91.200000000000017"/>
    <x v="5"/>
  </r>
  <r>
    <s v="ORD54125"/>
    <d v="2025-06-03T00:00:00"/>
    <s v="Online"/>
    <s v="P301"/>
    <n v="1"/>
    <n v="179"/>
    <x v="0"/>
    <x v="2"/>
    <s v="Fashion"/>
    <n v="70"/>
    <n v="152.15"/>
    <n v="70"/>
    <n v="82.15"/>
    <x v="5"/>
  </r>
  <r>
    <s v="ORD50417"/>
    <d v="2025-06-04T00:00:00"/>
    <s v="Online"/>
    <s v="P104"/>
    <n v="1"/>
    <n v="199"/>
    <x v="5"/>
    <x v="1"/>
    <s v="Electronics"/>
    <n v="175"/>
    <n v="159.20000000000002"/>
    <n v="175"/>
    <n v="-15.799999999999983"/>
    <x v="5"/>
  </r>
  <r>
    <s v="ORD50642"/>
    <d v="2025-06-04T00:00:00"/>
    <s v="City Centre Deira"/>
    <s v="P306"/>
    <n v="2"/>
    <n v="249"/>
    <x v="4"/>
    <x v="3"/>
    <s v="Fashion"/>
    <n v="95"/>
    <n v="348.59999999999997"/>
    <n v="190"/>
    <n v="158.59999999999997"/>
    <x v="5"/>
  </r>
  <r>
    <s v="ORD52169"/>
    <d v="2025-06-04T00:00:00"/>
    <s v="Online"/>
    <s v="P101"/>
    <n v="1"/>
    <n v="399"/>
    <x v="1"/>
    <x v="5"/>
    <s v="Electronics"/>
    <n v="230"/>
    <n v="379.04999999999995"/>
    <n v="230"/>
    <n v="149.04999999999995"/>
    <x v="5"/>
  </r>
  <r>
    <s v="ORD52714"/>
    <d v="2025-06-04T00:00:00"/>
    <s v="Mall of the Emirates"/>
    <s v="P303"/>
    <n v="1"/>
    <n v="149"/>
    <x v="0"/>
    <x v="7"/>
    <s v="Fashion"/>
    <n v="80"/>
    <n v="126.64999999999999"/>
    <n v="80"/>
    <n v="46.649999999999991"/>
    <x v="5"/>
  </r>
  <r>
    <s v="ORD53237"/>
    <d v="2025-06-04T00:00:00"/>
    <s v="Mall of the Emirates"/>
    <s v="P406"/>
    <n v="2"/>
    <n v="199"/>
    <x v="3"/>
    <x v="4"/>
    <s v="Beauty"/>
    <n v="90"/>
    <n v="398"/>
    <n v="180"/>
    <n v="218"/>
    <x v="5"/>
  </r>
  <r>
    <s v="ORD54014"/>
    <d v="2025-06-04T00:00:00"/>
    <s v="Dubai Mall"/>
    <s v="P206"/>
    <n v="2"/>
    <n v="129"/>
    <x v="3"/>
    <x v="28"/>
    <s v="Home &amp; Kitchen"/>
    <n v="60"/>
    <n v="258"/>
    <n v="120"/>
    <n v="138"/>
    <x v="5"/>
  </r>
  <r>
    <s v="ORD50136"/>
    <d v="2025-06-05T00:00:00"/>
    <s v="Online"/>
    <s v="P303"/>
    <n v="1"/>
    <n v="149"/>
    <x v="5"/>
    <x v="7"/>
    <s v="Fashion"/>
    <n v="80"/>
    <n v="119.2"/>
    <n v="80"/>
    <n v="39.200000000000003"/>
    <x v="5"/>
  </r>
  <r>
    <s v="ORD50673"/>
    <d v="2025-06-05T00:00:00"/>
    <s v="Ibn Battuta Mall"/>
    <s v="P102"/>
    <n v="1"/>
    <n v="249"/>
    <x v="3"/>
    <x v="13"/>
    <s v="Electronics"/>
    <n v="150"/>
    <n v="249"/>
    <n v="150"/>
    <n v="99"/>
    <x v="5"/>
  </r>
  <r>
    <s v="ORD50852"/>
    <d v="2025-06-05T00:00:00"/>
    <s v="Dubai Mall"/>
    <s v="P501"/>
    <n v="1"/>
    <n v="129"/>
    <x v="1"/>
    <x v="12"/>
    <s v="Sports"/>
    <n v="60"/>
    <n v="122.55"/>
    <n v="60"/>
    <n v="62.55"/>
    <x v="5"/>
  </r>
  <r>
    <s v="ORD51393"/>
    <d v="2025-06-05T00:00:00"/>
    <s v="Mall of the Emirates"/>
    <s v="P301"/>
    <n v="3"/>
    <n v="179"/>
    <x v="3"/>
    <x v="2"/>
    <s v="Fashion"/>
    <n v="70"/>
    <n v="537"/>
    <n v="210"/>
    <n v="327"/>
    <x v="5"/>
  </r>
  <r>
    <s v="ORD51479"/>
    <d v="2025-06-05T00:00:00"/>
    <s v="Online"/>
    <s v="P405"/>
    <n v="2"/>
    <n v="89"/>
    <x v="3"/>
    <x v="24"/>
    <s v="Beauty"/>
    <n v="40"/>
    <n v="178"/>
    <n v="80"/>
    <n v="98"/>
    <x v="5"/>
  </r>
  <r>
    <s v="ORD51637"/>
    <d v="2025-06-05T00:00:00"/>
    <s v="Ibn Battuta Mall"/>
    <s v="P506"/>
    <n v="4"/>
    <n v="69"/>
    <x v="5"/>
    <x v="34"/>
    <s v="Sports"/>
    <n v="25"/>
    <n v="220.8"/>
    <n v="100"/>
    <n v="120.80000000000001"/>
    <x v="5"/>
  </r>
  <r>
    <s v="ORD51698"/>
    <d v="2025-06-05T00:00:00"/>
    <s v="Online"/>
    <s v="P106"/>
    <n v="1"/>
    <n v="149"/>
    <x v="3"/>
    <x v="30"/>
    <s v="Electronics"/>
    <n v="70"/>
    <n v="149"/>
    <n v="70"/>
    <n v="79"/>
    <x v="5"/>
  </r>
  <r>
    <s v="ORD51766"/>
    <d v="2025-06-05T00:00:00"/>
    <s v="Dubai Mall"/>
    <s v="P105"/>
    <n v="1"/>
    <n v="899"/>
    <x v="3"/>
    <x v="31"/>
    <s v="Electronics"/>
    <n v="610"/>
    <n v="899"/>
    <n v="610"/>
    <n v="289"/>
    <x v="5"/>
  </r>
  <r>
    <s v="ORD52167"/>
    <d v="2025-06-05T00:00:00"/>
    <s v="City Centre Deira"/>
    <s v="P208"/>
    <n v="3"/>
    <n v="259"/>
    <x v="0"/>
    <x v="22"/>
    <s v="Home &amp; Kitchen"/>
    <n v="115"/>
    <n v="660.44999999999993"/>
    <n v="345"/>
    <n v="315.44999999999993"/>
    <x v="5"/>
  </r>
  <r>
    <s v="ORD52349"/>
    <d v="2025-06-05T00:00:00"/>
    <s v="Dubai Mall"/>
    <s v="P302"/>
    <n v="1"/>
    <n v="459"/>
    <x v="2"/>
    <x v="10"/>
    <s v="Fashion"/>
    <n v="190"/>
    <n v="413.1"/>
    <n v="190"/>
    <n v="223.10000000000002"/>
    <x v="5"/>
  </r>
  <r>
    <s v="ORD52367"/>
    <d v="2025-06-05T00:00:00"/>
    <s v="Dubai Mall"/>
    <s v="P207"/>
    <n v="3"/>
    <n v="399"/>
    <x v="3"/>
    <x v="32"/>
    <s v="Home &amp; Kitchen"/>
    <n v="250"/>
    <n v="1197"/>
    <n v="750"/>
    <n v="447"/>
    <x v="5"/>
  </r>
  <r>
    <s v="ORD52555"/>
    <d v="2025-06-05T00:00:00"/>
    <s v="Online"/>
    <s v="P503"/>
    <n v="1"/>
    <n v="229"/>
    <x v="3"/>
    <x v="18"/>
    <s v="Sports"/>
    <n v="120"/>
    <n v="229"/>
    <n v="120"/>
    <n v="109"/>
    <x v="5"/>
  </r>
  <r>
    <s v="ORD52771"/>
    <d v="2025-06-05T00:00:00"/>
    <s v="Dubai Mall"/>
    <s v="P308"/>
    <n v="2"/>
    <n v="229"/>
    <x v="3"/>
    <x v="0"/>
    <s v="Fashion"/>
    <n v="120"/>
    <n v="458"/>
    <n v="240"/>
    <n v="218"/>
    <x v="5"/>
  </r>
  <r>
    <s v="ORD52790"/>
    <d v="2025-06-05T00:00:00"/>
    <s v="City Centre Deira"/>
    <s v="P306"/>
    <n v="1"/>
    <n v="249"/>
    <x v="1"/>
    <x v="3"/>
    <s v="Fashion"/>
    <n v="95"/>
    <n v="236.54999999999998"/>
    <n v="95"/>
    <n v="141.54999999999998"/>
    <x v="5"/>
  </r>
  <r>
    <s v="ORD53027"/>
    <d v="2025-06-05T00:00:00"/>
    <s v="Online"/>
    <s v="P304"/>
    <n v="1"/>
    <n v="699"/>
    <x v="3"/>
    <x v="35"/>
    <s v="Fashion"/>
    <n v="380"/>
    <n v="699"/>
    <n v="380"/>
    <n v="319"/>
    <x v="5"/>
  </r>
  <r>
    <s v="ORD53184"/>
    <d v="2025-06-05T00:00:00"/>
    <s v="Dubai Mall"/>
    <s v="P208"/>
    <n v="3"/>
    <n v="259"/>
    <x v="0"/>
    <x v="22"/>
    <s v="Home &amp; Kitchen"/>
    <n v="115"/>
    <n v="660.44999999999993"/>
    <n v="345"/>
    <n v="315.44999999999993"/>
    <x v="5"/>
  </r>
  <r>
    <s v="ORD53199"/>
    <d v="2025-06-05T00:00:00"/>
    <s v="Dubai Mall"/>
    <s v="P203"/>
    <n v="1"/>
    <n v="349"/>
    <x v="3"/>
    <x v="21"/>
    <s v="Home &amp; Kitchen"/>
    <n v="170"/>
    <n v="349"/>
    <n v="170"/>
    <n v="179"/>
    <x v="5"/>
  </r>
  <r>
    <s v="ORD53465"/>
    <d v="2025-06-05T00:00:00"/>
    <s v="City Centre Deira"/>
    <s v="P503"/>
    <n v="1"/>
    <n v="229"/>
    <x v="3"/>
    <x v="18"/>
    <s v="Sports"/>
    <n v="120"/>
    <n v="229"/>
    <n v="120"/>
    <n v="109"/>
    <x v="5"/>
  </r>
  <r>
    <s v="ORD53713"/>
    <d v="2025-06-05T00:00:00"/>
    <s v="Ibn Battuta Mall"/>
    <s v="P305"/>
    <n v="1"/>
    <n v="429"/>
    <x v="2"/>
    <x v="14"/>
    <s v="Fashion"/>
    <n v="300"/>
    <n v="386.1"/>
    <n v="300"/>
    <n v="86.100000000000023"/>
    <x v="5"/>
  </r>
  <r>
    <s v="ORD54143"/>
    <d v="2025-06-05T00:00:00"/>
    <s v="Dubai Mall"/>
    <s v="P205"/>
    <n v="1"/>
    <n v="289"/>
    <x v="3"/>
    <x v="9"/>
    <s v="Home &amp; Kitchen"/>
    <n v="140"/>
    <n v="289"/>
    <n v="140"/>
    <n v="149"/>
    <x v="5"/>
  </r>
  <r>
    <s v="ORD50426"/>
    <d v="2025-06-06T00:00:00"/>
    <s v="Online"/>
    <s v="P102"/>
    <n v="1"/>
    <n v="249"/>
    <x v="0"/>
    <x v="13"/>
    <s v="Electronics"/>
    <n v="150"/>
    <n v="211.65"/>
    <n v="150"/>
    <n v="61.650000000000006"/>
    <x v="5"/>
  </r>
  <r>
    <s v="ORD51365"/>
    <d v="2025-06-06T00:00:00"/>
    <s v="Dubai Mall"/>
    <s v="P208"/>
    <n v="1"/>
    <n v="259"/>
    <x v="2"/>
    <x v="22"/>
    <s v="Home &amp; Kitchen"/>
    <n v="115"/>
    <n v="233.1"/>
    <n v="115"/>
    <n v="118.1"/>
    <x v="5"/>
  </r>
  <r>
    <s v="ORD51475"/>
    <d v="2025-06-06T00:00:00"/>
    <s v="Mall of the Emirates"/>
    <s v="P106"/>
    <n v="1"/>
    <n v="149"/>
    <x v="3"/>
    <x v="30"/>
    <s v="Electronics"/>
    <n v="70"/>
    <n v="149"/>
    <n v="70"/>
    <n v="79"/>
    <x v="5"/>
  </r>
  <r>
    <s v="ORD51554"/>
    <d v="2025-06-06T00:00:00"/>
    <s v="Mall of the Emirates"/>
    <s v="P206"/>
    <n v="2"/>
    <n v="129"/>
    <x v="5"/>
    <x v="28"/>
    <s v="Home &amp; Kitchen"/>
    <n v="60"/>
    <n v="206.4"/>
    <n v="120"/>
    <n v="86.4"/>
    <x v="5"/>
  </r>
  <r>
    <s v="ORD51853"/>
    <d v="2025-06-06T00:00:00"/>
    <s v="Online"/>
    <s v="P405"/>
    <n v="1"/>
    <n v="89"/>
    <x v="2"/>
    <x v="24"/>
    <s v="Beauty"/>
    <n v="40"/>
    <n v="80.100000000000009"/>
    <n v="40"/>
    <n v="40.100000000000009"/>
    <x v="5"/>
  </r>
  <r>
    <s v="ORD51925"/>
    <d v="2025-06-06T00:00:00"/>
    <s v="Mall of the Emirates"/>
    <s v="P405"/>
    <n v="1"/>
    <n v="89"/>
    <x v="3"/>
    <x v="24"/>
    <s v="Beauty"/>
    <n v="40"/>
    <n v="89"/>
    <n v="40"/>
    <n v="49"/>
    <x v="5"/>
  </r>
  <r>
    <s v="ORD52498"/>
    <d v="2025-06-06T00:00:00"/>
    <s v="Ibn Battuta Mall"/>
    <s v="P505"/>
    <n v="1"/>
    <n v="99"/>
    <x v="5"/>
    <x v="11"/>
    <s v="Sports"/>
    <n v="45"/>
    <n v="79.2"/>
    <n v="45"/>
    <n v="34.200000000000003"/>
    <x v="5"/>
  </r>
  <r>
    <s v="ORD52589"/>
    <d v="2025-06-06T00:00:00"/>
    <s v="Online"/>
    <s v="P305"/>
    <n v="1"/>
    <n v="429"/>
    <x v="1"/>
    <x v="14"/>
    <s v="Fashion"/>
    <n v="300"/>
    <n v="407.54999999999995"/>
    <n v="300"/>
    <n v="107.54999999999995"/>
    <x v="5"/>
  </r>
  <r>
    <s v="ORD52950"/>
    <d v="2025-06-06T00:00:00"/>
    <s v="Online"/>
    <s v="P107"/>
    <n v="1"/>
    <n v="89"/>
    <x v="0"/>
    <x v="29"/>
    <s v="Electronics"/>
    <n v="35"/>
    <n v="75.649999999999991"/>
    <n v="35"/>
    <n v="40.649999999999991"/>
    <x v="5"/>
  </r>
  <r>
    <s v="ORD53129"/>
    <d v="2025-06-06T00:00:00"/>
    <s v="Mall of the Emirates"/>
    <s v="P205"/>
    <n v="3"/>
    <n v="289"/>
    <x v="2"/>
    <x v="9"/>
    <s v="Home &amp; Kitchen"/>
    <n v="140"/>
    <n v="780.30000000000007"/>
    <n v="420"/>
    <n v="360.30000000000007"/>
    <x v="5"/>
  </r>
  <r>
    <s v="ORD50320"/>
    <d v="2025-06-07T00:00:00"/>
    <s v="Online"/>
    <s v="P404"/>
    <n v="2"/>
    <n v="189"/>
    <x v="4"/>
    <x v="6"/>
    <s v="Beauty"/>
    <n v="85"/>
    <n v="264.59999999999997"/>
    <n v="170"/>
    <n v="94.599999999999966"/>
    <x v="5"/>
  </r>
  <r>
    <s v="ORD50629"/>
    <d v="2025-06-07T00:00:00"/>
    <s v="Dubai Mall"/>
    <s v="P502"/>
    <n v="2"/>
    <n v="799"/>
    <x v="6"/>
    <x v="19"/>
    <s v="Sports"/>
    <n v="700"/>
    <n v="1198.5"/>
    <n v="1400"/>
    <n v="-201.5"/>
    <x v="5"/>
  </r>
  <r>
    <s v="ORD51231"/>
    <d v="2025-06-07T00:00:00"/>
    <s v="Ibn Battuta Mall"/>
    <s v="P106"/>
    <n v="2"/>
    <n v="149"/>
    <x v="5"/>
    <x v="30"/>
    <s v="Electronics"/>
    <n v="70"/>
    <n v="238.4"/>
    <n v="140"/>
    <n v="98.4"/>
    <x v="5"/>
  </r>
  <r>
    <s v="ORD51706"/>
    <d v="2025-06-07T00:00:00"/>
    <s v="Dubai Mall"/>
    <s v="P105"/>
    <n v="1"/>
    <n v="899"/>
    <x v="3"/>
    <x v="31"/>
    <s v="Electronics"/>
    <n v="610"/>
    <n v="899"/>
    <n v="610"/>
    <n v="289"/>
    <x v="5"/>
  </r>
  <r>
    <s v="ORD51732"/>
    <d v="2025-06-07T00:00:00"/>
    <s v="Online"/>
    <s v="P204"/>
    <n v="2"/>
    <n v="1199"/>
    <x v="2"/>
    <x v="27"/>
    <s v="Home &amp; Kitchen"/>
    <n v="1080"/>
    <n v="2158.2000000000003"/>
    <n v="2160"/>
    <n v="-1.7999999999997272"/>
    <x v="5"/>
  </r>
  <r>
    <s v="ORD51917"/>
    <d v="2025-06-07T00:00:00"/>
    <s v="Online"/>
    <s v="P208"/>
    <n v="2"/>
    <n v="259"/>
    <x v="3"/>
    <x v="22"/>
    <s v="Home &amp; Kitchen"/>
    <n v="115"/>
    <n v="518"/>
    <n v="230"/>
    <n v="288"/>
    <x v="5"/>
  </r>
  <r>
    <s v="ORD52660"/>
    <d v="2025-06-07T00:00:00"/>
    <s v="Ibn Battuta Mall"/>
    <s v="P104"/>
    <n v="1"/>
    <n v="199"/>
    <x v="6"/>
    <x v="1"/>
    <s v="Electronics"/>
    <n v="175"/>
    <n v="149.25"/>
    <n v="175"/>
    <n v="-25.75"/>
    <x v="5"/>
  </r>
  <r>
    <s v="ORD52866"/>
    <d v="2025-06-07T00:00:00"/>
    <s v="City Centre Deira"/>
    <s v="P302"/>
    <n v="1"/>
    <n v="459"/>
    <x v="3"/>
    <x v="10"/>
    <s v="Fashion"/>
    <n v="190"/>
    <n v="459"/>
    <n v="190"/>
    <n v="269"/>
    <x v="5"/>
  </r>
  <r>
    <s v="ORD52965"/>
    <d v="2025-06-07T00:00:00"/>
    <s v="Ibn Battuta Mall"/>
    <s v="P108"/>
    <n v="1"/>
    <n v="459"/>
    <x v="0"/>
    <x v="23"/>
    <s v="Electronics"/>
    <n v="300"/>
    <n v="390.15"/>
    <n v="300"/>
    <n v="90.149999999999977"/>
    <x v="5"/>
  </r>
  <r>
    <s v="ORD53009"/>
    <d v="2025-06-07T00:00:00"/>
    <s v="Dubai Mall"/>
    <s v="P203"/>
    <n v="2"/>
    <n v="349"/>
    <x v="5"/>
    <x v="21"/>
    <s v="Home &amp; Kitchen"/>
    <n v="170"/>
    <n v="558.4"/>
    <n v="340"/>
    <n v="218.39999999999998"/>
    <x v="5"/>
  </r>
  <r>
    <s v="ORD53961"/>
    <d v="2025-06-07T00:00:00"/>
    <s v="Mall of the Emirates"/>
    <s v="P301"/>
    <n v="2"/>
    <n v="179"/>
    <x v="2"/>
    <x v="2"/>
    <s v="Fashion"/>
    <n v="70"/>
    <n v="322.2"/>
    <n v="140"/>
    <n v="182.2"/>
    <x v="5"/>
  </r>
  <r>
    <s v="ORD50403"/>
    <d v="2025-06-08T00:00:00"/>
    <s v="City Centre Deira"/>
    <s v="P308"/>
    <n v="1"/>
    <n v="229"/>
    <x v="5"/>
    <x v="0"/>
    <s v="Fashion"/>
    <n v="120"/>
    <n v="183.20000000000002"/>
    <n v="120"/>
    <n v="63.200000000000017"/>
    <x v="5"/>
  </r>
  <r>
    <s v="ORD50951"/>
    <d v="2025-06-08T00:00:00"/>
    <s v="Ibn Battuta Mall"/>
    <s v="P308"/>
    <n v="1"/>
    <n v="229"/>
    <x v="3"/>
    <x v="0"/>
    <s v="Fashion"/>
    <n v="120"/>
    <n v="229"/>
    <n v="120"/>
    <n v="109"/>
    <x v="5"/>
  </r>
  <r>
    <s v="ORD51277"/>
    <d v="2025-06-08T00:00:00"/>
    <s v="Mall of the Emirates"/>
    <s v="P102"/>
    <n v="1"/>
    <n v="249"/>
    <x v="1"/>
    <x v="13"/>
    <s v="Electronics"/>
    <n v="150"/>
    <n v="236.54999999999998"/>
    <n v="150"/>
    <n v="86.549999999999983"/>
    <x v="5"/>
  </r>
  <r>
    <s v="ORD51435"/>
    <d v="2025-06-08T00:00:00"/>
    <s v="Mall of the Emirates"/>
    <s v="P202"/>
    <n v="2"/>
    <n v="1499"/>
    <x v="0"/>
    <x v="26"/>
    <s v="Home &amp; Kitchen"/>
    <n v="1050"/>
    <n v="2548.2999999999997"/>
    <n v="2100"/>
    <n v="448.29999999999973"/>
    <x v="5"/>
  </r>
  <r>
    <s v="ORD51605"/>
    <d v="2025-06-08T00:00:00"/>
    <s v="City Centre Deira"/>
    <s v="P306"/>
    <n v="1"/>
    <n v="249"/>
    <x v="3"/>
    <x v="3"/>
    <s v="Fashion"/>
    <n v="95"/>
    <n v="249"/>
    <n v="95"/>
    <n v="154"/>
    <x v="5"/>
  </r>
  <r>
    <s v="ORD51612"/>
    <d v="2025-06-08T00:00:00"/>
    <s v="Dubai Mall"/>
    <s v="P502"/>
    <n v="2"/>
    <n v="799"/>
    <x v="6"/>
    <x v="19"/>
    <s v="Sports"/>
    <n v="700"/>
    <n v="1198.5"/>
    <n v="1400"/>
    <n v="-201.5"/>
    <x v="5"/>
  </r>
  <r>
    <s v="ORD51871"/>
    <d v="2025-06-08T00:00:00"/>
    <s v="Mall of the Emirates"/>
    <s v="P503"/>
    <n v="4"/>
    <n v="229"/>
    <x v="3"/>
    <x v="18"/>
    <s v="Sports"/>
    <n v="120"/>
    <n v="916"/>
    <n v="480"/>
    <n v="436"/>
    <x v="5"/>
  </r>
  <r>
    <s v="ORD51933"/>
    <d v="2025-06-08T00:00:00"/>
    <s v="Online"/>
    <s v="P506"/>
    <n v="2"/>
    <n v="69"/>
    <x v="3"/>
    <x v="34"/>
    <s v="Sports"/>
    <n v="25"/>
    <n v="138"/>
    <n v="50"/>
    <n v="88"/>
    <x v="5"/>
  </r>
  <r>
    <s v="ORD52031"/>
    <d v="2025-06-08T00:00:00"/>
    <s v="Online"/>
    <s v="P307"/>
    <n v="1"/>
    <n v="399"/>
    <x v="3"/>
    <x v="20"/>
    <s v="Fashion"/>
    <n v="210"/>
    <n v="399"/>
    <n v="210"/>
    <n v="189"/>
    <x v="5"/>
  </r>
  <r>
    <s v="ORD52348"/>
    <d v="2025-06-08T00:00:00"/>
    <s v="Mall of the Emirates"/>
    <s v="P102"/>
    <n v="2"/>
    <n v="249"/>
    <x v="3"/>
    <x v="13"/>
    <s v="Electronics"/>
    <n v="150"/>
    <n v="498"/>
    <n v="300"/>
    <n v="198"/>
    <x v="5"/>
  </r>
  <r>
    <s v="ORD52650"/>
    <d v="2025-06-08T00:00:00"/>
    <s v="Ibn Battuta Mall"/>
    <s v="P306"/>
    <n v="1"/>
    <n v="249"/>
    <x v="4"/>
    <x v="3"/>
    <s v="Fashion"/>
    <n v="95"/>
    <n v="174.29999999999998"/>
    <n v="95"/>
    <n v="79.299999999999983"/>
    <x v="5"/>
  </r>
  <r>
    <s v="ORD52725"/>
    <d v="2025-06-08T00:00:00"/>
    <s v="City Centre Deira"/>
    <s v="P102"/>
    <n v="1"/>
    <n v="249"/>
    <x v="5"/>
    <x v="13"/>
    <s v="Electronics"/>
    <n v="150"/>
    <n v="199.20000000000002"/>
    <n v="150"/>
    <n v="49.200000000000017"/>
    <x v="5"/>
  </r>
  <r>
    <s v="ORD53043"/>
    <d v="2025-06-08T00:00:00"/>
    <s v="Dubai Mall"/>
    <s v="P406"/>
    <n v="1"/>
    <n v="199"/>
    <x v="2"/>
    <x v="4"/>
    <s v="Beauty"/>
    <n v="90"/>
    <n v="179.1"/>
    <n v="90"/>
    <n v="89.1"/>
    <x v="5"/>
  </r>
  <r>
    <s v="ORD53160"/>
    <d v="2025-06-08T00:00:00"/>
    <s v="Dubai Mall"/>
    <s v="P301"/>
    <n v="1"/>
    <n v="179"/>
    <x v="0"/>
    <x v="2"/>
    <s v="Fashion"/>
    <n v="70"/>
    <n v="152.15"/>
    <n v="70"/>
    <n v="82.15"/>
    <x v="5"/>
  </r>
  <r>
    <s v="ORD53440"/>
    <d v="2025-06-08T00:00:00"/>
    <s v="City Centre Deira"/>
    <s v="P503"/>
    <n v="1"/>
    <n v="229"/>
    <x v="1"/>
    <x v="18"/>
    <s v="Sports"/>
    <n v="120"/>
    <n v="217.54999999999998"/>
    <n v="120"/>
    <n v="97.549999999999983"/>
    <x v="5"/>
  </r>
  <r>
    <s v="ORD53520"/>
    <d v="2025-06-08T00:00:00"/>
    <s v="Dubai Mall"/>
    <s v="P206"/>
    <n v="1"/>
    <n v="129"/>
    <x v="2"/>
    <x v="28"/>
    <s v="Home &amp; Kitchen"/>
    <n v="60"/>
    <n v="116.10000000000001"/>
    <n v="60"/>
    <n v="56.100000000000009"/>
    <x v="5"/>
  </r>
  <r>
    <s v="ORD53818"/>
    <d v="2025-06-08T00:00:00"/>
    <s v="Mall of the Emirates"/>
    <s v="P303"/>
    <n v="1"/>
    <n v="149"/>
    <x v="4"/>
    <x v="7"/>
    <s v="Fashion"/>
    <n v="80"/>
    <n v="104.3"/>
    <n v="80"/>
    <n v="24.299999999999997"/>
    <x v="5"/>
  </r>
  <r>
    <s v="ORD53972"/>
    <d v="2025-06-08T00:00:00"/>
    <s v="Online"/>
    <s v="P108"/>
    <n v="3"/>
    <n v="459"/>
    <x v="5"/>
    <x v="23"/>
    <s v="Electronics"/>
    <n v="300"/>
    <n v="1101.6000000000001"/>
    <n v="900"/>
    <n v="201.60000000000014"/>
    <x v="5"/>
  </r>
  <r>
    <s v="ORD54191"/>
    <d v="2025-06-08T00:00:00"/>
    <s v="Mall of the Emirates"/>
    <s v="P203"/>
    <n v="1"/>
    <n v="349"/>
    <x v="1"/>
    <x v="21"/>
    <s v="Home &amp; Kitchen"/>
    <n v="170"/>
    <n v="331.55"/>
    <n v="170"/>
    <n v="161.55000000000001"/>
    <x v="5"/>
  </r>
  <r>
    <s v="ORD50172"/>
    <d v="2025-06-09T00:00:00"/>
    <s v="Mall of the Emirates"/>
    <s v="P205"/>
    <n v="1"/>
    <n v="289"/>
    <x v="4"/>
    <x v="9"/>
    <s v="Home &amp; Kitchen"/>
    <n v="140"/>
    <n v="202.29999999999998"/>
    <n v="140"/>
    <n v="62.299999999999983"/>
    <x v="5"/>
  </r>
  <r>
    <s v="ORD50670"/>
    <d v="2025-06-09T00:00:00"/>
    <s v="Dubai Mall"/>
    <s v="P403"/>
    <n v="2"/>
    <n v="299"/>
    <x v="0"/>
    <x v="8"/>
    <s v="Beauty"/>
    <n v="240"/>
    <n v="508.3"/>
    <n v="480"/>
    <n v="28.300000000000011"/>
    <x v="5"/>
  </r>
  <r>
    <s v="ORD50945"/>
    <d v="2025-06-09T00:00:00"/>
    <s v="Online"/>
    <s v="P208"/>
    <n v="1"/>
    <n v="259"/>
    <x v="1"/>
    <x v="22"/>
    <s v="Home &amp; Kitchen"/>
    <n v="115"/>
    <n v="246.04999999999998"/>
    <n v="115"/>
    <n v="131.04999999999998"/>
    <x v="5"/>
  </r>
  <r>
    <s v="ORD51692"/>
    <d v="2025-06-09T00:00:00"/>
    <s v="Ibn Battuta Mall"/>
    <s v="P501"/>
    <n v="2"/>
    <n v="129"/>
    <x v="3"/>
    <x v="12"/>
    <s v="Sports"/>
    <n v="60"/>
    <n v="258"/>
    <n v="120"/>
    <n v="138"/>
    <x v="5"/>
  </r>
  <r>
    <s v="ORD51838"/>
    <d v="2025-06-09T00:00:00"/>
    <s v="Dubai Mall"/>
    <s v="P107"/>
    <n v="1"/>
    <n v="89"/>
    <x v="4"/>
    <x v="29"/>
    <s v="Electronics"/>
    <n v="35"/>
    <n v="62.3"/>
    <n v="35"/>
    <n v="27.299999999999997"/>
    <x v="5"/>
  </r>
  <r>
    <s v="ORD52281"/>
    <d v="2025-06-09T00:00:00"/>
    <s v="Online"/>
    <s v="P104"/>
    <n v="1"/>
    <n v="199"/>
    <x v="0"/>
    <x v="1"/>
    <s v="Electronics"/>
    <n v="175"/>
    <n v="169.15"/>
    <n v="175"/>
    <n v="-5.8499999999999943"/>
    <x v="5"/>
  </r>
  <r>
    <s v="ORD53066"/>
    <d v="2025-06-09T00:00:00"/>
    <s v="Mall of the Emirates"/>
    <s v="P106"/>
    <n v="3"/>
    <n v="149"/>
    <x v="3"/>
    <x v="30"/>
    <s v="Electronics"/>
    <n v="70"/>
    <n v="447"/>
    <n v="210"/>
    <n v="237"/>
    <x v="5"/>
  </r>
  <r>
    <s v="ORD53119"/>
    <d v="2025-06-09T00:00:00"/>
    <s v="Dubai Mall"/>
    <s v="P204"/>
    <n v="1"/>
    <n v="1199"/>
    <x v="6"/>
    <x v="27"/>
    <s v="Home &amp; Kitchen"/>
    <n v="1080"/>
    <n v="899.25"/>
    <n v="1080"/>
    <n v="-180.75"/>
    <x v="5"/>
  </r>
  <r>
    <s v="ORD53509"/>
    <d v="2025-06-09T00:00:00"/>
    <s v="Mall of the Emirates"/>
    <s v="P401"/>
    <n v="1"/>
    <n v="549"/>
    <x v="1"/>
    <x v="15"/>
    <s v="Beauty"/>
    <n v="250"/>
    <n v="521.54999999999995"/>
    <n v="250"/>
    <n v="271.54999999999995"/>
    <x v="5"/>
  </r>
  <r>
    <s v="ORD53775"/>
    <d v="2025-06-09T00:00:00"/>
    <s v="Online"/>
    <s v="P504"/>
    <n v="1"/>
    <n v="2499"/>
    <x v="6"/>
    <x v="33"/>
    <s v="Sports"/>
    <n v="2150"/>
    <n v="1874.25"/>
    <n v="2150"/>
    <n v="-275.75"/>
    <x v="5"/>
  </r>
  <r>
    <s v="ORD53790"/>
    <d v="2025-06-09T00:00:00"/>
    <s v="Mall of the Emirates"/>
    <s v="P106"/>
    <n v="1"/>
    <n v="149"/>
    <x v="2"/>
    <x v="30"/>
    <s v="Electronics"/>
    <n v="70"/>
    <n v="134.1"/>
    <n v="70"/>
    <n v="64.099999999999994"/>
    <x v="5"/>
  </r>
  <r>
    <s v="ORD53841"/>
    <d v="2025-06-09T00:00:00"/>
    <s v="Dubai Mall"/>
    <s v="P204"/>
    <n v="1"/>
    <n v="1199"/>
    <x v="2"/>
    <x v="27"/>
    <s v="Home &amp; Kitchen"/>
    <n v="1080"/>
    <n v="1079.1000000000001"/>
    <n v="1080"/>
    <n v="-0.89999999999986358"/>
    <x v="5"/>
  </r>
  <r>
    <s v="ORD54103"/>
    <d v="2025-06-09T00:00:00"/>
    <s v="Dubai Mall"/>
    <s v="P106"/>
    <n v="3"/>
    <n v="149"/>
    <x v="1"/>
    <x v="30"/>
    <s v="Electronics"/>
    <n v="70"/>
    <n v="424.65"/>
    <n v="210"/>
    <n v="214.64999999999998"/>
    <x v="5"/>
  </r>
  <r>
    <s v="ORD50221"/>
    <d v="2025-06-10T00:00:00"/>
    <s v="Mall of the Emirates"/>
    <s v="P505"/>
    <n v="1"/>
    <n v="99"/>
    <x v="5"/>
    <x v="11"/>
    <s v="Sports"/>
    <n v="45"/>
    <n v="79.2"/>
    <n v="45"/>
    <n v="34.200000000000003"/>
    <x v="5"/>
  </r>
  <r>
    <s v="ORD50475"/>
    <d v="2025-06-10T00:00:00"/>
    <s v="Ibn Battuta Mall"/>
    <s v="P108"/>
    <n v="1"/>
    <n v="459"/>
    <x v="5"/>
    <x v="23"/>
    <s v="Electronics"/>
    <n v="300"/>
    <n v="367.20000000000005"/>
    <n v="300"/>
    <n v="67.200000000000045"/>
    <x v="5"/>
  </r>
  <r>
    <s v="ORD50996"/>
    <d v="2025-06-10T00:00:00"/>
    <s v="Mall of the Emirates"/>
    <s v="P305"/>
    <n v="1"/>
    <n v="429"/>
    <x v="5"/>
    <x v="14"/>
    <s v="Fashion"/>
    <n v="300"/>
    <n v="343.20000000000005"/>
    <n v="300"/>
    <n v="43.200000000000045"/>
    <x v="5"/>
  </r>
  <r>
    <s v="ORD53045"/>
    <d v="2025-06-10T00:00:00"/>
    <s v="Ibn Battuta Mall"/>
    <s v="P202"/>
    <n v="1"/>
    <n v="1499"/>
    <x v="3"/>
    <x v="26"/>
    <s v="Home &amp; Kitchen"/>
    <n v="1050"/>
    <n v="1499"/>
    <n v="1050"/>
    <n v="449"/>
    <x v="5"/>
  </r>
  <r>
    <s v="ORD53062"/>
    <d v="2025-06-10T00:00:00"/>
    <s v="Online"/>
    <s v="P303"/>
    <n v="2"/>
    <n v="149"/>
    <x v="3"/>
    <x v="7"/>
    <s v="Fashion"/>
    <n v="80"/>
    <n v="298"/>
    <n v="160"/>
    <n v="138"/>
    <x v="5"/>
  </r>
  <r>
    <s v="ORD53513"/>
    <d v="2025-06-10T00:00:00"/>
    <s v="Online"/>
    <s v="P302"/>
    <n v="1"/>
    <n v="459"/>
    <x v="3"/>
    <x v="10"/>
    <s v="Fashion"/>
    <n v="190"/>
    <n v="459"/>
    <n v="190"/>
    <n v="269"/>
    <x v="5"/>
  </r>
  <r>
    <s v="ORD51215"/>
    <d v="2025-06-11T00:00:00"/>
    <s v="Mall of the Emirates"/>
    <s v="P406"/>
    <n v="2"/>
    <n v="199"/>
    <x v="4"/>
    <x v="4"/>
    <s v="Beauty"/>
    <n v="90"/>
    <n v="278.59999999999997"/>
    <n v="180"/>
    <n v="98.599999999999966"/>
    <x v="5"/>
  </r>
  <r>
    <s v="ORD52119"/>
    <d v="2025-06-11T00:00:00"/>
    <s v="Ibn Battuta Mall"/>
    <s v="P303"/>
    <n v="1"/>
    <n v="149"/>
    <x v="3"/>
    <x v="7"/>
    <s v="Fashion"/>
    <n v="80"/>
    <n v="149"/>
    <n v="80"/>
    <n v="69"/>
    <x v="5"/>
  </r>
  <r>
    <s v="ORD52452"/>
    <d v="2025-06-11T00:00:00"/>
    <s v="Mall of the Emirates"/>
    <s v="P501"/>
    <n v="1"/>
    <n v="129"/>
    <x v="3"/>
    <x v="12"/>
    <s v="Sports"/>
    <n v="60"/>
    <n v="129"/>
    <n v="60"/>
    <n v="69"/>
    <x v="5"/>
  </r>
  <r>
    <s v="ORD52805"/>
    <d v="2025-06-11T00:00:00"/>
    <s v="Ibn Battuta Mall"/>
    <s v="P404"/>
    <n v="1"/>
    <n v="189"/>
    <x v="3"/>
    <x v="6"/>
    <s v="Beauty"/>
    <n v="85"/>
    <n v="189"/>
    <n v="85"/>
    <n v="104"/>
    <x v="5"/>
  </r>
  <r>
    <s v="ORD51001"/>
    <d v="2025-06-12T00:00:00"/>
    <s v="Mall of the Emirates"/>
    <s v="P402"/>
    <n v="4"/>
    <n v="149"/>
    <x v="4"/>
    <x v="17"/>
    <s v="Beauty"/>
    <n v="55"/>
    <n v="417.2"/>
    <n v="220"/>
    <n v="197.2"/>
    <x v="5"/>
  </r>
  <r>
    <s v="ORD51019"/>
    <d v="2025-06-12T00:00:00"/>
    <s v="Online"/>
    <s v="P306"/>
    <n v="1"/>
    <n v="249"/>
    <x v="3"/>
    <x v="3"/>
    <s v="Fashion"/>
    <n v="95"/>
    <n v="249"/>
    <n v="95"/>
    <n v="154"/>
    <x v="5"/>
  </r>
  <r>
    <s v="ORD51048"/>
    <d v="2025-06-12T00:00:00"/>
    <s v="Ibn Battuta Mall"/>
    <s v="P104"/>
    <n v="1"/>
    <n v="199"/>
    <x v="5"/>
    <x v="1"/>
    <s v="Electronics"/>
    <n v="175"/>
    <n v="159.20000000000002"/>
    <n v="175"/>
    <n v="-15.799999999999983"/>
    <x v="5"/>
  </r>
  <r>
    <s v="ORD51069"/>
    <d v="2025-06-12T00:00:00"/>
    <s v="Ibn Battuta Mall"/>
    <s v="P208"/>
    <n v="2"/>
    <n v="259"/>
    <x v="2"/>
    <x v="22"/>
    <s v="Home &amp; Kitchen"/>
    <n v="115"/>
    <n v="466.2"/>
    <n v="230"/>
    <n v="236.2"/>
    <x v="5"/>
  </r>
  <r>
    <s v="ORD51191"/>
    <d v="2025-06-12T00:00:00"/>
    <s v="Online"/>
    <s v="P404"/>
    <n v="1"/>
    <n v="189"/>
    <x v="3"/>
    <x v="6"/>
    <s v="Beauty"/>
    <n v="85"/>
    <n v="189"/>
    <n v="85"/>
    <n v="104"/>
    <x v="5"/>
  </r>
  <r>
    <s v="ORD51314"/>
    <d v="2025-06-12T00:00:00"/>
    <s v="Dubai Mall"/>
    <s v="P305"/>
    <n v="4"/>
    <n v="429"/>
    <x v="3"/>
    <x v="14"/>
    <s v="Fashion"/>
    <n v="300"/>
    <n v="1716"/>
    <n v="1200"/>
    <n v="516"/>
    <x v="5"/>
  </r>
  <r>
    <s v="ORD51494"/>
    <d v="2025-06-12T00:00:00"/>
    <s v="Dubai Mall"/>
    <s v="P106"/>
    <n v="1"/>
    <n v="149"/>
    <x v="4"/>
    <x v="30"/>
    <s v="Electronics"/>
    <n v="70"/>
    <n v="104.3"/>
    <n v="70"/>
    <n v="34.299999999999997"/>
    <x v="5"/>
  </r>
  <r>
    <s v="ORD52080"/>
    <d v="2025-06-12T00:00:00"/>
    <s v="Mall of the Emirates"/>
    <s v="P106"/>
    <n v="1"/>
    <n v="149"/>
    <x v="3"/>
    <x v="30"/>
    <s v="Electronics"/>
    <n v="70"/>
    <n v="149"/>
    <n v="70"/>
    <n v="79"/>
    <x v="5"/>
  </r>
  <r>
    <s v="ORD52148"/>
    <d v="2025-06-12T00:00:00"/>
    <s v="Ibn Battuta Mall"/>
    <s v="P404"/>
    <n v="3"/>
    <n v="189"/>
    <x v="2"/>
    <x v="6"/>
    <s v="Beauty"/>
    <n v="85"/>
    <n v="510.3"/>
    <n v="255"/>
    <n v="255.3"/>
    <x v="5"/>
  </r>
  <r>
    <s v="ORD52163"/>
    <d v="2025-06-12T00:00:00"/>
    <s v="City Centre Deira"/>
    <s v="P503"/>
    <n v="1"/>
    <n v="229"/>
    <x v="1"/>
    <x v="18"/>
    <s v="Sports"/>
    <n v="120"/>
    <n v="217.54999999999998"/>
    <n v="120"/>
    <n v="97.549999999999983"/>
    <x v="5"/>
  </r>
  <r>
    <s v="ORD52222"/>
    <d v="2025-06-12T00:00:00"/>
    <s v="Dubai Mall"/>
    <s v="P501"/>
    <n v="2"/>
    <n v="129"/>
    <x v="3"/>
    <x v="12"/>
    <s v="Sports"/>
    <n v="60"/>
    <n v="258"/>
    <n v="120"/>
    <n v="138"/>
    <x v="5"/>
  </r>
  <r>
    <s v="ORD52422"/>
    <d v="2025-06-12T00:00:00"/>
    <s v="Online"/>
    <s v="P202"/>
    <n v="3"/>
    <n v="1499"/>
    <x v="0"/>
    <x v="26"/>
    <s v="Home &amp; Kitchen"/>
    <n v="1050"/>
    <n v="3822.45"/>
    <n v="3150"/>
    <n v="672.44999999999982"/>
    <x v="5"/>
  </r>
  <r>
    <s v="ORD52787"/>
    <d v="2025-06-12T00:00:00"/>
    <s v="Online"/>
    <s v="P401"/>
    <n v="2"/>
    <n v="549"/>
    <x v="3"/>
    <x v="15"/>
    <s v="Beauty"/>
    <n v="250"/>
    <n v="1098"/>
    <n v="500"/>
    <n v="598"/>
    <x v="5"/>
  </r>
  <r>
    <s v="ORD52907"/>
    <d v="2025-06-12T00:00:00"/>
    <s v="Online"/>
    <s v="P207"/>
    <n v="1"/>
    <n v="399"/>
    <x v="3"/>
    <x v="32"/>
    <s v="Home &amp; Kitchen"/>
    <n v="250"/>
    <n v="399"/>
    <n v="250"/>
    <n v="149"/>
    <x v="5"/>
  </r>
  <r>
    <s v="ORD53108"/>
    <d v="2025-06-12T00:00:00"/>
    <s v="City Centre Deira"/>
    <s v="P302"/>
    <n v="1"/>
    <n v="459"/>
    <x v="3"/>
    <x v="10"/>
    <s v="Fashion"/>
    <n v="190"/>
    <n v="459"/>
    <n v="190"/>
    <n v="269"/>
    <x v="5"/>
  </r>
  <r>
    <s v="ORD53364"/>
    <d v="2025-06-12T00:00:00"/>
    <s v="Dubai Mall"/>
    <s v="P503"/>
    <n v="3"/>
    <n v="229"/>
    <x v="3"/>
    <x v="18"/>
    <s v="Sports"/>
    <n v="120"/>
    <n v="687"/>
    <n v="360"/>
    <n v="327"/>
    <x v="5"/>
  </r>
  <r>
    <s v="ORD53517"/>
    <d v="2025-06-12T00:00:00"/>
    <s v="Ibn Battuta Mall"/>
    <s v="P203"/>
    <n v="1"/>
    <n v="349"/>
    <x v="2"/>
    <x v="21"/>
    <s v="Home &amp; Kitchen"/>
    <n v="170"/>
    <n v="314.10000000000002"/>
    <n v="170"/>
    <n v="144.10000000000002"/>
    <x v="5"/>
  </r>
  <r>
    <s v="ORD53871"/>
    <d v="2025-06-12T00:00:00"/>
    <s v="Mall of the Emirates"/>
    <s v="P306"/>
    <n v="1"/>
    <n v="249"/>
    <x v="1"/>
    <x v="3"/>
    <s v="Fashion"/>
    <n v="95"/>
    <n v="236.54999999999998"/>
    <n v="95"/>
    <n v="141.54999999999998"/>
    <x v="5"/>
  </r>
  <r>
    <s v="ORD53943"/>
    <d v="2025-06-12T00:00:00"/>
    <s v="Dubai Mall"/>
    <s v="P506"/>
    <n v="4"/>
    <n v="69"/>
    <x v="3"/>
    <x v="34"/>
    <s v="Sports"/>
    <n v="25"/>
    <n v="276"/>
    <n v="100"/>
    <n v="176"/>
    <x v="5"/>
  </r>
  <r>
    <s v="ORD54095"/>
    <d v="2025-06-12T00:00:00"/>
    <s v="Dubai Mall"/>
    <s v="P404"/>
    <n v="1"/>
    <n v="189"/>
    <x v="3"/>
    <x v="6"/>
    <s v="Beauty"/>
    <n v="85"/>
    <n v="189"/>
    <n v="85"/>
    <n v="104"/>
    <x v="5"/>
  </r>
  <r>
    <s v="ORD50401"/>
    <d v="2025-06-13T00:00:00"/>
    <s v="City Centre Deira"/>
    <s v="P501"/>
    <n v="2"/>
    <n v="129"/>
    <x v="4"/>
    <x v="12"/>
    <s v="Sports"/>
    <n v="60"/>
    <n v="180.6"/>
    <n v="120"/>
    <n v="60.599999999999994"/>
    <x v="5"/>
  </r>
  <r>
    <s v="ORD50457"/>
    <d v="2025-06-13T00:00:00"/>
    <s v="Online"/>
    <s v="P206"/>
    <n v="1"/>
    <n v="129"/>
    <x v="2"/>
    <x v="28"/>
    <s v="Home &amp; Kitchen"/>
    <n v="60"/>
    <n v="116.10000000000001"/>
    <n v="60"/>
    <n v="56.100000000000009"/>
    <x v="5"/>
  </r>
  <r>
    <s v="ORD50839"/>
    <d v="2025-06-13T00:00:00"/>
    <s v="Mall of the Emirates"/>
    <s v="P306"/>
    <n v="2"/>
    <n v="249"/>
    <x v="3"/>
    <x v="3"/>
    <s v="Fashion"/>
    <n v="95"/>
    <n v="498"/>
    <n v="190"/>
    <n v="308"/>
    <x v="5"/>
  </r>
  <r>
    <s v="ORD50929"/>
    <d v="2025-06-13T00:00:00"/>
    <s v="Mall of the Emirates"/>
    <s v="P206"/>
    <n v="2"/>
    <n v="129"/>
    <x v="3"/>
    <x v="28"/>
    <s v="Home &amp; Kitchen"/>
    <n v="60"/>
    <n v="258"/>
    <n v="120"/>
    <n v="138"/>
    <x v="5"/>
  </r>
  <r>
    <s v="ORD51631"/>
    <d v="2025-06-13T00:00:00"/>
    <s v="Ibn Battuta Mall"/>
    <s v="P303"/>
    <n v="3"/>
    <n v="149"/>
    <x v="2"/>
    <x v="7"/>
    <s v="Fashion"/>
    <n v="80"/>
    <n v="402.3"/>
    <n v="240"/>
    <n v="162.30000000000001"/>
    <x v="5"/>
  </r>
  <r>
    <s v="ORD51810"/>
    <d v="2025-06-13T00:00:00"/>
    <s v="Online"/>
    <s v="P402"/>
    <n v="1"/>
    <n v="149"/>
    <x v="1"/>
    <x v="17"/>
    <s v="Beauty"/>
    <n v="55"/>
    <n v="141.54999999999998"/>
    <n v="55"/>
    <n v="86.549999999999983"/>
    <x v="5"/>
  </r>
  <r>
    <s v="ORD52376"/>
    <d v="2025-06-13T00:00:00"/>
    <s v="Dubai Mall"/>
    <s v="P306"/>
    <n v="1"/>
    <n v="249"/>
    <x v="2"/>
    <x v="3"/>
    <s v="Fashion"/>
    <n v="95"/>
    <n v="224.1"/>
    <n v="95"/>
    <n v="129.1"/>
    <x v="5"/>
  </r>
  <r>
    <s v="ORD52566"/>
    <d v="2025-06-13T00:00:00"/>
    <s v="Dubai Mall"/>
    <s v="P502"/>
    <n v="1"/>
    <n v="799"/>
    <x v="5"/>
    <x v="19"/>
    <s v="Sports"/>
    <n v="700"/>
    <n v="639.20000000000005"/>
    <n v="700"/>
    <n v="-60.799999999999955"/>
    <x v="5"/>
  </r>
  <r>
    <s v="ORD52878"/>
    <d v="2025-06-13T00:00:00"/>
    <s v="Online"/>
    <s v="P305"/>
    <n v="1"/>
    <n v="429"/>
    <x v="5"/>
    <x v="14"/>
    <s v="Fashion"/>
    <n v="300"/>
    <n v="343.20000000000005"/>
    <n v="300"/>
    <n v="43.200000000000045"/>
    <x v="5"/>
  </r>
  <r>
    <s v="ORD53309"/>
    <d v="2025-06-13T00:00:00"/>
    <s v="City Centre Deira"/>
    <s v="P207"/>
    <n v="4"/>
    <n v="399"/>
    <x v="5"/>
    <x v="32"/>
    <s v="Home &amp; Kitchen"/>
    <n v="250"/>
    <n v="1276.8000000000002"/>
    <n v="1000"/>
    <n v="276.80000000000018"/>
    <x v="5"/>
  </r>
  <r>
    <s v="ORD53780"/>
    <d v="2025-06-13T00:00:00"/>
    <s v="City Centre Deira"/>
    <s v="P206"/>
    <n v="1"/>
    <n v="129"/>
    <x v="0"/>
    <x v="28"/>
    <s v="Home &amp; Kitchen"/>
    <n v="60"/>
    <n v="109.64999999999999"/>
    <n v="60"/>
    <n v="49.649999999999991"/>
    <x v="5"/>
  </r>
  <r>
    <s v="ORD53798"/>
    <d v="2025-06-13T00:00:00"/>
    <s v="Online"/>
    <s v="P503"/>
    <n v="4"/>
    <n v="229"/>
    <x v="5"/>
    <x v="18"/>
    <s v="Sports"/>
    <n v="120"/>
    <n v="732.80000000000007"/>
    <n v="480"/>
    <n v="252.80000000000007"/>
    <x v="5"/>
  </r>
  <r>
    <s v="ORD53820"/>
    <d v="2025-06-13T00:00:00"/>
    <s v="Mall of the Emirates"/>
    <s v="P405"/>
    <n v="2"/>
    <n v="89"/>
    <x v="0"/>
    <x v="24"/>
    <s v="Beauty"/>
    <n v="40"/>
    <n v="151.29999999999998"/>
    <n v="80"/>
    <n v="71.299999999999983"/>
    <x v="5"/>
  </r>
  <r>
    <s v="ORD54005"/>
    <d v="2025-06-13T00:00:00"/>
    <s v="Online"/>
    <s v="P405"/>
    <n v="1"/>
    <n v="89"/>
    <x v="2"/>
    <x v="24"/>
    <s v="Beauty"/>
    <n v="40"/>
    <n v="80.100000000000009"/>
    <n v="40"/>
    <n v="40.100000000000009"/>
    <x v="5"/>
  </r>
  <r>
    <s v="ORD54172"/>
    <d v="2025-06-13T00:00:00"/>
    <s v="City Centre Deira"/>
    <s v="P104"/>
    <n v="2"/>
    <n v="199"/>
    <x v="5"/>
    <x v="1"/>
    <s v="Electronics"/>
    <n v="175"/>
    <n v="318.40000000000003"/>
    <n v="350"/>
    <n v="-31.599999999999966"/>
    <x v="5"/>
  </r>
  <r>
    <s v="ORD54195"/>
    <d v="2025-06-13T00:00:00"/>
    <s v="City Centre Deira"/>
    <s v="P404"/>
    <n v="1"/>
    <n v="189"/>
    <x v="2"/>
    <x v="6"/>
    <s v="Beauty"/>
    <n v="85"/>
    <n v="170.1"/>
    <n v="85"/>
    <n v="85.1"/>
    <x v="5"/>
  </r>
  <r>
    <s v="ORD50063"/>
    <d v="2025-06-14T00:00:00"/>
    <s v="City Centre Deira"/>
    <s v="P201"/>
    <n v="1"/>
    <n v="499"/>
    <x v="1"/>
    <x v="16"/>
    <s v="Home &amp; Kitchen"/>
    <n v="290"/>
    <n v="474.04999999999995"/>
    <n v="290"/>
    <n v="184.04999999999995"/>
    <x v="5"/>
  </r>
  <r>
    <s v="ORD50154"/>
    <d v="2025-06-14T00:00:00"/>
    <s v="Mall of the Emirates"/>
    <s v="P107"/>
    <n v="1"/>
    <n v="89"/>
    <x v="4"/>
    <x v="29"/>
    <s v="Electronics"/>
    <n v="35"/>
    <n v="62.3"/>
    <n v="35"/>
    <n v="27.299999999999997"/>
    <x v="5"/>
  </r>
  <r>
    <s v="ORD50166"/>
    <d v="2025-06-14T00:00:00"/>
    <s v="Online"/>
    <s v="P106"/>
    <n v="2"/>
    <n v="149"/>
    <x v="3"/>
    <x v="30"/>
    <s v="Electronics"/>
    <n v="70"/>
    <n v="298"/>
    <n v="140"/>
    <n v="158"/>
    <x v="5"/>
  </r>
  <r>
    <s v="ORD50260"/>
    <d v="2025-06-14T00:00:00"/>
    <s v="Mall of the Emirates"/>
    <s v="P405"/>
    <n v="3"/>
    <n v="89"/>
    <x v="3"/>
    <x v="24"/>
    <s v="Beauty"/>
    <n v="40"/>
    <n v="267"/>
    <n v="120"/>
    <n v="147"/>
    <x v="5"/>
  </r>
  <r>
    <s v="ORD50461"/>
    <d v="2025-06-14T00:00:00"/>
    <s v="Dubai Mall"/>
    <s v="P106"/>
    <n v="1"/>
    <n v="149"/>
    <x v="1"/>
    <x v="30"/>
    <s v="Electronics"/>
    <n v="70"/>
    <n v="141.54999999999998"/>
    <n v="70"/>
    <n v="71.549999999999983"/>
    <x v="5"/>
  </r>
  <r>
    <s v="ORD50571"/>
    <d v="2025-06-14T00:00:00"/>
    <s v="Online"/>
    <s v="P404"/>
    <n v="2"/>
    <n v="189"/>
    <x v="3"/>
    <x v="6"/>
    <s v="Beauty"/>
    <n v="85"/>
    <n v="378"/>
    <n v="170"/>
    <n v="208"/>
    <x v="5"/>
  </r>
  <r>
    <s v="ORD51185"/>
    <d v="2025-06-14T00:00:00"/>
    <s v="Online"/>
    <s v="P402"/>
    <n v="1"/>
    <n v="149"/>
    <x v="3"/>
    <x v="17"/>
    <s v="Beauty"/>
    <n v="55"/>
    <n v="149"/>
    <n v="55"/>
    <n v="94"/>
    <x v="5"/>
  </r>
  <r>
    <s v="ORD51266"/>
    <d v="2025-06-14T00:00:00"/>
    <s v="Online"/>
    <s v="P208"/>
    <n v="2"/>
    <n v="259"/>
    <x v="3"/>
    <x v="22"/>
    <s v="Home &amp; Kitchen"/>
    <n v="115"/>
    <n v="518"/>
    <n v="230"/>
    <n v="288"/>
    <x v="5"/>
  </r>
  <r>
    <s v="ORD51595"/>
    <d v="2025-06-14T00:00:00"/>
    <s v="City Centre Deira"/>
    <s v="P503"/>
    <n v="1"/>
    <n v="229"/>
    <x v="1"/>
    <x v="18"/>
    <s v="Sports"/>
    <n v="120"/>
    <n v="217.54999999999998"/>
    <n v="120"/>
    <n v="97.549999999999983"/>
    <x v="5"/>
  </r>
  <r>
    <s v="ORD51707"/>
    <d v="2025-06-14T00:00:00"/>
    <s v="Dubai Mall"/>
    <s v="P401"/>
    <n v="1"/>
    <n v="549"/>
    <x v="3"/>
    <x v="15"/>
    <s v="Beauty"/>
    <n v="250"/>
    <n v="549"/>
    <n v="250"/>
    <n v="299"/>
    <x v="5"/>
  </r>
  <r>
    <s v="ORD51847"/>
    <d v="2025-06-14T00:00:00"/>
    <s v="Ibn Battuta Mall"/>
    <s v="P301"/>
    <n v="2"/>
    <n v="179"/>
    <x v="3"/>
    <x v="2"/>
    <s v="Fashion"/>
    <n v="70"/>
    <n v="358"/>
    <n v="140"/>
    <n v="218"/>
    <x v="5"/>
  </r>
  <r>
    <s v="ORD53645"/>
    <d v="2025-06-14T00:00:00"/>
    <s v="Online"/>
    <s v="P206"/>
    <n v="1"/>
    <n v="129"/>
    <x v="3"/>
    <x v="28"/>
    <s v="Home &amp; Kitchen"/>
    <n v="60"/>
    <n v="129"/>
    <n v="60"/>
    <n v="69"/>
    <x v="5"/>
  </r>
  <r>
    <s v="ORD54171"/>
    <d v="2025-06-14T00:00:00"/>
    <s v="Dubai Mall"/>
    <s v="P303"/>
    <n v="1"/>
    <n v="149"/>
    <x v="2"/>
    <x v="7"/>
    <s v="Fashion"/>
    <n v="80"/>
    <n v="134.1"/>
    <n v="80"/>
    <n v="54.099999999999994"/>
    <x v="5"/>
  </r>
  <r>
    <s v="ORD50547"/>
    <d v="2025-06-15T00:00:00"/>
    <s v="Mall of the Emirates"/>
    <s v="P102"/>
    <n v="4"/>
    <n v="249"/>
    <x v="2"/>
    <x v="13"/>
    <s v="Electronics"/>
    <n v="150"/>
    <n v="896.4"/>
    <n v="600"/>
    <n v="296.39999999999998"/>
    <x v="5"/>
  </r>
  <r>
    <s v="ORD50788"/>
    <d v="2025-06-15T00:00:00"/>
    <s v="City Centre Deira"/>
    <s v="P104"/>
    <n v="1"/>
    <n v="199"/>
    <x v="0"/>
    <x v="1"/>
    <s v="Electronics"/>
    <n v="175"/>
    <n v="169.15"/>
    <n v="175"/>
    <n v="-5.8499999999999943"/>
    <x v="5"/>
  </r>
  <r>
    <s v="ORD50880"/>
    <d v="2025-06-15T00:00:00"/>
    <s v="Ibn Battuta Mall"/>
    <s v="P108"/>
    <n v="2"/>
    <n v="459"/>
    <x v="5"/>
    <x v="23"/>
    <s v="Electronics"/>
    <n v="300"/>
    <n v="734.40000000000009"/>
    <n v="600"/>
    <n v="134.40000000000009"/>
    <x v="5"/>
  </r>
  <r>
    <s v="ORD51482"/>
    <d v="2025-06-15T00:00:00"/>
    <s v="Mall of the Emirates"/>
    <s v="P403"/>
    <n v="1"/>
    <n v="299"/>
    <x v="0"/>
    <x v="8"/>
    <s v="Beauty"/>
    <n v="240"/>
    <n v="254.15"/>
    <n v="240"/>
    <n v="14.150000000000006"/>
    <x v="5"/>
  </r>
  <r>
    <s v="ORD51682"/>
    <d v="2025-06-15T00:00:00"/>
    <s v="Mall of the Emirates"/>
    <s v="P405"/>
    <n v="2"/>
    <n v="89"/>
    <x v="1"/>
    <x v="24"/>
    <s v="Beauty"/>
    <n v="40"/>
    <n v="169.1"/>
    <n v="80"/>
    <n v="89.1"/>
    <x v="5"/>
  </r>
  <r>
    <s v="ORD52543"/>
    <d v="2025-06-15T00:00:00"/>
    <s v="Dubai Mall"/>
    <s v="P306"/>
    <n v="2"/>
    <n v="249"/>
    <x v="2"/>
    <x v="3"/>
    <s v="Fashion"/>
    <n v="95"/>
    <n v="448.2"/>
    <n v="190"/>
    <n v="258.2"/>
    <x v="5"/>
  </r>
  <r>
    <s v="ORD52546"/>
    <d v="2025-06-15T00:00:00"/>
    <s v="Dubai Mall"/>
    <s v="P104"/>
    <n v="1"/>
    <n v="199"/>
    <x v="6"/>
    <x v="1"/>
    <s v="Electronics"/>
    <n v="175"/>
    <n v="149.25"/>
    <n v="175"/>
    <n v="-25.75"/>
    <x v="5"/>
  </r>
  <r>
    <s v="ORD53111"/>
    <d v="2025-06-15T00:00:00"/>
    <s v="Mall of the Emirates"/>
    <s v="P405"/>
    <n v="3"/>
    <n v="89"/>
    <x v="3"/>
    <x v="24"/>
    <s v="Beauty"/>
    <n v="40"/>
    <n v="267"/>
    <n v="120"/>
    <n v="147"/>
    <x v="5"/>
  </r>
  <r>
    <s v="ORD53811"/>
    <d v="2025-06-15T00:00:00"/>
    <s v="Online"/>
    <s v="P503"/>
    <n v="3"/>
    <n v="229"/>
    <x v="2"/>
    <x v="18"/>
    <s v="Sports"/>
    <n v="120"/>
    <n v="618.30000000000007"/>
    <n v="360"/>
    <n v="258.30000000000007"/>
    <x v="5"/>
  </r>
  <r>
    <s v="ORD53933"/>
    <d v="2025-06-15T00:00:00"/>
    <s v="Mall of the Emirates"/>
    <s v="P107"/>
    <n v="2"/>
    <n v="89"/>
    <x v="3"/>
    <x v="29"/>
    <s v="Electronics"/>
    <n v="35"/>
    <n v="178"/>
    <n v="70"/>
    <n v="108"/>
    <x v="5"/>
  </r>
  <r>
    <s v="ORD54081"/>
    <d v="2025-06-15T00:00:00"/>
    <s v="Dubai Mall"/>
    <s v="P402"/>
    <n v="2"/>
    <n v="149"/>
    <x v="3"/>
    <x v="17"/>
    <s v="Beauty"/>
    <n v="55"/>
    <n v="298"/>
    <n v="110"/>
    <n v="188"/>
    <x v="5"/>
  </r>
  <r>
    <s v="ORD50836"/>
    <d v="2025-06-16T00:00:00"/>
    <s v="Mall of the Emirates"/>
    <s v="P308"/>
    <n v="1"/>
    <n v="229"/>
    <x v="3"/>
    <x v="0"/>
    <s v="Fashion"/>
    <n v="120"/>
    <n v="229"/>
    <n v="120"/>
    <n v="109"/>
    <x v="5"/>
  </r>
  <r>
    <s v="ORD51368"/>
    <d v="2025-06-16T00:00:00"/>
    <s v="Dubai Mall"/>
    <s v="P202"/>
    <n v="2"/>
    <n v="1499"/>
    <x v="4"/>
    <x v="26"/>
    <s v="Home &amp; Kitchen"/>
    <n v="1050"/>
    <n v="2098.6"/>
    <n v="2100"/>
    <n v="-1.4000000000000909"/>
    <x v="5"/>
  </r>
  <r>
    <s v="ORD51828"/>
    <d v="2025-06-16T00:00:00"/>
    <s v="Mall of the Emirates"/>
    <s v="P405"/>
    <n v="1"/>
    <n v="89"/>
    <x v="5"/>
    <x v="24"/>
    <s v="Beauty"/>
    <n v="40"/>
    <n v="71.2"/>
    <n v="40"/>
    <n v="31.200000000000003"/>
    <x v="5"/>
  </r>
  <r>
    <s v="ORD51957"/>
    <d v="2025-06-16T00:00:00"/>
    <s v="Online"/>
    <s v="P104"/>
    <n v="1"/>
    <n v="199"/>
    <x v="0"/>
    <x v="1"/>
    <s v="Electronics"/>
    <n v="175"/>
    <n v="169.15"/>
    <n v="175"/>
    <n v="-5.8499999999999943"/>
    <x v="5"/>
  </r>
  <r>
    <s v="ORD52807"/>
    <d v="2025-06-16T00:00:00"/>
    <s v="Mall of the Emirates"/>
    <s v="P503"/>
    <n v="1"/>
    <n v="229"/>
    <x v="0"/>
    <x v="18"/>
    <s v="Sports"/>
    <n v="120"/>
    <n v="194.65"/>
    <n v="120"/>
    <n v="74.650000000000006"/>
    <x v="5"/>
  </r>
  <r>
    <s v="ORD53026"/>
    <d v="2025-06-16T00:00:00"/>
    <s v="Dubai Mall"/>
    <s v="P201"/>
    <n v="1"/>
    <n v="499"/>
    <x v="0"/>
    <x v="16"/>
    <s v="Home &amp; Kitchen"/>
    <n v="290"/>
    <n v="424.15"/>
    <n v="290"/>
    <n v="134.14999999999998"/>
    <x v="5"/>
  </r>
  <r>
    <s v="ORD53407"/>
    <d v="2025-06-16T00:00:00"/>
    <s v="Mall of the Emirates"/>
    <s v="P404"/>
    <n v="1"/>
    <n v="189"/>
    <x v="3"/>
    <x v="6"/>
    <s v="Beauty"/>
    <n v="85"/>
    <n v="189"/>
    <n v="85"/>
    <n v="104"/>
    <x v="5"/>
  </r>
  <r>
    <s v="ORD53468"/>
    <d v="2025-06-16T00:00:00"/>
    <s v="Mall of the Emirates"/>
    <s v="P104"/>
    <n v="1"/>
    <n v="199"/>
    <x v="2"/>
    <x v="1"/>
    <s v="Electronics"/>
    <n v="175"/>
    <n v="179.1"/>
    <n v="175"/>
    <n v="4.0999999999999943"/>
    <x v="5"/>
  </r>
  <r>
    <s v="ORD54064"/>
    <d v="2025-06-16T00:00:00"/>
    <s v="City Centre Deira"/>
    <s v="P206"/>
    <n v="2"/>
    <n v="129"/>
    <x v="0"/>
    <x v="28"/>
    <s v="Home &amp; Kitchen"/>
    <n v="60"/>
    <n v="219.29999999999998"/>
    <n v="120"/>
    <n v="99.299999999999983"/>
    <x v="5"/>
  </r>
  <r>
    <s v="ORD54188"/>
    <d v="2025-06-16T00:00:00"/>
    <s v="Dubai Mall"/>
    <s v="P203"/>
    <n v="1"/>
    <n v="349"/>
    <x v="2"/>
    <x v="21"/>
    <s v="Home &amp; Kitchen"/>
    <n v="170"/>
    <n v="314.10000000000002"/>
    <n v="170"/>
    <n v="144.10000000000002"/>
    <x v="5"/>
  </r>
  <r>
    <s v="ORD50821"/>
    <d v="2025-06-17T00:00:00"/>
    <s v="Dubai Mall"/>
    <s v="P101"/>
    <n v="1"/>
    <n v="399"/>
    <x v="1"/>
    <x v="5"/>
    <s v="Electronics"/>
    <n v="230"/>
    <n v="379.04999999999995"/>
    <n v="230"/>
    <n v="149.04999999999995"/>
    <x v="5"/>
  </r>
  <r>
    <s v="ORD51461"/>
    <d v="2025-06-17T00:00:00"/>
    <s v="Online"/>
    <s v="P403"/>
    <n v="1"/>
    <n v="299"/>
    <x v="6"/>
    <x v="8"/>
    <s v="Beauty"/>
    <n v="240"/>
    <n v="224.25"/>
    <n v="240"/>
    <n v="-15.75"/>
    <x v="5"/>
  </r>
  <r>
    <s v="ORD51623"/>
    <d v="2025-06-17T00:00:00"/>
    <s v="Dubai Mall"/>
    <s v="P302"/>
    <n v="2"/>
    <n v="459"/>
    <x v="3"/>
    <x v="10"/>
    <s v="Fashion"/>
    <n v="190"/>
    <n v="918"/>
    <n v="380"/>
    <n v="538"/>
    <x v="5"/>
  </r>
  <r>
    <s v="ORD51952"/>
    <d v="2025-06-17T00:00:00"/>
    <s v="Dubai Mall"/>
    <s v="P208"/>
    <n v="1"/>
    <n v="259"/>
    <x v="1"/>
    <x v="22"/>
    <s v="Home &amp; Kitchen"/>
    <n v="115"/>
    <n v="246.04999999999998"/>
    <n v="115"/>
    <n v="131.04999999999998"/>
    <x v="5"/>
  </r>
  <r>
    <s v="ORD52719"/>
    <d v="2025-06-17T00:00:00"/>
    <s v="Online"/>
    <s v="P308"/>
    <n v="2"/>
    <n v="229"/>
    <x v="3"/>
    <x v="0"/>
    <s v="Fashion"/>
    <n v="120"/>
    <n v="458"/>
    <n v="240"/>
    <n v="218"/>
    <x v="5"/>
  </r>
  <r>
    <s v="ORD52960"/>
    <d v="2025-06-17T00:00:00"/>
    <s v="Dubai Mall"/>
    <s v="P105"/>
    <n v="1"/>
    <n v="899"/>
    <x v="2"/>
    <x v="31"/>
    <s v="Electronics"/>
    <n v="610"/>
    <n v="809.1"/>
    <n v="610"/>
    <n v="199.10000000000002"/>
    <x v="5"/>
  </r>
  <r>
    <s v="ORD52990"/>
    <d v="2025-06-17T00:00:00"/>
    <s v="Online"/>
    <s v="P406"/>
    <n v="4"/>
    <n v="199"/>
    <x v="0"/>
    <x v="4"/>
    <s v="Beauty"/>
    <n v="90"/>
    <n v="676.6"/>
    <n v="360"/>
    <n v="316.60000000000002"/>
    <x v="5"/>
  </r>
  <r>
    <s v="ORD53179"/>
    <d v="2025-06-17T00:00:00"/>
    <s v="Online"/>
    <s v="P502"/>
    <n v="1"/>
    <n v="799"/>
    <x v="6"/>
    <x v="19"/>
    <s v="Sports"/>
    <n v="700"/>
    <n v="599.25"/>
    <n v="700"/>
    <n v="-100.75"/>
    <x v="5"/>
  </r>
  <r>
    <s v="ORD53670"/>
    <d v="2025-06-17T00:00:00"/>
    <s v="Mall of the Emirates"/>
    <s v="P103"/>
    <n v="1"/>
    <n v="1299"/>
    <x v="5"/>
    <x v="25"/>
    <s v="Electronics"/>
    <n v="820"/>
    <n v="1039.2"/>
    <n v="820"/>
    <n v="219.20000000000005"/>
    <x v="5"/>
  </r>
  <r>
    <s v="ORD53770"/>
    <d v="2025-06-17T00:00:00"/>
    <s v="Online"/>
    <s v="P301"/>
    <n v="2"/>
    <n v="179"/>
    <x v="3"/>
    <x v="2"/>
    <s v="Fashion"/>
    <n v="70"/>
    <n v="358"/>
    <n v="140"/>
    <n v="218"/>
    <x v="5"/>
  </r>
  <r>
    <s v="ORD53951"/>
    <d v="2025-06-17T00:00:00"/>
    <s v="Online"/>
    <s v="P302"/>
    <n v="3"/>
    <n v="459"/>
    <x v="3"/>
    <x v="10"/>
    <s v="Fashion"/>
    <n v="190"/>
    <n v="1377"/>
    <n v="570"/>
    <n v="807"/>
    <x v="5"/>
  </r>
  <r>
    <s v="ORD50271"/>
    <d v="2025-06-18T00:00:00"/>
    <s v="City Centre Deira"/>
    <s v="P203"/>
    <n v="1"/>
    <n v="349"/>
    <x v="5"/>
    <x v="21"/>
    <s v="Home &amp; Kitchen"/>
    <n v="170"/>
    <n v="279.2"/>
    <n v="170"/>
    <n v="109.19999999999999"/>
    <x v="5"/>
  </r>
  <r>
    <s v="ORD50449"/>
    <d v="2025-06-18T00:00:00"/>
    <s v="Dubai Mall"/>
    <s v="P402"/>
    <n v="1"/>
    <n v="149"/>
    <x v="3"/>
    <x v="17"/>
    <s v="Beauty"/>
    <n v="55"/>
    <n v="149"/>
    <n v="55"/>
    <n v="94"/>
    <x v="5"/>
  </r>
  <r>
    <s v="ORD50741"/>
    <d v="2025-06-18T00:00:00"/>
    <s v="Online"/>
    <s v="P401"/>
    <n v="1"/>
    <n v="549"/>
    <x v="1"/>
    <x v="15"/>
    <s v="Beauty"/>
    <n v="250"/>
    <n v="521.54999999999995"/>
    <n v="250"/>
    <n v="271.54999999999995"/>
    <x v="5"/>
  </r>
  <r>
    <s v="ORD51042"/>
    <d v="2025-06-18T00:00:00"/>
    <s v="Dubai Mall"/>
    <s v="P104"/>
    <n v="1"/>
    <n v="199"/>
    <x v="6"/>
    <x v="1"/>
    <s v="Electronics"/>
    <n v="175"/>
    <n v="149.25"/>
    <n v="175"/>
    <n v="-25.75"/>
    <x v="5"/>
  </r>
  <r>
    <s v="ORD51308"/>
    <d v="2025-06-18T00:00:00"/>
    <s v="Ibn Battuta Mall"/>
    <s v="P403"/>
    <n v="1"/>
    <n v="299"/>
    <x v="5"/>
    <x v="8"/>
    <s v="Beauty"/>
    <n v="240"/>
    <n v="239.20000000000002"/>
    <n v="240"/>
    <n v="-0.79999999999998295"/>
    <x v="5"/>
  </r>
  <r>
    <s v="ORD53430"/>
    <d v="2025-06-18T00:00:00"/>
    <s v="Online"/>
    <s v="P301"/>
    <n v="1"/>
    <n v="179"/>
    <x v="3"/>
    <x v="2"/>
    <s v="Fashion"/>
    <n v="70"/>
    <n v="179"/>
    <n v="70"/>
    <n v="109"/>
    <x v="5"/>
  </r>
  <r>
    <s v="ORD54118"/>
    <d v="2025-06-18T00:00:00"/>
    <s v="Online"/>
    <s v="P206"/>
    <n v="1"/>
    <n v="129"/>
    <x v="3"/>
    <x v="28"/>
    <s v="Home &amp; Kitchen"/>
    <n v="60"/>
    <n v="129"/>
    <n v="60"/>
    <n v="69"/>
    <x v="5"/>
  </r>
  <r>
    <s v="ORD50657"/>
    <d v="2025-06-19T00:00:00"/>
    <s v="Mall of the Emirates"/>
    <s v="P104"/>
    <n v="1"/>
    <n v="199"/>
    <x v="0"/>
    <x v="1"/>
    <s v="Electronics"/>
    <n v="175"/>
    <n v="169.15"/>
    <n v="175"/>
    <n v="-5.8499999999999943"/>
    <x v="5"/>
  </r>
  <r>
    <s v="ORD50826"/>
    <d v="2025-06-19T00:00:00"/>
    <s v="City Centre Deira"/>
    <s v="P303"/>
    <n v="1"/>
    <n v="149"/>
    <x v="2"/>
    <x v="7"/>
    <s v="Fashion"/>
    <n v="80"/>
    <n v="134.1"/>
    <n v="80"/>
    <n v="54.099999999999994"/>
    <x v="5"/>
  </r>
  <r>
    <s v="ORD51401"/>
    <d v="2025-06-19T00:00:00"/>
    <s v="City Centre Deira"/>
    <s v="P402"/>
    <n v="1"/>
    <n v="149"/>
    <x v="2"/>
    <x v="17"/>
    <s v="Beauty"/>
    <n v="55"/>
    <n v="134.1"/>
    <n v="55"/>
    <n v="79.099999999999994"/>
    <x v="5"/>
  </r>
  <r>
    <s v="ORD51521"/>
    <d v="2025-06-19T00:00:00"/>
    <s v="Mall of the Emirates"/>
    <s v="P202"/>
    <n v="1"/>
    <n v="1499"/>
    <x v="2"/>
    <x v="26"/>
    <s v="Home &amp; Kitchen"/>
    <n v="1050"/>
    <n v="1349.1000000000001"/>
    <n v="1050"/>
    <n v="299.10000000000014"/>
    <x v="5"/>
  </r>
  <r>
    <s v="ORD52596"/>
    <d v="2025-06-19T00:00:00"/>
    <s v="Mall of the Emirates"/>
    <s v="P402"/>
    <n v="1"/>
    <n v="149"/>
    <x v="3"/>
    <x v="17"/>
    <s v="Beauty"/>
    <n v="55"/>
    <n v="149"/>
    <n v="55"/>
    <n v="94"/>
    <x v="5"/>
  </r>
  <r>
    <s v="ORD53195"/>
    <d v="2025-06-19T00:00:00"/>
    <s v="Ibn Battuta Mall"/>
    <s v="P206"/>
    <n v="1"/>
    <n v="129"/>
    <x v="1"/>
    <x v="28"/>
    <s v="Home &amp; Kitchen"/>
    <n v="60"/>
    <n v="122.55"/>
    <n v="60"/>
    <n v="62.55"/>
    <x v="5"/>
  </r>
  <r>
    <s v="ORD53211"/>
    <d v="2025-06-19T00:00:00"/>
    <s v="City Centre Deira"/>
    <s v="P205"/>
    <n v="1"/>
    <n v="289"/>
    <x v="3"/>
    <x v="9"/>
    <s v="Home &amp; Kitchen"/>
    <n v="140"/>
    <n v="289"/>
    <n v="140"/>
    <n v="149"/>
    <x v="5"/>
  </r>
  <r>
    <s v="ORD53503"/>
    <d v="2025-06-19T00:00:00"/>
    <s v="Dubai Mall"/>
    <s v="P208"/>
    <n v="2"/>
    <n v="259"/>
    <x v="0"/>
    <x v="22"/>
    <s v="Home &amp; Kitchen"/>
    <n v="115"/>
    <n v="440.3"/>
    <n v="230"/>
    <n v="210.3"/>
    <x v="5"/>
  </r>
  <r>
    <s v="ORD53675"/>
    <d v="2025-06-19T00:00:00"/>
    <s v="Mall of the Emirates"/>
    <s v="P405"/>
    <n v="1"/>
    <n v="89"/>
    <x v="3"/>
    <x v="24"/>
    <s v="Beauty"/>
    <n v="40"/>
    <n v="89"/>
    <n v="40"/>
    <n v="49"/>
    <x v="5"/>
  </r>
  <r>
    <s v="ORD53796"/>
    <d v="2025-06-19T00:00:00"/>
    <s v="City Centre Deira"/>
    <s v="P205"/>
    <n v="1"/>
    <n v="289"/>
    <x v="1"/>
    <x v="9"/>
    <s v="Home &amp; Kitchen"/>
    <n v="140"/>
    <n v="274.55"/>
    <n v="140"/>
    <n v="134.55000000000001"/>
    <x v="5"/>
  </r>
  <r>
    <s v="ORD50149"/>
    <d v="2025-06-20T00:00:00"/>
    <s v="Ibn Battuta Mall"/>
    <s v="P308"/>
    <n v="1"/>
    <n v="229"/>
    <x v="2"/>
    <x v="0"/>
    <s v="Fashion"/>
    <n v="120"/>
    <n v="206.1"/>
    <n v="120"/>
    <n v="86.1"/>
    <x v="5"/>
  </r>
  <r>
    <s v="ORD50201"/>
    <d v="2025-06-20T00:00:00"/>
    <s v="Online"/>
    <s v="P102"/>
    <n v="2"/>
    <n v="249"/>
    <x v="0"/>
    <x v="13"/>
    <s v="Electronics"/>
    <n v="150"/>
    <n v="423.3"/>
    <n v="300"/>
    <n v="123.30000000000001"/>
    <x v="5"/>
  </r>
  <r>
    <s v="ORD50287"/>
    <d v="2025-06-20T00:00:00"/>
    <s v="Dubai Mall"/>
    <s v="P201"/>
    <n v="1"/>
    <n v="499"/>
    <x v="0"/>
    <x v="16"/>
    <s v="Home &amp; Kitchen"/>
    <n v="290"/>
    <n v="424.15"/>
    <n v="290"/>
    <n v="134.14999999999998"/>
    <x v="5"/>
  </r>
  <r>
    <s v="ORD50296"/>
    <d v="2025-06-20T00:00:00"/>
    <s v="Dubai Mall"/>
    <s v="P405"/>
    <n v="1"/>
    <n v="89"/>
    <x v="3"/>
    <x v="24"/>
    <s v="Beauty"/>
    <n v="40"/>
    <n v="89"/>
    <n v="40"/>
    <n v="49"/>
    <x v="5"/>
  </r>
  <r>
    <s v="ORD50416"/>
    <d v="2025-06-20T00:00:00"/>
    <s v="Mall of the Emirates"/>
    <s v="P302"/>
    <n v="4"/>
    <n v="459"/>
    <x v="3"/>
    <x v="10"/>
    <s v="Fashion"/>
    <n v="190"/>
    <n v="1836"/>
    <n v="760"/>
    <n v="1076"/>
    <x v="5"/>
  </r>
  <r>
    <s v="ORD50861"/>
    <d v="2025-06-20T00:00:00"/>
    <s v="Mall of the Emirates"/>
    <s v="P404"/>
    <n v="2"/>
    <n v="189"/>
    <x v="3"/>
    <x v="6"/>
    <s v="Beauty"/>
    <n v="85"/>
    <n v="378"/>
    <n v="170"/>
    <n v="208"/>
    <x v="5"/>
  </r>
  <r>
    <s v="ORD51496"/>
    <d v="2025-06-20T00:00:00"/>
    <s v="Online"/>
    <s v="P401"/>
    <n v="1"/>
    <n v="549"/>
    <x v="0"/>
    <x v="15"/>
    <s v="Beauty"/>
    <n v="250"/>
    <n v="466.65"/>
    <n v="250"/>
    <n v="216.64999999999998"/>
    <x v="5"/>
  </r>
  <r>
    <s v="ORD51702"/>
    <d v="2025-06-20T00:00:00"/>
    <s v="Online"/>
    <s v="P306"/>
    <n v="2"/>
    <n v="249"/>
    <x v="5"/>
    <x v="3"/>
    <s v="Fashion"/>
    <n v="95"/>
    <n v="398.40000000000003"/>
    <n v="190"/>
    <n v="208.40000000000003"/>
    <x v="5"/>
  </r>
  <r>
    <s v="ORD52609"/>
    <d v="2025-06-20T00:00:00"/>
    <s v="Online"/>
    <s v="P102"/>
    <n v="2"/>
    <n v="249"/>
    <x v="0"/>
    <x v="13"/>
    <s v="Electronics"/>
    <n v="150"/>
    <n v="423.3"/>
    <n v="300"/>
    <n v="123.30000000000001"/>
    <x v="5"/>
  </r>
  <r>
    <s v="ORD53498"/>
    <d v="2025-06-20T00:00:00"/>
    <s v="Dubai Mall"/>
    <s v="P402"/>
    <n v="2"/>
    <n v="149"/>
    <x v="3"/>
    <x v="17"/>
    <s v="Beauty"/>
    <n v="55"/>
    <n v="298"/>
    <n v="110"/>
    <n v="188"/>
    <x v="5"/>
  </r>
  <r>
    <s v="ORD53771"/>
    <d v="2025-06-20T00:00:00"/>
    <s v="Mall of the Emirates"/>
    <s v="P205"/>
    <n v="1"/>
    <n v="289"/>
    <x v="3"/>
    <x v="9"/>
    <s v="Home &amp; Kitchen"/>
    <n v="140"/>
    <n v="289"/>
    <n v="140"/>
    <n v="149"/>
    <x v="5"/>
  </r>
  <r>
    <s v="ORD53823"/>
    <d v="2025-06-20T00:00:00"/>
    <s v="Mall of the Emirates"/>
    <s v="P208"/>
    <n v="1"/>
    <n v="259"/>
    <x v="3"/>
    <x v="22"/>
    <s v="Home &amp; Kitchen"/>
    <n v="115"/>
    <n v="259"/>
    <n v="115"/>
    <n v="144"/>
    <x v="5"/>
  </r>
  <r>
    <s v="ORD50222"/>
    <d v="2025-06-21T00:00:00"/>
    <s v="Online"/>
    <s v="P308"/>
    <n v="1"/>
    <n v="229"/>
    <x v="3"/>
    <x v="0"/>
    <s v="Fashion"/>
    <n v="120"/>
    <n v="229"/>
    <n v="120"/>
    <n v="109"/>
    <x v="5"/>
  </r>
  <r>
    <s v="ORD50590"/>
    <d v="2025-06-21T00:00:00"/>
    <s v="Mall of the Emirates"/>
    <s v="P503"/>
    <n v="2"/>
    <n v="229"/>
    <x v="5"/>
    <x v="18"/>
    <s v="Sports"/>
    <n v="120"/>
    <n v="366.40000000000003"/>
    <n v="240"/>
    <n v="126.40000000000003"/>
    <x v="5"/>
  </r>
  <r>
    <s v="ORD50745"/>
    <d v="2025-06-21T00:00:00"/>
    <s v="Online"/>
    <s v="P306"/>
    <n v="1"/>
    <n v="249"/>
    <x v="3"/>
    <x v="3"/>
    <s v="Fashion"/>
    <n v="95"/>
    <n v="249"/>
    <n v="95"/>
    <n v="154"/>
    <x v="5"/>
  </r>
  <r>
    <s v="ORD51465"/>
    <d v="2025-06-21T00:00:00"/>
    <s v="City Centre Deira"/>
    <s v="P308"/>
    <n v="1"/>
    <n v="229"/>
    <x v="3"/>
    <x v="0"/>
    <s v="Fashion"/>
    <n v="120"/>
    <n v="229"/>
    <n v="120"/>
    <n v="109"/>
    <x v="5"/>
  </r>
  <r>
    <s v="ORD51487"/>
    <d v="2025-06-21T00:00:00"/>
    <s v="Dubai Mall"/>
    <s v="P301"/>
    <n v="1"/>
    <n v="179"/>
    <x v="3"/>
    <x v="2"/>
    <s v="Fashion"/>
    <n v="70"/>
    <n v="179"/>
    <n v="70"/>
    <n v="109"/>
    <x v="5"/>
  </r>
  <r>
    <s v="ORD52154"/>
    <d v="2025-06-21T00:00:00"/>
    <s v="Dubai Mall"/>
    <s v="P406"/>
    <n v="3"/>
    <n v="199"/>
    <x v="2"/>
    <x v="4"/>
    <s v="Beauty"/>
    <n v="90"/>
    <n v="537.30000000000007"/>
    <n v="270"/>
    <n v="267.30000000000007"/>
    <x v="5"/>
  </r>
  <r>
    <s v="ORD52221"/>
    <d v="2025-06-21T00:00:00"/>
    <s v="Dubai Mall"/>
    <s v="P306"/>
    <n v="2"/>
    <n v="249"/>
    <x v="2"/>
    <x v="3"/>
    <s v="Fashion"/>
    <n v="95"/>
    <n v="448.2"/>
    <n v="190"/>
    <n v="258.2"/>
    <x v="5"/>
  </r>
  <r>
    <s v="ORD52280"/>
    <d v="2025-06-21T00:00:00"/>
    <s v="Ibn Battuta Mall"/>
    <s v="P304"/>
    <n v="1"/>
    <n v="699"/>
    <x v="0"/>
    <x v="35"/>
    <s v="Fashion"/>
    <n v="380"/>
    <n v="594.15"/>
    <n v="380"/>
    <n v="214.14999999999998"/>
    <x v="5"/>
  </r>
  <r>
    <s v="ORD52637"/>
    <d v="2025-06-21T00:00:00"/>
    <s v="Dubai Mall"/>
    <s v="P106"/>
    <n v="1"/>
    <n v="149"/>
    <x v="3"/>
    <x v="30"/>
    <s v="Electronics"/>
    <n v="70"/>
    <n v="149"/>
    <n v="70"/>
    <n v="79"/>
    <x v="5"/>
  </r>
  <r>
    <s v="ORD52703"/>
    <d v="2025-06-21T00:00:00"/>
    <s v="City Centre Deira"/>
    <s v="P206"/>
    <n v="1"/>
    <n v="129"/>
    <x v="1"/>
    <x v="28"/>
    <s v="Home &amp; Kitchen"/>
    <n v="60"/>
    <n v="122.55"/>
    <n v="60"/>
    <n v="62.55"/>
    <x v="5"/>
  </r>
  <r>
    <s v="ORD52746"/>
    <d v="2025-06-21T00:00:00"/>
    <s v="Mall of the Emirates"/>
    <s v="P206"/>
    <n v="1"/>
    <n v="129"/>
    <x v="3"/>
    <x v="28"/>
    <s v="Home &amp; Kitchen"/>
    <n v="60"/>
    <n v="129"/>
    <n v="60"/>
    <n v="69"/>
    <x v="5"/>
  </r>
  <r>
    <s v="ORD52856"/>
    <d v="2025-06-21T00:00:00"/>
    <s v="Dubai Mall"/>
    <s v="P201"/>
    <n v="1"/>
    <n v="499"/>
    <x v="3"/>
    <x v="16"/>
    <s v="Home &amp; Kitchen"/>
    <n v="290"/>
    <n v="499"/>
    <n v="290"/>
    <n v="209"/>
    <x v="5"/>
  </r>
  <r>
    <s v="ORD53158"/>
    <d v="2025-06-21T00:00:00"/>
    <s v="Mall of the Emirates"/>
    <s v="P301"/>
    <n v="3"/>
    <n v="179"/>
    <x v="0"/>
    <x v="2"/>
    <s v="Fashion"/>
    <n v="70"/>
    <n v="456.45"/>
    <n v="210"/>
    <n v="246.45"/>
    <x v="5"/>
  </r>
  <r>
    <s v="ORD50178"/>
    <d v="2025-06-22T00:00:00"/>
    <s v="Ibn Battuta Mall"/>
    <s v="P402"/>
    <n v="1"/>
    <n v="149"/>
    <x v="3"/>
    <x v="17"/>
    <s v="Beauty"/>
    <n v="55"/>
    <n v="149"/>
    <n v="55"/>
    <n v="94"/>
    <x v="5"/>
  </r>
  <r>
    <s v="ORD50566"/>
    <d v="2025-06-22T00:00:00"/>
    <s v="Online"/>
    <s v="P506"/>
    <n v="2"/>
    <n v="69"/>
    <x v="3"/>
    <x v="34"/>
    <s v="Sports"/>
    <n v="25"/>
    <n v="138"/>
    <n v="50"/>
    <n v="88"/>
    <x v="5"/>
  </r>
  <r>
    <s v="ORD51024"/>
    <d v="2025-06-22T00:00:00"/>
    <s v="Dubai Mall"/>
    <s v="P206"/>
    <n v="1"/>
    <n v="129"/>
    <x v="5"/>
    <x v="28"/>
    <s v="Home &amp; Kitchen"/>
    <n v="60"/>
    <n v="103.2"/>
    <n v="60"/>
    <n v="43.2"/>
    <x v="5"/>
  </r>
  <r>
    <s v="ORD51320"/>
    <d v="2025-06-22T00:00:00"/>
    <s v="City Centre Deira"/>
    <s v="P308"/>
    <n v="1"/>
    <n v="229"/>
    <x v="2"/>
    <x v="0"/>
    <s v="Fashion"/>
    <n v="120"/>
    <n v="206.1"/>
    <n v="120"/>
    <n v="86.1"/>
    <x v="5"/>
  </r>
  <r>
    <s v="ORD51379"/>
    <d v="2025-06-22T00:00:00"/>
    <s v="Online"/>
    <s v="P308"/>
    <n v="1"/>
    <n v="229"/>
    <x v="1"/>
    <x v="0"/>
    <s v="Fashion"/>
    <n v="120"/>
    <n v="217.54999999999998"/>
    <n v="120"/>
    <n v="97.549999999999983"/>
    <x v="5"/>
  </r>
  <r>
    <s v="ORD51868"/>
    <d v="2025-06-22T00:00:00"/>
    <s v="Ibn Battuta Mall"/>
    <s v="P302"/>
    <n v="1"/>
    <n v="459"/>
    <x v="3"/>
    <x v="10"/>
    <s v="Fashion"/>
    <n v="190"/>
    <n v="459"/>
    <n v="190"/>
    <n v="269"/>
    <x v="5"/>
  </r>
  <r>
    <s v="ORD52045"/>
    <d v="2025-06-22T00:00:00"/>
    <s v="Online"/>
    <s v="P308"/>
    <n v="1"/>
    <n v="229"/>
    <x v="3"/>
    <x v="0"/>
    <s v="Fashion"/>
    <n v="120"/>
    <n v="229"/>
    <n v="120"/>
    <n v="109"/>
    <x v="5"/>
  </r>
  <r>
    <s v="ORD52145"/>
    <d v="2025-06-22T00:00:00"/>
    <s v="City Centre Deira"/>
    <s v="P503"/>
    <n v="1"/>
    <n v="229"/>
    <x v="3"/>
    <x v="18"/>
    <s v="Sports"/>
    <n v="120"/>
    <n v="229"/>
    <n v="120"/>
    <n v="109"/>
    <x v="5"/>
  </r>
  <r>
    <s v="ORD52774"/>
    <d v="2025-06-22T00:00:00"/>
    <s v="Mall of the Emirates"/>
    <s v="P208"/>
    <n v="3"/>
    <n v="259"/>
    <x v="2"/>
    <x v="22"/>
    <s v="Home &amp; Kitchen"/>
    <n v="115"/>
    <n v="699.30000000000007"/>
    <n v="345"/>
    <n v="354.30000000000007"/>
    <x v="5"/>
  </r>
  <r>
    <s v="ORD53154"/>
    <d v="2025-06-22T00:00:00"/>
    <s v="Dubai Mall"/>
    <s v="P306"/>
    <n v="2"/>
    <n v="249"/>
    <x v="3"/>
    <x v="3"/>
    <s v="Fashion"/>
    <n v="95"/>
    <n v="498"/>
    <n v="190"/>
    <n v="308"/>
    <x v="5"/>
  </r>
  <r>
    <s v="ORD53202"/>
    <d v="2025-06-22T00:00:00"/>
    <s v="Ibn Battuta Mall"/>
    <s v="P406"/>
    <n v="2"/>
    <n v="199"/>
    <x v="3"/>
    <x v="4"/>
    <s v="Beauty"/>
    <n v="90"/>
    <n v="398"/>
    <n v="180"/>
    <n v="218"/>
    <x v="5"/>
  </r>
  <r>
    <s v="ORD53337"/>
    <d v="2025-06-22T00:00:00"/>
    <s v="Mall of the Emirates"/>
    <s v="P405"/>
    <n v="1"/>
    <n v="89"/>
    <x v="3"/>
    <x v="24"/>
    <s v="Beauty"/>
    <n v="40"/>
    <n v="89"/>
    <n v="40"/>
    <n v="49"/>
    <x v="5"/>
  </r>
  <r>
    <s v="ORD53720"/>
    <d v="2025-06-22T00:00:00"/>
    <s v="Online"/>
    <s v="P505"/>
    <n v="1"/>
    <n v="99"/>
    <x v="3"/>
    <x v="11"/>
    <s v="Sports"/>
    <n v="45"/>
    <n v="99"/>
    <n v="45"/>
    <n v="54"/>
    <x v="5"/>
  </r>
  <r>
    <s v="ORD53875"/>
    <d v="2025-06-22T00:00:00"/>
    <s v="Mall of the Emirates"/>
    <s v="P308"/>
    <n v="1"/>
    <n v="229"/>
    <x v="2"/>
    <x v="0"/>
    <s v="Fashion"/>
    <n v="120"/>
    <n v="206.1"/>
    <n v="120"/>
    <n v="86.1"/>
    <x v="5"/>
  </r>
  <r>
    <s v="ORD54184"/>
    <d v="2025-06-22T00:00:00"/>
    <s v="City Centre Deira"/>
    <s v="P305"/>
    <n v="3"/>
    <n v="429"/>
    <x v="2"/>
    <x v="14"/>
    <s v="Fashion"/>
    <n v="300"/>
    <n v="1158.3"/>
    <n v="900"/>
    <n v="258.29999999999995"/>
    <x v="5"/>
  </r>
  <r>
    <s v="ORD50935"/>
    <d v="2025-06-23T00:00:00"/>
    <s v="City Centre Deira"/>
    <s v="P104"/>
    <n v="2"/>
    <n v="199"/>
    <x v="0"/>
    <x v="1"/>
    <s v="Electronics"/>
    <n v="175"/>
    <n v="338.3"/>
    <n v="350"/>
    <n v="-11.699999999999989"/>
    <x v="5"/>
  </r>
  <r>
    <s v="ORD51163"/>
    <d v="2025-06-23T00:00:00"/>
    <s v="City Centre Deira"/>
    <s v="P108"/>
    <n v="1"/>
    <n v="459"/>
    <x v="3"/>
    <x v="23"/>
    <s v="Electronics"/>
    <n v="300"/>
    <n v="459"/>
    <n v="300"/>
    <n v="159"/>
    <x v="5"/>
  </r>
  <r>
    <s v="ORD51378"/>
    <d v="2025-06-23T00:00:00"/>
    <s v="Mall of the Emirates"/>
    <s v="P404"/>
    <n v="1"/>
    <n v="189"/>
    <x v="2"/>
    <x v="6"/>
    <s v="Beauty"/>
    <n v="85"/>
    <n v="170.1"/>
    <n v="85"/>
    <n v="85.1"/>
    <x v="5"/>
  </r>
  <r>
    <s v="ORD51586"/>
    <d v="2025-06-23T00:00:00"/>
    <s v="Online"/>
    <s v="P301"/>
    <n v="2"/>
    <n v="179"/>
    <x v="0"/>
    <x v="2"/>
    <s v="Fashion"/>
    <n v="70"/>
    <n v="304.3"/>
    <n v="140"/>
    <n v="164.3"/>
    <x v="5"/>
  </r>
  <r>
    <s v="ORD51680"/>
    <d v="2025-06-23T00:00:00"/>
    <s v="Dubai Mall"/>
    <s v="P403"/>
    <n v="1"/>
    <n v="299"/>
    <x v="6"/>
    <x v="8"/>
    <s v="Beauty"/>
    <n v="240"/>
    <n v="224.25"/>
    <n v="240"/>
    <n v="-15.75"/>
    <x v="5"/>
  </r>
  <r>
    <s v="ORD51718"/>
    <d v="2025-06-23T00:00:00"/>
    <s v="Online"/>
    <s v="P206"/>
    <n v="1"/>
    <n v="129"/>
    <x v="3"/>
    <x v="28"/>
    <s v="Home &amp; Kitchen"/>
    <n v="60"/>
    <n v="129"/>
    <n v="60"/>
    <n v="69"/>
    <x v="5"/>
  </r>
  <r>
    <s v="ORD51750"/>
    <d v="2025-06-23T00:00:00"/>
    <s v="Mall of the Emirates"/>
    <s v="P206"/>
    <n v="2"/>
    <n v="129"/>
    <x v="3"/>
    <x v="28"/>
    <s v="Home &amp; Kitchen"/>
    <n v="60"/>
    <n v="258"/>
    <n v="120"/>
    <n v="138"/>
    <x v="5"/>
  </r>
  <r>
    <s v="ORD52041"/>
    <d v="2025-06-23T00:00:00"/>
    <s v="Ibn Battuta Mall"/>
    <s v="P102"/>
    <n v="1"/>
    <n v="249"/>
    <x v="5"/>
    <x v="13"/>
    <s v="Electronics"/>
    <n v="150"/>
    <n v="199.20000000000002"/>
    <n v="150"/>
    <n v="49.200000000000017"/>
    <x v="5"/>
  </r>
  <r>
    <s v="ORD52246"/>
    <d v="2025-06-23T00:00:00"/>
    <s v="Online"/>
    <s v="P203"/>
    <n v="2"/>
    <n v="349"/>
    <x v="2"/>
    <x v="21"/>
    <s v="Home &amp; Kitchen"/>
    <n v="170"/>
    <n v="628.20000000000005"/>
    <n v="340"/>
    <n v="288.20000000000005"/>
    <x v="5"/>
  </r>
  <r>
    <s v="ORD52456"/>
    <d v="2025-06-23T00:00:00"/>
    <s v="Online"/>
    <s v="P406"/>
    <n v="3"/>
    <n v="199"/>
    <x v="1"/>
    <x v="4"/>
    <s v="Beauty"/>
    <n v="90"/>
    <n v="567.15"/>
    <n v="270"/>
    <n v="297.14999999999998"/>
    <x v="5"/>
  </r>
  <r>
    <s v="ORD53278"/>
    <d v="2025-06-23T00:00:00"/>
    <s v="Mall of the Emirates"/>
    <s v="P401"/>
    <n v="2"/>
    <n v="549"/>
    <x v="3"/>
    <x v="15"/>
    <s v="Beauty"/>
    <n v="250"/>
    <n v="1098"/>
    <n v="500"/>
    <n v="598"/>
    <x v="5"/>
  </r>
  <r>
    <s v="ORD53366"/>
    <d v="2025-06-23T00:00:00"/>
    <s v="Dubai Mall"/>
    <s v="P307"/>
    <n v="4"/>
    <n v="399"/>
    <x v="3"/>
    <x v="20"/>
    <s v="Fashion"/>
    <n v="210"/>
    <n v="1596"/>
    <n v="840"/>
    <n v="756"/>
    <x v="5"/>
  </r>
  <r>
    <s v="ORD53605"/>
    <d v="2025-06-23T00:00:00"/>
    <s v="City Centre Deira"/>
    <s v="P107"/>
    <n v="1"/>
    <n v="89"/>
    <x v="5"/>
    <x v="29"/>
    <s v="Electronics"/>
    <n v="35"/>
    <n v="71.2"/>
    <n v="35"/>
    <n v="36.200000000000003"/>
    <x v="5"/>
  </r>
  <r>
    <s v="ORD50957"/>
    <d v="2025-06-24T00:00:00"/>
    <s v="Mall of the Emirates"/>
    <s v="P403"/>
    <n v="2"/>
    <n v="299"/>
    <x v="2"/>
    <x v="8"/>
    <s v="Beauty"/>
    <n v="240"/>
    <n v="538.20000000000005"/>
    <n v="480"/>
    <n v="58.200000000000045"/>
    <x v="5"/>
  </r>
  <r>
    <s v="ORD51340"/>
    <d v="2025-06-24T00:00:00"/>
    <s v="Dubai Mall"/>
    <s v="P405"/>
    <n v="1"/>
    <n v="89"/>
    <x v="1"/>
    <x v="24"/>
    <s v="Beauty"/>
    <n v="40"/>
    <n v="84.55"/>
    <n v="40"/>
    <n v="44.55"/>
    <x v="5"/>
  </r>
  <r>
    <s v="ORD51614"/>
    <d v="2025-06-24T00:00:00"/>
    <s v="Online"/>
    <s v="P303"/>
    <n v="1"/>
    <n v="149"/>
    <x v="3"/>
    <x v="7"/>
    <s v="Fashion"/>
    <n v="80"/>
    <n v="149"/>
    <n v="80"/>
    <n v="69"/>
    <x v="5"/>
  </r>
  <r>
    <s v="ORD51960"/>
    <d v="2025-06-24T00:00:00"/>
    <s v="City Centre Deira"/>
    <s v="P405"/>
    <n v="2"/>
    <n v="89"/>
    <x v="5"/>
    <x v="24"/>
    <s v="Beauty"/>
    <n v="40"/>
    <n v="142.4"/>
    <n v="80"/>
    <n v="62.400000000000006"/>
    <x v="5"/>
  </r>
  <r>
    <s v="ORD52056"/>
    <d v="2025-06-24T00:00:00"/>
    <s v="Online"/>
    <s v="P303"/>
    <n v="4"/>
    <n v="149"/>
    <x v="1"/>
    <x v="7"/>
    <s v="Fashion"/>
    <n v="80"/>
    <n v="566.19999999999993"/>
    <n v="320"/>
    <n v="246.19999999999993"/>
    <x v="5"/>
  </r>
  <r>
    <s v="ORD52294"/>
    <d v="2025-06-24T00:00:00"/>
    <s v="Mall of the Emirates"/>
    <s v="P505"/>
    <n v="2"/>
    <n v="99"/>
    <x v="3"/>
    <x v="11"/>
    <s v="Sports"/>
    <n v="45"/>
    <n v="198"/>
    <n v="90"/>
    <n v="108"/>
    <x v="5"/>
  </r>
  <r>
    <s v="ORD52379"/>
    <d v="2025-06-24T00:00:00"/>
    <s v="Ibn Battuta Mall"/>
    <s v="P102"/>
    <n v="1"/>
    <n v="249"/>
    <x v="3"/>
    <x v="13"/>
    <s v="Electronics"/>
    <n v="150"/>
    <n v="249"/>
    <n v="150"/>
    <n v="99"/>
    <x v="5"/>
  </r>
  <r>
    <s v="ORD52387"/>
    <d v="2025-06-24T00:00:00"/>
    <s v="Mall of the Emirates"/>
    <s v="P204"/>
    <n v="3"/>
    <n v="1199"/>
    <x v="0"/>
    <x v="27"/>
    <s v="Home &amp; Kitchen"/>
    <n v="1080"/>
    <n v="3057.45"/>
    <n v="3240"/>
    <n v="-182.55000000000018"/>
    <x v="5"/>
  </r>
  <r>
    <s v="ORD52876"/>
    <d v="2025-06-24T00:00:00"/>
    <s v="Ibn Battuta Mall"/>
    <s v="P104"/>
    <n v="1"/>
    <n v="199"/>
    <x v="2"/>
    <x v="1"/>
    <s v="Electronics"/>
    <n v="175"/>
    <n v="179.1"/>
    <n v="175"/>
    <n v="4.0999999999999943"/>
    <x v="5"/>
  </r>
  <r>
    <s v="ORD53007"/>
    <d v="2025-06-24T00:00:00"/>
    <s v="Dubai Mall"/>
    <s v="P401"/>
    <n v="1"/>
    <n v="549"/>
    <x v="2"/>
    <x v="15"/>
    <s v="Beauty"/>
    <n v="250"/>
    <n v="494.1"/>
    <n v="250"/>
    <n v="244.10000000000002"/>
    <x v="5"/>
  </r>
  <r>
    <s v="ORD53598"/>
    <d v="2025-06-24T00:00:00"/>
    <s v="City Centre Deira"/>
    <s v="P405"/>
    <n v="2"/>
    <n v="89"/>
    <x v="3"/>
    <x v="24"/>
    <s v="Beauty"/>
    <n v="40"/>
    <n v="178"/>
    <n v="80"/>
    <n v="98"/>
    <x v="5"/>
  </r>
  <r>
    <s v="ORD54006"/>
    <d v="2025-06-24T00:00:00"/>
    <s v="Online"/>
    <s v="P405"/>
    <n v="1"/>
    <n v="89"/>
    <x v="1"/>
    <x v="24"/>
    <s v="Beauty"/>
    <n v="40"/>
    <n v="84.55"/>
    <n v="40"/>
    <n v="44.55"/>
    <x v="5"/>
  </r>
  <r>
    <s v="ORD50044"/>
    <d v="2025-06-25T00:00:00"/>
    <s v="Mall of the Emirates"/>
    <s v="P307"/>
    <n v="3"/>
    <n v="399"/>
    <x v="3"/>
    <x v="20"/>
    <s v="Fashion"/>
    <n v="210"/>
    <n v="1197"/>
    <n v="630"/>
    <n v="567"/>
    <x v="5"/>
  </r>
  <r>
    <s v="ORD50090"/>
    <d v="2025-06-25T00:00:00"/>
    <s v="City Centre Deira"/>
    <s v="P303"/>
    <n v="1"/>
    <n v="149"/>
    <x v="3"/>
    <x v="7"/>
    <s v="Fashion"/>
    <n v="80"/>
    <n v="149"/>
    <n v="80"/>
    <n v="69"/>
    <x v="5"/>
  </r>
  <r>
    <s v="ORD50129"/>
    <d v="2025-06-25T00:00:00"/>
    <s v="Dubai Mall"/>
    <s v="P303"/>
    <n v="3"/>
    <n v="149"/>
    <x v="0"/>
    <x v="7"/>
    <s v="Fashion"/>
    <n v="80"/>
    <n v="379.95"/>
    <n v="240"/>
    <n v="139.94999999999999"/>
    <x v="5"/>
  </r>
  <r>
    <s v="ORD50161"/>
    <d v="2025-06-25T00:00:00"/>
    <s v="Online"/>
    <s v="P307"/>
    <n v="1"/>
    <n v="399"/>
    <x v="5"/>
    <x v="20"/>
    <s v="Fashion"/>
    <n v="210"/>
    <n v="319.20000000000005"/>
    <n v="210"/>
    <n v="109.20000000000005"/>
    <x v="5"/>
  </r>
  <r>
    <s v="ORD50977"/>
    <d v="2025-06-25T00:00:00"/>
    <s v="Online"/>
    <s v="P106"/>
    <n v="1"/>
    <n v="149"/>
    <x v="1"/>
    <x v="30"/>
    <s v="Electronics"/>
    <n v="70"/>
    <n v="141.54999999999998"/>
    <n v="70"/>
    <n v="71.549999999999983"/>
    <x v="5"/>
  </r>
  <r>
    <s v="ORD51029"/>
    <d v="2025-06-25T00:00:00"/>
    <s v="Dubai Mall"/>
    <s v="P308"/>
    <n v="2"/>
    <n v="229"/>
    <x v="1"/>
    <x v="0"/>
    <s v="Fashion"/>
    <n v="120"/>
    <n v="435.09999999999997"/>
    <n v="240"/>
    <n v="195.09999999999997"/>
    <x v="5"/>
  </r>
  <r>
    <s v="ORD51134"/>
    <d v="2025-06-25T00:00:00"/>
    <s v="Online"/>
    <s v="P302"/>
    <n v="1"/>
    <n v="459"/>
    <x v="5"/>
    <x v="10"/>
    <s v="Fashion"/>
    <n v="190"/>
    <n v="367.20000000000005"/>
    <n v="190"/>
    <n v="177.20000000000005"/>
    <x v="5"/>
  </r>
  <r>
    <s v="ORD51293"/>
    <d v="2025-06-25T00:00:00"/>
    <s v="Dubai Mall"/>
    <s v="P404"/>
    <n v="3"/>
    <n v="189"/>
    <x v="4"/>
    <x v="6"/>
    <s v="Beauty"/>
    <n v="85"/>
    <n v="396.9"/>
    <n v="255"/>
    <n v="141.89999999999998"/>
    <x v="5"/>
  </r>
  <r>
    <s v="ORD51816"/>
    <d v="2025-06-25T00:00:00"/>
    <s v="Dubai Mall"/>
    <s v="P308"/>
    <n v="1"/>
    <n v="229"/>
    <x v="3"/>
    <x v="0"/>
    <s v="Fashion"/>
    <n v="120"/>
    <n v="229"/>
    <n v="120"/>
    <n v="109"/>
    <x v="5"/>
  </r>
  <r>
    <s v="ORD52074"/>
    <d v="2025-06-25T00:00:00"/>
    <s v="Dubai Mall"/>
    <s v="P404"/>
    <n v="1"/>
    <n v="189"/>
    <x v="3"/>
    <x v="6"/>
    <s v="Beauty"/>
    <n v="85"/>
    <n v="189"/>
    <n v="85"/>
    <n v="104"/>
    <x v="5"/>
  </r>
  <r>
    <s v="ORD52085"/>
    <d v="2025-06-25T00:00:00"/>
    <s v="Mall of the Emirates"/>
    <s v="P106"/>
    <n v="2"/>
    <n v="149"/>
    <x v="2"/>
    <x v="30"/>
    <s v="Electronics"/>
    <n v="70"/>
    <n v="268.2"/>
    <n v="140"/>
    <n v="128.19999999999999"/>
    <x v="5"/>
  </r>
  <r>
    <s v="ORD52474"/>
    <d v="2025-06-25T00:00:00"/>
    <s v="Dubai Mall"/>
    <s v="P406"/>
    <n v="1"/>
    <n v="199"/>
    <x v="3"/>
    <x v="4"/>
    <s v="Beauty"/>
    <n v="90"/>
    <n v="199"/>
    <n v="90"/>
    <n v="109"/>
    <x v="5"/>
  </r>
  <r>
    <s v="ORD52834"/>
    <d v="2025-06-25T00:00:00"/>
    <s v="Online"/>
    <s v="P203"/>
    <n v="2"/>
    <n v="349"/>
    <x v="2"/>
    <x v="21"/>
    <s v="Home &amp; Kitchen"/>
    <n v="170"/>
    <n v="628.20000000000005"/>
    <n v="340"/>
    <n v="288.20000000000005"/>
    <x v="5"/>
  </r>
  <r>
    <s v="ORD52874"/>
    <d v="2025-06-25T00:00:00"/>
    <s v="Online"/>
    <s v="P206"/>
    <n v="1"/>
    <n v="129"/>
    <x v="3"/>
    <x v="28"/>
    <s v="Home &amp; Kitchen"/>
    <n v="60"/>
    <n v="129"/>
    <n v="60"/>
    <n v="69"/>
    <x v="5"/>
  </r>
  <r>
    <s v="ORD53762"/>
    <d v="2025-06-25T00:00:00"/>
    <s v="Ibn Battuta Mall"/>
    <s v="P405"/>
    <n v="1"/>
    <n v="89"/>
    <x v="3"/>
    <x v="24"/>
    <s v="Beauty"/>
    <n v="40"/>
    <n v="89"/>
    <n v="40"/>
    <n v="49"/>
    <x v="5"/>
  </r>
  <r>
    <s v="ORD50353"/>
    <d v="2025-06-26T00:00:00"/>
    <s v="Mall of the Emirates"/>
    <s v="P306"/>
    <n v="1"/>
    <n v="249"/>
    <x v="4"/>
    <x v="3"/>
    <s v="Fashion"/>
    <n v="95"/>
    <n v="174.29999999999998"/>
    <n v="95"/>
    <n v="79.299999999999983"/>
    <x v="5"/>
  </r>
  <r>
    <s v="ORD51325"/>
    <d v="2025-06-26T00:00:00"/>
    <s v="Online"/>
    <s v="P401"/>
    <n v="2"/>
    <n v="549"/>
    <x v="2"/>
    <x v="15"/>
    <s v="Beauty"/>
    <n v="250"/>
    <n v="988.2"/>
    <n v="500"/>
    <n v="488.20000000000005"/>
    <x v="5"/>
  </r>
  <r>
    <s v="ORD51654"/>
    <d v="2025-06-26T00:00:00"/>
    <s v="Online"/>
    <s v="P506"/>
    <n v="2"/>
    <n v="69"/>
    <x v="2"/>
    <x v="34"/>
    <s v="Sports"/>
    <n v="25"/>
    <n v="124.2"/>
    <n v="50"/>
    <n v="74.2"/>
    <x v="5"/>
  </r>
  <r>
    <s v="ORD51823"/>
    <d v="2025-06-26T00:00:00"/>
    <s v="Mall of the Emirates"/>
    <s v="P205"/>
    <n v="1"/>
    <n v="289"/>
    <x v="3"/>
    <x v="9"/>
    <s v="Home &amp; Kitchen"/>
    <n v="140"/>
    <n v="289"/>
    <n v="140"/>
    <n v="149"/>
    <x v="5"/>
  </r>
  <r>
    <s v="ORD52018"/>
    <d v="2025-06-26T00:00:00"/>
    <s v="Dubai Mall"/>
    <s v="P204"/>
    <n v="2"/>
    <n v="1199"/>
    <x v="2"/>
    <x v="27"/>
    <s v="Home &amp; Kitchen"/>
    <n v="1080"/>
    <n v="2158.2000000000003"/>
    <n v="2160"/>
    <n v="-1.7999999999997272"/>
    <x v="5"/>
  </r>
  <r>
    <s v="ORD52877"/>
    <d v="2025-06-26T00:00:00"/>
    <s v="Ibn Battuta Mall"/>
    <s v="P301"/>
    <n v="1"/>
    <n v="179"/>
    <x v="3"/>
    <x v="2"/>
    <s v="Fashion"/>
    <n v="70"/>
    <n v="179"/>
    <n v="70"/>
    <n v="109"/>
    <x v="5"/>
  </r>
  <r>
    <s v="ORD52894"/>
    <d v="2025-06-26T00:00:00"/>
    <s v="Ibn Battuta Mall"/>
    <s v="P404"/>
    <n v="2"/>
    <n v="189"/>
    <x v="1"/>
    <x v="6"/>
    <s v="Beauty"/>
    <n v="85"/>
    <n v="359.09999999999997"/>
    <n v="170"/>
    <n v="189.09999999999997"/>
    <x v="5"/>
  </r>
  <r>
    <s v="ORD53145"/>
    <d v="2025-06-26T00:00:00"/>
    <s v="Online"/>
    <s v="P206"/>
    <n v="2"/>
    <n v="129"/>
    <x v="3"/>
    <x v="28"/>
    <s v="Home &amp; Kitchen"/>
    <n v="60"/>
    <n v="258"/>
    <n v="120"/>
    <n v="138"/>
    <x v="5"/>
  </r>
  <r>
    <s v="ORD53490"/>
    <d v="2025-06-26T00:00:00"/>
    <s v="Ibn Battuta Mall"/>
    <s v="P404"/>
    <n v="3"/>
    <n v="189"/>
    <x v="3"/>
    <x v="6"/>
    <s v="Beauty"/>
    <n v="85"/>
    <n v="567"/>
    <n v="255"/>
    <n v="312"/>
    <x v="5"/>
  </r>
  <r>
    <s v="ORD50408"/>
    <d v="2025-06-27T00:00:00"/>
    <s v="City Centre Deira"/>
    <s v="P404"/>
    <n v="1"/>
    <n v="189"/>
    <x v="0"/>
    <x v="6"/>
    <s v="Beauty"/>
    <n v="85"/>
    <n v="160.65"/>
    <n v="85"/>
    <n v="75.650000000000006"/>
    <x v="5"/>
  </r>
  <r>
    <s v="ORD50777"/>
    <d v="2025-06-27T00:00:00"/>
    <s v="Online"/>
    <s v="P301"/>
    <n v="3"/>
    <n v="179"/>
    <x v="1"/>
    <x v="2"/>
    <s v="Fashion"/>
    <n v="70"/>
    <n v="510.15"/>
    <n v="210"/>
    <n v="300.14999999999998"/>
    <x v="5"/>
  </r>
  <r>
    <s v="ORD51218"/>
    <d v="2025-06-27T00:00:00"/>
    <s v="City Centre Deira"/>
    <s v="P206"/>
    <n v="1"/>
    <n v="129"/>
    <x v="0"/>
    <x v="28"/>
    <s v="Home &amp; Kitchen"/>
    <n v="60"/>
    <n v="109.64999999999999"/>
    <n v="60"/>
    <n v="49.649999999999991"/>
    <x v="5"/>
  </r>
  <r>
    <s v="ORD51334"/>
    <d v="2025-06-27T00:00:00"/>
    <s v="Online"/>
    <s v="P104"/>
    <n v="1"/>
    <n v="199"/>
    <x v="5"/>
    <x v="1"/>
    <s v="Electronics"/>
    <n v="175"/>
    <n v="159.20000000000002"/>
    <n v="175"/>
    <n v="-15.799999999999983"/>
    <x v="5"/>
  </r>
  <r>
    <s v="ORD51363"/>
    <d v="2025-06-27T00:00:00"/>
    <s v="Mall of the Emirates"/>
    <s v="P208"/>
    <n v="1"/>
    <n v="259"/>
    <x v="3"/>
    <x v="22"/>
    <s v="Home &amp; Kitchen"/>
    <n v="115"/>
    <n v="259"/>
    <n v="115"/>
    <n v="144"/>
    <x v="5"/>
  </r>
  <r>
    <s v="ORD51490"/>
    <d v="2025-06-27T00:00:00"/>
    <s v="Dubai Mall"/>
    <s v="P103"/>
    <n v="3"/>
    <n v="1299"/>
    <x v="3"/>
    <x v="25"/>
    <s v="Electronics"/>
    <n v="820"/>
    <n v="3897"/>
    <n v="2460"/>
    <n v="1437"/>
    <x v="5"/>
  </r>
  <r>
    <s v="ORD51578"/>
    <d v="2025-06-27T00:00:00"/>
    <s v="Online"/>
    <s v="P207"/>
    <n v="1"/>
    <n v="399"/>
    <x v="1"/>
    <x v="32"/>
    <s v="Home &amp; Kitchen"/>
    <n v="250"/>
    <n v="379.04999999999995"/>
    <n v="250"/>
    <n v="129.04999999999995"/>
    <x v="5"/>
  </r>
  <r>
    <s v="ORD52095"/>
    <d v="2025-06-27T00:00:00"/>
    <s v="Online"/>
    <s v="P203"/>
    <n v="1"/>
    <n v="349"/>
    <x v="3"/>
    <x v="21"/>
    <s v="Home &amp; Kitchen"/>
    <n v="170"/>
    <n v="349"/>
    <n v="170"/>
    <n v="179"/>
    <x v="5"/>
  </r>
  <r>
    <s v="ORD52323"/>
    <d v="2025-06-27T00:00:00"/>
    <s v="Online"/>
    <s v="P203"/>
    <n v="1"/>
    <n v="349"/>
    <x v="5"/>
    <x v="21"/>
    <s v="Home &amp; Kitchen"/>
    <n v="170"/>
    <n v="279.2"/>
    <n v="170"/>
    <n v="109.19999999999999"/>
    <x v="5"/>
  </r>
  <r>
    <s v="ORD52502"/>
    <d v="2025-06-27T00:00:00"/>
    <s v="Online"/>
    <s v="P207"/>
    <n v="1"/>
    <n v="399"/>
    <x v="0"/>
    <x v="32"/>
    <s v="Home &amp; Kitchen"/>
    <n v="250"/>
    <n v="339.15"/>
    <n v="250"/>
    <n v="89.149999999999977"/>
    <x v="5"/>
  </r>
  <r>
    <s v="ORD52517"/>
    <d v="2025-06-27T00:00:00"/>
    <s v="City Centre Deira"/>
    <s v="P102"/>
    <n v="2"/>
    <n v="249"/>
    <x v="3"/>
    <x v="13"/>
    <s v="Electronics"/>
    <n v="150"/>
    <n v="498"/>
    <n v="300"/>
    <n v="198"/>
    <x v="5"/>
  </r>
  <r>
    <s v="ORD52923"/>
    <d v="2025-06-27T00:00:00"/>
    <s v="Dubai Mall"/>
    <s v="P106"/>
    <n v="1"/>
    <n v="149"/>
    <x v="5"/>
    <x v="30"/>
    <s v="Electronics"/>
    <n v="70"/>
    <n v="119.2"/>
    <n v="70"/>
    <n v="49.2"/>
    <x v="5"/>
  </r>
  <r>
    <s v="ORD53039"/>
    <d v="2025-06-27T00:00:00"/>
    <s v="Online"/>
    <s v="P304"/>
    <n v="1"/>
    <n v="699"/>
    <x v="3"/>
    <x v="35"/>
    <s v="Fashion"/>
    <n v="380"/>
    <n v="699"/>
    <n v="380"/>
    <n v="319"/>
    <x v="5"/>
  </r>
  <r>
    <s v="ORD53094"/>
    <d v="2025-06-27T00:00:00"/>
    <s v="Dubai Mall"/>
    <s v="P403"/>
    <n v="1"/>
    <n v="299"/>
    <x v="5"/>
    <x v="8"/>
    <s v="Beauty"/>
    <n v="240"/>
    <n v="239.20000000000002"/>
    <n v="240"/>
    <n v="-0.79999999999998295"/>
    <x v="5"/>
  </r>
  <r>
    <s v="ORD53715"/>
    <d v="2025-06-27T00:00:00"/>
    <s v="City Centre Deira"/>
    <s v="P106"/>
    <n v="2"/>
    <n v="149"/>
    <x v="2"/>
    <x v="30"/>
    <s v="Electronics"/>
    <n v="70"/>
    <n v="268.2"/>
    <n v="140"/>
    <n v="128.19999999999999"/>
    <x v="5"/>
  </r>
  <r>
    <s v="ORD53916"/>
    <d v="2025-06-27T00:00:00"/>
    <s v="Ibn Battuta Mall"/>
    <s v="P104"/>
    <n v="1"/>
    <n v="199"/>
    <x v="5"/>
    <x v="1"/>
    <s v="Electronics"/>
    <n v="175"/>
    <n v="159.20000000000002"/>
    <n v="175"/>
    <n v="-15.799999999999983"/>
    <x v="5"/>
  </r>
  <r>
    <s v="ORD53973"/>
    <d v="2025-06-27T00:00:00"/>
    <s v="Online"/>
    <s v="P503"/>
    <n v="2"/>
    <n v="229"/>
    <x v="0"/>
    <x v="18"/>
    <s v="Sports"/>
    <n v="120"/>
    <n v="389.3"/>
    <n v="240"/>
    <n v="149.30000000000001"/>
    <x v="5"/>
  </r>
  <r>
    <s v="ORD51456"/>
    <d v="2025-06-28T00:00:00"/>
    <s v="Dubai Mall"/>
    <s v="P501"/>
    <n v="1"/>
    <n v="129"/>
    <x v="3"/>
    <x v="12"/>
    <s v="Sports"/>
    <n v="60"/>
    <n v="129"/>
    <n v="60"/>
    <n v="69"/>
    <x v="5"/>
  </r>
  <r>
    <s v="ORD51539"/>
    <d v="2025-06-28T00:00:00"/>
    <s v="Dubai Mall"/>
    <s v="P306"/>
    <n v="4"/>
    <n v="249"/>
    <x v="1"/>
    <x v="3"/>
    <s v="Fashion"/>
    <n v="95"/>
    <n v="946.19999999999993"/>
    <n v="380"/>
    <n v="566.19999999999993"/>
    <x v="5"/>
  </r>
  <r>
    <s v="ORD52004"/>
    <d v="2025-06-28T00:00:00"/>
    <s v="Dubai Mall"/>
    <s v="P304"/>
    <n v="1"/>
    <n v="699"/>
    <x v="0"/>
    <x v="35"/>
    <s v="Fashion"/>
    <n v="380"/>
    <n v="594.15"/>
    <n v="380"/>
    <n v="214.14999999999998"/>
    <x v="5"/>
  </r>
  <r>
    <s v="ORD52134"/>
    <d v="2025-06-28T00:00:00"/>
    <s v="Mall of the Emirates"/>
    <s v="P306"/>
    <n v="4"/>
    <n v="249"/>
    <x v="3"/>
    <x v="3"/>
    <s v="Fashion"/>
    <n v="95"/>
    <n v="996"/>
    <n v="380"/>
    <n v="616"/>
    <x v="5"/>
  </r>
  <r>
    <s v="ORD52329"/>
    <d v="2025-06-28T00:00:00"/>
    <s v="Dubai Mall"/>
    <s v="P203"/>
    <n v="2"/>
    <n v="349"/>
    <x v="3"/>
    <x v="21"/>
    <s v="Home &amp; Kitchen"/>
    <n v="170"/>
    <n v="698"/>
    <n v="340"/>
    <n v="358"/>
    <x v="5"/>
  </r>
  <r>
    <s v="ORD53833"/>
    <d v="2025-06-28T00:00:00"/>
    <s v="Mall of the Emirates"/>
    <s v="P206"/>
    <n v="1"/>
    <n v="129"/>
    <x v="2"/>
    <x v="28"/>
    <s v="Home &amp; Kitchen"/>
    <n v="60"/>
    <n v="116.10000000000001"/>
    <n v="60"/>
    <n v="56.100000000000009"/>
    <x v="5"/>
  </r>
  <r>
    <s v="ORD53944"/>
    <d v="2025-06-28T00:00:00"/>
    <s v="Dubai Mall"/>
    <s v="P107"/>
    <n v="1"/>
    <n v="89"/>
    <x v="1"/>
    <x v="29"/>
    <s v="Electronics"/>
    <n v="35"/>
    <n v="84.55"/>
    <n v="35"/>
    <n v="49.55"/>
    <x v="5"/>
  </r>
  <r>
    <s v="ORD54108"/>
    <d v="2025-06-28T00:00:00"/>
    <s v="Dubai Mall"/>
    <s v="P308"/>
    <n v="2"/>
    <n v="229"/>
    <x v="3"/>
    <x v="0"/>
    <s v="Fashion"/>
    <n v="120"/>
    <n v="458"/>
    <n v="240"/>
    <n v="218"/>
    <x v="5"/>
  </r>
  <r>
    <s v="ORD50723"/>
    <d v="2025-06-29T00:00:00"/>
    <s v="Ibn Battuta Mall"/>
    <s v="P102"/>
    <n v="1"/>
    <n v="249"/>
    <x v="3"/>
    <x v="13"/>
    <s v="Electronics"/>
    <n v="150"/>
    <n v="249"/>
    <n v="150"/>
    <n v="99"/>
    <x v="5"/>
  </r>
  <r>
    <s v="ORD51125"/>
    <d v="2025-06-29T00:00:00"/>
    <s v="Dubai Mall"/>
    <s v="P106"/>
    <n v="1"/>
    <n v="149"/>
    <x v="1"/>
    <x v="30"/>
    <s v="Electronics"/>
    <n v="70"/>
    <n v="141.54999999999998"/>
    <n v="70"/>
    <n v="71.549999999999983"/>
    <x v="5"/>
  </r>
  <r>
    <s v="ORD51381"/>
    <d v="2025-06-29T00:00:00"/>
    <s v="Online"/>
    <s v="P102"/>
    <n v="1"/>
    <n v="249"/>
    <x v="1"/>
    <x v="13"/>
    <s v="Electronics"/>
    <n v="150"/>
    <n v="236.54999999999998"/>
    <n v="150"/>
    <n v="86.549999999999983"/>
    <x v="5"/>
  </r>
  <r>
    <s v="ORD51618"/>
    <d v="2025-06-29T00:00:00"/>
    <s v="Online"/>
    <s v="P307"/>
    <n v="4"/>
    <n v="399"/>
    <x v="3"/>
    <x v="20"/>
    <s v="Fashion"/>
    <n v="210"/>
    <n v="1596"/>
    <n v="840"/>
    <n v="756"/>
    <x v="5"/>
  </r>
  <r>
    <s v="ORD52084"/>
    <d v="2025-06-29T00:00:00"/>
    <s v="Ibn Battuta Mall"/>
    <s v="P503"/>
    <n v="3"/>
    <n v="229"/>
    <x v="3"/>
    <x v="18"/>
    <s v="Sports"/>
    <n v="120"/>
    <n v="687"/>
    <n v="360"/>
    <n v="327"/>
    <x v="5"/>
  </r>
  <r>
    <s v="ORD52340"/>
    <d v="2025-06-29T00:00:00"/>
    <s v="City Centre Deira"/>
    <s v="P206"/>
    <n v="1"/>
    <n v="129"/>
    <x v="3"/>
    <x v="28"/>
    <s v="Home &amp; Kitchen"/>
    <n v="60"/>
    <n v="129"/>
    <n v="60"/>
    <n v="69"/>
    <x v="5"/>
  </r>
  <r>
    <s v="ORD52820"/>
    <d v="2025-06-29T00:00:00"/>
    <s v="City Centre Deira"/>
    <s v="P402"/>
    <n v="4"/>
    <n v="149"/>
    <x v="0"/>
    <x v="17"/>
    <s v="Beauty"/>
    <n v="55"/>
    <n v="506.59999999999997"/>
    <n v="220"/>
    <n v="286.59999999999997"/>
    <x v="5"/>
  </r>
  <r>
    <s v="ORD53473"/>
    <d v="2025-06-29T00:00:00"/>
    <s v="Dubai Mall"/>
    <s v="P102"/>
    <n v="2"/>
    <n v="249"/>
    <x v="0"/>
    <x v="13"/>
    <s v="Electronics"/>
    <n v="150"/>
    <n v="423.3"/>
    <n v="300"/>
    <n v="123.30000000000001"/>
    <x v="5"/>
  </r>
  <r>
    <s v="ORD53626"/>
    <d v="2025-06-29T00:00:00"/>
    <s v="Mall of the Emirates"/>
    <s v="P105"/>
    <n v="2"/>
    <n v="899"/>
    <x v="2"/>
    <x v="31"/>
    <s v="Electronics"/>
    <n v="610"/>
    <n v="1618.2"/>
    <n v="1220"/>
    <n v="398.20000000000005"/>
    <x v="5"/>
  </r>
  <r>
    <s v="ORD53744"/>
    <d v="2025-06-29T00:00:00"/>
    <s v="City Centre Deira"/>
    <s v="P403"/>
    <n v="1"/>
    <n v="299"/>
    <x v="0"/>
    <x v="8"/>
    <s v="Beauty"/>
    <n v="240"/>
    <n v="254.15"/>
    <n v="240"/>
    <n v="14.150000000000006"/>
    <x v="5"/>
  </r>
  <r>
    <s v="ORD53835"/>
    <d v="2025-06-29T00:00:00"/>
    <s v="Ibn Battuta Mall"/>
    <s v="P104"/>
    <n v="1"/>
    <n v="199"/>
    <x v="0"/>
    <x v="1"/>
    <s v="Electronics"/>
    <n v="175"/>
    <n v="169.15"/>
    <n v="175"/>
    <n v="-5.8499999999999943"/>
    <x v="5"/>
  </r>
  <r>
    <s v="ORD50269"/>
    <d v="2025-06-30T00:00:00"/>
    <s v="Online"/>
    <s v="P308"/>
    <n v="3"/>
    <n v="229"/>
    <x v="3"/>
    <x v="0"/>
    <s v="Fashion"/>
    <n v="120"/>
    <n v="687"/>
    <n v="360"/>
    <n v="327"/>
    <x v="5"/>
  </r>
  <r>
    <s v="ORD50665"/>
    <d v="2025-06-30T00:00:00"/>
    <s v="Mall of the Emirates"/>
    <s v="P104"/>
    <n v="2"/>
    <n v="199"/>
    <x v="0"/>
    <x v="1"/>
    <s v="Electronics"/>
    <n v="175"/>
    <n v="338.3"/>
    <n v="350"/>
    <n v="-11.699999999999989"/>
    <x v="5"/>
  </r>
  <r>
    <s v="ORD51058"/>
    <d v="2025-06-30T00:00:00"/>
    <s v="Dubai Mall"/>
    <s v="P106"/>
    <n v="2"/>
    <n v="149"/>
    <x v="2"/>
    <x v="30"/>
    <s v="Electronics"/>
    <n v="70"/>
    <n v="268.2"/>
    <n v="140"/>
    <n v="128.19999999999999"/>
    <x v="5"/>
  </r>
  <r>
    <s v="ORD51225"/>
    <d v="2025-06-30T00:00:00"/>
    <s v="Dubai Mall"/>
    <s v="P402"/>
    <n v="1"/>
    <n v="149"/>
    <x v="5"/>
    <x v="17"/>
    <s v="Beauty"/>
    <n v="55"/>
    <n v="119.2"/>
    <n v="55"/>
    <n v="64.2"/>
    <x v="5"/>
  </r>
  <r>
    <s v="ORD51515"/>
    <d v="2025-06-30T00:00:00"/>
    <s v="Online"/>
    <s v="P403"/>
    <n v="2"/>
    <n v="299"/>
    <x v="6"/>
    <x v="8"/>
    <s v="Beauty"/>
    <n v="240"/>
    <n v="448.5"/>
    <n v="480"/>
    <n v="-31.5"/>
    <x v="5"/>
  </r>
  <r>
    <s v="ORD51635"/>
    <d v="2025-06-30T00:00:00"/>
    <s v="City Centre Deira"/>
    <s v="P208"/>
    <n v="2"/>
    <n v="259"/>
    <x v="1"/>
    <x v="22"/>
    <s v="Home &amp; Kitchen"/>
    <n v="115"/>
    <n v="492.09999999999997"/>
    <n v="230"/>
    <n v="262.09999999999997"/>
    <x v="5"/>
  </r>
  <r>
    <s v="ORD51691"/>
    <d v="2025-06-30T00:00:00"/>
    <s v="Dubai Mall"/>
    <s v="P203"/>
    <n v="1"/>
    <n v="349"/>
    <x v="3"/>
    <x v="21"/>
    <s v="Home &amp; Kitchen"/>
    <n v="170"/>
    <n v="349"/>
    <n v="170"/>
    <n v="179"/>
    <x v="5"/>
  </r>
  <r>
    <s v="ORD52118"/>
    <d v="2025-06-30T00:00:00"/>
    <s v="Online"/>
    <s v="P303"/>
    <n v="1"/>
    <n v="149"/>
    <x v="3"/>
    <x v="7"/>
    <s v="Fashion"/>
    <n v="80"/>
    <n v="149"/>
    <n v="80"/>
    <n v="69"/>
    <x v="5"/>
  </r>
  <r>
    <s v="ORD52392"/>
    <d v="2025-06-30T00:00:00"/>
    <s v="City Centre Deira"/>
    <s v="P206"/>
    <n v="1"/>
    <n v="129"/>
    <x v="3"/>
    <x v="28"/>
    <s v="Home &amp; Kitchen"/>
    <n v="60"/>
    <n v="129"/>
    <n v="60"/>
    <n v="69"/>
    <x v="5"/>
  </r>
  <r>
    <s v="ORD52681"/>
    <d v="2025-06-30T00:00:00"/>
    <s v="Ibn Battuta Mall"/>
    <s v="P203"/>
    <n v="3"/>
    <n v="349"/>
    <x v="3"/>
    <x v="21"/>
    <s v="Home &amp; Kitchen"/>
    <n v="170"/>
    <n v="1047"/>
    <n v="510"/>
    <n v="537"/>
    <x v="5"/>
  </r>
  <r>
    <s v="ORD52762"/>
    <d v="2025-06-30T00:00:00"/>
    <s v="Online"/>
    <s v="P302"/>
    <n v="4"/>
    <n v="459"/>
    <x v="2"/>
    <x v="10"/>
    <s v="Fashion"/>
    <n v="190"/>
    <n v="1652.4"/>
    <n v="760"/>
    <n v="892.40000000000009"/>
    <x v="5"/>
  </r>
  <r>
    <s v="ORD53447"/>
    <d v="2025-06-30T00:00:00"/>
    <s v="Ibn Battuta Mall"/>
    <s v="P105"/>
    <n v="1"/>
    <n v="899"/>
    <x v="3"/>
    <x v="31"/>
    <s v="Electronics"/>
    <n v="610"/>
    <n v="899"/>
    <n v="610"/>
    <n v="289"/>
    <x v="5"/>
  </r>
  <r>
    <s v="ORD53500"/>
    <d v="2025-06-30T00:00:00"/>
    <s v="Dubai Mall"/>
    <s v="P404"/>
    <n v="2"/>
    <n v="189"/>
    <x v="1"/>
    <x v="6"/>
    <s v="Beauty"/>
    <n v="85"/>
    <n v="359.09999999999997"/>
    <n v="170"/>
    <n v="189.09999999999997"/>
    <x v="5"/>
  </r>
  <r>
    <s v="ORD53905"/>
    <d v="2025-06-30T00:00:00"/>
    <s v="Dubai Mall"/>
    <s v="P406"/>
    <n v="2"/>
    <n v="199"/>
    <x v="5"/>
    <x v="4"/>
    <s v="Beauty"/>
    <n v="90"/>
    <n v="318.40000000000003"/>
    <n v="180"/>
    <n v="138.40000000000003"/>
    <x v="5"/>
  </r>
  <r>
    <s v="ORD51259"/>
    <d v="2025-07-01T00:00:00"/>
    <s v="Online"/>
    <s v="P308"/>
    <n v="3"/>
    <n v="229"/>
    <x v="3"/>
    <x v="0"/>
    <s v="Fashion"/>
    <n v="120"/>
    <n v="687"/>
    <n v="360"/>
    <n v="327"/>
    <x v="6"/>
  </r>
  <r>
    <s v="ORD51284"/>
    <d v="2025-07-01T00:00:00"/>
    <s v="Online"/>
    <s v="P101"/>
    <n v="1"/>
    <n v="399"/>
    <x v="5"/>
    <x v="5"/>
    <s v="Electronics"/>
    <n v="230"/>
    <n v="319.20000000000005"/>
    <n v="230"/>
    <n v="89.200000000000045"/>
    <x v="6"/>
  </r>
  <r>
    <s v="ORD51466"/>
    <d v="2025-07-01T00:00:00"/>
    <s v="Ibn Battuta Mall"/>
    <s v="P105"/>
    <n v="2"/>
    <n v="899"/>
    <x v="3"/>
    <x v="31"/>
    <s v="Electronics"/>
    <n v="610"/>
    <n v="1798"/>
    <n v="1220"/>
    <n v="578"/>
    <x v="6"/>
  </r>
  <r>
    <s v="ORD52337"/>
    <d v="2025-07-01T00:00:00"/>
    <s v="Online"/>
    <s v="P307"/>
    <n v="1"/>
    <n v="399"/>
    <x v="3"/>
    <x v="20"/>
    <s v="Fashion"/>
    <n v="210"/>
    <n v="399"/>
    <n v="210"/>
    <n v="189"/>
    <x v="6"/>
  </r>
  <r>
    <s v="ORD52605"/>
    <d v="2025-07-01T00:00:00"/>
    <s v="Dubai Mall"/>
    <s v="P104"/>
    <n v="1"/>
    <n v="199"/>
    <x v="5"/>
    <x v="1"/>
    <s v="Electronics"/>
    <n v="175"/>
    <n v="159.20000000000002"/>
    <n v="175"/>
    <n v="-15.799999999999983"/>
    <x v="6"/>
  </r>
  <r>
    <s v="ORD53592"/>
    <d v="2025-07-01T00:00:00"/>
    <s v="Online"/>
    <s v="P302"/>
    <n v="1"/>
    <n v="459"/>
    <x v="1"/>
    <x v="10"/>
    <s v="Fashion"/>
    <n v="190"/>
    <n v="436.04999999999995"/>
    <n v="190"/>
    <n v="246.04999999999995"/>
    <x v="6"/>
  </r>
  <r>
    <s v="ORD53979"/>
    <d v="2025-07-01T00:00:00"/>
    <s v="Online"/>
    <s v="P103"/>
    <n v="1"/>
    <n v="1299"/>
    <x v="3"/>
    <x v="25"/>
    <s v="Electronics"/>
    <n v="820"/>
    <n v="1299"/>
    <n v="820"/>
    <n v="479"/>
    <x v="6"/>
  </r>
  <r>
    <s v="ORD50266"/>
    <d v="2025-07-02T00:00:00"/>
    <s v="Mall of the Emirates"/>
    <s v="P108"/>
    <n v="1"/>
    <n v="459"/>
    <x v="3"/>
    <x v="23"/>
    <s v="Electronics"/>
    <n v="300"/>
    <n v="459"/>
    <n v="300"/>
    <n v="159"/>
    <x v="6"/>
  </r>
  <r>
    <s v="ORD50332"/>
    <d v="2025-07-02T00:00:00"/>
    <s v="Dubai Mall"/>
    <s v="P303"/>
    <n v="2"/>
    <n v="149"/>
    <x v="2"/>
    <x v="7"/>
    <s v="Fashion"/>
    <n v="80"/>
    <n v="268.2"/>
    <n v="160"/>
    <n v="108.19999999999999"/>
    <x v="6"/>
  </r>
  <r>
    <s v="ORD50402"/>
    <d v="2025-07-02T00:00:00"/>
    <s v="Ibn Battuta Mall"/>
    <s v="P308"/>
    <n v="1"/>
    <n v="229"/>
    <x v="3"/>
    <x v="0"/>
    <s v="Fashion"/>
    <n v="120"/>
    <n v="229"/>
    <n v="120"/>
    <n v="109"/>
    <x v="6"/>
  </r>
  <r>
    <s v="ORD51014"/>
    <d v="2025-07-02T00:00:00"/>
    <s v="Mall of the Emirates"/>
    <s v="P303"/>
    <n v="3"/>
    <n v="149"/>
    <x v="1"/>
    <x v="7"/>
    <s v="Fashion"/>
    <n v="80"/>
    <n v="424.65"/>
    <n v="240"/>
    <n v="184.64999999999998"/>
    <x v="6"/>
  </r>
  <r>
    <s v="ORD51270"/>
    <d v="2025-07-02T00:00:00"/>
    <s v="Dubai Mall"/>
    <s v="P208"/>
    <n v="3"/>
    <n v="259"/>
    <x v="3"/>
    <x v="22"/>
    <s v="Home &amp; Kitchen"/>
    <n v="115"/>
    <n v="777"/>
    <n v="345"/>
    <n v="432"/>
    <x v="6"/>
  </r>
  <r>
    <s v="ORD51644"/>
    <d v="2025-07-02T00:00:00"/>
    <s v="Dubai Mall"/>
    <s v="P108"/>
    <n v="2"/>
    <n v="459"/>
    <x v="2"/>
    <x v="23"/>
    <s v="Electronics"/>
    <n v="300"/>
    <n v="826.2"/>
    <n v="600"/>
    <n v="226.20000000000005"/>
    <x v="6"/>
  </r>
  <r>
    <s v="ORD51962"/>
    <d v="2025-07-02T00:00:00"/>
    <s v="Mall of the Emirates"/>
    <s v="P501"/>
    <n v="3"/>
    <n v="129"/>
    <x v="1"/>
    <x v="12"/>
    <s v="Sports"/>
    <n v="60"/>
    <n v="367.65"/>
    <n v="180"/>
    <n v="187.64999999999998"/>
    <x v="6"/>
  </r>
  <r>
    <s v="ORD52946"/>
    <d v="2025-07-02T00:00:00"/>
    <s v="City Centre Deira"/>
    <s v="P306"/>
    <n v="1"/>
    <n v="249"/>
    <x v="2"/>
    <x v="3"/>
    <s v="Fashion"/>
    <n v="95"/>
    <n v="224.1"/>
    <n v="95"/>
    <n v="129.1"/>
    <x v="6"/>
  </r>
  <r>
    <s v="ORD53104"/>
    <d v="2025-07-02T00:00:00"/>
    <s v="City Centre Deira"/>
    <s v="P101"/>
    <n v="2"/>
    <n v="399"/>
    <x v="3"/>
    <x v="5"/>
    <s v="Electronics"/>
    <n v="230"/>
    <n v="798"/>
    <n v="460"/>
    <n v="338"/>
    <x v="6"/>
  </r>
  <r>
    <s v="ORD53132"/>
    <d v="2025-07-02T00:00:00"/>
    <s v="Dubai Mall"/>
    <s v="P106"/>
    <n v="2"/>
    <n v="149"/>
    <x v="5"/>
    <x v="30"/>
    <s v="Electronics"/>
    <n v="70"/>
    <n v="238.4"/>
    <n v="140"/>
    <n v="98.4"/>
    <x v="6"/>
  </r>
  <r>
    <s v="ORD53703"/>
    <d v="2025-07-02T00:00:00"/>
    <s v="Mall of the Emirates"/>
    <s v="P102"/>
    <n v="2"/>
    <n v="249"/>
    <x v="5"/>
    <x v="13"/>
    <s v="Electronics"/>
    <n v="150"/>
    <n v="398.40000000000003"/>
    <n v="300"/>
    <n v="98.400000000000034"/>
    <x v="6"/>
  </r>
  <r>
    <s v="ORD54107"/>
    <d v="2025-07-02T00:00:00"/>
    <s v="Dubai Mall"/>
    <s v="P106"/>
    <n v="1"/>
    <n v="149"/>
    <x v="1"/>
    <x v="30"/>
    <s v="Electronics"/>
    <n v="70"/>
    <n v="141.54999999999998"/>
    <n v="70"/>
    <n v="71.549999999999983"/>
    <x v="6"/>
  </r>
  <r>
    <s v="ORD50033"/>
    <d v="2025-07-03T00:00:00"/>
    <s v="Online"/>
    <s v="P308"/>
    <n v="1"/>
    <n v="229"/>
    <x v="2"/>
    <x v="0"/>
    <s v="Fashion"/>
    <n v="120"/>
    <n v="206.1"/>
    <n v="120"/>
    <n v="86.1"/>
    <x v="6"/>
  </r>
  <r>
    <s v="ORD50089"/>
    <d v="2025-07-03T00:00:00"/>
    <s v="Online"/>
    <s v="P501"/>
    <n v="1"/>
    <n v="129"/>
    <x v="1"/>
    <x v="12"/>
    <s v="Sports"/>
    <n v="60"/>
    <n v="122.55"/>
    <n v="60"/>
    <n v="62.55"/>
    <x v="6"/>
  </r>
  <r>
    <s v="ORD50421"/>
    <d v="2025-07-03T00:00:00"/>
    <s v="Ibn Battuta Mall"/>
    <s v="P101"/>
    <n v="1"/>
    <n v="399"/>
    <x v="3"/>
    <x v="5"/>
    <s v="Electronics"/>
    <n v="230"/>
    <n v="399"/>
    <n v="230"/>
    <n v="169"/>
    <x v="6"/>
  </r>
  <r>
    <s v="ORD51424"/>
    <d v="2025-07-03T00:00:00"/>
    <s v="Mall of the Emirates"/>
    <s v="P402"/>
    <n v="4"/>
    <n v="149"/>
    <x v="5"/>
    <x v="17"/>
    <s v="Beauty"/>
    <n v="55"/>
    <n v="476.8"/>
    <n v="220"/>
    <n v="256.8"/>
    <x v="6"/>
  </r>
  <r>
    <s v="ORD52482"/>
    <d v="2025-07-03T00:00:00"/>
    <s v="Online"/>
    <s v="P306"/>
    <n v="4"/>
    <n v="249"/>
    <x v="3"/>
    <x v="3"/>
    <s v="Fashion"/>
    <n v="95"/>
    <n v="996"/>
    <n v="380"/>
    <n v="616"/>
    <x v="6"/>
  </r>
  <r>
    <s v="ORD53003"/>
    <d v="2025-07-03T00:00:00"/>
    <s v="Dubai Mall"/>
    <s v="P401"/>
    <n v="1"/>
    <n v="549"/>
    <x v="1"/>
    <x v="15"/>
    <s v="Beauty"/>
    <n v="250"/>
    <n v="521.54999999999995"/>
    <n v="250"/>
    <n v="271.54999999999995"/>
    <x v="6"/>
  </r>
  <r>
    <s v="ORD53186"/>
    <d v="2025-07-03T00:00:00"/>
    <s v="Mall of the Emirates"/>
    <s v="P306"/>
    <n v="3"/>
    <n v="249"/>
    <x v="3"/>
    <x v="3"/>
    <s v="Fashion"/>
    <n v="95"/>
    <n v="747"/>
    <n v="285"/>
    <n v="462"/>
    <x v="6"/>
  </r>
  <r>
    <s v="ORD53508"/>
    <d v="2025-07-03T00:00:00"/>
    <s v="Mall of the Emirates"/>
    <s v="P205"/>
    <n v="1"/>
    <n v="289"/>
    <x v="2"/>
    <x v="9"/>
    <s v="Home &amp; Kitchen"/>
    <n v="140"/>
    <n v="260.10000000000002"/>
    <n v="140"/>
    <n v="120.10000000000002"/>
    <x v="6"/>
  </r>
  <r>
    <s v="ORD50096"/>
    <d v="2025-07-04T00:00:00"/>
    <s v="Mall of the Emirates"/>
    <s v="P402"/>
    <n v="1"/>
    <n v="149"/>
    <x v="3"/>
    <x v="17"/>
    <s v="Beauty"/>
    <n v="55"/>
    <n v="149"/>
    <n v="55"/>
    <n v="94"/>
    <x v="6"/>
  </r>
  <r>
    <s v="ORD50259"/>
    <d v="2025-07-04T00:00:00"/>
    <s v="Dubai Mall"/>
    <s v="P105"/>
    <n v="2"/>
    <n v="899"/>
    <x v="3"/>
    <x v="31"/>
    <s v="Electronics"/>
    <n v="610"/>
    <n v="1798"/>
    <n v="1220"/>
    <n v="578"/>
    <x v="6"/>
  </r>
  <r>
    <s v="ORD50283"/>
    <d v="2025-07-04T00:00:00"/>
    <s v="Dubai Mall"/>
    <s v="P302"/>
    <n v="2"/>
    <n v="459"/>
    <x v="3"/>
    <x v="10"/>
    <s v="Fashion"/>
    <n v="190"/>
    <n v="918"/>
    <n v="380"/>
    <n v="538"/>
    <x v="6"/>
  </r>
  <r>
    <s v="ORD50551"/>
    <d v="2025-07-04T00:00:00"/>
    <s v="Online"/>
    <s v="P101"/>
    <n v="1"/>
    <n v="399"/>
    <x v="3"/>
    <x v="5"/>
    <s v="Electronics"/>
    <n v="230"/>
    <n v="399"/>
    <n v="230"/>
    <n v="169"/>
    <x v="6"/>
  </r>
  <r>
    <s v="ORD50579"/>
    <d v="2025-07-04T00:00:00"/>
    <s v="Mall of the Emirates"/>
    <s v="P506"/>
    <n v="1"/>
    <n v="69"/>
    <x v="3"/>
    <x v="34"/>
    <s v="Sports"/>
    <n v="25"/>
    <n v="69"/>
    <n v="25"/>
    <n v="44"/>
    <x v="6"/>
  </r>
  <r>
    <s v="ORD50685"/>
    <d v="2025-07-04T00:00:00"/>
    <s v="Ibn Battuta Mall"/>
    <s v="P101"/>
    <n v="1"/>
    <n v="399"/>
    <x v="3"/>
    <x v="5"/>
    <s v="Electronics"/>
    <n v="230"/>
    <n v="399"/>
    <n v="230"/>
    <n v="169"/>
    <x v="6"/>
  </r>
  <r>
    <s v="ORD51228"/>
    <d v="2025-07-04T00:00:00"/>
    <s v="Online"/>
    <s v="P404"/>
    <n v="1"/>
    <n v="189"/>
    <x v="1"/>
    <x v="6"/>
    <s v="Beauty"/>
    <n v="85"/>
    <n v="179.54999999999998"/>
    <n v="85"/>
    <n v="94.549999999999983"/>
    <x v="6"/>
  </r>
  <r>
    <s v="ORD51253"/>
    <d v="2025-07-04T00:00:00"/>
    <s v="Mall of the Emirates"/>
    <s v="P308"/>
    <n v="1"/>
    <n v="229"/>
    <x v="2"/>
    <x v="0"/>
    <s v="Fashion"/>
    <n v="120"/>
    <n v="206.1"/>
    <n v="120"/>
    <n v="86.1"/>
    <x v="6"/>
  </r>
  <r>
    <s v="ORD51710"/>
    <d v="2025-07-04T00:00:00"/>
    <s v="City Centre Deira"/>
    <s v="P405"/>
    <n v="4"/>
    <n v="89"/>
    <x v="1"/>
    <x v="24"/>
    <s v="Beauty"/>
    <n v="40"/>
    <n v="338.2"/>
    <n v="160"/>
    <n v="178.2"/>
    <x v="6"/>
  </r>
  <r>
    <s v="ORD51723"/>
    <d v="2025-07-04T00:00:00"/>
    <s v="Mall of the Emirates"/>
    <s v="P205"/>
    <n v="4"/>
    <n v="289"/>
    <x v="1"/>
    <x v="9"/>
    <s v="Home &amp; Kitchen"/>
    <n v="140"/>
    <n v="1098.2"/>
    <n v="560"/>
    <n v="538.20000000000005"/>
    <x v="6"/>
  </r>
  <r>
    <s v="ORD52102"/>
    <d v="2025-07-04T00:00:00"/>
    <s v="Mall of the Emirates"/>
    <s v="P106"/>
    <n v="1"/>
    <n v="149"/>
    <x v="3"/>
    <x v="30"/>
    <s v="Electronics"/>
    <n v="70"/>
    <n v="149"/>
    <n v="70"/>
    <n v="79"/>
    <x v="6"/>
  </r>
  <r>
    <s v="ORD52252"/>
    <d v="2025-07-04T00:00:00"/>
    <s v="Online"/>
    <s v="P503"/>
    <n v="2"/>
    <n v="229"/>
    <x v="3"/>
    <x v="18"/>
    <s v="Sports"/>
    <n v="120"/>
    <n v="458"/>
    <n v="240"/>
    <n v="218"/>
    <x v="6"/>
  </r>
  <r>
    <s v="ORD52661"/>
    <d v="2025-07-04T00:00:00"/>
    <s v="Online"/>
    <s v="P304"/>
    <n v="1"/>
    <n v="699"/>
    <x v="5"/>
    <x v="35"/>
    <s v="Fashion"/>
    <n v="380"/>
    <n v="559.20000000000005"/>
    <n v="380"/>
    <n v="179.20000000000005"/>
    <x v="6"/>
  </r>
  <r>
    <s v="ORD52912"/>
    <d v="2025-07-04T00:00:00"/>
    <s v="City Centre Deira"/>
    <s v="P102"/>
    <n v="2"/>
    <n v="249"/>
    <x v="2"/>
    <x v="13"/>
    <s v="Electronics"/>
    <n v="150"/>
    <n v="448.2"/>
    <n v="300"/>
    <n v="148.19999999999999"/>
    <x v="6"/>
  </r>
  <r>
    <s v="ORD53193"/>
    <d v="2025-07-04T00:00:00"/>
    <s v="Ibn Battuta Mall"/>
    <s v="P302"/>
    <n v="1"/>
    <n v="459"/>
    <x v="0"/>
    <x v="10"/>
    <s v="Fashion"/>
    <n v="190"/>
    <n v="390.15"/>
    <n v="190"/>
    <n v="200.14999999999998"/>
    <x v="6"/>
  </r>
  <r>
    <s v="ORD53320"/>
    <d v="2025-07-04T00:00:00"/>
    <s v="Ibn Battuta Mall"/>
    <s v="P405"/>
    <n v="1"/>
    <n v="89"/>
    <x v="2"/>
    <x v="24"/>
    <s v="Beauty"/>
    <n v="40"/>
    <n v="80.100000000000009"/>
    <n v="40"/>
    <n v="40.100000000000009"/>
    <x v="6"/>
  </r>
  <r>
    <s v="ORD53647"/>
    <d v="2025-07-04T00:00:00"/>
    <s v="Dubai Mall"/>
    <s v="P203"/>
    <n v="1"/>
    <n v="349"/>
    <x v="3"/>
    <x v="21"/>
    <s v="Home &amp; Kitchen"/>
    <n v="170"/>
    <n v="349"/>
    <n v="170"/>
    <n v="179"/>
    <x v="6"/>
  </r>
  <r>
    <s v="ORD53866"/>
    <d v="2025-07-04T00:00:00"/>
    <s v="Dubai Mall"/>
    <s v="P102"/>
    <n v="1"/>
    <n v="249"/>
    <x v="3"/>
    <x v="13"/>
    <s v="Electronics"/>
    <n v="150"/>
    <n v="249"/>
    <n v="150"/>
    <n v="99"/>
    <x v="6"/>
  </r>
  <r>
    <s v="ORD53935"/>
    <d v="2025-07-04T00:00:00"/>
    <s v="Mall of the Emirates"/>
    <s v="P105"/>
    <n v="1"/>
    <n v="899"/>
    <x v="3"/>
    <x v="31"/>
    <s v="Electronics"/>
    <n v="610"/>
    <n v="899"/>
    <n v="610"/>
    <n v="289"/>
    <x v="6"/>
  </r>
  <r>
    <s v="ORD50031"/>
    <d v="2025-07-05T00:00:00"/>
    <s v="Mall of the Emirates"/>
    <s v="P105"/>
    <n v="1"/>
    <n v="899"/>
    <x v="2"/>
    <x v="31"/>
    <s v="Electronics"/>
    <n v="610"/>
    <n v="809.1"/>
    <n v="610"/>
    <n v="199.10000000000002"/>
    <x v="6"/>
  </r>
  <r>
    <s v="ORD50555"/>
    <d v="2025-07-05T00:00:00"/>
    <s v="Mall of the Emirates"/>
    <s v="P303"/>
    <n v="1"/>
    <n v="149"/>
    <x v="1"/>
    <x v="7"/>
    <s v="Fashion"/>
    <n v="80"/>
    <n v="141.54999999999998"/>
    <n v="80"/>
    <n v="61.549999999999983"/>
    <x v="6"/>
  </r>
  <r>
    <s v="ORD51173"/>
    <d v="2025-07-05T00:00:00"/>
    <s v="Ibn Battuta Mall"/>
    <s v="P305"/>
    <n v="2"/>
    <n v="429"/>
    <x v="2"/>
    <x v="14"/>
    <s v="Fashion"/>
    <n v="300"/>
    <n v="772.2"/>
    <n v="600"/>
    <n v="172.20000000000005"/>
    <x v="6"/>
  </r>
  <r>
    <s v="ORD51427"/>
    <d v="2025-07-05T00:00:00"/>
    <s v="City Centre Deira"/>
    <s v="P405"/>
    <n v="2"/>
    <n v="89"/>
    <x v="3"/>
    <x v="24"/>
    <s v="Beauty"/>
    <n v="40"/>
    <n v="178"/>
    <n v="80"/>
    <n v="98"/>
    <x v="6"/>
  </r>
  <r>
    <s v="ORD52920"/>
    <d v="2025-07-05T00:00:00"/>
    <s v="Online"/>
    <s v="P102"/>
    <n v="3"/>
    <n v="249"/>
    <x v="2"/>
    <x v="13"/>
    <s v="Electronics"/>
    <n v="150"/>
    <n v="672.30000000000007"/>
    <n v="450"/>
    <n v="222.30000000000007"/>
    <x v="6"/>
  </r>
  <r>
    <s v="ORD52989"/>
    <d v="2025-07-05T00:00:00"/>
    <s v="Dubai Mall"/>
    <s v="P207"/>
    <n v="2"/>
    <n v="399"/>
    <x v="3"/>
    <x v="32"/>
    <s v="Home &amp; Kitchen"/>
    <n v="250"/>
    <n v="798"/>
    <n v="500"/>
    <n v="298"/>
    <x v="6"/>
  </r>
  <r>
    <s v="ORD53092"/>
    <d v="2025-07-05T00:00:00"/>
    <s v="Ibn Battuta Mall"/>
    <s v="P206"/>
    <n v="1"/>
    <n v="129"/>
    <x v="3"/>
    <x v="28"/>
    <s v="Home &amp; Kitchen"/>
    <n v="60"/>
    <n v="129"/>
    <n v="60"/>
    <n v="69"/>
    <x v="6"/>
  </r>
  <r>
    <s v="ORD53486"/>
    <d v="2025-07-05T00:00:00"/>
    <s v="City Centre Deira"/>
    <s v="P101"/>
    <n v="1"/>
    <n v="399"/>
    <x v="3"/>
    <x v="5"/>
    <s v="Electronics"/>
    <n v="230"/>
    <n v="399"/>
    <n v="230"/>
    <n v="169"/>
    <x v="6"/>
  </r>
  <r>
    <s v="ORD53732"/>
    <d v="2025-07-05T00:00:00"/>
    <s v="City Centre Deira"/>
    <s v="P404"/>
    <n v="1"/>
    <n v="189"/>
    <x v="2"/>
    <x v="6"/>
    <s v="Beauty"/>
    <n v="85"/>
    <n v="170.1"/>
    <n v="85"/>
    <n v="85.1"/>
    <x v="6"/>
  </r>
  <r>
    <s v="ORD53947"/>
    <d v="2025-07-05T00:00:00"/>
    <s v="City Centre Deira"/>
    <s v="P302"/>
    <n v="1"/>
    <n v="459"/>
    <x v="2"/>
    <x v="10"/>
    <s v="Fashion"/>
    <n v="190"/>
    <n v="413.1"/>
    <n v="190"/>
    <n v="223.10000000000002"/>
    <x v="6"/>
  </r>
  <r>
    <s v="ORD50552"/>
    <d v="2025-07-06T00:00:00"/>
    <s v="Ibn Battuta Mall"/>
    <s v="P204"/>
    <n v="1"/>
    <n v="1199"/>
    <x v="6"/>
    <x v="27"/>
    <s v="Home &amp; Kitchen"/>
    <n v="1080"/>
    <n v="899.25"/>
    <n v="1080"/>
    <n v="-180.75"/>
    <x v="6"/>
  </r>
  <r>
    <s v="ORD50786"/>
    <d v="2025-07-06T00:00:00"/>
    <s v="Dubai Mall"/>
    <s v="P406"/>
    <n v="2"/>
    <n v="199"/>
    <x v="2"/>
    <x v="4"/>
    <s v="Beauty"/>
    <n v="90"/>
    <n v="358.2"/>
    <n v="180"/>
    <n v="178.2"/>
    <x v="6"/>
  </r>
  <r>
    <s v="ORD51210"/>
    <d v="2025-07-06T00:00:00"/>
    <s v="Dubai Mall"/>
    <s v="P106"/>
    <n v="2"/>
    <n v="149"/>
    <x v="3"/>
    <x v="30"/>
    <s v="Electronics"/>
    <n v="70"/>
    <n v="298"/>
    <n v="140"/>
    <n v="158"/>
    <x v="6"/>
  </r>
  <r>
    <s v="ORD51542"/>
    <d v="2025-07-06T00:00:00"/>
    <s v="Ibn Battuta Mall"/>
    <s v="P404"/>
    <n v="2"/>
    <n v="189"/>
    <x v="4"/>
    <x v="6"/>
    <s v="Beauty"/>
    <n v="85"/>
    <n v="264.59999999999997"/>
    <n v="170"/>
    <n v="94.599999999999966"/>
    <x v="6"/>
  </r>
  <r>
    <s v="ORD51616"/>
    <d v="2025-07-06T00:00:00"/>
    <s v="Online"/>
    <s v="P103"/>
    <n v="1"/>
    <n v="1299"/>
    <x v="0"/>
    <x v="25"/>
    <s v="Electronics"/>
    <n v="820"/>
    <n v="1104.1499999999999"/>
    <n v="820"/>
    <n v="284.14999999999986"/>
    <x v="6"/>
  </r>
  <r>
    <s v="ORD52218"/>
    <d v="2025-07-06T00:00:00"/>
    <s v="Mall of the Emirates"/>
    <s v="P208"/>
    <n v="2"/>
    <n v="259"/>
    <x v="1"/>
    <x v="22"/>
    <s v="Home &amp; Kitchen"/>
    <n v="115"/>
    <n v="492.09999999999997"/>
    <n v="230"/>
    <n v="262.09999999999997"/>
    <x v="6"/>
  </r>
  <r>
    <s v="ORD52705"/>
    <d v="2025-07-06T00:00:00"/>
    <s v="Mall of the Emirates"/>
    <s v="P102"/>
    <n v="1"/>
    <n v="249"/>
    <x v="0"/>
    <x v="13"/>
    <s v="Electronics"/>
    <n v="150"/>
    <n v="211.65"/>
    <n v="150"/>
    <n v="61.650000000000006"/>
    <x v="6"/>
  </r>
  <r>
    <s v="ORD54037"/>
    <d v="2025-07-06T00:00:00"/>
    <s v="Mall of the Emirates"/>
    <s v="P402"/>
    <n v="2"/>
    <n v="149"/>
    <x v="2"/>
    <x v="17"/>
    <s v="Beauty"/>
    <n v="55"/>
    <n v="268.2"/>
    <n v="110"/>
    <n v="158.19999999999999"/>
    <x v="6"/>
  </r>
  <r>
    <s v="ORD54111"/>
    <d v="2025-07-06T00:00:00"/>
    <s v="Online"/>
    <s v="P302"/>
    <n v="2"/>
    <n v="459"/>
    <x v="5"/>
    <x v="10"/>
    <s v="Fashion"/>
    <n v="190"/>
    <n v="734.40000000000009"/>
    <n v="380"/>
    <n v="354.40000000000009"/>
    <x v="6"/>
  </r>
  <r>
    <s v="ORD50112"/>
    <d v="2025-07-07T00:00:00"/>
    <s v="Ibn Battuta Mall"/>
    <s v="P303"/>
    <n v="1"/>
    <n v="149"/>
    <x v="5"/>
    <x v="7"/>
    <s v="Fashion"/>
    <n v="80"/>
    <n v="119.2"/>
    <n v="80"/>
    <n v="39.200000000000003"/>
    <x v="6"/>
  </r>
  <r>
    <s v="ORD50639"/>
    <d v="2025-07-07T00:00:00"/>
    <s v="Dubai Mall"/>
    <s v="P105"/>
    <n v="1"/>
    <n v="899"/>
    <x v="1"/>
    <x v="31"/>
    <s v="Electronics"/>
    <n v="610"/>
    <n v="854.05"/>
    <n v="610"/>
    <n v="244.04999999999995"/>
    <x v="6"/>
  </r>
  <r>
    <s v="ORD50720"/>
    <d v="2025-07-07T00:00:00"/>
    <s v="Dubai Mall"/>
    <s v="P206"/>
    <n v="2"/>
    <n v="129"/>
    <x v="2"/>
    <x v="28"/>
    <s v="Home &amp; Kitchen"/>
    <n v="60"/>
    <n v="232.20000000000002"/>
    <n v="120"/>
    <n v="112.20000000000002"/>
    <x v="6"/>
  </r>
  <r>
    <s v="ORD51489"/>
    <d v="2025-07-07T00:00:00"/>
    <s v="Mall of the Emirates"/>
    <s v="P305"/>
    <n v="3"/>
    <n v="429"/>
    <x v="3"/>
    <x v="14"/>
    <s v="Fashion"/>
    <n v="300"/>
    <n v="1287"/>
    <n v="900"/>
    <n v="387"/>
    <x v="6"/>
  </r>
  <r>
    <s v="ORD51993"/>
    <d v="2025-07-07T00:00:00"/>
    <s v="City Centre Deira"/>
    <s v="P207"/>
    <n v="4"/>
    <n v="399"/>
    <x v="3"/>
    <x v="32"/>
    <s v="Home &amp; Kitchen"/>
    <n v="250"/>
    <n v="1596"/>
    <n v="1000"/>
    <n v="596"/>
    <x v="6"/>
  </r>
  <r>
    <s v="ORD52274"/>
    <d v="2025-07-07T00:00:00"/>
    <s v="Online"/>
    <s v="P108"/>
    <n v="1"/>
    <n v="459"/>
    <x v="3"/>
    <x v="23"/>
    <s v="Electronics"/>
    <n v="300"/>
    <n v="459"/>
    <n v="300"/>
    <n v="159"/>
    <x v="6"/>
  </r>
  <r>
    <s v="ORD52358"/>
    <d v="2025-07-07T00:00:00"/>
    <s v="Mall of the Emirates"/>
    <s v="P301"/>
    <n v="1"/>
    <n v="179"/>
    <x v="3"/>
    <x v="2"/>
    <s v="Fashion"/>
    <n v="70"/>
    <n v="179"/>
    <n v="70"/>
    <n v="109"/>
    <x v="6"/>
  </r>
  <r>
    <s v="ORD52910"/>
    <d v="2025-07-07T00:00:00"/>
    <s v="City Centre Deira"/>
    <s v="P403"/>
    <n v="2"/>
    <n v="299"/>
    <x v="0"/>
    <x v="8"/>
    <s v="Beauty"/>
    <n v="240"/>
    <n v="508.3"/>
    <n v="480"/>
    <n v="28.300000000000011"/>
    <x v="6"/>
  </r>
  <r>
    <s v="ORD52996"/>
    <d v="2025-07-07T00:00:00"/>
    <s v="Dubai Mall"/>
    <s v="P503"/>
    <n v="1"/>
    <n v="229"/>
    <x v="3"/>
    <x v="18"/>
    <s v="Sports"/>
    <n v="120"/>
    <n v="229"/>
    <n v="120"/>
    <n v="109"/>
    <x v="6"/>
  </r>
  <r>
    <s v="ORD53787"/>
    <d v="2025-07-07T00:00:00"/>
    <s v="Dubai Mall"/>
    <s v="P305"/>
    <n v="1"/>
    <n v="429"/>
    <x v="3"/>
    <x v="14"/>
    <s v="Fashion"/>
    <n v="300"/>
    <n v="429"/>
    <n v="300"/>
    <n v="129"/>
    <x v="6"/>
  </r>
  <r>
    <s v="ORD50419"/>
    <d v="2025-07-08T00:00:00"/>
    <s v="Mall of the Emirates"/>
    <s v="P308"/>
    <n v="4"/>
    <n v="229"/>
    <x v="2"/>
    <x v="0"/>
    <s v="Fashion"/>
    <n v="120"/>
    <n v="824.4"/>
    <n v="480"/>
    <n v="344.4"/>
    <x v="6"/>
  </r>
  <r>
    <s v="ORD50636"/>
    <d v="2025-07-08T00:00:00"/>
    <s v="Dubai Mall"/>
    <s v="P103"/>
    <n v="2"/>
    <n v="1299"/>
    <x v="3"/>
    <x v="25"/>
    <s v="Electronics"/>
    <n v="820"/>
    <n v="2598"/>
    <n v="1640"/>
    <n v="958"/>
    <x v="6"/>
  </r>
  <r>
    <s v="ORD50840"/>
    <d v="2025-07-08T00:00:00"/>
    <s v="Dubai Mall"/>
    <s v="P304"/>
    <n v="1"/>
    <n v="699"/>
    <x v="3"/>
    <x v="35"/>
    <s v="Fashion"/>
    <n v="380"/>
    <n v="699"/>
    <n v="380"/>
    <n v="319"/>
    <x v="6"/>
  </r>
  <r>
    <s v="ORD50865"/>
    <d v="2025-07-08T00:00:00"/>
    <s v="Dubai Mall"/>
    <s v="P308"/>
    <n v="3"/>
    <n v="229"/>
    <x v="1"/>
    <x v="0"/>
    <s v="Fashion"/>
    <n v="120"/>
    <n v="652.65"/>
    <n v="360"/>
    <n v="292.64999999999998"/>
    <x v="6"/>
  </r>
  <r>
    <s v="ORD50990"/>
    <d v="2025-07-08T00:00:00"/>
    <s v="Dubai Mall"/>
    <s v="P102"/>
    <n v="1"/>
    <n v="249"/>
    <x v="1"/>
    <x v="13"/>
    <s v="Electronics"/>
    <n v="150"/>
    <n v="236.54999999999998"/>
    <n v="150"/>
    <n v="86.549999999999983"/>
    <x v="6"/>
  </r>
  <r>
    <s v="ORD51265"/>
    <d v="2025-07-08T00:00:00"/>
    <s v="City Centre Deira"/>
    <s v="P108"/>
    <n v="1"/>
    <n v="459"/>
    <x v="3"/>
    <x v="23"/>
    <s v="Electronics"/>
    <n v="300"/>
    <n v="459"/>
    <n v="300"/>
    <n v="159"/>
    <x v="6"/>
  </r>
  <r>
    <s v="ORD51362"/>
    <d v="2025-07-08T00:00:00"/>
    <s v="City Centre Deira"/>
    <s v="P208"/>
    <n v="4"/>
    <n v="259"/>
    <x v="2"/>
    <x v="22"/>
    <s v="Home &amp; Kitchen"/>
    <n v="115"/>
    <n v="932.4"/>
    <n v="460"/>
    <n v="472.4"/>
    <x v="6"/>
  </r>
  <r>
    <s v="ORD51840"/>
    <d v="2025-07-08T00:00:00"/>
    <s v="Ibn Battuta Mall"/>
    <s v="P207"/>
    <n v="1"/>
    <n v="399"/>
    <x v="1"/>
    <x v="32"/>
    <s v="Home &amp; Kitchen"/>
    <n v="250"/>
    <n v="379.04999999999995"/>
    <n v="250"/>
    <n v="129.04999999999995"/>
    <x v="6"/>
  </r>
  <r>
    <s v="ORD51889"/>
    <d v="2025-07-08T00:00:00"/>
    <s v="Online"/>
    <s v="P501"/>
    <n v="1"/>
    <n v="129"/>
    <x v="3"/>
    <x v="12"/>
    <s v="Sports"/>
    <n v="60"/>
    <n v="129"/>
    <n v="60"/>
    <n v="69"/>
    <x v="6"/>
  </r>
  <r>
    <s v="ORD52560"/>
    <d v="2025-07-08T00:00:00"/>
    <s v="Ibn Battuta Mall"/>
    <s v="P406"/>
    <n v="4"/>
    <n v="199"/>
    <x v="3"/>
    <x v="4"/>
    <s v="Beauty"/>
    <n v="90"/>
    <n v="796"/>
    <n v="360"/>
    <n v="436"/>
    <x v="6"/>
  </r>
  <r>
    <s v="ORD52893"/>
    <d v="2025-07-08T00:00:00"/>
    <s v="Dubai Mall"/>
    <s v="P307"/>
    <n v="1"/>
    <n v="399"/>
    <x v="0"/>
    <x v="20"/>
    <s v="Fashion"/>
    <n v="210"/>
    <n v="339.15"/>
    <n v="210"/>
    <n v="129.14999999999998"/>
    <x v="6"/>
  </r>
  <r>
    <s v="ORD53579"/>
    <d v="2025-07-08T00:00:00"/>
    <s v="Online"/>
    <s v="P502"/>
    <n v="1"/>
    <n v="799"/>
    <x v="5"/>
    <x v="19"/>
    <s v="Sports"/>
    <n v="700"/>
    <n v="639.20000000000005"/>
    <n v="700"/>
    <n v="-60.799999999999955"/>
    <x v="6"/>
  </r>
  <r>
    <s v="ORD50133"/>
    <d v="2025-07-09T00:00:00"/>
    <s v="Mall of the Emirates"/>
    <s v="P305"/>
    <n v="1"/>
    <n v="429"/>
    <x v="1"/>
    <x v="14"/>
    <s v="Fashion"/>
    <n v="300"/>
    <n v="407.54999999999995"/>
    <n v="300"/>
    <n v="107.54999999999995"/>
    <x v="6"/>
  </r>
  <r>
    <s v="ORD50809"/>
    <d v="2025-07-09T00:00:00"/>
    <s v="Online"/>
    <s v="P301"/>
    <n v="1"/>
    <n v="179"/>
    <x v="1"/>
    <x v="2"/>
    <s v="Fashion"/>
    <n v="70"/>
    <n v="170.04999999999998"/>
    <n v="70"/>
    <n v="100.04999999999998"/>
    <x v="6"/>
  </r>
  <r>
    <s v="ORD50834"/>
    <d v="2025-07-09T00:00:00"/>
    <s v="Online"/>
    <s v="P301"/>
    <n v="3"/>
    <n v="179"/>
    <x v="1"/>
    <x v="2"/>
    <s v="Fashion"/>
    <n v="70"/>
    <n v="510.15"/>
    <n v="210"/>
    <n v="300.14999999999998"/>
    <x v="6"/>
  </r>
  <r>
    <s v="ORD50974"/>
    <d v="2025-07-09T00:00:00"/>
    <s v="Dubai Mall"/>
    <s v="P106"/>
    <n v="2"/>
    <n v="149"/>
    <x v="0"/>
    <x v="30"/>
    <s v="Electronics"/>
    <n v="70"/>
    <n v="253.29999999999998"/>
    <n v="140"/>
    <n v="113.29999999999998"/>
    <x v="6"/>
  </r>
  <r>
    <s v="ORD51842"/>
    <d v="2025-07-09T00:00:00"/>
    <s v="Mall of the Emirates"/>
    <s v="P206"/>
    <n v="1"/>
    <n v="129"/>
    <x v="2"/>
    <x v="28"/>
    <s v="Home &amp; Kitchen"/>
    <n v="60"/>
    <n v="116.10000000000001"/>
    <n v="60"/>
    <n v="56.100000000000009"/>
    <x v="6"/>
  </r>
  <r>
    <s v="ORD51903"/>
    <d v="2025-07-09T00:00:00"/>
    <s v="Online"/>
    <s v="P101"/>
    <n v="2"/>
    <n v="399"/>
    <x v="5"/>
    <x v="5"/>
    <s v="Electronics"/>
    <n v="230"/>
    <n v="638.40000000000009"/>
    <n v="460"/>
    <n v="178.40000000000009"/>
    <x v="6"/>
  </r>
  <r>
    <s v="ORD52382"/>
    <d v="2025-07-09T00:00:00"/>
    <s v="City Centre Deira"/>
    <s v="P104"/>
    <n v="1"/>
    <n v="199"/>
    <x v="2"/>
    <x v="1"/>
    <s v="Electronics"/>
    <n v="175"/>
    <n v="179.1"/>
    <n v="175"/>
    <n v="4.0999999999999943"/>
    <x v="6"/>
  </r>
  <r>
    <s v="ORD52410"/>
    <d v="2025-07-09T00:00:00"/>
    <s v="Dubai Mall"/>
    <s v="P305"/>
    <n v="3"/>
    <n v="429"/>
    <x v="5"/>
    <x v="14"/>
    <s v="Fashion"/>
    <n v="300"/>
    <n v="1029.6000000000001"/>
    <n v="900"/>
    <n v="129.60000000000014"/>
    <x v="6"/>
  </r>
  <r>
    <s v="ORD52749"/>
    <d v="2025-07-09T00:00:00"/>
    <s v="Online"/>
    <s v="P205"/>
    <n v="1"/>
    <n v="289"/>
    <x v="2"/>
    <x v="9"/>
    <s v="Home &amp; Kitchen"/>
    <n v="140"/>
    <n v="260.10000000000002"/>
    <n v="140"/>
    <n v="120.10000000000002"/>
    <x v="6"/>
  </r>
  <r>
    <s v="ORD52926"/>
    <d v="2025-07-09T00:00:00"/>
    <s v="Dubai Mall"/>
    <s v="P306"/>
    <n v="1"/>
    <n v="249"/>
    <x v="0"/>
    <x v="3"/>
    <s v="Fashion"/>
    <n v="95"/>
    <n v="211.65"/>
    <n v="95"/>
    <n v="116.65"/>
    <x v="6"/>
  </r>
  <r>
    <s v="ORD53240"/>
    <d v="2025-07-09T00:00:00"/>
    <s v="Mall of the Emirates"/>
    <s v="P404"/>
    <n v="2"/>
    <n v="189"/>
    <x v="3"/>
    <x v="6"/>
    <s v="Beauty"/>
    <n v="85"/>
    <n v="378"/>
    <n v="170"/>
    <n v="208"/>
    <x v="6"/>
  </r>
  <r>
    <s v="ORD53288"/>
    <d v="2025-07-09T00:00:00"/>
    <s v="Dubai Mall"/>
    <s v="P106"/>
    <n v="2"/>
    <n v="149"/>
    <x v="1"/>
    <x v="30"/>
    <s v="Electronics"/>
    <n v="70"/>
    <n v="283.09999999999997"/>
    <n v="140"/>
    <n v="143.09999999999997"/>
    <x v="6"/>
  </r>
  <r>
    <s v="ORD53445"/>
    <d v="2025-07-09T00:00:00"/>
    <s v="Dubai Mall"/>
    <s v="P306"/>
    <n v="1"/>
    <n v="249"/>
    <x v="3"/>
    <x v="3"/>
    <s v="Fashion"/>
    <n v="95"/>
    <n v="249"/>
    <n v="95"/>
    <n v="154"/>
    <x v="6"/>
  </r>
  <r>
    <s v="ORD53664"/>
    <d v="2025-07-09T00:00:00"/>
    <s v="Mall of the Emirates"/>
    <s v="P107"/>
    <n v="1"/>
    <n v="89"/>
    <x v="4"/>
    <x v="29"/>
    <s v="Electronics"/>
    <n v="35"/>
    <n v="62.3"/>
    <n v="35"/>
    <n v="27.299999999999997"/>
    <x v="6"/>
  </r>
  <r>
    <s v="ORD53673"/>
    <d v="2025-07-09T00:00:00"/>
    <s v="Dubai Mall"/>
    <s v="P505"/>
    <n v="2"/>
    <n v="99"/>
    <x v="5"/>
    <x v="11"/>
    <s v="Sports"/>
    <n v="45"/>
    <n v="158.4"/>
    <n v="90"/>
    <n v="68.400000000000006"/>
    <x v="6"/>
  </r>
  <r>
    <s v="ORD51095"/>
    <d v="2025-07-10T00:00:00"/>
    <s v="City Centre Deira"/>
    <s v="P307"/>
    <n v="2"/>
    <n v="399"/>
    <x v="3"/>
    <x v="20"/>
    <s v="Fashion"/>
    <n v="210"/>
    <n v="798"/>
    <n v="420"/>
    <n v="378"/>
    <x v="6"/>
  </r>
  <r>
    <s v="ORD51462"/>
    <d v="2025-07-10T00:00:00"/>
    <s v="City Centre Deira"/>
    <s v="P403"/>
    <n v="1"/>
    <n v="299"/>
    <x v="6"/>
    <x v="8"/>
    <s v="Beauty"/>
    <n v="240"/>
    <n v="224.25"/>
    <n v="240"/>
    <n v="-15.75"/>
    <x v="6"/>
  </r>
  <r>
    <s v="ORD51557"/>
    <d v="2025-07-10T00:00:00"/>
    <s v="Dubai Mall"/>
    <s v="P305"/>
    <n v="2"/>
    <n v="429"/>
    <x v="0"/>
    <x v="14"/>
    <s v="Fashion"/>
    <n v="300"/>
    <n v="729.3"/>
    <n v="600"/>
    <n v="129.29999999999995"/>
    <x v="6"/>
  </r>
  <r>
    <s v="ORD51746"/>
    <d v="2025-07-10T00:00:00"/>
    <s v="Mall of the Emirates"/>
    <s v="P203"/>
    <n v="1"/>
    <n v="349"/>
    <x v="3"/>
    <x v="21"/>
    <s v="Home &amp; Kitchen"/>
    <n v="170"/>
    <n v="349"/>
    <n v="170"/>
    <n v="179"/>
    <x v="6"/>
  </r>
  <r>
    <s v="ORD51915"/>
    <d v="2025-07-10T00:00:00"/>
    <s v="City Centre Deira"/>
    <s v="P305"/>
    <n v="1"/>
    <n v="429"/>
    <x v="2"/>
    <x v="14"/>
    <s v="Fashion"/>
    <n v="300"/>
    <n v="386.1"/>
    <n v="300"/>
    <n v="86.100000000000023"/>
    <x v="6"/>
  </r>
  <r>
    <s v="ORD52288"/>
    <d v="2025-07-10T00:00:00"/>
    <s v="Dubai Mall"/>
    <s v="P403"/>
    <n v="2"/>
    <n v="299"/>
    <x v="0"/>
    <x v="8"/>
    <s v="Beauty"/>
    <n v="240"/>
    <n v="508.3"/>
    <n v="480"/>
    <n v="28.300000000000011"/>
    <x v="6"/>
  </r>
  <r>
    <s v="ORD52542"/>
    <d v="2025-07-10T00:00:00"/>
    <s v="Online"/>
    <s v="P501"/>
    <n v="1"/>
    <n v="129"/>
    <x v="1"/>
    <x v="12"/>
    <s v="Sports"/>
    <n v="60"/>
    <n v="122.55"/>
    <n v="60"/>
    <n v="62.55"/>
    <x v="6"/>
  </r>
  <r>
    <s v="ORD53097"/>
    <d v="2025-07-10T00:00:00"/>
    <s v="Dubai Mall"/>
    <s v="P303"/>
    <n v="1"/>
    <n v="149"/>
    <x v="2"/>
    <x v="7"/>
    <s v="Fashion"/>
    <n v="80"/>
    <n v="134.1"/>
    <n v="80"/>
    <n v="54.099999999999994"/>
    <x v="6"/>
  </r>
  <r>
    <s v="ORD53746"/>
    <d v="2025-07-10T00:00:00"/>
    <s v="Mall of the Emirates"/>
    <s v="P301"/>
    <n v="2"/>
    <n v="179"/>
    <x v="3"/>
    <x v="2"/>
    <s v="Fashion"/>
    <n v="70"/>
    <n v="358"/>
    <n v="140"/>
    <n v="218"/>
    <x v="6"/>
  </r>
  <r>
    <s v="ORD53778"/>
    <d v="2025-07-10T00:00:00"/>
    <s v="Mall of the Emirates"/>
    <s v="P305"/>
    <n v="1"/>
    <n v="429"/>
    <x v="1"/>
    <x v="14"/>
    <s v="Fashion"/>
    <n v="300"/>
    <n v="407.54999999999995"/>
    <n v="300"/>
    <n v="107.54999999999995"/>
    <x v="6"/>
  </r>
  <r>
    <s v="ORD50886"/>
    <d v="2025-07-11T00:00:00"/>
    <s v="City Centre Deira"/>
    <s v="P203"/>
    <n v="1"/>
    <n v="349"/>
    <x v="3"/>
    <x v="21"/>
    <s v="Home &amp; Kitchen"/>
    <n v="170"/>
    <n v="349"/>
    <n v="170"/>
    <n v="179"/>
    <x v="6"/>
  </r>
  <r>
    <s v="ORD51677"/>
    <d v="2025-07-11T00:00:00"/>
    <s v="Dubai Mall"/>
    <s v="P106"/>
    <n v="2"/>
    <n v="149"/>
    <x v="4"/>
    <x v="30"/>
    <s v="Electronics"/>
    <n v="70"/>
    <n v="208.6"/>
    <n v="140"/>
    <n v="68.599999999999994"/>
    <x v="6"/>
  </r>
  <r>
    <s v="ORD51688"/>
    <d v="2025-07-11T00:00:00"/>
    <s v="Dubai Mall"/>
    <s v="P404"/>
    <n v="1"/>
    <n v="189"/>
    <x v="3"/>
    <x v="6"/>
    <s v="Beauty"/>
    <n v="85"/>
    <n v="189"/>
    <n v="85"/>
    <n v="104"/>
    <x v="6"/>
  </r>
  <r>
    <s v="ORD51872"/>
    <d v="2025-07-11T00:00:00"/>
    <s v="Mall of the Emirates"/>
    <s v="P308"/>
    <n v="2"/>
    <n v="229"/>
    <x v="2"/>
    <x v="0"/>
    <s v="Fashion"/>
    <n v="120"/>
    <n v="412.2"/>
    <n v="240"/>
    <n v="172.2"/>
    <x v="6"/>
  </r>
  <r>
    <s v="ORD51939"/>
    <d v="2025-07-11T00:00:00"/>
    <s v="City Centre Deira"/>
    <s v="P304"/>
    <n v="2"/>
    <n v="699"/>
    <x v="3"/>
    <x v="35"/>
    <s v="Fashion"/>
    <n v="380"/>
    <n v="1398"/>
    <n v="760"/>
    <n v="638"/>
    <x v="6"/>
  </r>
  <r>
    <s v="ORD52277"/>
    <d v="2025-07-11T00:00:00"/>
    <s v="Dubai Mall"/>
    <s v="P303"/>
    <n v="1"/>
    <n v="149"/>
    <x v="3"/>
    <x v="7"/>
    <s v="Fashion"/>
    <n v="80"/>
    <n v="149"/>
    <n v="80"/>
    <n v="69"/>
    <x v="6"/>
  </r>
  <r>
    <s v="ORD52740"/>
    <d v="2025-07-11T00:00:00"/>
    <s v="Ibn Battuta Mall"/>
    <s v="P202"/>
    <n v="1"/>
    <n v="1499"/>
    <x v="5"/>
    <x v="26"/>
    <s v="Home &amp; Kitchen"/>
    <n v="1050"/>
    <n v="1199.2"/>
    <n v="1050"/>
    <n v="149.20000000000005"/>
    <x v="6"/>
  </r>
  <r>
    <s v="ORD52913"/>
    <d v="2025-07-11T00:00:00"/>
    <s v="Online"/>
    <s v="P308"/>
    <n v="2"/>
    <n v="229"/>
    <x v="3"/>
    <x v="0"/>
    <s v="Fashion"/>
    <n v="120"/>
    <n v="458"/>
    <n v="240"/>
    <n v="218"/>
    <x v="6"/>
  </r>
  <r>
    <s v="ORD53322"/>
    <d v="2025-07-11T00:00:00"/>
    <s v="City Centre Deira"/>
    <s v="P106"/>
    <n v="1"/>
    <n v="149"/>
    <x v="2"/>
    <x v="30"/>
    <s v="Electronics"/>
    <n v="70"/>
    <n v="134.1"/>
    <n v="70"/>
    <n v="64.099999999999994"/>
    <x v="6"/>
  </r>
  <r>
    <s v="ORD53977"/>
    <d v="2025-07-11T00:00:00"/>
    <s v="Ibn Battuta Mall"/>
    <s v="P107"/>
    <n v="2"/>
    <n v="89"/>
    <x v="2"/>
    <x v="29"/>
    <s v="Electronics"/>
    <n v="35"/>
    <n v="160.20000000000002"/>
    <n v="70"/>
    <n v="90.200000000000017"/>
    <x v="6"/>
  </r>
  <r>
    <s v="ORD50179"/>
    <d v="2025-07-12T00:00:00"/>
    <s v="Mall of the Emirates"/>
    <s v="P402"/>
    <n v="3"/>
    <n v="149"/>
    <x v="1"/>
    <x v="17"/>
    <s v="Beauty"/>
    <n v="55"/>
    <n v="424.65"/>
    <n v="165"/>
    <n v="259.64999999999998"/>
    <x v="6"/>
  </r>
  <r>
    <s v="ORD50207"/>
    <d v="2025-07-12T00:00:00"/>
    <s v="Online"/>
    <s v="P306"/>
    <n v="1"/>
    <n v="249"/>
    <x v="1"/>
    <x v="3"/>
    <s v="Fashion"/>
    <n v="95"/>
    <n v="236.54999999999998"/>
    <n v="95"/>
    <n v="141.54999999999998"/>
    <x v="6"/>
  </r>
  <r>
    <s v="ORD50336"/>
    <d v="2025-07-12T00:00:00"/>
    <s v="Ibn Battuta Mall"/>
    <s v="P306"/>
    <n v="1"/>
    <n v="249"/>
    <x v="3"/>
    <x v="3"/>
    <s v="Fashion"/>
    <n v="95"/>
    <n v="249"/>
    <n v="95"/>
    <n v="154"/>
    <x v="6"/>
  </r>
  <r>
    <s v="ORD50583"/>
    <d v="2025-07-12T00:00:00"/>
    <s v="Online"/>
    <s v="P402"/>
    <n v="2"/>
    <n v="149"/>
    <x v="3"/>
    <x v="17"/>
    <s v="Beauty"/>
    <n v="55"/>
    <n v="298"/>
    <n v="110"/>
    <n v="188"/>
    <x v="6"/>
  </r>
  <r>
    <s v="ORD50928"/>
    <d v="2025-07-12T00:00:00"/>
    <s v="Ibn Battuta Mall"/>
    <s v="P404"/>
    <n v="3"/>
    <n v="189"/>
    <x v="4"/>
    <x v="6"/>
    <s v="Beauty"/>
    <n v="85"/>
    <n v="396.9"/>
    <n v="255"/>
    <n v="141.89999999999998"/>
    <x v="6"/>
  </r>
  <r>
    <s v="ORD51441"/>
    <d v="2025-07-12T00:00:00"/>
    <s v="City Centre Deira"/>
    <s v="P405"/>
    <n v="1"/>
    <n v="89"/>
    <x v="0"/>
    <x v="24"/>
    <s v="Beauty"/>
    <n v="40"/>
    <n v="75.649999999999991"/>
    <n v="40"/>
    <n v="35.649999999999991"/>
    <x v="6"/>
  </r>
  <r>
    <s v="ORD51695"/>
    <d v="2025-07-12T00:00:00"/>
    <s v="Dubai Mall"/>
    <s v="P406"/>
    <n v="2"/>
    <n v="199"/>
    <x v="3"/>
    <x v="4"/>
    <s v="Beauty"/>
    <n v="90"/>
    <n v="398"/>
    <n v="180"/>
    <n v="218"/>
    <x v="6"/>
  </r>
  <r>
    <s v="ORD53086"/>
    <d v="2025-07-12T00:00:00"/>
    <s v="City Centre Deira"/>
    <s v="P301"/>
    <n v="1"/>
    <n v="179"/>
    <x v="2"/>
    <x v="2"/>
    <s v="Fashion"/>
    <n v="70"/>
    <n v="161.1"/>
    <n v="70"/>
    <n v="91.1"/>
    <x v="6"/>
  </r>
  <r>
    <s v="ORD53807"/>
    <d v="2025-07-12T00:00:00"/>
    <s v="Online"/>
    <s v="P505"/>
    <n v="1"/>
    <n v="99"/>
    <x v="1"/>
    <x v="11"/>
    <s v="Sports"/>
    <n v="45"/>
    <n v="94.05"/>
    <n v="45"/>
    <n v="49.05"/>
    <x v="6"/>
  </r>
  <r>
    <s v="ORD54077"/>
    <d v="2025-07-12T00:00:00"/>
    <s v="City Centre Deira"/>
    <s v="P207"/>
    <n v="1"/>
    <n v="399"/>
    <x v="2"/>
    <x v="32"/>
    <s v="Home &amp; Kitchen"/>
    <n v="250"/>
    <n v="359.1"/>
    <n v="250"/>
    <n v="109.10000000000002"/>
    <x v="6"/>
  </r>
  <r>
    <s v="ORD50175"/>
    <d v="2025-07-13T00:00:00"/>
    <s v="Mall of the Emirates"/>
    <s v="P401"/>
    <n v="1"/>
    <n v="549"/>
    <x v="3"/>
    <x v="15"/>
    <s v="Beauty"/>
    <n v="250"/>
    <n v="549"/>
    <n v="250"/>
    <n v="299"/>
    <x v="6"/>
  </r>
  <r>
    <s v="ORD50187"/>
    <d v="2025-07-13T00:00:00"/>
    <s v="Mall of the Emirates"/>
    <s v="P107"/>
    <n v="1"/>
    <n v="89"/>
    <x v="3"/>
    <x v="29"/>
    <s v="Electronics"/>
    <n v="35"/>
    <n v="89"/>
    <n v="35"/>
    <n v="54"/>
    <x v="6"/>
  </r>
  <r>
    <s v="ORD50242"/>
    <d v="2025-07-13T00:00:00"/>
    <s v="Dubai Mall"/>
    <s v="P201"/>
    <n v="2"/>
    <n v="499"/>
    <x v="0"/>
    <x v="16"/>
    <s v="Home &amp; Kitchen"/>
    <n v="290"/>
    <n v="848.3"/>
    <n v="580"/>
    <n v="268.29999999999995"/>
    <x v="6"/>
  </r>
  <r>
    <s v="ORD50276"/>
    <d v="2025-07-13T00:00:00"/>
    <s v="Ibn Battuta Mall"/>
    <s v="P303"/>
    <n v="1"/>
    <n v="149"/>
    <x v="3"/>
    <x v="7"/>
    <s v="Fashion"/>
    <n v="80"/>
    <n v="149"/>
    <n v="80"/>
    <n v="69"/>
    <x v="6"/>
  </r>
  <r>
    <s v="ORD50693"/>
    <d v="2025-07-13T00:00:00"/>
    <s v="Online"/>
    <s v="P406"/>
    <n v="1"/>
    <n v="199"/>
    <x v="3"/>
    <x v="4"/>
    <s v="Beauty"/>
    <n v="90"/>
    <n v="199"/>
    <n v="90"/>
    <n v="109"/>
    <x v="6"/>
  </r>
  <r>
    <s v="ORD50968"/>
    <d v="2025-07-13T00:00:00"/>
    <s v="Online"/>
    <s v="P404"/>
    <n v="1"/>
    <n v="189"/>
    <x v="1"/>
    <x v="6"/>
    <s v="Beauty"/>
    <n v="85"/>
    <n v="179.54999999999998"/>
    <n v="85"/>
    <n v="94.549999999999983"/>
    <x v="6"/>
  </r>
  <r>
    <s v="ORD51754"/>
    <d v="2025-07-13T00:00:00"/>
    <s v="Mall of the Emirates"/>
    <s v="P307"/>
    <n v="1"/>
    <n v="399"/>
    <x v="3"/>
    <x v="20"/>
    <s v="Fashion"/>
    <n v="210"/>
    <n v="399"/>
    <n v="210"/>
    <n v="189"/>
    <x v="6"/>
  </r>
  <r>
    <s v="ORD52016"/>
    <d v="2025-07-13T00:00:00"/>
    <s v="Online"/>
    <s v="P205"/>
    <n v="1"/>
    <n v="289"/>
    <x v="3"/>
    <x v="9"/>
    <s v="Home &amp; Kitchen"/>
    <n v="140"/>
    <n v="289"/>
    <n v="140"/>
    <n v="149"/>
    <x v="6"/>
  </r>
  <r>
    <s v="ORD52768"/>
    <d v="2025-07-13T00:00:00"/>
    <s v="Online"/>
    <s v="P302"/>
    <n v="1"/>
    <n v="459"/>
    <x v="3"/>
    <x v="10"/>
    <s v="Fashion"/>
    <n v="190"/>
    <n v="459"/>
    <n v="190"/>
    <n v="269"/>
    <x v="6"/>
  </r>
  <r>
    <s v="ORD53789"/>
    <d v="2025-07-13T00:00:00"/>
    <s v="Mall of the Emirates"/>
    <s v="P306"/>
    <n v="1"/>
    <n v="249"/>
    <x v="0"/>
    <x v="3"/>
    <s v="Fashion"/>
    <n v="95"/>
    <n v="211.65"/>
    <n v="95"/>
    <n v="116.65"/>
    <x v="6"/>
  </r>
  <r>
    <s v="ORD54181"/>
    <d v="2025-07-13T00:00:00"/>
    <s v="Dubai Mall"/>
    <s v="P308"/>
    <n v="1"/>
    <n v="229"/>
    <x v="3"/>
    <x v="0"/>
    <s v="Fashion"/>
    <n v="120"/>
    <n v="229"/>
    <n v="120"/>
    <n v="109"/>
    <x v="6"/>
  </r>
  <r>
    <s v="ORD50932"/>
    <d v="2025-07-14T00:00:00"/>
    <s v="Mall of the Emirates"/>
    <s v="P406"/>
    <n v="1"/>
    <n v="199"/>
    <x v="4"/>
    <x v="4"/>
    <s v="Beauty"/>
    <n v="90"/>
    <n v="139.29999999999998"/>
    <n v="90"/>
    <n v="49.299999999999983"/>
    <x v="6"/>
  </r>
  <r>
    <s v="ORD50933"/>
    <d v="2025-07-14T00:00:00"/>
    <s v="Dubai Mall"/>
    <s v="P304"/>
    <n v="2"/>
    <n v="699"/>
    <x v="5"/>
    <x v="35"/>
    <s v="Fashion"/>
    <n v="380"/>
    <n v="1118.4000000000001"/>
    <n v="760"/>
    <n v="358.40000000000009"/>
    <x v="6"/>
  </r>
  <r>
    <s v="ORD51082"/>
    <d v="2025-07-14T00:00:00"/>
    <s v="Dubai Mall"/>
    <s v="P208"/>
    <n v="1"/>
    <n v="259"/>
    <x v="1"/>
    <x v="22"/>
    <s v="Home &amp; Kitchen"/>
    <n v="115"/>
    <n v="246.04999999999998"/>
    <n v="115"/>
    <n v="131.04999999999998"/>
    <x v="6"/>
  </r>
  <r>
    <s v="ORD51446"/>
    <d v="2025-07-14T00:00:00"/>
    <s v="Online"/>
    <s v="P302"/>
    <n v="1"/>
    <n v="459"/>
    <x v="3"/>
    <x v="10"/>
    <s v="Fashion"/>
    <n v="190"/>
    <n v="459"/>
    <n v="190"/>
    <n v="269"/>
    <x v="6"/>
  </r>
  <r>
    <s v="ORD51638"/>
    <d v="2025-07-14T00:00:00"/>
    <s v="Ibn Battuta Mall"/>
    <s v="P405"/>
    <n v="2"/>
    <n v="89"/>
    <x v="4"/>
    <x v="24"/>
    <s v="Beauty"/>
    <n v="40"/>
    <n v="124.6"/>
    <n v="80"/>
    <n v="44.599999999999994"/>
    <x v="6"/>
  </r>
  <r>
    <s v="ORD51791"/>
    <d v="2025-07-14T00:00:00"/>
    <s v="Ibn Battuta Mall"/>
    <s v="P304"/>
    <n v="3"/>
    <n v="699"/>
    <x v="3"/>
    <x v="35"/>
    <s v="Fashion"/>
    <n v="380"/>
    <n v="2097"/>
    <n v="1140"/>
    <n v="957"/>
    <x v="6"/>
  </r>
  <r>
    <s v="ORD51913"/>
    <d v="2025-07-14T00:00:00"/>
    <s v="Online"/>
    <s v="P106"/>
    <n v="2"/>
    <n v="149"/>
    <x v="5"/>
    <x v="30"/>
    <s v="Electronics"/>
    <n v="70"/>
    <n v="238.4"/>
    <n v="140"/>
    <n v="98.4"/>
    <x v="6"/>
  </r>
  <r>
    <s v="ORD52120"/>
    <d v="2025-07-14T00:00:00"/>
    <s v="Mall of the Emirates"/>
    <s v="P503"/>
    <n v="3"/>
    <n v="229"/>
    <x v="4"/>
    <x v="18"/>
    <s v="Sports"/>
    <n v="120"/>
    <n v="480.9"/>
    <n v="360"/>
    <n v="120.89999999999998"/>
    <x v="6"/>
  </r>
  <r>
    <s v="ORD52208"/>
    <d v="2025-07-14T00:00:00"/>
    <s v="Mall of the Emirates"/>
    <s v="P108"/>
    <n v="3"/>
    <n v="459"/>
    <x v="3"/>
    <x v="23"/>
    <s v="Electronics"/>
    <n v="300"/>
    <n v="1377"/>
    <n v="900"/>
    <n v="477"/>
    <x v="6"/>
  </r>
  <r>
    <s v="ORD52250"/>
    <d v="2025-07-14T00:00:00"/>
    <s v="Dubai Mall"/>
    <s v="P503"/>
    <n v="1"/>
    <n v="229"/>
    <x v="3"/>
    <x v="18"/>
    <s v="Sports"/>
    <n v="120"/>
    <n v="229"/>
    <n v="120"/>
    <n v="109"/>
    <x v="6"/>
  </r>
  <r>
    <s v="ORD52259"/>
    <d v="2025-07-14T00:00:00"/>
    <s v="Dubai Mall"/>
    <s v="P205"/>
    <n v="2"/>
    <n v="289"/>
    <x v="3"/>
    <x v="9"/>
    <s v="Home &amp; Kitchen"/>
    <n v="140"/>
    <n v="578"/>
    <n v="280"/>
    <n v="298"/>
    <x v="6"/>
  </r>
  <r>
    <s v="ORD52293"/>
    <d v="2025-07-14T00:00:00"/>
    <s v="Mall of the Emirates"/>
    <s v="P306"/>
    <n v="1"/>
    <n v="249"/>
    <x v="5"/>
    <x v="3"/>
    <s v="Fashion"/>
    <n v="95"/>
    <n v="199.20000000000002"/>
    <n v="95"/>
    <n v="104.20000000000002"/>
    <x v="6"/>
  </r>
  <r>
    <s v="ORD51830"/>
    <d v="2025-07-15T00:00:00"/>
    <s v="Ibn Battuta Mall"/>
    <s v="P305"/>
    <n v="3"/>
    <n v="429"/>
    <x v="5"/>
    <x v="14"/>
    <s v="Fashion"/>
    <n v="300"/>
    <n v="1029.6000000000001"/>
    <n v="900"/>
    <n v="129.60000000000014"/>
    <x v="6"/>
  </r>
  <r>
    <s v="ORD51855"/>
    <d v="2025-07-15T00:00:00"/>
    <s v="Ibn Battuta Mall"/>
    <s v="P103"/>
    <n v="1"/>
    <n v="1299"/>
    <x v="3"/>
    <x v="25"/>
    <s v="Electronics"/>
    <n v="820"/>
    <n v="1299"/>
    <n v="820"/>
    <n v="479"/>
    <x v="6"/>
  </r>
  <r>
    <s v="ORD51867"/>
    <d v="2025-07-15T00:00:00"/>
    <s v="Ibn Battuta Mall"/>
    <s v="P301"/>
    <n v="1"/>
    <n v="179"/>
    <x v="4"/>
    <x v="2"/>
    <s v="Fashion"/>
    <n v="70"/>
    <n v="125.3"/>
    <n v="70"/>
    <n v="55.3"/>
    <x v="6"/>
  </r>
  <r>
    <s v="ORD52378"/>
    <d v="2025-07-15T00:00:00"/>
    <s v="Mall of the Emirates"/>
    <s v="P101"/>
    <n v="2"/>
    <n v="399"/>
    <x v="1"/>
    <x v="5"/>
    <s v="Electronics"/>
    <n v="230"/>
    <n v="758.09999999999991"/>
    <n v="460"/>
    <n v="298.09999999999991"/>
    <x v="6"/>
  </r>
  <r>
    <s v="ORD53121"/>
    <d v="2025-07-15T00:00:00"/>
    <s v="Online"/>
    <s v="P505"/>
    <n v="1"/>
    <n v="99"/>
    <x v="2"/>
    <x v="11"/>
    <s v="Sports"/>
    <n v="45"/>
    <n v="89.100000000000009"/>
    <n v="45"/>
    <n v="44.100000000000009"/>
    <x v="6"/>
  </r>
  <r>
    <s v="ORD53296"/>
    <d v="2025-07-15T00:00:00"/>
    <s v="Mall of the Emirates"/>
    <s v="P306"/>
    <n v="1"/>
    <n v="249"/>
    <x v="3"/>
    <x v="3"/>
    <s v="Fashion"/>
    <n v="95"/>
    <n v="249"/>
    <n v="95"/>
    <n v="154"/>
    <x v="6"/>
  </r>
  <r>
    <s v="ORD53479"/>
    <d v="2025-07-15T00:00:00"/>
    <s v="Mall of the Emirates"/>
    <s v="P208"/>
    <n v="2"/>
    <n v="259"/>
    <x v="3"/>
    <x v="22"/>
    <s v="Home &amp; Kitchen"/>
    <n v="115"/>
    <n v="518"/>
    <n v="230"/>
    <n v="288"/>
    <x v="6"/>
  </r>
  <r>
    <s v="ORD53615"/>
    <d v="2025-07-15T00:00:00"/>
    <s v="City Centre Deira"/>
    <s v="P302"/>
    <n v="4"/>
    <n v="459"/>
    <x v="3"/>
    <x v="10"/>
    <s v="Fashion"/>
    <n v="190"/>
    <n v="1836"/>
    <n v="760"/>
    <n v="1076"/>
    <x v="6"/>
  </r>
  <r>
    <s v="ORD53727"/>
    <d v="2025-07-15T00:00:00"/>
    <s v="Mall of the Emirates"/>
    <s v="P404"/>
    <n v="1"/>
    <n v="189"/>
    <x v="1"/>
    <x v="6"/>
    <s v="Beauty"/>
    <n v="85"/>
    <n v="179.54999999999998"/>
    <n v="85"/>
    <n v="94.549999999999983"/>
    <x v="6"/>
  </r>
  <r>
    <s v="ORD53867"/>
    <d v="2025-07-15T00:00:00"/>
    <s v="Ibn Battuta Mall"/>
    <s v="P503"/>
    <n v="1"/>
    <n v="229"/>
    <x v="1"/>
    <x v="18"/>
    <s v="Sports"/>
    <n v="120"/>
    <n v="217.54999999999998"/>
    <n v="120"/>
    <n v="97.549999999999983"/>
    <x v="6"/>
  </r>
  <r>
    <s v="ORD53907"/>
    <d v="2025-07-15T00:00:00"/>
    <s v="Mall of the Emirates"/>
    <s v="P406"/>
    <n v="1"/>
    <n v="199"/>
    <x v="4"/>
    <x v="4"/>
    <s v="Beauty"/>
    <n v="90"/>
    <n v="139.29999999999998"/>
    <n v="90"/>
    <n v="49.299999999999983"/>
    <x v="6"/>
  </r>
  <r>
    <s v="ORD54074"/>
    <d v="2025-07-15T00:00:00"/>
    <s v="Mall of the Emirates"/>
    <s v="P401"/>
    <n v="2"/>
    <n v="549"/>
    <x v="0"/>
    <x v="15"/>
    <s v="Beauty"/>
    <n v="250"/>
    <n v="933.3"/>
    <n v="500"/>
    <n v="433.29999999999995"/>
    <x v="6"/>
  </r>
  <r>
    <s v="ORD54193"/>
    <d v="2025-07-15T00:00:00"/>
    <s v="City Centre Deira"/>
    <s v="P301"/>
    <n v="1"/>
    <n v="179"/>
    <x v="1"/>
    <x v="2"/>
    <s v="Fashion"/>
    <n v="70"/>
    <n v="170.04999999999998"/>
    <n v="70"/>
    <n v="100.04999999999998"/>
    <x v="6"/>
  </r>
  <r>
    <s v="ORD50231"/>
    <d v="2025-07-16T00:00:00"/>
    <s v="Online"/>
    <s v="P101"/>
    <n v="1"/>
    <n v="399"/>
    <x v="3"/>
    <x v="5"/>
    <s v="Electronics"/>
    <n v="230"/>
    <n v="399"/>
    <n v="230"/>
    <n v="169"/>
    <x v="6"/>
  </r>
  <r>
    <s v="ORD50512"/>
    <d v="2025-07-16T00:00:00"/>
    <s v="Mall of the Emirates"/>
    <s v="P103"/>
    <n v="1"/>
    <n v="1299"/>
    <x v="3"/>
    <x v="25"/>
    <s v="Electronics"/>
    <n v="820"/>
    <n v="1299"/>
    <n v="820"/>
    <n v="479"/>
    <x v="6"/>
  </r>
  <r>
    <s v="ORD50573"/>
    <d v="2025-07-16T00:00:00"/>
    <s v="City Centre Deira"/>
    <s v="P406"/>
    <n v="1"/>
    <n v="199"/>
    <x v="2"/>
    <x v="4"/>
    <s v="Beauty"/>
    <n v="90"/>
    <n v="179.1"/>
    <n v="90"/>
    <n v="89.1"/>
    <x v="6"/>
  </r>
  <r>
    <s v="ORD50732"/>
    <d v="2025-07-16T00:00:00"/>
    <s v="Ibn Battuta Mall"/>
    <s v="P505"/>
    <n v="1"/>
    <n v="99"/>
    <x v="4"/>
    <x v="11"/>
    <s v="Sports"/>
    <n v="45"/>
    <n v="69.3"/>
    <n v="45"/>
    <n v="24.299999999999997"/>
    <x v="6"/>
  </r>
  <r>
    <s v="ORD51204"/>
    <d v="2025-07-16T00:00:00"/>
    <s v="City Centre Deira"/>
    <s v="P204"/>
    <n v="1"/>
    <n v="1199"/>
    <x v="5"/>
    <x v="27"/>
    <s v="Home &amp; Kitchen"/>
    <n v="1080"/>
    <n v="959.2"/>
    <n v="1080"/>
    <n v="-120.79999999999995"/>
    <x v="6"/>
  </r>
  <r>
    <s v="ORD51687"/>
    <d v="2025-07-16T00:00:00"/>
    <s v="Dubai Mall"/>
    <s v="P206"/>
    <n v="1"/>
    <n v="129"/>
    <x v="3"/>
    <x v="28"/>
    <s v="Home &amp; Kitchen"/>
    <n v="60"/>
    <n v="129"/>
    <n v="60"/>
    <n v="69"/>
    <x v="6"/>
  </r>
  <r>
    <s v="ORD52107"/>
    <d v="2025-07-16T00:00:00"/>
    <s v="Mall of the Emirates"/>
    <s v="P403"/>
    <n v="2"/>
    <n v="299"/>
    <x v="5"/>
    <x v="8"/>
    <s v="Beauty"/>
    <n v="240"/>
    <n v="478.40000000000003"/>
    <n v="480"/>
    <n v="-1.5999999999999659"/>
    <x v="6"/>
  </r>
  <r>
    <s v="ORD52414"/>
    <d v="2025-07-16T00:00:00"/>
    <s v="Online"/>
    <s v="P303"/>
    <n v="3"/>
    <n v="149"/>
    <x v="2"/>
    <x v="7"/>
    <s v="Fashion"/>
    <n v="80"/>
    <n v="402.3"/>
    <n v="240"/>
    <n v="162.30000000000001"/>
    <x v="6"/>
  </r>
  <r>
    <s v="ORD52659"/>
    <d v="2025-07-16T00:00:00"/>
    <s v="Dubai Mall"/>
    <s v="P301"/>
    <n v="1"/>
    <n v="179"/>
    <x v="3"/>
    <x v="2"/>
    <s v="Fashion"/>
    <n v="70"/>
    <n v="179"/>
    <n v="70"/>
    <n v="109"/>
    <x v="6"/>
  </r>
  <r>
    <s v="ORD52682"/>
    <d v="2025-07-16T00:00:00"/>
    <s v="Mall of the Emirates"/>
    <s v="P206"/>
    <n v="2"/>
    <n v="129"/>
    <x v="1"/>
    <x v="28"/>
    <s v="Home &amp; Kitchen"/>
    <n v="60"/>
    <n v="245.1"/>
    <n v="120"/>
    <n v="125.1"/>
    <x v="6"/>
  </r>
  <r>
    <s v="ORD52696"/>
    <d v="2025-07-16T00:00:00"/>
    <s v="Online"/>
    <s v="P403"/>
    <n v="1"/>
    <n v="299"/>
    <x v="5"/>
    <x v="8"/>
    <s v="Beauty"/>
    <n v="240"/>
    <n v="239.20000000000002"/>
    <n v="240"/>
    <n v="-0.79999999999998295"/>
    <x v="6"/>
  </r>
  <r>
    <s v="ORD53880"/>
    <d v="2025-07-16T00:00:00"/>
    <s v="Online"/>
    <s v="P108"/>
    <n v="1"/>
    <n v="459"/>
    <x v="2"/>
    <x v="23"/>
    <s v="Electronics"/>
    <n v="300"/>
    <n v="413.1"/>
    <n v="300"/>
    <n v="113.10000000000002"/>
    <x v="6"/>
  </r>
  <r>
    <s v="ORD53896"/>
    <d v="2025-07-16T00:00:00"/>
    <s v="Dubai Mall"/>
    <s v="P108"/>
    <n v="2"/>
    <n v="459"/>
    <x v="1"/>
    <x v="23"/>
    <s v="Electronics"/>
    <n v="300"/>
    <n v="872.09999999999991"/>
    <n v="600"/>
    <n v="272.09999999999991"/>
    <x v="6"/>
  </r>
  <r>
    <s v="ORD50200"/>
    <d v="2025-07-17T00:00:00"/>
    <s v="Mall of the Emirates"/>
    <s v="P104"/>
    <n v="1"/>
    <n v="199"/>
    <x v="2"/>
    <x v="1"/>
    <s v="Electronics"/>
    <n v="175"/>
    <n v="179.1"/>
    <n v="175"/>
    <n v="4.0999999999999943"/>
    <x v="6"/>
  </r>
  <r>
    <s v="ORD50282"/>
    <d v="2025-07-17T00:00:00"/>
    <s v="Dubai Mall"/>
    <s v="P102"/>
    <n v="1"/>
    <n v="249"/>
    <x v="3"/>
    <x v="13"/>
    <s v="Electronics"/>
    <n v="150"/>
    <n v="249"/>
    <n v="150"/>
    <n v="99"/>
    <x v="6"/>
  </r>
  <r>
    <s v="ORD50301"/>
    <d v="2025-07-17T00:00:00"/>
    <s v="Online"/>
    <s v="P503"/>
    <n v="1"/>
    <n v="229"/>
    <x v="2"/>
    <x v="18"/>
    <s v="Sports"/>
    <n v="120"/>
    <n v="206.1"/>
    <n v="120"/>
    <n v="86.1"/>
    <x v="6"/>
  </r>
  <r>
    <s v="ORD50548"/>
    <d v="2025-07-17T00:00:00"/>
    <s v="Dubai Mall"/>
    <s v="P102"/>
    <n v="1"/>
    <n v="249"/>
    <x v="2"/>
    <x v="13"/>
    <s v="Electronics"/>
    <n v="150"/>
    <n v="224.1"/>
    <n v="150"/>
    <n v="74.099999999999994"/>
    <x v="6"/>
  </r>
  <r>
    <s v="ORD50733"/>
    <d v="2025-07-17T00:00:00"/>
    <s v="City Centre Deira"/>
    <s v="P404"/>
    <n v="1"/>
    <n v="189"/>
    <x v="3"/>
    <x v="6"/>
    <s v="Beauty"/>
    <n v="85"/>
    <n v="189"/>
    <n v="85"/>
    <n v="104"/>
    <x v="6"/>
  </r>
  <r>
    <s v="ORD50872"/>
    <d v="2025-07-17T00:00:00"/>
    <s v="Dubai Mall"/>
    <s v="P206"/>
    <n v="1"/>
    <n v="129"/>
    <x v="3"/>
    <x v="28"/>
    <s v="Home &amp; Kitchen"/>
    <n v="60"/>
    <n v="129"/>
    <n v="60"/>
    <n v="69"/>
    <x v="6"/>
  </r>
  <r>
    <s v="ORD50893"/>
    <d v="2025-07-17T00:00:00"/>
    <s v="Online"/>
    <s v="P505"/>
    <n v="1"/>
    <n v="99"/>
    <x v="5"/>
    <x v="11"/>
    <s v="Sports"/>
    <n v="45"/>
    <n v="79.2"/>
    <n v="45"/>
    <n v="34.200000000000003"/>
    <x v="6"/>
  </r>
  <r>
    <s v="ORD50943"/>
    <d v="2025-07-17T00:00:00"/>
    <s v="Dubai Mall"/>
    <s v="P301"/>
    <n v="1"/>
    <n v="179"/>
    <x v="3"/>
    <x v="2"/>
    <s v="Fashion"/>
    <n v="70"/>
    <n v="179"/>
    <n v="70"/>
    <n v="109"/>
    <x v="6"/>
  </r>
  <r>
    <s v="ORD51520"/>
    <d v="2025-07-17T00:00:00"/>
    <s v="Ibn Battuta Mall"/>
    <s v="P306"/>
    <n v="1"/>
    <n v="249"/>
    <x v="1"/>
    <x v="3"/>
    <s v="Fashion"/>
    <n v="95"/>
    <n v="236.54999999999998"/>
    <n v="95"/>
    <n v="141.54999999999998"/>
    <x v="6"/>
  </r>
  <r>
    <s v="ORD52269"/>
    <d v="2025-07-17T00:00:00"/>
    <s v="Ibn Battuta Mall"/>
    <s v="P307"/>
    <n v="2"/>
    <n v="399"/>
    <x v="2"/>
    <x v="20"/>
    <s v="Fashion"/>
    <n v="210"/>
    <n v="718.2"/>
    <n v="420"/>
    <n v="298.20000000000005"/>
    <x v="6"/>
  </r>
  <r>
    <s v="ORD52286"/>
    <d v="2025-07-17T00:00:00"/>
    <s v="City Centre Deira"/>
    <s v="P308"/>
    <n v="2"/>
    <n v="229"/>
    <x v="3"/>
    <x v="0"/>
    <s v="Fashion"/>
    <n v="120"/>
    <n v="458"/>
    <n v="240"/>
    <n v="218"/>
    <x v="6"/>
  </r>
  <r>
    <s v="ORD52607"/>
    <d v="2025-07-17T00:00:00"/>
    <s v="Dubai Mall"/>
    <s v="P206"/>
    <n v="2"/>
    <n v="129"/>
    <x v="4"/>
    <x v="28"/>
    <s v="Home &amp; Kitchen"/>
    <n v="60"/>
    <n v="180.6"/>
    <n v="120"/>
    <n v="60.599999999999994"/>
    <x v="6"/>
  </r>
  <r>
    <s v="ORD52697"/>
    <d v="2025-07-17T00:00:00"/>
    <s v="Dubai Mall"/>
    <s v="P106"/>
    <n v="2"/>
    <n v="149"/>
    <x v="3"/>
    <x v="30"/>
    <s v="Electronics"/>
    <n v="70"/>
    <n v="298"/>
    <n v="140"/>
    <n v="158"/>
    <x v="6"/>
  </r>
  <r>
    <s v="ORD52928"/>
    <d v="2025-07-17T00:00:00"/>
    <s v="Online"/>
    <s v="P501"/>
    <n v="1"/>
    <n v="129"/>
    <x v="2"/>
    <x v="12"/>
    <s v="Sports"/>
    <n v="60"/>
    <n v="116.10000000000001"/>
    <n v="60"/>
    <n v="56.100000000000009"/>
    <x v="6"/>
  </r>
  <r>
    <s v="ORD53225"/>
    <d v="2025-07-17T00:00:00"/>
    <s v="Mall of the Emirates"/>
    <s v="P203"/>
    <n v="2"/>
    <n v="349"/>
    <x v="3"/>
    <x v="21"/>
    <s v="Home &amp; Kitchen"/>
    <n v="170"/>
    <n v="698"/>
    <n v="340"/>
    <n v="358"/>
    <x v="6"/>
  </r>
  <r>
    <s v="ORD53805"/>
    <d v="2025-07-17T00:00:00"/>
    <s v="Dubai Mall"/>
    <s v="P208"/>
    <n v="1"/>
    <n v="259"/>
    <x v="2"/>
    <x v="22"/>
    <s v="Home &amp; Kitchen"/>
    <n v="115"/>
    <n v="233.1"/>
    <n v="115"/>
    <n v="118.1"/>
    <x v="6"/>
  </r>
  <r>
    <s v="ORD53881"/>
    <d v="2025-07-17T00:00:00"/>
    <s v="Mall of the Emirates"/>
    <s v="P503"/>
    <n v="1"/>
    <n v="229"/>
    <x v="2"/>
    <x v="18"/>
    <s v="Sports"/>
    <n v="120"/>
    <n v="206.1"/>
    <n v="120"/>
    <n v="86.1"/>
    <x v="6"/>
  </r>
  <r>
    <s v="ORD53948"/>
    <d v="2025-07-17T00:00:00"/>
    <s v="Online"/>
    <s v="P303"/>
    <n v="2"/>
    <n v="149"/>
    <x v="3"/>
    <x v="7"/>
    <s v="Fashion"/>
    <n v="80"/>
    <n v="298"/>
    <n v="160"/>
    <n v="138"/>
    <x v="6"/>
  </r>
  <r>
    <s v="ORD53980"/>
    <d v="2025-07-17T00:00:00"/>
    <s v="Online"/>
    <s v="P403"/>
    <n v="1"/>
    <n v="299"/>
    <x v="5"/>
    <x v="8"/>
    <s v="Beauty"/>
    <n v="240"/>
    <n v="239.20000000000002"/>
    <n v="240"/>
    <n v="-0.79999999999998295"/>
    <x v="6"/>
  </r>
  <r>
    <s v="ORD50040"/>
    <d v="2025-07-18T00:00:00"/>
    <s v="City Centre Deira"/>
    <s v="P503"/>
    <n v="1"/>
    <n v="229"/>
    <x v="1"/>
    <x v="18"/>
    <s v="Sports"/>
    <n v="120"/>
    <n v="217.54999999999998"/>
    <n v="120"/>
    <n v="97.549999999999983"/>
    <x v="6"/>
  </r>
  <r>
    <s v="ORD51285"/>
    <d v="2025-07-18T00:00:00"/>
    <s v="Dubai Mall"/>
    <s v="P103"/>
    <n v="1"/>
    <n v="1299"/>
    <x v="3"/>
    <x v="25"/>
    <s v="Electronics"/>
    <n v="820"/>
    <n v="1299"/>
    <n v="820"/>
    <n v="479"/>
    <x v="6"/>
  </r>
  <r>
    <s v="ORD52620"/>
    <d v="2025-07-18T00:00:00"/>
    <s v="Mall of the Emirates"/>
    <s v="P102"/>
    <n v="3"/>
    <n v="249"/>
    <x v="0"/>
    <x v="13"/>
    <s v="Electronics"/>
    <n v="150"/>
    <n v="634.94999999999993"/>
    <n v="450"/>
    <n v="184.94999999999993"/>
    <x v="6"/>
  </r>
  <r>
    <s v="ORD53084"/>
    <d v="2025-07-18T00:00:00"/>
    <s v="City Centre Deira"/>
    <s v="P406"/>
    <n v="1"/>
    <n v="199"/>
    <x v="3"/>
    <x v="4"/>
    <s v="Beauty"/>
    <n v="90"/>
    <n v="199"/>
    <n v="90"/>
    <n v="109"/>
    <x v="6"/>
  </r>
  <r>
    <s v="ORD53526"/>
    <d v="2025-07-18T00:00:00"/>
    <s v="City Centre Deira"/>
    <s v="P405"/>
    <n v="1"/>
    <n v="89"/>
    <x v="0"/>
    <x v="24"/>
    <s v="Beauty"/>
    <n v="40"/>
    <n v="75.649999999999991"/>
    <n v="40"/>
    <n v="35.649999999999991"/>
    <x v="6"/>
  </r>
  <r>
    <s v="ORD53950"/>
    <d v="2025-07-18T00:00:00"/>
    <s v="City Centre Deira"/>
    <s v="P304"/>
    <n v="1"/>
    <n v="699"/>
    <x v="1"/>
    <x v="35"/>
    <s v="Fashion"/>
    <n v="380"/>
    <n v="664.05"/>
    <n v="380"/>
    <n v="284.04999999999995"/>
    <x v="6"/>
  </r>
  <r>
    <s v="ORD50142"/>
    <d v="2025-07-19T00:00:00"/>
    <s v="Online"/>
    <s v="P304"/>
    <n v="1"/>
    <n v="699"/>
    <x v="3"/>
    <x v="35"/>
    <s v="Fashion"/>
    <n v="380"/>
    <n v="699"/>
    <n v="380"/>
    <n v="319"/>
    <x v="6"/>
  </r>
  <r>
    <s v="ORD50760"/>
    <d v="2025-07-19T00:00:00"/>
    <s v="Dubai Mall"/>
    <s v="P506"/>
    <n v="1"/>
    <n v="69"/>
    <x v="1"/>
    <x v="34"/>
    <s v="Sports"/>
    <n v="25"/>
    <n v="65.55"/>
    <n v="25"/>
    <n v="40.549999999999997"/>
    <x v="6"/>
  </r>
  <r>
    <s v="ORD50891"/>
    <d v="2025-07-19T00:00:00"/>
    <s v="Mall of the Emirates"/>
    <s v="P302"/>
    <n v="2"/>
    <n v="459"/>
    <x v="1"/>
    <x v="10"/>
    <s v="Fashion"/>
    <n v="190"/>
    <n v="872.09999999999991"/>
    <n v="380"/>
    <n v="492.09999999999991"/>
    <x v="6"/>
  </r>
  <r>
    <s v="ORD51268"/>
    <d v="2025-07-19T00:00:00"/>
    <s v="City Centre Deira"/>
    <s v="P304"/>
    <n v="1"/>
    <n v="699"/>
    <x v="3"/>
    <x v="35"/>
    <s v="Fashion"/>
    <n v="380"/>
    <n v="699"/>
    <n v="380"/>
    <n v="319"/>
    <x v="6"/>
  </r>
  <r>
    <s v="ORD51328"/>
    <d v="2025-07-19T00:00:00"/>
    <s v="Ibn Battuta Mall"/>
    <s v="P206"/>
    <n v="1"/>
    <n v="129"/>
    <x v="3"/>
    <x v="28"/>
    <s v="Home &amp; Kitchen"/>
    <n v="60"/>
    <n v="129"/>
    <n v="60"/>
    <n v="69"/>
    <x v="6"/>
  </r>
  <r>
    <s v="ORD52181"/>
    <d v="2025-07-19T00:00:00"/>
    <s v="Mall of the Emirates"/>
    <s v="P505"/>
    <n v="2"/>
    <n v="99"/>
    <x v="2"/>
    <x v="11"/>
    <s v="Sports"/>
    <n v="45"/>
    <n v="178.20000000000002"/>
    <n v="90"/>
    <n v="88.200000000000017"/>
    <x v="6"/>
  </r>
  <r>
    <s v="ORD53284"/>
    <d v="2025-07-19T00:00:00"/>
    <s v="City Centre Deira"/>
    <s v="P405"/>
    <n v="1"/>
    <n v="89"/>
    <x v="3"/>
    <x v="24"/>
    <s v="Beauty"/>
    <n v="40"/>
    <n v="89"/>
    <n v="40"/>
    <n v="49"/>
    <x v="6"/>
  </r>
  <r>
    <s v="ORD50275"/>
    <d v="2025-07-20T00:00:00"/>
    <s v="Online"/>
    <s v="P105"/>
    <n v="3"/>
    <n v="899"/>
    <x v="3"/>
    <x v="31"/>
    <s v="Electronics"/>
    <n v="610"/>
    <n v="2697"/>
    <n v="1830"/>
    <n v="867"/>
    <x v="6"/>
  </r>
  <r>
    <s v="ORD50837"/>
    <d v="2025-07-20T00:00:00"/>
    <s v="Mall of the Emirates"/>
    <s v="P107"/>
    <n v="2"/>
    <n v="89"/>
    <x v="3"/>
    <x v="29"/>
    <s v="Electronics"/>
    <n v="35"/>
    <n v="178"/>
    <n v="70"/>
    <n v="108"/>
    <x v="6"/>
  </r>
  <r>
    <s v="ORD51439"/>
    <d v="2025-07-20T00:00:00"/>
    <s v="City Centre Deira"/>
    <s v="P403"/>
    <n v="1"/>
    <n v="299"/>
    <x v="0"/>
    <x v="8"/>
    <s v="Beauty"/>
    <n v="240"/>
    <n v="254.15"/>
    <n v="240"/>
    <n v="14.150000000000006"/>
    <x v="6"/>
  </r>
  <r>
    <s v="ORD51743"/>
    <d v="2025-07-20T00:00:00"/>
    <s v="Online"/>
    <s v="P401"/>
    <n v="1"/>
    <n v="549"/>
    <x v="4"/>
    <x v="15"/>
    <s v="Beauty"/>
    <n v="250"/>
    <n v="384.29999999999995"/>
    <n v="250"/>
    <n v="134.29999999999995"/>
    <x v="6"/>
  </r>
  <r>
    <s v="ORD52550"/>
    <d v="2025-07-20T00:00:00"/>
    <s v="Ibn Battuta Mall"/>
    <s v="P403"/>
    <n v="1"/>
    <n v="299"/>
    <x v="6"/>
    <x v="8"/>
    <s v="Beauty"/>
    <n v="240"/>
    <n v="224.25"/>
    <n v="240"/>
    <n v="-15.75"/>
    <x v="6"/>
  </r>
  <r>
    <s v="ORD52552"/>
    <d v="2025-07-20T00:00:00"/>
    <s v="Dubai Mall"/>
    <s v="P302"/>
    <n v="1"/>
    <n v="459"/>
    <x v="3"/>
    <x v="10"/>
    <s v="Fashion"/>
    <n v="190"/>
    <n v="459"/>
    <n v="190"/>
    <n v="269"/>
    <x v="6"/>
  </r>
  <r>
    <s v="ORD52925"/>
    <d v="2025-07-20T00:00:00"/>
    <s v="Dubai Mall"/>
    <s v="P402"/>
    <n v="2"/>
    <n v="149"/>
    <x v="3"/>
    <x v="17"/>
    <s v="Beauty"/>
    <n v="55"/>
    <n v="298"/>
    <n v="110"/>
    <n v="188"/>
    <x v="6"/>
  </r>
  <r>
    <s v="ORD53804"/>
    <d v="2025-07-20T00:00:00"/>
    <s v="Dubai Mall"/>
    <s v="P203"/>
    <n v="2"/>
    <n v="349"/>
    <x v="1"/>
    <x v="21"/>
    <s v="Home &amp; Kitchen"/>
    <n v="170"/>
    <n v="663.1"/>
    <n v="340"/>
    <n v="323.10000000000002"/>
    <x v="6"/>
  </r>
  <r>
    <s v="ORD50285"/>
    <d v="2025-07-21T00:00:00"/>
    <s v="Ibn Battuta Mall"/>
    <s v="P101"/>
    <n v="2"/>
    <n v="399"/>
    <x v="0"/>
    <x v="5"/>
    <s v="Electronics"/>
    <n v="230"/>
    <n v="678.3"/>
    <n v="460"/>
    <n v="218.29999999999995"/>
    <x v="6"/>
  </r>
  <r>
    <s v="ORD50709"/>
    <d v="2025-07-21T00:00:00"/>
    <s v="City Centre Deira"/>
    <s v="P102"/>
    <n v="1"/>
    <n v="249"/>
    <x v="5"/>
    <x v="13"/>
    <s v="Electronics"/>
    <n v="150"/>
    <n v="199.20000000000002"/>
    <n v="150"/>
    <n v="49.200000000000017"/>
    <x v="6"/>
  </r>
  <r>
    <s v="ORD50817"/>
    <d v="2025-07-21T00:00:00"/>
    <s v="Ibn Battuta Mall"/>
    <s v="P208"/>
    <n v="1"/>
    <n v="259"/>
    <x v="1"/>
    <x v="22"/>
    <s v="Home &amp; Kitchen"/>
    <n v="115"/>
    <n v="246.04999999999998"/>
    <n v="115"/>
    <n v="131.04999999999998"/>
    <x v="6"/>
  </r>
  <r>
    <s v="ORD51621"/>
    <d v="2025-07-21T00:00:00"/>
    <s v="Dubai Mall"/>
    <s v="P303"/>
    <n v="1"/>
    <n v="149"/>
    <x v="3"/>
    <x v="7"/>
    <s v="Fashion"/>
    <n v="80"/>
    <n v="149"/>
    <n v="80"/>
    <n v="69"/>
    <x v="6"/>
  </r>
  <r>
    <s v="ORD51650"/>
    <d v="2025-07-21T00:00:00"/>
    <s v="Online"/>
    <s v="P104"/>
    <n v="2"/>
    <n v="199"/>
    <x v="2"/>
    <x v="1"/>
    <s v="Electronics"/>
    <n v="175"/>
    <n v="358.2"/>
    <n v="350"/>
    <n v="8.1999999999999886"/>
    <x v="6"/>
  </r>
  <r>
    <s v="ORD52058"/>
    <d v="2025-07-21T00:00:00"/>
    <s v="Mall of the Emirates"/>
    <s v="P101"/>
    <n v="1"/>
    <n v="399"/>
    <x v="1"/>
    <x v="5"/>
    <s v="Electronics"/>
    <n v="230"/>
    <n v="379.04999999999995"/>
    <n v="230"/>
    <n v="149.04999999999995"/>
    <x v="6"/>
  </r>
  <r>
    <s v="ORD52825"/>
    <d v="2025-07-21T00:00:00"/>
    <s v="Mall of the Emirates"/>
    <s v="P405"/>
    <n v="1"/>
    <n v="89"/>
    <x v="3"/>
    <x v="24"/>
    <s v="Beauty"/>
    <n v="40"/>
    <n v="89"/>
    <n v="40"/>
    <n v="49"/>
    <x v="6"/>
  </r>
  <r>
    <s v="ORD53095"/>
    <d v="2025-07-21T00:00:00"/>
    <s v="Dubai Mall"/>
    <s v="P203"/>
    <n v="1"/>
    <n v="349"/>
    <x v="3"/>
    <x v="21"/>
    <s v="Home &amp; Kitchen"/>
    <n v="170"/>
    <n v="349"/>
    <n v="170"/>
    <n v="179"/>
    <x v="6"/>
  </r>
  <r>
    <s v="ORD53481"/>
    <d v="2025-07-21T00:00:00"/>
    <s v="City Centre Deira"/>
    <s v="P306"/>
    <n v="1"/>
    <n v="249"/>
    <x v="0"/>
    <x v="3"/>
    <s v="Fashion"/>
    <n v="95"/>
    <n v="211.65"/>
    <n v="95"/>
    <n v="116.65"/>
    <x v="6"/>
  </r>
  <r>
    <s v="ORD53862"/>
    <d v="2025-07-21T00:00:00"/>
    <s v="Ibn Battuta Mall"/>
    <s v="P108"/>
    <n v="1"/>
    <n v="459"/>
    <x v="3"/>
    <x v="23"/>
    <s v="Electronics"/>
    <n v="300"/>
    <n v="459"/>
    <n v="300"/>
    <n v="159"/>
    <x v="6"/>
  </r>
  <r>
    <s v="ORD54113"/>
    <d v="2025-07-21T00:00:00"/>
    <s v="Dubai Mall"/>
    <s v="P302"/>
    <n v="2"/>
    <n v="459"/>
    <x v="2"/>
    <x v="10"/>
    <s v="Fashion"/>
    <n v="190"/>
    <n v="826.2"/>
    <n v="380"/>
    <n v="446.20000000000005"/>
    <x v="6"/>
  </r>
  <r>
    <s v="ORD50141"/>
    <d v="2025-07-22T00:00:00"/>
    <s v="Online"/>
    <s v="P305"/>
    <n v="2"/>
    <n v="429"/>
    <x v="3"/>
    <x v="14"/>
    <s v="Fashion"/>
    <n v="300"/>
    <n v="858"/>
    <n v="600"/>
    <n v="258"/>
    <x v="6"/>
  </r>
  <r>
    <s v="ORD50370"/>
    <d v="2025-07-22T00:00:00"/>
    <s v="Online"/>
    <s v="P104"/>
    <n v="1"/>
    <n v="199"/>
    <x v="5"/>
    <x v="1"/>
    <s v="Electronics"/>
    <n v="175"/>
    <n v="159.20000000000002"/>
    <n v="175"/>
    <n v="-15.799999999999983"/>
    <x v="6"/>
  </r>
  <r>
    <s v="ORD50743"/>
    <d v="2025-07-22T00:00:00"/>
    <s v="Dubai Mall"/>
    <s v="P206"/>
    <n v="1"/>
    <n v="129"/>
    <x v="4"/>
    <x v="28"/>
    <s v="Home &amp; Kitchen"/>
    <n v="60"/>
    <n v="90.3"/>
    <n v="60"/>
    <n v="30.299999999999997"/>
    <x v="6"/>
  </r>
  <r>
    <s v="ORD51150"/>
    <d v="2025-07-22T00:00:00"/>
    <s v="City Centre Deira"/>
    <s v="P506"/>
    <n v="1"/>
    <n v="69"/>
    <x v="3"/>
    <x v="34"/>
    <s v="Sports"/>
    <n v="25"/>
    <n v="69"/>
    <n v="25"/>
    <n v="44"/>
    <x v="6"/>
  </r>
  <r>
    <s v="ORD51311"/>
    <d v="2025-07-22T00:00:00"/>
    <s v="Ibn Battuta Mall"/>
    <s v="P403"/>
    <n v="1"/>
    <n v="299"/>
    <x v="5"/>
    <x v="8"/>
    <s v="Beauty"/>
    <n v="240"/>
    <n v="239.20000000000002"/>
    <n v="240"/>
    <n v="-0.79999999999998295"/>
    <x v="6"/>
  </r>
  <r>
    <s v="ORD51480"/>
    <d v="2025-07-22T00:00:00"/>
    <s v="City Centre Deira"/>
    <s v="P201"/>
    <n v="1"/>
    <n v="499"/>
    <x v="4"/>
    <x v="16"/>
    <s v="Home &amp; Kitchen"/>
    <n v="290"/>
    <n v="349.29999999999995"/>
    <n v="290"/>
    <n v="59.299999999999955"/>
    <x v="6"/>
  </r>
  <r>
    <s v="ORD51587"/>
    <d v="2025-07-22T00:00:00"/>
    <s v="Mall of the Emirates"/>
    <s v="P405"/>
    <n v="1"/>
    <n v="89"/>
    <x v="5"/>
    <x v="24"/>
    <s v="Beauty"/>
    <n v="40"/>
    <n v="71.2"/>
    <n v="40"/>
    <n v="31.200000000000003"/>
    <x v="6"/>
  </r>
  <r>
    <s v="ORD51975"/>
    <d v="2025-07-22T00:00:00"/>
    <s v="Mall of the Emirates"/>
    <s v="P503"/>
    <n v="1"/>
    <n v="229"/>
    <x v="3"/>
    <x v="18"/>
    <s v="Sports"/>
    <n v="120"/>
    <n v="229"/>
    <n v="120"/>
    <n v="109"/>
    <x v="6"/>
  </r>
  <r>
    <s v="ORD52147"/>
    <d v="2025-07-22T00:00:00"/>
    <s v="Mall of the Emirates"/>
    <s v="P101"/>
    <n v="1"/>
    <n v="399"/>
    <x v="3"/>
    <x v="5"/>
    <s v="Electronics"/>
    <n v="230"/>
    <n v="399"/>
    <n v="230"/>
    <n v="169"/>
    <x v="6"/>
  </r>
  <r>
    <s v="ORD52905"/>
    <d v="2025-07-22T00:00:00"/>
    <s v="Mall of the Emirates"/>
    <s v="P308"/>
    <n v="1"/>
    <n v="229"/>
    <x v="1"/>
    <x v="0"/>
    <s v="Fashion"/>
    <n v="120"/>
    <n v="217.54999999999998"/>
    <n v="120"/>
    <n v="97.549999999999983"/>
    <x v="6"/>
  </r>
  <r>
    <s v="ORD53082"/>
    <d v="2025-07-22T00:00:00"/>
    <s v="City Centre Deira"/>
    <s v="P206"/>
    <n v="1"/>
    <n v="129"/>
    <x v="4"/>
    <x v="28"/>
    <s v="Home &amp; Kitchen"/>
    <n v="60"/>
    <n v="90.3"/>
    <n v="60"/>
    <n v="30.299999999999997"/>
    <x v="6"/>
  </r>
  <r>
    <s v="ORD53244"/>
    <d v="2025-07-22T00:00:00"/>
    <s v="Mall of the Emirates"/>
    <s v="P307"/>
    <n v="3"/>
    <n v="399"/>
    <x v="0"/>
    <x v="20"/>
    <s v="Fashion"/>
    <n v="210"/>
    <n v="1017.4499999999999"/>
    <n v="630"/>
    <n v="387.44999999999993"/>
    <x v="6"/>
  </r>
  <r>
    <s v="ORD53426"/>
    <d v="2025-07-22T00:00:00"/>
    <s v="Online"/>
    <s v="P308"/>
    <n v="1"/>
    <n v="229"/>
    <x v="3"/>
    <x v="0"/>
    <s v="Fashion"/>
    <n v="120"/>
    <n v="229"/>
    <n v="120"/>
    <n v="109"/>
    <x v="6"/>
  </r>
  <r>
    <s v="ORD54177"/>
    <d v="2025-07-22T00:00:00"/>
    <s v="Dubai Mall"/>
    <s v="P208"/>
    <n v="1"/>
    <n v="259"/>
    <x v="1"/>
    <x v="22"/>
    <s v="Home &amp; Kitchen"/>
    <n v="115"/>
    <n v="246.04999999999998"/>
    <n v="115"/>
    <n v="131.04999999999998"/>
    <x v="6"/>
  </r>
  <r>
    <s v="ORD50115"/>
    <d v="2025-07-23T00:00:00"/>
    <s v="Online"/>
    <s v="P102"/>
    <n v="3"/>
    <n v="249"/>
    <x v="3"/>
    <x v="13"/>
    <s v="Electronics"/>
    <n v="150"/>
    <n v="747"/>
    <n v="450"/>
    <n v="297"/>
    <x v="6"/>
  </r>
  <r>
    <s v="ORD50524"/>
    <d v="2025-07-23T00:00:00"/>
    <s v="Online"/>
    <s v="P203"/>
    <n v="2"/>
    <n v="349"/>
    <x v="3"/>
    <x v="21"/>
    <s v="Home &amp; Kitchen"/>
    <n v="170"/>
    <n v="698"/>
    <n v="340"/>
    <n v="358"/>
    <x v="6"/>
  </r>
  <r>
    <s v="ORD50559"/>
    <d v="2025-07-23T00:00:00"/>
    <s v="Dubai Mall"/>
    <s v="P303"/>
    <n v="1"/>
    <n v="149"/>
    <x v="2"/>
    <x v="7"/>
    <s v="Fashion"/>
    <n v="80"/>
    <n v="134.1"/>
    <n v="80"/>
    <n v="54.099999999999994"/>
    <x v="6"/>
  </r>
  <r>
    <s v="ORD51442"/>
    <d v="2025-07-23T00:00:00"/>
    <s v="Mall of the Emirates"/>
    <s v="P303"/>
    <n v="1"/>
    <n v="149"/>
    <x v="3"/>
    <x v="7"/>
    <s v="Fashion"/>
    <n v="80"/>
    <n v="149"/>
    <n v="80"/>
    <n v="69"/>
    <x v="6"/>
  </r>
  <r>
    <s v="ORD51792"/>
    <d v="2025-07-23T00:00:00"/>
    <s v="City Centre Deira"/>
    <s v="P105"/>
    <n v="1"/>
    <n v="899"/>
    <x v="1"/>
    <x v="31"/>
    <s v="Electronics"/>
    <n v="610"/>
    <n v="854.05"/>
    <n v="610"/>
    <n v="244.04999999999995"/>
    <x v="6"/>
  </r>
  <r>
    <s v="ORD52168"/>
    <d v="2025-07-23T00:00:00"/>
    <s v="Dubai Mall"/>
    <s v="P102"/>
    <n v="2"/>
    <n v="249"/>
    <x v="4"/>
    <x v="13"/>
    <s v="Electronics"/>
    <n v="150"/>
    <n v="348.59999999999997"/>
    <n v="300"/>
    <n v="48.599999999999966"/>
    <x v="6"/>
  </r>
  <r>
    <s v="ORD52903"/>
    <d v="2025-07-23T00:00:00"/>
    <s v="Dubai Mall"/>
    <s v="P104"/>
    <n v="1"/>
    <n v="199"/>
    <x v="6"/>
    <x v="1"/>
    <s v="Electronics"/>
    <n v="175"/>
    <n v="149.25"/>
    <n v="175"/>
    <n v="-25.75"/>
    <x v="6"/>
  </r>
  <r>
    <s v="ORD53073"/>
    <d v="2025-07-23T00:00:00"/>
    <s v="Dubai Mall"/>
    <s v="P504"/>
    <n v="2"/>
    <n v="2499"/>
    <x v="6"/>
    <x v="33"/>
    <s v="Sports"/>
    <n v="2150"/>
    <n v="3748.5"/>
    <n v="4300"/>
    <n v="-551.5"/>
    <x v="6"/>
  </r>
  <r>
    <s v="ORD53379"/>
    <d v="2025-07-23T00:00:00"/>
    <s v="City Centre Deira"/>
    <s v="P305"/>
    <n v="1"/>
    <n v="429"/>
    <x v="2"/>
    <x v="14"/>
    <s v="Fashion"/>
    <n v="300"/>
    <n v="386.1"/>
    <n v="300"/>
    <n v="86.100000000000023"/>
    <x v="6"/>
  </r>
  <r>
    <s v="ORD53590"/>
    <d v="2025-07-23T00:00:00"/>
    <s v="City Centre Deira"/>
    <s v="P105"/>
    <n v="1"/>
    <n v="899"/>
    <x v="3"/>
    <x v="31"/>
    <s v="Electronics"/>
    <n v="610"/>
    <n v="899"/>
    <n v="610"/>
    <n v="289"/>
    <x v="6"/>
  </r>
  <r>
    <s v="ORD54009"/>
    <d v="2025-07-23T00:00:00"/>
    <s v="City Centre Deira"/>
    <s v="P106"/>
    <n v="1"/>
    <n v="149"/>
    <x v="2"/>
    <x v="30"/>
    <s v="Electronics"/>
    <n v="70"/>
    <n v="134.1"/>
    <n v="70"/>
    <n v="64.099999999999994"/>
    <x v="6"/>
  </r>
  <r>
    <s v="ORD50162"/>
    <d v="2025-07-24T00:00:00"/>
    <s v="Online"/>
    <s v="P102"/>
    <n v="2"/>
    <n v="249"/>
    <x v="3"/>
    <x v="13"/>
    <s v="Electronics"/>
    <n v="150"/>
    <n v="498"/>
    <n v="300"/>
    <n v="198"/>
    <x v="6"/>
  </r>
  <r>
    <s v="ORD50488"/>
    <d v="2025-07-24T00:00:00"/>
    <s v="City Centre Deira"/>
    <s v="P503"/>
    <n v="1"/>
    <n v="229"/>
    <x v="2"/>
    <x v="18"/>
    <s v="Sports"/>
    <n v="120"/>
    <n v="206.1"/>
    <n v="120"/>
    <n v="86.1"/>
    <x v="6"/>
  </r>
  <r>
    <s v="ORD50989"/>
    <d v="2025-07-24T00:00:00"/>
    <s v="Mall of the Emirates"/>
    <s v="P205"/>
    <n v="1"/>
    <n v="289"/>
    <x v="2"/>
    <x v="9"/>
    <s v="Home &amp; Kitchen"/>
    <n v="140"/>
    <n v="260.10000000000002"/>
    <n v="140"/>
    <n v="120.10000000000002"/>
    <x v="6"/>
  </r>
  <r>
    <s v="ORD51298"/>
    <d v="2025-07-24T00:00:00"/>
    <s v="Dubai Mall"/>
    <s v="P102"/>
    <n v="1"/>
    <n v="249"/>
    <x v="2"/>
    <x v="13"/>
    <s v="Electronics"/>
    <n v="150"/>
    <n v="224.1"/>
    <n v="150"/>
    <n v="74.099999999999994"/>
    <x v="6"/>
  </r>
  <r>
    <s v="ORD51858"/>
    <d v="2025-07-24T00:00:00"/>
    <s v="Online"/>
    <s v="P301"/>
    <n v="1"/>
    <n v="179"/>
    <x v="0"/>
    <x v="2"/>
    <s v="Fashion"/>
    <n v="70"/>
    <n v="152.15"/>
    <n v="70"/>
    <n v="82.15"/>
    <x v="6"/>
  </r>
  <r>
    <s v="ORD52341"/>
    <d v="2025-07-24T00:00:00"/>
    <s v="Dubai Mall"/>
    <s v="P506"/>
    <n v="1"/>
    <n v="69"/>
    <x v="3"/>
    <x v="34"/>
    <s v="Sports"/>
    <n v="25"/>
    <n v="69"/>
    <n v="25"/>
    <n v="44"/>
    <x v="6"/>
  </r>
  <r>
    <s v="ORD52671"/>
    <d v="2025-07-24T00:00:00"/>
    <s v="Dubai Mall"/>
    <s v="P106"/>
    <n v="1"/>
    <n v="149"/>
    <x v="3"/>
    <x v="30"/>
    <s v="Electronics"/>
    <n v="70"/>
    <n v="149"/>
    <n v="70"/>
    <n v="79"/>
    <x v="6"/>
  </r>
  <r>
    <s v="ORD52909"/>
    <d v="2025-07-24T00:00:00"/>
    <s v="Dubai Mall"/>
    <s v="P501"/>
    <n v="4"/>
    <n v="129"/>
    <x v="1"/>
    <x v="12"/>
    <s v="Sports"/>
    <n v="60"/>
    <n v="490.2"/>
    <n v="240"/>
    <n v="250.2"/>
    <x v="6"/>
  </r>
  <r>
    <s v="ORD53072"/>
    <d v="2025-07-24T00:00:00"/>
    <s v="Online"/>
    <s v="P208"/>
    <n v="1"/>
    <n v="259"/>
    <x v="3"/>
    <x v="22"/>
    <s v="Home &amp; Kitchen"/>
    <n v="115"/>
    <n v="259"/>
    <n v="115"/>
    <n v="144"/>
    <x v="6"/>
  </r>
  <r>
    <s v="ORD53600"/>
    <d v="2025-07-24T00:00:00"/>
    <s v="Online"/>
    <s v="P106"/>
    <n v="2"/>
    <n v="149"/>
    <x v="3"/>
    <x v="30"/>
    <s v="Electronics"/>
    <n v="70"/>
    <n v="298"/>
    <n v="140"/>
    <n v="158"/>
    <x v="6"/>
  </r>
  <r>
    <s v="ORD50686"/>
    <d v="2025-07-25T00:00:00"/>
    <s v="Ibn Battuta Mall"/>
    <s v="P403"/>
    <n v="1"/>
    <n v="299"/>
    <x v="6"/>
    <x v="8"/>
    <s v="Beauty"/>
    <n v="240"/>
    <n v="224.25"/>
    <n v="240"/>
    <n v="-15.75"/>
    <x v="6"/>
  </r>
  <r>
    <s v="ORD50780"/>
    <d v="2025-07-25T00:00:00"/>
    <s v="Dubai Mall"/>
    <s v="P106"/>
    <n v="1"/>
    <n v="149"/>
    <x v="3"/>
    <x v="30"/>
    <s v="Electronics"/>
    <n v="70"/>
    <n v="149"/>
    <n v="70"/>
    <n v="79"/>
    <x v="6"/>
  </r>
  <r>
    <s v="ORD51008"/>
    <d v="2025-07-25T00:00:00"/>
    <s v="City Centre Deira"/>
    <s v="P306"/>
    <n v="1"/>
    <n v="249"/>
    <x v="0"/>
    <x v="3"/>
    <s v="Fashion"/>
    <n v="95"/>
    <n v="211.65"/>
    <n v="95"/>
    <n v="116.65"/>
    <x v="6"/>
  </r>
  <r>
    <s v="ORD51159"/>
    <d v="2025-07-25T00:00:00"/>
    <s v="Online"/>
    <s v="P304"/>
    <n v="2"/>
    <n v="699"/>
    <x v="1"/>
    <x v="35"/>
    <s v="Fashion"/>
    <n v="380"/>
    <n v="1328.1"/>
    <n v="760"/>
    <n v="568.09999999999991"/>
    <x v="6"/>
  </r>
  <r>
    <s v="ORD51291"/>
    <d v="2025-07-25T00:00:00"/>
    <s v="Mall of the Emirates"/>
    <s v="P104"/>
    <n v="1"/>
    <n v="199"/>
    <x v="6"/>
    <x v="1"/>
    <s v="Electronics"/>
    <n v="175"/>
    <n v="149.25"/>
    <n v="175"/>
    <n v="-25.75"/>
    <x v="6"/>
  </r>
  <r>
    <s v="ORD51584"/>
    <d v="2025-07-25T00:00:00"/>
    <s v="Online"/>
    <s v="P207"/>
    <n v="3"/>
    <n v="399"/>
    <x v="3"/>
    <x v="32"/>
    <s v="Home &amp; Kitchen"/>
    <n v="250"/>
    <n v="1197"/>
    <n v="750"/>
    <n v="447"/>
    <x v="6"/>
  </r>
  <r>
    <s v="ORD52512"/>
    <d v="2025-07-25T00:00:00"/>
    <s v="Dubai Mall"/>
    <s v="P104"/>
    <n v="3"/>
    <n v="199"/>
    <x v="5"/>
    <x v="1"/>
    <s v="Electronics"/>
    <n v="175"/>
    <n v="477.6"/>
    <n v="525"/>
    <n v="-47.399999999999977"/>
    <x v="6"/>
  </r>
  <r>
    <s v="ORD53856"/>
    <d v="2025-07-25T00:00:00"/>
    <s v="Dubai Mall"/>
    <s v="P403"/>
    <n v="2"/>
    <n v="299"/>
    <x v="5"/>
    <x v="8"/>
    <s v="Beauty"/>
    <n v="240"/>
    <n v="478.40000000000003"/>
    <n v="480"/>
    <n v="-1.5999999999999659"/>
    <x v="6"/>
  </r>
  <r>
    <s v="ORD50088"/>
    <d v="2025-07-26T00:00:00"/>
    <s v="Online"/>
    <s v="P306"/>
    <n v="1"/>
    <n v="249"/>
    <x v="1"/>
    <x v="3"/>
    <s v="Fashion"/>
    <n v="95"/>
    <n v="236.54999999999998"/>
    <n v="95"/>
    <n v="141.54999999999998"/>
    <x v="6"/>
  </r>
  <r>
    <s v="ORD50202"/>
    <d v="2025-07-26T00:00:00"/>
    <s v="City Centre Deira"/>
    <s v="P505"/>
    <n v="1"/>
    <n v="99"/>
    <x v="3"/>
    <x v="11"/>
    <s v="Sports"/>
    <n v="45"/>
    <n v="99"/>
    <n v="45"/>
    <n v="54"/>
    <x v="6"/>
  </r>
  <r>
    <s v="ORD51338"/>
    <d v="2025-07-26T00:00:00"/>
    <s v="City Centre Deira"/>
    <s v="P305"/>
    <n v="4"/>
    <n v="429"/>
    <x v="1"/>
    <x v="14"/>
    <s v="Fashion"/>
    <n v="300"/>
    <n v="1630.1999999999998"/>
    <n v="1200"/>
    <n v="430.19999999999982"/>
    <x v="6"/>
  </r>
  <r>
    <s v="ORD52363"/>
    <d v="2025-07-26T00:00:00"/>
    <s v="Mall of the Emirates"/>
    <s v="P106"/>
    <n v="1"/>
    <n v="149"/>
    <x v="2"/>
    <x v="30"/>
    <s v="Electronics"/>
    <n v="70"/>
    <n v="134.1"/>
    <n v="70"/>
    <n v="64.099999999999994"/>
    <x v="6"/>
  </r>
  <r>
    <s v="ORD52837"/>
    <d v="2025-07-26T00:00:00"/>
    <s v="Ibn Battuta Mall"/>
    <s v="P107"/>
    <n v="1"/>
    <n v="89"/>
    <x v="0"/>
    <x v="29"/>
    <s v="Electronics"/>
    <n v="35"/>
    <n v="75.649999999999991"/>
    <n v="35"/>
    <n v="40.649999999999991"/>
    <x v="6"/>
  </r>
  <r>
    <s v="ORD53063"/>
    <d v="2025-07-26T00:00:00"/>
    <s v="Dubai Mall"/>
    <s v="P301"/>
    <n v="4"/>
    <n v="179"/>
    <x v="3"/>
    <x v="2"/>
    <s v="Fashion"/>
    <n v="70"/>
    <n v="716"/>
    <n v="280"/>
    <n v="436"/>
    <x v="6"/>
  </r>
  <r>
    <s v="ORD53431"/>
    <d v="2025-07-26T00:00:00"/>
    <s v="Mall of the Emirates"/>
    <s v="P308"/>
    <n v="1"/>
    <n v="229"/>
    <x v="0"/>
    <x v="0"/>
    <s v="Fashion"/>
    <n v="120"/>
    <n v="194.65"/>
    <n v="120"/>
    <n v="74.650000000000006"/>
    <x v="6"/>
  </r>
  <r>
    <s v="ORD53685"/>
    <d v="2025-07-26T00:00:00"/>
    <s v="Mall of the Emirates"/>
    <s v="P306"/>
    <n v="1"/>
    <n v="249"/>
    <x v="1"/>
    <x v="3"/>
    <s v="Fashion"/>
    <n v="95"/>
    <n v="236.54999999999998"/>
    <n v="95"/>
    <n v="141.54999999999998"/>
    <x v="6"/>
  </r>
  <r>
    <s v="ORD54040"/>
    <d v="2025-07-26T00:00:00"/>
    <s v="Mall of the Emirates"/>
    <s v="P106"/>
    <n v="1"/>
    <n v="149"/>
    <x v="1"/>
    <x v="30"/>
    <s v="Electronics"/>
    <n v="70"/>
    <n v="141.54999999999998"/>
    <n v="70"/>
    <n v="71.549999999999983"/>
    <x v="6"/>
  </r>
  <r>
    <s v="ORD50052"/>
    <d v="2025-07-27T00:00:00"/>
    <s v="Dubai Mall"/>
    <s v="P301"/>
    <n v="2"/>
    <n v="179"/>
    <x v="3"/>
    <x v="2"/>
    <s v="Fashion"/>
    <n v="70"/>
    <n v="358"/>
    <n v="140"/>
    <n v="218"/>
    <x v="6"/>
  </r>
  <r>
    <s v="ORD50100"/>
    <d v="2025-07-27T00:00:00"/>
    <s v="Mall of the Emirates"/>
    <s v="P105"/>
    <n v="1"/>
    <n v="899"/>
    <x v="3"/>
    <x v="31"/>
    <s v="Electronics"/>
    <n v="610"/>
    <n v="899"/>
    <n v="610"/>
    <n v="289"/>
    <x v="6"/>
  </r>
  <r>
    <s v="ORD51562"/>
    <d v="2025-07-27T00:00:00"/>
    <s v="Mall of the Emirates"/>
    <s v="P402"/>
    <n v="1"/>
    <n v="149"/>
    <x v="3"/>
    <x v="17"/>
    <s v="Beauty"/>
    <n v="55"/>
    <n v="149"/>
    <n v="55"/>
    <n v="94"/>
    <x v="6"/>
  </r>
  <r>
    <s v="ORD51675"/>
    <d v="2025-07-27T00:00:00"/>
    <s v="Ibn Battuta Mall"/>
    <s v="P406"/>
    <n v="2"/>
    <n v="199"/>
    <x v="3"/>
    <x v="4"/>
    <s v="Beauty"/>
    <n v="90"/>
    <n v="398"/>
    <n v="180"/>
    <n v="218"/>
    <x v="6"/>
  </r>
  <r>
    <s v="ORD51799"/>
    <d v="2025-07-27T00:00:00"/>
    <s v="Ibn Battuta Mall"/>
    <s v="P404"/>
    <n v="1"/>
    <n v="189"/>
    <x v="1"/>
    <x v="6"/>
    <s v="Beauty"/>
    <n v="85"/>
    <n v="179.54999999999998"/>
    <n v="85"/>
    <n v="94.549999999999983"/>
    <x v="6"/>
  </r>
  <r>
    <s v="ORD51881"/>
    <d v="2025-07-27T00:00:00"/>
    <s v="Mall of the Emirates"/>
    <s v="P303"/>
    <n v="2"/>
    <n v="149"/>
    <x v="2"/>
    <x v="7"/>
    <s v="Fashion"/>
    <n v="80"/>
    <n v="268.2"/>
    <n v="160"/>
    <n v="108.19999999999999"/>
    <x v="6"/>
  </r>
  <r>
    <s v="ORD52247"/>
    <d v="2025-07-27T00:00:00"/>
    <s v="City Centre Deira"/>
    <s v="P206"/>
    <n v="1"/>
    <n v="129"/>
    <x v="3"/>
    <x v="28"/>
    <s v="Home &amp; Kitchen"/>
    <n v="60"/>
    <n v="129"/>
    <n v="60"/>
    <n v="69"/>
    <x v="6"/>
  </r>
  <r>
    <s v="ORD52270"/>
    <d v="2025-07-27T00:00:00"/>
    <s v="Dubai Mall"/>
    <s v="P306"/>
    <n v="2"/>
    <n v="249"/>
    <x v="3"/>
    <x v="3"/>
    <s v="Fashion"/>
    <n v="95"/>
    <n v="498"/>
    <n v="190"/>
    <n v="308"/>
    <x v="6"/>
  </r>
  <r>
    <s v="ORD52888"/>
    <d v="2025-07-27T00:00:00"/>
    <s v="Online"/>
    <s v="P205"/>
    <n v="1"/>
    <n v="289"/>
    <x v="3"/>
    <x v="9"/>
    <s v="Home &amp; Kitchen"/>
    <n v="140"/>
    <n v="289"/>
    <n v="140"/>
    <n v="149"/>
    <x v="6"/>
  </r>
  <r>
    <s v="ORD53281"/>
    <d v="2025-07-27T00:00:00"/>
    <s v="Ibn Battuta Mall"/>
    <s v="P307"/>
    <n v="2"/>
    <n v="399"/>
    <x v="1"/>
    <x v="20"/>
    <s v="Fashion"/>
    <n v="210"/>
    <n v="758.09999999999991"/>
    <n v="420"/>
    <n v="338.09999999999991"/>
    <x v="6"/>
  </r>
  <r>
    <s v="ORD53457"/>
    <d v="2025-07-27T00:00:00"/>
    <s v="Mall of the Emirates"/>
    <s v="P104"/>
    <n v="1"/>
    <n v="199"/>
    <x v="0"/>
    <x v="1"/>
    <s v="Electronics"/>
    <n v="175"/>
    <n v="169.15"/>
    <n v="175"/>
    <n v="-5.8499999999999943"/>
    <x v="6"/>
  </r>
  <r>
    <s v="ORD53510"/>
    <d v="2025-07-27T00:00:00"/>
    <s v="Mall of the Emirates"/>
    <s v="P404"/>
    <n v="1"/>
    <n v="189"/>
    <x v="5"/>
    <x v="6"/>
    <s v="Beauty"/>
    <n v="85"/>
    <n v="151.20000000000002"/>
    <n v="85"/>
    <n v="66.200000000000017"/>
    <x v="6"/>
  </r>
  <r>
    <s v="ORD53702"/>
    <d v="2025-07-27T00:00:00"/>
    <s v="City Centre Deira"/>
    <s v="P203"/>
    <n v="3"/>
    <n v="349"/>
    <x v="1"/>
    <x v="21"/>
    <s v="Home &amp; Kitchen"/>
    <n v="170"/>
    <n v="994.65"/>
    <n v="510"/>
    <n v="484.65"/>
    <x v="6"/>
  </r>
  <r>
    <s v="ORD54088"/>
    <d v="2025-07-27T00:00:00"/>
    <s v="Dubai Mall"/>
    <s v="P308"/>
    <n v="3"/>
    <n v="229"/>
    <x v="3"/>
    <x v="0"/>
    <s v="Fashion"/>
    <n v="120"/>
    <n v="687"/>
    <n v="360"/>
    <n v="327"/>
    <x v="6"/>
  </r>
  <r>
    <s v="ORD50773"/>
    <d v="2025-07-28T00:00:00"/>
    <s v="City Centre Deira"/>
    <s v="P404"/>
    <n v="2"/>
    <n v="189"/>
    <x v="3"/>
    <x v="6"/>
    <s v="Beauty"/>
    <n v="85"/>
    <n v="378"/>
    <n v="170"/>
    <n v="208"/>
    <x v="6"/>
  </r>
  <r>
    <s v="ORD51316"/>
    <d v="2025-07-28T00:00:00"/>
    <s v="Online"/>
    <s v="P103"/>
    <n v="1"/>
    <n v="1299"/>
    <x v="3"/>
    <x v="25"/>
    <s v="Electronics"/>
    <n v="820"/>
    <n v="1299"/>
    <n v="820"/>
    <n v="479"/>
    <x v="6"/>
  </r>
  <r>
    <s v="ORD51626"/>
    <d v="2025-07-28T00:00:00"/>
    <s v="Ibn Battuta Mall"/>
    <s v="P104"/>
    <n v="1"/>
    <n v="199"/>
    <x v="6"/>
    <x v="1"/>
    <s v="Electronics"/>
    <n v="175"/>
    <n v="149.25"/>
    <n v="175"/>
    <n v="-25.75"/>
    <x v="6"/>
  </r>
  <r>
    <s v="ORD52204"/>
    <d v="2025-07-28T00:00:00"/>
    <s v="Online"/>
    <s v="P306"/>
    <n v="2"/>
    <n v="249"/>
    <x v="1"/>
    <x v="3"/>
    <s v="Fashion"/>
    <n v="95"/>
    <n v="473.09999999999997"/>
    <n v="190"/>
    <n v="283.09999999999997"/>
    <x v="6"/>
  </r>
  <r>
    <s v="ORD52284"/>
    <d v="2025-07-28T00:00:00"/>
    <s v="Mall of the Emirates"/>
    <s v="P108"/>
    <n v="2"/>
    <n v="459"/>
    <x v="1"/>
    <x v="23"/>
    <s v="Electronics"/>
    <n v="300"/>
    <n v="872.09999999999991"/>
    <n v="600"/>
    <n v="272.09999999999991"/>
    <x v="6"/>
  </r>
  <r>
    <s v="ORD52444"/>
    <d v="2025-07-28T00:00:00"/>
    <s v="Mall of the Emirates"/>
    <s v="P104"/>
    <n v="1"/>
    <n v="199"/>
    <x v="0"/>
    <x v="1"/>
    <s v="Electronics"/>
    <n v="175"/>
    <n v="169.15"/>
    <n v="175"/>
    <n v="-5.8499999999999943"/>
    <x v="6"/>
  </r>
  <r>
    <s v="ORD52599"/>
    <d v="2025-07-28T00:00:00"/>
    <s v="Ibn Battuta Mall"/>
    <s v="P101"/>
    <n v="4"/>
    <n v="399"/>
    <x v="3"/>
    <x v="5"/>
    <s v="Electronics"/>
    <n v="230"/>
    <n v="1596"/>
    <n v="920"/>
    <n v="676"/>
    <x v="6"/>
  </r>
  <r>
    <s v="ORD52811"/>
    <d v="2025-07-28T00:00:00"/>
    <s v="Online"/>
    <s v="P301"/>
    <n v="1"/>
    <n v="179"/>
    <x v="4"/>
    <x v="2"/>
    <s v="Fashion"/>
    <n v="70"/>
    <n v="125.3"/>
    <n v="70"/>
    <n v="55.3"/>
    <x v="6"/>
  </r>
  <r>
    <s v="ORD54002"/>
    <d v="2025-07-28T00:00:00"/>
    <s v="City Centre Deira"/>
    <s v="P308"/>
    <n v="1"/>
    <n v="229"/>
    <x v="3"/>
    <x v="0"/>
    <s v="Fashion"/>
    <n v="120"/>
    <n v="229"/>
    <n v="120"/>
    <n v="109"/>
    <x v="6"/>
  </r>
  <r>
    <s v="ORD54158"/>
    <d v="2025-07-28T00:00:00"/>
    <s v="Mall of the Emirates"/>
    <s v="P406"/>
    <n v="1"/>
    <n v="199"/>
    <x v="5"/>
    <x v="4"/>
    <s v="Beauty"/>
    <n v="90"/>
    <n v="159.20000000000002"/>
    <n v="90"/>
    <n v="69.200000000000017"/>
    <x v="6"/>
  </r>
  <r>
    <s v="ORD50014"/>
    <d v="2025-07-29T00:00:00"/>
    <s v="Dubai Mall"/>
    <s v="P402"/>
    <n v="1"/>
    <n v="149"/>
    <x v="3"/>
    <x v="17"/>
    <s v="Beauty"/>
    <n v="55"/>
    <n v="149"/>
    <n v="55"/>
    <n v="94"/>
    <x v="6"/>
  </r>
  <r>
    <s v="ORD50992"/>
    <d v="2025-07-29T00:00:00"/>
    <s v="Dubai Mall"/>
    <s v="P301"/>
    <n v="2"/>
    <n v="179"/>
    <x v="3"/>
    <x v="2"/>
    <s v="Fashion"/>
    <n v="70"/>
    <n v="358"/>
    <n v="140"/>
    <n v="218"/>
    <x v="6"/>
  </r>
  <r>
    <s v="ORD51498"/>
    <d v="2025-07-29T00:00:00"/>
    <s v="Mall of the Emirates"/>
    <s v="P403"/>
    <n v="3"/>
    <n v="299"/>
    <x v="5"/>
    <x v="8"/>
    <s v="Beauty"/>
    <n v="240"/>
    <n v="717.6"/>
    <n v="720"/>
    <n v="-2.3999999999999773"/>
    <x v="6"/>
  </r>
  <r>
    <s v="ORD51630"/>
    <d v="2025-07-29T00:00:00"/>
    <s v="Ibn Battuta Mall"/>
    <s v="P203"/>
    <n v="2"/>
    <n v="349"/>
    <x v="3"/>
    <x v="21"/>
    <s v="Home &amp; Kitchen"/>
    <n v="170"/>
    <n v="698"/>
    <n v="340"/>
    <n v="358"/>
    <x v="6"/>
  </r>
  <r>
    <s v="ORD51736"/>
    <d v="2025-07-29T00:00:00"/>
    <s v="Mall of the Emirates"/>
    <s v="P406"/>
    <n v="1"/>
    <n v="199"/>
    <x v="2"/>
    <x v="4"/>
    <s v="Beauty"/>
    <n v="90"/>
    <n v="179.1"/>
    <n v="90"/>
    <n v="89.1"/>
    <x v="6"/>
  </r>
  <r>
    <s v="ORD51763"/>
    <d v="2025-07-29T00:00:00"/>
    <s v="City Centre Deira"/>
    <s v="P303"/>
    <n v="1"/>
    <n v="149"/>
    <x v="2"/>
    <x v="7"/>
    <s v="Fashion"/>
    <n v="80"/>
    <n v="134.1"/>
    <n v="80"/>
    <n v="54.099999999999994"/>
    <x v="6"/>
  </r>
  <r>
    <s v="ORD52530"/>
    <d v="2025-07-29T00:00:00"/>
    <s v="Online"/>
    <s v="P103"/>
    <n v="2"/>
    <n v="1299"/>
    <x v="5"/>
    <x v="25"/>
    <s v="Electronics"/>
    <n v="820"/>
    <n v="2078.4"/>
    <n v="1640"/>
    <n v="438.40000000000009"/>
    <x v="6"/>
  </r>
  <r>
    <s v="ORD52750"/>
    <d v="2025-07-29T00:00:00"/>
    <s v="City Centre Deira"/>
    <s v="P105"/>
    <n v="2"/>
    <n v="899"/>
    <x v="1"/>
    <x v="31"/>
    <s v="Electronics"/>
    <n v="610"/>
    <n v="1708.1"/>
    <n v="1220"/>
    <n v="488.09999999999991"/>
    <x v="6"/>
  </r>
  <r>
    <s v="ORD52985"/>
    <d v="2025-07-29T00:00:00"/>
    <s v="Ibn Battuta Mall"/>
    <s v="P208"/>
    <n v="2"/>
    <n v="259"/>
    <x v="5"/>
    <x v="22"/>
    <s v="Home &amp; Kitchen"/>
    <n v="115"/>
    <n v="414.40000000000003"/>
    <n v="230"/>
    <n v="184.40000000000003"/>
    <x v="6"/>
  </r>
  <r>
    <s v="ORD53812"/>
    <d v="2025-07-29T00:00:00"/>
    <s v="Mall of the Emirates"/>
    <s v="P308"/>
    <n v="2"/>
    <n v="229"/>
    <x v="3"/>
    <x v="0"/>
    <s v="Fashion"/>
    <n v="120"/>
    <n v="458"/>
    <n v="240"/>
    <n v="218"/>
    <x v="6"/>
  </r>
  <r>
    <s v="ORD50263"/>
    <d v="2025-07-30T00:00:00"/>
    <s v="Ibn Battuta Mall"/>
    <s v="P301"/>
    <n v="1"/>
    <n v="179"/>
    <x v="2"/>
    <x v="2"/>
    <s v="Fashion"/>
    <n v="70"/>
    <n v="161.1"/>
    <n v="70"/>
    <n v="91.1"/>
    <x v="6"/>
  </r>
  <r>
    <s v="ORD50515"/>
    <d v="2025-07-30T00:00:00"/>
    <s v="Online"/>
    <s v="P402"/>
    <n v="1"/>
    <n v="149"/>
    <x v="3"/>
    <x v="17"/>
    <s v="Beauty"/>
    <n v="55"/>
    <n v="149"/>
    <n v="55"/>
    <n v="94"/>
    <x v="6"/>
  </r>
  <r>
    <s v="ORD50999"/>
    <d v="2025-07-30T00:00:00"/>
    <s v="Dubai Mall"/>
    <s v="P205"/>
    <n v="2"/>
    <n v="289"/>
    <x v="3"/>
    <x v="9"/>
    <s v="Home &amp; Kitchen"/>
    <n v="140"/>
    <n v="578"/>
    <n v="280"/>
    <n v="298"/>
    <x v="6"/>
  </r>
  <r>
    <s v="ORD51161"/>
    <d v="2025-07-30T00:00:00"/>
    <s v="Mall of the Emirates"/>
    <s v="P101"/>
    <n v="1"/>
    <n v="399"/>
    <x v="5"/>
    <x v="5"/>
    <s v="Electronics"/>
    <n v="230"/>
    <n v="319.20000000000005"/>
    <n v="230"/>
    <n v="89.200000000000045"/>
    <x v="6"/>
  </r>
  <r>
    <s v="ORD51302"/>
    <d v="2025-07-30T00:00:00"/>
    <s v="Dubai Mall"/>
    <s v="P202"/>
    <n v="2"/>
    <n v="1499"/>
    <x v="5"/>
    <x v="26"/>
    <s v="Home &amp; Kitchen"/>
    <n v="1050"/>
    <n v="2398.4"/>
    <n v="2100"/>
    <n v="298.40000000000009"/>
    <x v="6"/>
  </r>
  <r>
    <s v="ORD51429"/>
    <d v="2025-07-30T00:00:00"/>
    <s v="Dubai Mall"/>
    <s v="P305"/>
    <n v="2"/>
    <n v="429"/>
    <x v="1"/>
    <x v="14"/>
    <s v="Fashion"/>
    <n v="300"/>
    <n v="815.09999999999991"/>
    <n v="600"/>
    <n v="215.09999999999991"/>
    <x v="6"/>
  </r>
  <r>
    <s v="ORD51478"/>
    <d v="2025-07-30T00:00:00"/>
    <s v="Online"/>
    <s v="P104"/>
    <n v="1"/>
    <n v="199"/>
    <x v="5"/>
    <x v="1"/>
    <s v="Electronics"/>
    <n v="175"/>
    <n v="159.20000000000002"/>
    <n v="175"/>
    <n v="-15.799999999999983"/>
    <x v="6"/>
  </r>
  <r>
    <s v="ORD52017"/>
    <d v="2025-07-30T00:00:00"/>
    <s v="City Centre Deira"/>
    <s v="P302"/>
    <n v="3"/>
    <n v="459"/>
    <x v="3"/>
    <x v="10"/>
    <s v="Fashion"/>
    <n v="190"/>
    <n v="1377"/>
    <n v="570"/>
    <n v="807"/>
    <x v="6"/>
  </r>
  <r>
    <s v="ORD52742"/>
    <d v="2025-07-30T00:00:00"/>
    <s v="Online"/>
    <s v="P303"/>
    <n v="2"/>
    <n v="149"/>
    <x v="3"/>
    <x v="7"/>
    <s v="Fashion"/>
    <n v="80"/>
    <n v="298"/>
    <n v="160"/>
    <n v="138"/>
    <x v="6"/>
  </r>
  <r>
    <s v="ORD53523"/>
    <d v="2025-07-30T00:00:00"/>
    <s v="Dubai Mall"/>
    <s v="P503"/>
    <n v="3"/>
    <n v="229"/>
    <x v="3"/>
    <x v="18"/>
    <s v="Sports"/>
    <n v="120"/>
    <n v="687"/>
    <n v="360"/>
    <n v="327"/>
    <x v="6"/>
  </r>
  <r>
    <s v="ORD50049"/>
    <d v="2025-07-31T00:00:00"/>
    <s v="Ibn Battuta Mall"/>
    <s v="P207"/>
    <n v="2"/>
    <n v="399"/>
    <x v="2"/>
    <x v="32"/>
    <s v="Home &amp; Kitchen"/>
    <n v="250"/>
    <n v="718.2"/>
    <n v="500"/>
    <n v="218.20000000000005"/>
    <x v="6"/>
  </r>
  <r>
    <s v="ORD50294"/>
    <d v="2025-07-31T00:00:00"/>
    <s v="Dubai Mall"/>
    <s v="P406"/>
    <n v="1"/>
    <n v="199"/>
    <x v="1"/>
    <x v="4"/>
    <s v="Beauty"/>
    <n v="90"/>
    <n v="189.04999999999998"/>
    <n v="90"/>
    <n v="99.049999999999983"/>
    <x v="6"/>
  </r>
  <r>
    <s v="ORD50747"/>
    <d v="2025-07-31T00:00:00"/>
    <s v="Online"/>
    <s v="P206"/>
    <n v="1"/>
    <n v="129"/>
    <x v="0"/>
    <x v="28"/>
    <s v="Home &amp; Kitchen"/>
    <n v="60"/>
    <n v="109.64999999999999"/>
    <n v="60"/>
    <n v="49.649999999999991"/>
    <x v="6"/>
  </r>
  <r>
    <s v="ORD51091"/>
    <d v="2025-07-31T00:00:00"/>
    <s v="Ibn Battuta Mall"/>
    <s v="P308"/>
    <n v="2"/>
    <n v="229"/>
    <x v="5"/>
    <x v="0"/>
    <s v="Fashion"/>
    <n v="120"/>
    <n v="366.40000000000003"/>
    <n v="240"/>
    <n v="126.40000000000003"/>
    <x v="6"/>
  </r>
  <r>
    <s v="ORD51211"/>
    <d v="2025-07-31T00:00:00"/>
    <s v="Mall of the Emirates"/>
    <s v="P503"/>
    <n v="2"/>
    <n v="229"/>
    <x v="5"/>
    <x v="18"/>
    <s v="Sports"/>
    <n v="120"/>
    <n v="366.40000000000003"/>
    <n v="240"/>
    <n v="126.40000000000003"/>
    <x v="6"/>
  </r>
  <r>
    <s v="ORD51510"/>
    <d v="2025-07-31T00:00:00"/>
    <s v="Mall of the Emirates"/>
    <s v="P106"/>
    <n v="1"/>
    <n v="149"/>
    <x v="3"/>
    <x v="30"/>
    <s v="Electronics"/>
    <n v="70"/>
    <n v="149"/>
    <n v="70"/>
    <n v="79"/>
    <x v="6"/>
  </r>
  <r>
    <s v="ORD51980"/>
    <d v="2025-07-31T00:00:00"/>
    <s v="Mall of the Emirates"/>
    <s v="P108"/>
    <n v="1"/>
    <n v="459"/>
    <x v="3"/>
    <x v="23"/>
    <s v="Electronics"/>
    <n v="300"/>
    <n v="459"/>
    <n v="300"/>
    <n v="159"/>
    <x v="6"/>
  </r>
  <r>
    <s v="ORD52254"/>
    <d v="2025-07-31T00:00:00"/>
    <s v="City Centre Deira"/>
    <s v="P501"/>
    <n v="2"/>
    <n v="129"/>
    <x v="5"/>
    <x v="12"/>
    <s v="Sports"/>
    <n v="60"/>
    <n v="206.4"/>
    <n v="120"/>
    <n v="86.4"/>
    <x v="6"/>
  </r>
  <r>
    <s v="ORD52290"/>
    <d v="2025-07-31T00:00:00"/>
    <s v="Dubai Mall"/>
    <s v="P208"/>
    <n v="1"/>
    <n v="259"/>
    <x v="2"/>
    <x v="22"/>
    <s v="Home &amp; Kitchen"/>
    <n v="115"/>
    <n v="233.1"/>
    <n v="115"/>
    <n v="118.1"/>
    <x v="6"/>
  </r>
  <r>
    <s v="ORD52373"/>
    <d v="2025-07-31T00:00:00"/>
    <s v="Online"/>
    <s v="P208"/>
    <n v="3"/>
    <n v="259"/>
    <x v="3"/>
    <x v="22"/>
    <s v="Home &amp; Kitchen"/>
    <n v="115"/>
    <n v="777"/>
    <n v="345"/>
    <n v="432"/>
    <x v="6"/>
  </r>
  <r>
    <s v="ORD52773"/>
    <d v="2025-07-31T00:00:00"/>
    <s v="Mall of the Emirates"/>
    <s v="P403"/>
    <n v="1"/>
    <n v="299"/>
    <x v="2"/>
    <x v="8"/>
    <s v="Beauty"/>
    <n v="240"/>
    <n v="269.10000000000002"/>
    <n v="240"/>
    <n v="29.100000000000023"/>
    <x v="6"/>
  </r>
  <r>
    <s v="ORD52986"/>
    <d v="2025-07-31T00:00:00"/>
    <s v="Mall of the Emirates"/>
    <s v="P106"/>
    <n v="1"/>
    <n v="149"/>
    <x v="3"/>
    <x v="30"/>
    <s v="Electronics"/>
    <n v="70"/>
    <n v="149"/>
    <n v="70"/>
    <n v="79"/>
    <x v="6"/>
  </r>
  <r>
    <s v="ORD52994"/>
    <d v="2025-07-31T00:00:00"/>
    <s v="City Centre Deira"/>
    <s v="P108"/>
    <n v="4"/>
    <n v="459"/>
    <x v="3"/>
    <x v="23"/>
    <s v="Electronics"/>
    <n v="300"/>
    <n v="1836"/>
    <n v="1200"/>
    <n v="636"/>
    <x v="6"/>
  </r>
  <r>
    <s v="ORD53301"/>
    <d v="2025-07-31T00:00:00"/>
    <s v="City Centre Deira"/>
    <s v="P303"/>
    <n v="1"/>
    <n v="149"/>
    <x v="1"/>
    <x v="7"/>
    <s v="Fashion"/>
    <n v="80"/>
    <n v="141.54999999999998"/>
    <n v="80"/>
    <n v="61.549999999999983"/>
    <x v="6"/>
  </r>
  <r>
    <s v="ORD54186"/>
    <d v="2025-07-31T00:00:00"/>
    <s v="Mall of the Emirates"/>
    <s v="P307"/>
    <n v="4"/>
    <n v="399"/>
    <x v="2"/>
    <x v="20"/>
    <s v="Fashion"/>
    <n v="210"/>
    <n v="1436.4"/>
    <n v="840"/>
    <n v="596.40000000000009"/>
    <x v="6"/>
  </r>
  <r>
    <s v="ORD50290"/>
    <d v="2025-08-01T00:00:00"/>
    <s v="City Centre Deira"/>
    <s v="P203"/>
    <n v="1"/>
    <n v="349"/>
    <x v="3"/>
    <x v="21"/>
    <s v="Home &amp; Kitchen"/>
    <n v="170"/>
    <n v="349"/>
    <n v="170"/>
    <n v="179"/>
    <x v="7"/>
  </r>
  <r>
    <s v="ORD50451"/>
    <d v="2025-08-01T00:00:00"/>
    <s v="Dubai Mall"/>
    <s v="P304"/>
    <n v="2"/>
    <n v="699"/>
    <x v="3"/>
    <x v="35"/>
    <s v="Fashion"/>
    <n v="380"/>
    <n v="1398"/>
    <n v="760"/>
    <n v="638"/>
    <x v="7"/>
  </r>
  <r>
    <s v="ORD50574"/>
    <d v="2025-08-01T00:00:00"/>
    <s v="Online"/>
    <s v="P303"/>
    <n v="1"/>
    <n v="149"/>
    <x v="3"/>
    <x v="7"/>
    <s v="Fashion"/>
    <n v="80"/>
    <n v="149"/>
    <n v="80"/>
    <n v="69"/>
    <x v="7"/>
  </r>
  <r>
    <s v="ORD51666"/>
    <d v="2025-08-01T00:00:00"/>
    <s v="City Centre Deira"/>
    <s v="P306"/>
    <n v="1"/>
    <n v="249"/>
    <x v="3"/>
    <x v="3"/>
    <s v="Fashion"/>
    <n v="95"/>
    <n v="249"/>
    <n v="95"/>
    <n v="154"/>
    <x v="7"/>
  </r>
  <r>
    <s v="ORD51768"/>
    <d v="2025-08-01T00:00:00"/>
    <s v="Mall of the Emirates"/>
    <s v="P301"/>
    <n v="2"/>
    <n v="179"/>
    <x v="3"/>
    <x v="2"/>
    <s v="Fashion"/>
    <n v="70"/>
    <n v="358"/>
    <n v="140"/>
    <n v="218"/>
    <x v="7"/>
  </r>
  <r>
    <s v="ORD52794"/>
    <d v="2025-08-01T00:00:00"/>
    <s v="Dubai Mall"/>
    <s v="P404"/>
    <n v="2"/>
    <n v="189"/>
    <x v="3"/>
    <x v="6"/>
    <s v="Beauty"/>
    <n v="85"/>
    <n v="378"/>
    <n v="170"/>
    <n v="208"/>
    <x v="7"/>
  </r>
  <r>
    <s v="ORD53414"/>
    <d v="2025-08-01T00:00:00"/>
    <s v="Dubai Mall"/>
    <s v="P102"/>
    <n v="1"/>
    <n v="249"/>
    <x v="3"/>
    <x v="13"/>
    <s v="Electronics"/>
    <n v="150"/>
    <n v="249"/>
    <n v="150"/>
    <n v="99"/>
    <x v="7"/>
  </r>
  <r>
    <s v="ORD54083"/>
    <d v="2025-08-01T00:00:00"/>
    <s v="Ibn Battuta Mall"/>
    <s v="P503"/>
    <n v="1"/>
    <n v="229"/>
    <x v="3"/>
    <x v="18"/>
    <s v="Sports"/>
    <n v="120"/>
    <n v="229"/>
    <n v="120"/>
    <n v="109"/>
    <x v="7"/>
  </r>
  <r>
    <s v="ORD50357"/>
    <d v="2025-08-02T00:00:00"/>
    <s v="Ibn Battuta Mall"/>
    <s v="P108"/>
    <n v="1"/>
    <n v="459"/>
    <x v="5"/>
    <x v="23"/>
    <s v="Electronics"/>
    <n v="300"/>
    <n v="367.20000000000005"/>
    <n v="300"/>
    <n v="67.200000000000045"/>
    <x v="7"/>
  </r>
  <r>
    <s v="ORD50523"/>
    <d v="2025-08-02T00:00:00"/>
    <s v="Mall of the Emirates"/>
    <s v="P206"/>
    <n v="1"/>
    <n v="129"/>
    <x v="3"/>
    <x v="28"/>
    <s v="Home &amp; Kitchen"/>
    <n v="60"/>
    <n v="129"/>
    <n v="60"/>
    <n v="69"/>
    <x v="7"/>
  </r>
  <r>
    <s v="ORD50727"/>
    <d v="2025-08-02T00:00:00"/>
    <s v="Mall of the Emirates"/>
    <s v="P501"/>
    <n v="1"/>
    <n v="129"/>
    <x v="1"/>
    <x v="12"/>
    <s v="Sports"/>
    <n v="60"/>
    <n v="122.55"/>
    <n v="60"/>
    <n v="62.55"/>
    <x v="7"/>
  </r>
  <r>
    <s v="ORD50771"/>
    <d v="2025-08-02T00:00:00"/>
    <s v="Dubai Mall"/>
    <s v="P302"/>
    <n v="1"/>
    <n v="459"/>
    <x v="3"/>
    <x v="10"/>
    <s v="Fashion"/>
    <n v="190"/>
    <n v="459"/>
    <n v="190"/>
    <n v="269"/>
    <x v="7"/>
  </r>
  <r>
    <s v="ORD51907"/>
    <d v="2025-08-02T00:00:00"/>
    <s v="Online"/>
    <s v="P107"/>
    <n v="4"/>
    <n v="89"/>
    <x v="3"/>
    <x v="29"/>
    <s v="Electronics"/>
    <n v="35"/>
    <n v="356"/>
    <n v="140"/>
    <n v="216"/>
    <x v="7"/>
  </r>
  <r>
    <s v="ORD51914"/>
    <d v="2025-08-02T00:00:00"/>
    <s v="Dubai Mall"/>
    <s v="P301"/>
    <n v="2"/>
    <n v="179"/>
    <x v="3"/>
    <x v="2"/>
    <s v="Fashion"/>
    <n v="70"/>
    <n v="358"/>
    <n v="140"/>
    <n v="218"/>
    <x v="7"/>
  </r>
  <r>
    <s v="ORD52307"/>
    <d v="2025-08-02T00:00:00"/>
    <s v="City Centre Deira"/>
    <s v="P106"/>
    <n v="1"/>
    <n v="149"/>
    <x v="5"/>
    <x v="30"/>
    <s v="Electronics"/>
    <n v="70"/>
    <n v="119.2"/>
    <n v="70"/>
    <n v="49.2"/>
    <x v="7"/>
  </r>
  <r>
    <s v="ORD52545"/>
    <d v="2025-08-02T00:00:00"/>
    <s v="City Centre Deira"/>
    <s v="P303"/>
    <n v="4"/>
    <n v="149"/>
    <x v="2"/>
    <x v="7"/>
    <s v="Fashion"/>
    <n v="80"/>
    <n v="536.4"/>
    <n v="320"/>
    <n v="216.39999999999998"/>
    <x v="7"/>
  </r>
  <r>
    <s v="ORD52677"/>
    <d v="2025-08-02T00:00:00"/>
    <s v="Dubai Mall"/>
    <s v="P201"/>
    <n v="2"/>
    <n v="499"/>
    <x v="4"/>
    <x v="16"/>
    <s v="Home &amp; Kitchen"/>
    <n v="290"/>
    <n v="698.59999999999991"/>
    <n v="580"/>
    <n v="118.59999999999991"/>
    <x v="7"/>
  </r>
  <r>
    <s v="ORD52882"/>
    <d v="2025-08-02T00:00:00"/>
    <s v="Dubai Mall"/>
    <s v="P203"/>
    <n v="4"/>
    <n v="349"/>
    <x v="3"/>
    <x v="21"/>
    <s v="Home &amp; Kitchen"/>
    <n v="170"/>
    <n v="1396"/>
    <n v="680"/>
    <n v="716"/>
    <x v="7"/>
  </r>
  <r>
    <s v="ORD53437"/>
    <d v="2025-08-02T00:00:00"/>
    <s v="Online"/>
    <s v="P502"/>
    <n v="3"/>
    <n v="799"/>
    <x v="6"/>
    <x v="19"/>
    <s v="Sports"/>
    <n v="700"/>
    <n v="1797.75"/>
    <n v="2100"/>
    <n v="-302.25"/>
    <x v="7"/>
  </r>
  <r>
    <s v="ORD53687"/>
    <d v="2025-08-02T00:00:00"/>
    <s v="City Centre Deira"/>
    <s v="P104"/>
    <n v="1"/>
    <n v="199"/>
    <x v="2"/>
    <x v="1"/>
    <s v="Electronics"/>
    <n v="175"/>
    <n v="179.1"/>
    <n v="175"/>
    <n v="4.0999999999999943"/>
    <x v="7"/>
  </r>
  <r>
    <s v="ORD53742"/>
    <d v="2025-08-02T00:00:00"/>
    <s v="Dubai Mall"/>
    <s v="P206"/>
    <n v="1"/>
    <n v="129"/>
    <x v="5"/>
    <x v="28"/>
    <s v="Home &amp; Kitchen"/>
    <n v="60"/>
    <n v="103.2"/>
    <n v="60"/>
    <n v="43.2"/>
    <x v="7"/>
  </r>
  <r>
    <s v="ORD50121"/>
    <d v="2025-08-03T00:00:00"/>
    <s v="City Centre Deira"/>
    <s v="P206"/>
    <n v="2"/>
    <n v="129"/>
    <x v="3"/>
    <x v="28"/>
    <s v="Home &amp; Kitchen"/>
    <n v="60"/>
    <n v="258"/>
    <n v="120"/>
    <n v="138"/>
    <x v="7"/>
  </r>
  <r>
    <s v="ORD50360"/>
    <d v="2025-08-03T00:00:00"/>
    <s v="Ibn Battuta Mall"/>
    <s v="P205"/>
    <n v="2"/>
    <n v="289"/>
    <x v="3"/>
    <x v="9"/>
    <s v="Home &amp; Kitchen"/>
    <n v="140"/>
    <n v="578"/>
    <n v="280"/>
    <n v="298"/>
    <x v="7"/>
  </r>
  <r>
    <s v="ORD50883"/>
    <d v="2025-08-03T00:00:00"/>
    <s v="Dubai Mall"/>
    <s v="P203"/>
    <n v="1"/>
    <n v="349"/>
    <x v="1"/>
    <x v="21"/>
    <s v="Home &amp; Kitchen"/>
    <n v="170"/>
    <n v="331.55"/>
    <n v="170"/>
    <n v="161.55000000000001"/>
    <x v="7"/>
  </r>
  <r>
    <s v="ORD50958"/>
    <d v="2025-08-03T00:00:00"/>
    <s v="Mall of the Emirates"/>
    <s v="P301"/>
    <n v="1"/>
    <n v="179"/>
    <x v="1"/>
    <x v="2"/>
    <s v="Fashion"/>
    <n v="70"/>
    <n v="170.04999999999998"/>
    <n v="70"/>
    <n v="100.04999999999998"/>
    <x v="7"/>
  </r>
  <r>
    <s v="ORD51934"/>
    <d v="2025-08-03T00:00:00"/>
    <s v="Dubai Mall"/>
    <s v="P405"/>
    <n v="1"/>
    <n v="89"/>
    <x v="5"/>
    <x v="24"/>
    <s v="Beauty"/>
    <n v="40"/>
    <n v="71.2"/>
    <n v="40"/>
    <n v="31.200000000000003"/>
    <x v="7"/>
  </r>
  <r>
    <s v="ORD51967"/>
    <d v="2025-08-03T00:00:00"/>
    <s v="Dubai Mall"/>
    <s v="P403"/>
    <n v="1"/>
    <n v="299"/>
    <x v="5"/>
    <x v="8"/>
    <s v="Beauty"/>
    <n v="240"/>
    <n v="239.20000000000002"/>
    <n v="240"/>
    <n v="-0.79999999999998295"/>
    <x v="7"/>
  </r>
  <r>
    <s v="ORD52206"/>
    <d v="2025-08-03T00:00:00"/>
    <s v="Dubai Mall"/>
    <s v="P104"/>
    <n v="3"/>
    <n v="199"/>
    <x v="6"/>
    <x v="1"/>
    <s v="Electronics"/>
    <n v="175"/>
    <n v="447.75"/>
    <n v="525"/>
    <n v="-77.25"/>
    <x v="7"/>
  </r>
  <r>
    <s v="ORD52744"/>
    <d v="2025-08-03T00:00:00"/>
    <s v="Online"/>
    <s v="P405"/>
    <n v="3"/>
    <n v="89"/>
    <x v="3"/>
    <x v="24"/>
    <s v="Beauty"/>
    <n v="40"/>
    <n v="267"/>
    <n v="120"/>
    <n v="147"/>
    <x v="7"/>
  </r>
  <r>
    <s v="ORD52782"/>
    <d v="2025-08-03T00:00:00"/>
    <s v="City Centre Deira"/>
    <s v="P401"/>
    <n v="1"/>
    <n v="549"/>
    <x v="3"/>
    <x v="15"/>
    <s v="Beauty"/>
    <n v="250"/>
    <n v="549"/>
    <n v="250"/>
    <n v="299"/>
    <x v="7"/>
  </r>
  <r>
    <s v="ORD52828"/>
    <d v="2025-08-03T00:00:00"/>
    <s v="Ibn Battuta Mall"/>
    <s v="P104"/>
    <n v="1"/>
    <n v="199"/>
    <x v="5"/>
    <x v="1"/>
    <s v="Electronics"/>
    <n v="175"/>
    <n v="159.20000000000002"/>
    <n v="175"/>
    <n v="-15.799999999999983"/>
    <x v="7"/>
  </r>
  <r>
    <s v="ORD53067"/>
    <d v="2025-08-03T00:00:00"/>
    <s v="Mall of the Emirates"/>
    <s v="P405"/>
    <n v="1"/>
    <n v="89"/>
    <x v="3"/>
    <x v="24"/>
    <s v="Beauty"/>
    <n v="40"/>
    <n v="89"/>
    <n v="40"/>
    <n v="49"/>
    <x v="7"/>
  </r>
  <r>
    <s v="ORD53253"/>
    <d v="2025-08-03T00:00:00"/>
    <s v="City Centre Deira"/>
    <s v="P303"/>
    <n v="2"/>
    <n v="149"/>
    <x v="3"/>
    <x v="7"/>
    <s v="Fashion"/>
    <n v="80"/>
    <n v="298"/>
    <n v="160"/>
    <n v="138"/>
    <x v="7"/>
  </r>
  <r>
    <s v="ORD53283"/>
    <d v="2025-08-03T00:00:00"/>
    <s v="Dubai Mall"/>
    <s v="P205"/>
    <n v="1"/>
    <n v="289"/>
    <x v="1"/>
    <x v="9"/>
    <s v="Home &amp; Kitchen"/>
    <n v="140"/>
    <n v="274.55"/>
    <n v="140"/>
    <n v="134.55000000000001"/>
    <x v="7"/>
  </r>
  <r>
    <s v="ORD53643"/>
    <d v="2025-08-03T00:00:00"/>
    <s v="Ibn Battuta Mall"/>
    <s v="P403"/>
    <n v="1"/>
    <n v="299"/>
    <x v="0"/>
    <x v="8"/>
    <s v="Beauty"/>
    <n v="240"/>
    <n v="254.15"/>
    <n v="240"/>
    <n v="14.150000000000006"/>
    <x v="7"/>
  </r>
  <r>
    <s v="ORD53680"/>
    <d v="2025-08-03T00:00:00"/>
    <s v="Online"/>
    <s v="P304"/>
    <n v="1"/>
    <n v="699"/>
    <x v="1"/>
    <x v="35"/>
    <s v="Fashion"/>
    <n v="380"/>
    <n v="664.05"/>
    <n v="380"/>
    <n v="284.04999999999995"/>
    <x v="7"/>
  </r>
  <r>
    <s v="ORD50212"/>
    <d v="2025-08-04T00:00:00"/>
    <s v="Online"/>
    <s v="P305"/>
    <n v="1"/>
    <n v="429"/>
    <x v="0"/>
    <x v="14"/>
    <s v="Fashion"/>
    <n v="300"/>
    <n v="364.65"/>
    <n v="300"/>
    <n v="64.649999999999977"/>
    <x v="7"/>
  </r>
  <r>
    <s v="ORD50297"/>
    <d v="2025-08-04T00:00:00"/>
    <s v="Dubai Mall"/>
    <s v="P307"/>
    <n v="2"/>
    <n v="399"/>
    <x v="3"/>
    <x v="20"/>
    <s v="Fashion"/>
    <n v="210"/>
    <n v="798"/>
    <n v="420"/>
    <n v="378"/>
    <x v="7"/>
  </r>
  <r>
    <s v="ORD50531"/>
    <d v="2025-08-04T00:00:00"/>
    <s v="Dubai Mall"/>
    <s v="P308"/>
    <n v="1"/>
    <n v="229"/>
    <x v="1"/>
    <x v="0"/>
    <s v="Fashion"/>
    <n v="120"/>
    <n v="217.54999999999998"/>
    <n v="120"/>
    <n v="97.549999999999983"/>
    <x v="7"/>
  </r>
  <r>
    <s v="ORD51055"/>
    <d v="2025-08-04T00:00:00"/>
    <s v="Online"/>
    <s v="P506"/>
    <n v="1"/>
    <n v="69"/>
    <x v="2"/>
    <x v="34"/>
    <s v="Sports"/>
    <n v="25"/>
    <n v="62.1"/>
    <n v="25"/>
    <n v="37.1"/>
    <x v="7"/>
  </r>
  <r>
    <s v="ORD51174"/>
    <d v="2025-08-04T00:00:00"/>
    <s v="Online"/>
    <s v="P403"/>
    <n v="1"/>
    <n v="299"/>
    <x v="2"/>
    <x v="8"/>
    <s v="Beauty"/>
    <n v="240"/>
    <n v="269.10000000000002"/>
    <n v="240"/>
    <n v="29.100000000000023"/>
    <x v="7"/>
  </r>
  <r>
    <s v="ORD51419"/>
    <d v="2025-08-04T00:00:00"/>
    <s v="Dubai Mall"/>
    <s v="P301"/>
    <n v="2"/>
    <n v="179"/>
    <x v="3"/>
    <x v="2"/>
    <s v="Fashion"/>
    <n v="70"/>
    <n v="358"/>
    <n v="140"/>
    <n v="218"/>
    <x v="7"/>
  </r>
  <r>
    <s v="ORD51432"/>
    <d v="2025-08-04T00:00:00"/>
    <s v="Mall of the Emirates"/>
    <s v="P208"/>
    <n v="2"/>
    <n v="259"/>
    <x v="1"/>
    <x v="22"/>
    <s v="Home &amp; Kitchen"/>
    <n v="115"/>
    <n v="492.09999999999997"/>
    <n v="230"/>
    <n v="262.09999999999997"/>
    <x v="7"/>
  </r>
  <r>
    <s v="ORD51604"/>
    <d v="2025-08-04T00:00:00"/>
    <s v="Dubai Mall"/>
    <s v="P207"/>
    <n v="1"/>
    <n v="399"/>
    <x v="3"/>
    <x v="32"/>
    <s v="Home &amp; Kitchen"/>
    <n v="250"/>
    <n v="399"/>
    <n v="250"/>
    <n v="149"/>
    <x v="7"/>
  </r>
  <r>
    <s v="ORD51606"/>
    <d v="2025-08-04T00:00:00"/>
    <s v="Online"/>
    <s v="P204"/>
    <n v="2"/>
    <n v="1199"/>
    <x v="6"/>
    <x v="27"/>
    <s v="Home &amp; Kitchen"/>
    <n v="1080"/>
    <n v="1798.5"/>
    <n v="2160"/>
    <n v="-361.5"/>
    <x v="7"/>
  </r>
  <r>
    <s v="ORD51726"/>
    <d v="2025-08-04T00:00:00"/>
    <s v="Online"/>
    <s v="P208"/>
    <n v="1"/>
    <n v="259"/>
    <x v="3"/>
    <x v="22"/>
    <s v="Home &amp; Kitchen"/>
    <n v="115"/>
    <n v="259"/>
    <n v="115"/>
    <n v="144"/>
    <x v="7"/>
  </r>
  <r>
    <s v="ORD51854"/>
    <d v="2025-08-04T00:00:00"/>
    <s v="City Centre Deira"/>
    <s v="P405"/>
    <n v="3"/>
    <n v="89"/>
    <x v="2"/>
    <x v="24"/>
    <s v="Beauty"/>
    <n v="40"/>
    <n v="240.3"/>
    <n v="120"/>
    <n v="120.30000000000001"/>
    <x v="7"/>
  </r>
  <r>
    <s v="ORD52103"/>
    <d v="2025-08-04T00:00:00"/>
    <s v="Ibn Battuta Mall"/>
    <s v="P503"/>
    <n v="4"/>
    <n v="229"/>
    <x v="1"/>
    <x v="18"/>
    <s v="Sports"/>
    <n v="120"/>
    <n v="870.19999999999993"/>
    <n v="480"/>
    <n v="390.19999999999993"/>
    <x v="7"/>
  </r>
  <r>
    <s v="ORD52680"/>
    <d v="2025-08-04T00:00:00"/>
    <s v="Mall of the Emirates"/>
    <s v="P201"/>
    <n v="1"/>
    <n v="499"/>
    <x v="1"/>
    <x v="16"/>
    <s v="Home &amp; Kitchen"/>
    <n v="290"/>
    <n v="474.04999999999995"/>
    <n v="290"/>
    <n v="184.04999999999995"/>
    <x v="7"/>
  </r>
  <r>
    <s v="ORD53002"/>
    <d v="2025-08-04T00:00:00"/>
    <s v="Dubai Mall"/>
    <s v="P401"/>
    <n v="2"/>
    <n v="549"/>
    <x v="5"/>
    <x v="15"/>
    <s v="Beauty"/>
    <n v="250"/>
    <n v="878.40000000000009"/>
    <n v="500"/>
    <n v="378.40000000000009"/>
    <x v="7"/>
  </r>
  <r>
    <s v="ORD53429"/>
    <d v="2025-08-04T00:00:00"/>
    <s v="Ibn Battuta Mall"/>
    <s v="P307"/>
    <n v="2"/>
    <n v="399"/>
    <x v="0"/>
    <x v="20"/>
    <s v="Fashion"/>
    <n v="210"/>
    <n v="678.3"/>
    <n v="420"/>
    <n v="258.29999999999995"/>
    <x v="7"/>
  </r>
  <r>
    <s v="ORD53470"/>
    <d v="2025-08-04T00:00:00"/>
    <s v="City Centre Deira"/>
    <s v="P506"/>
    <n v="2"/>
    <n v="69"/>
    <x v="3"/>
    <x v="34"/>
    <s v="Sports"/>
    <n v="25"/>
    <n v="138"/>
    <n v="50"/>
    <n v="88"/>
    <x v="7"/>
  </r>
  <r>
    <s v="ORD50145"/>
    <d v="2025-08-05T00:00:00"/>
    <s v="Ibn Battuta Mall"/>
    <s v="P102"/>
    <n v="2"/>
    <n v="249"/>
    <x v="3"/>
    <x v="13"/>
    <s v="Electronics"/>
    <n v="150"/>
    <n v="498"/>
    <n v="300"/>
    <n v="198"/>
    <x v="7"/>
  </r>
  <r>
    <s v="ORD51589"/>
    <d v="2025-08-05T00:00:00"/>
    <s v="City Centre Deira"/>
    <s v="P505"/>
    <n v="3"/>
    <n v="99"/>
    <x v="1"/>
    <x v="11"/>
    <s v="Sports"/>
    <n v="45"/>
    <n v="282.14999999999998"/>
    <n v="135"/>
    <n v="147.14999999999998"/>
    <x v="7"/>
  </r>
  <r>
    <s v="ORD51705"/>
    <d v="2025-08-05T00:00:00"/>
    <s v="Dubai Mall"/>
    <s v="P303"/>
    <n v="1"/>
    <n v="149"/>
    <x v="5"/>
    <x v="7"/>
    <s v="Fashion"/>
    <n v="80"/>
    <n v="119.2"/>
    <n v="80"/>
    <n v="39.200000000000003"/>
    <x v="7"/>
  </r>
  <r>
    <s v="ORD52039"/>
    <d v="2025-08-05T00:00:00"/>
    <s v="Online"/>
    <s v="P405"/>
    <n v="2"/>
    <n v="89"/>
    <x v="3"/>
    <x v="24"/>
    <s v="Beauty"/>
    <n v="40"/>
    <n v="178"/>
    <n v="80"/>
    <n v="98"/>
    <x v="7"/>
  </r>
  <r>
    <s v="ORD52401"/>
    <d v="2025-08-05T00:00:00"/>
    <s v="Mall of the Emirates"/>
    <s v="P108"/>
    <n v="1"/>
    <n v="459"/>
    <x v="3"/>
    <x v="23"/>
    <s v="Electronics"/>
    <n v="300"/>
    <n v="459"/>
    <n v="300"/>
    <n v="159"/>
    <x v="7"/>
  </r>
  <r>
    <s v="ORD52451"/>
    <d v="2025-08-05T00:00:00"/>
    <s v="Ibn Battuta Mall"/>
    <s v="P206"/>
    <n v="1"/>
    <n v="129"/>
    <x v="3"/>
    <x v="28"/>
    <s v="Home &amp; Kitchen"/>
    <n v="60"/>
    <n v="129"/>
    <n v="60"/>
    <n v="69"/>
    <x v="7"/>
  </r>
  <r>
    <s v="ORD52494"/>
    <d v="2025-08-05T00:00:00"/>
    <s v="Ibn Battuta Mall"/>
    <s v="P401"/>
    <n v="1"/>
    <n v="549"/>
    <x v="3"/>
    <x v="15"/>
    <s v="Beauty"/>
    <n v="250"/>
    <n v="549"/>
    <n v="250"/>
    <n v="299"/>
    <x v="7"/>
  </r>
  <r>
    <s v="ORD52840"/>
    <d v="2025-08-05T00:00:00"/>
    <s v="City Centre Deira"/>
    <s v="P502"/>
    <n v="1"/>
    <n v="799"/>
    <x v="5"/>
    <x v="19"/>
    <s v="Sports"/>
    <n v="700"/>
    <n v="639.20000000000005"/>
    <n v="700"/>
    <n v="-60.799999999999955"/>
    <x v="7"/>
  </r>
  <r>
    <s v="ORD53005"/>
    <d v="2025-08-05T00:00:00"/>
    <s v="Dubai Mall"/>
    <s v="P404"/>
    <n v="1"/>
    <n v="189"/>
    <x v="1"/>
    <x v="6"/>
    <s v="Beauty"/>
    <n v="85"/>
    <n v="179.54999999999998"/>
    <n v="85"/>
    <n v="94.549999999999983"/>
    <x v="7"/>
  </r>
  <r>
    <s v="ORD53137"/>
    <d v="2025-08-05T00:00:00"/>
    <s v="Mall of the Emirates"/>
    <s v="P305"/>
    <n v="1"/>
    <n v="429"/>
    <x v="3"/>
    <x v="14"/>
    <s v="Fashion"/>
    <n v="300"/>
    <n v="429"/>
    <n v="300"/>
    <n v="129"/>
    <x v="7"/>
  </r>
  <r>
    <s v="ORD53487"/>
    <d v="2025-08-05T00:00:00"/>
    <s v="Dubai Mall"/>
    <s v="P208"/>
    <n v="1"/>
    <n v="259"/>
    <x v="3"/>
    <x v="22"/>
    <s v="Home &amp; Kitchen"/>
    <n v="115"/>
    <n v="259"/>
    <n v="115"/>
    <n v="144"/>
    <x v="7"/>
  </r>
  <r>
    <s v="ORD53831"/>
    <d v="2025-08-05T00:00:00"/>
    <s v="City Centre Deira"/>
    <s v="P306"/>
    <n v="1"/>
    <n v="249"/>
    <x v="4"/>
    <x v="3"/>
    <s v="Fashion"/>
    <n v="95"/>
    <n v="174.29999999999998"/>
    <n v="95"/>
    <n v="79.299999999999983"/>
    <x v="7"/>
  </r>
  <r>
    <s v="ORD50131"/>
    <d v="2025-08-06T00:00:00"/>
    <s v="Mall of the Emirates"/>
    <s v="P402"/>
    <n v="1"/>
    <n v="149"/>
    <x v="3"/>
    <x v="17"/>
    <s v="Beauty"/>
    <n v="55"/>
    <n v="149"/>
    <n v="55"/>
    <n v="94"/>
    <x v="7"/>
  </r>
  <r>
    <s v="ORD50334"/>
    <d v="2025-08-06T00:00:00"/>
    <s v="Ibn Battuta Mall"/>
    <s v="P303"/>
    <n v="1"/>
    <n v="149"/>
    <x v="0"/>
    <x v="7"/>
    <s v="Fashion"/>
    <n v="80"/>
    <n v="126.64999999999999"/>
    <n v="80"/>
    <n v="46.649999999999991"/>
    <x v="7"/>
  </r>
  <r>
    <s v="ORD50645"/>
    <d v="2025-08-06T00:00:00"/>
    <s v="Mall of the Emirates"/>
    <s v="P404"/>
    <n v="1"/>
    <n v="189"/>
    <x v="3"/>
    <x v="6"/>
    <s v="Beauty"/>
    <n v="85"/>
    <n v="189"/>
    <n v="85"/>
    <n v="104"/>
    <x v="7"/>
  </r>
  <r>
    <s v="ORD51790"/>
    <d v="2025-08-06T00:00:00"/>
    <s v="Dubai Mall"/>
    <s v="P302"/>
    <n v="1"/>
    <n v="459"/>
    <x v="1"/>
    <x v="10"/>
    <s v="Fashion"/>
    <n v="190"/>
    <n v="436.04999999999995"/>
    <n v="190"/>
    <n v="246.04999999999995"/>
    <x v="7"/>
  </r>
  <r>
    <s v="ORD51808"/>
    <d v="2025-08-06T00:00:00"/>
    <s v="Dubai Mall"/>
    <s v="P301"/>
    <n v="1"/>
    <n v="179"/>
    <x v="5"/>
    <x v="2"/>
    <s v="Fashion"/>
    <n v="70"/>
    <n v="143.20000000000002"/>
    <n v="70"/>
    <n v="73.200000000000017"/>
    <x v="7"/>
  </r>
  <r>
    <s v="ORD51971"/>
    <d v="2025-08-06T00:00:00"/>
    <s v="Online"/>
    <s v="P108"/>
    <n v="2"/>
    <n v="459"/>
    <x v="5"/>
    <x v="23"/>
    <s v="Electronics"/>
    <n v="300"/>
    <n v="734.40000000000009"/>
    <n v="600"/>
    <n v="134.40000000000009"/>
    <x v="7"/>
  </r>
  <r>
    <s v="ORD52071"/>
    <d v="2025-08-06T00:00:00"/>
    <s v="Online"/>
    <s v="P208"/>
    <n v="1"/>
    <n v="259"/>
    <x v="3"/>
    <x v="22"/>
    <s v="Home &amp; Kitchen"/>
    <n v="115"/>
    <n v="259"/>
    <n v="115"/>
    <n v="144"/>
    <x v="7"/>
  </r>
  <r>
    <s v="ORD52072"/>
    <d v="2025-08-06T00:00:00"/>
    <s v="Online"/>
    <s v="P101"/>
    <n v="1"/>
    <n v="399"/>
    <x v="3"/>
    <x v="5"/>
    <s v="Electronics"/>
    <n v="230"/>
    <n v="399"/>
    <n v="230"/>
    <n v="169"/>
    <x v="7"/>
  </r>
  <r>
    <s v="ORD52209"/>
    <d v="2025-08-06T00:00:00"/>
    <s v="City Centre Deira"/>
    <s v="P107"/>
    <n v="1"/>
    <n v="89"/>
    <x v="3"/>
    <x v="29"/>
    <s v="Electronics"/>
    <n v="35"/>
    <n v="89"/>
    <n v="35"/>
    <n v="54"/>
    <x v="7"/>
  </r>
  <r>
    <s v="ORD52731"/>
    <d v="2025-08-06T00:00:00"/>
    <s v="Dubai Mall"/>
    <s v="P306"/>
    <n v="2"/>
    <n v="249"/>
    <x v="3"/>
    <x v="3"/>
    <s v="Fashion"/>
    <n v="95"/>
    <n v="498"/>
    <n v="190"/>
    <n v="308"/>
    <x v="7"/>
  </r>
  <r>
    <s v="ORD52857"/>
    <d v="2025-08-06T00:00:00"/>
    <s v="Online"/>
    <s v="P503"/>
    <n v="3"/>
    <n v="229"/>
    <x v="2"/>
    <x v="18"/>
    <s v="Sports"/>
    <n v="120"/>
    <n v="618.30000000000007"/>
    <n v="360"/>
    <n v="258.30000000000007"/>
    <x v="7"/>
  </r>
  <r>
    <s v="ORD53380"/>
    <d v="2025-08-06T00:00:00"/>
    <s v="Online"/>
    <s v="P107"/>
    <n v="3"/>
    <n v="89"/>
    <x v="0"/>
    <x v="29"/>
    <s v="Electronics"/>
    <n v="35"/>
    <n v="226.95"/>
    <n v="105"/>
    <n v="121.94999999999999"/>
    <x v="7"/>
  </r>
  <r>
    <s v="ORD53531"/>
    <d v="2025-08-06T00:00:00"/>
    <s v="Dubai Mall"/>
    <s v="P305"/>
    <n v="1"/>
    <n v="429"/>
    <x v="1"/>
    <x v="14"/>
    <s v="Fashion"/>
    <n v="300"/>
    <n v="407.54999999999995"/>
    <n v="300"/>
    <n v="107.54999999999995"/>
    <x v="7"/>
  </r>
  <r>
    <s v="ORD54021"/>
    <d v="2025-08-06T00:00:00"/>
    <s v="Ibn Battuta Mall"/>
    <s v="P403"/>
    <n v="1"/>
    <n v="299"/>
    <x v="0"/>
    <x v="8"/>
    <s v="Beauty"/>
    <n v="240"/>
    <n v="254.15"/>
    <n v="240"/>
    <n v="14.150000000000006"/>
    <x v="7"/>
  </r>
  <r>
    <s v="ORD50183"/>
    <d v="2025-08-07T00:00:00"/>
    <s v="Dubai Mall"/>
    <s v="P502"/>
    <n v="1"/>
    <n v="799"/>
    <x v="5"/>
    <x v="19"/>
    <s v="Sports"/>
    <n v="700"/>
    <n v="639.20000000000005"/>
    <n v="700"/>
    <n v="-60.799999999999955"/>
    <x v="7"/>
  </r>
  <r>
    <s v="ORD50824"/>
    <d v="2025-08-07T00:00:00"/>
    <s v="Dubai Mall"/>
    <s v="P302"/>
    <n v="1"/>
    <n v="459"/>
    <x v="0"/>
    <x v="10"/>
    <s v="Fashion"/>
    <n v="190"/>
    <n v="390.15"/>
    <n v="190"/>
    <n v="200.14999999999998"/>
    <x v="7"/>
  </r>
  <r>
    <s v="ORD51405"/>
    <d v="2025-08-07T00:00:00"/>
    <s v="Online"/>
    <s v="P208"/>
    <n v="1"/>
    <n v="259"/>
    <x v="3"/>
    <x v="22"/>
    <s v="Home &amp; Kitchen"/>
    <n v="115"/>
    <n v="259"/>
    <n v="115"/>
    <n v="144"/>
    <x v="7"/>
  </r>
  <r>
    <s v="ORD53625"/>
    <d v="2025-08-07T00:00:00"/>
    <s v="Dubai Mall"/>
    <s v="P305"/>
    <n v="1"/>
    <n v="429"/>
    <x v="2"/>
    <x v="14"/>
    <s v="Fashion"/>
    <n v="300"/>
    <n v="386.1"/>
    <n v="300"/>
    <n v="86.100000000000023"/>
    <x v="7"/>
  </r>
  <r>
    <s v="ORD53917"/>
    <d v="2025-08-07T00:00:00"/>
    <s v="Mall of the Emirates"/>
    <s v="P106"/>
    <n v="3"/>
    <n v="149"/>
    <x v="3"/>
    <x v="30"/>
    <s v="Electronics"/>
    <n v="70"/>
    <n v="447"/>
    <n v="210"/>
    <n v="237"/>
    <x v="7"/>
  </r>
  <r>
    <s v="ORD51096"/>
    <d v="2025-08-08T00:00:00"/>
    <s v="Dubai Mall"/>
    <s v="P403"/>
    <n v="1"/>
    <n v="299"/>
    <x v="2"/>
    <x v="8"/>
    <s v="Beauty"/>
    <n v="240"/>
    <n v="269.10000000000002"/>
    <n v="240"/>
    <n v="29.100000000000023"/>
    <x v="7"/>
  </r>
  <r>
    <s v="ORD51282"/>
    <d v="2025-08-08T00:00:00"/>
    <s v="Mall of the Emirates"/>
    <s v="P201"/>
    <n v="1"/>
    <n v="499"/>
    <x v="3"/>
    <x v="16"/>
    <s v="Home &amp; Kitchen"/>
    <n v="290"/>
    <n v="499"/>
    <n v="290"/>
    <n v="209"/>
    <x v="7"/>
  </r>
  <r>
    <s v="ORD51924"/>
    <d v="2025-08-08T00:00:00"/>
    <s v="Ibn Battuta Mall"/>
    <s v="P503"/>
    <n v="1"/>
    <n v="229"/>
    <x v="3"/>
    <x v="18"/>
    <s v="Sports"/>
    <n v="120"/>
    <n v="229"/>
    <n v="120"/>
    <n v="109"/>
    <x v="7"/>
  </r>
  <r>
    <s v="ORD52176"/>
    <d v="2025-08-08T00:00:00"/>
    <s v="Dubai Mall"/>
    <s v="P405"/>
    <n v="4"/>
    <n v="89"/>
    <x v="1"/>
    <x v="24"/>
    <s v="Beauty"/>
    <n v="40"/>
    <n v="338.2"/>
    <n v="160"/>
    <n v="178.2"/>
    <x v="7"/>
  </r>
  <r>
    <s v="ORD53233"/>
    <d v="2025-08-08T00:00:00"/>
    <s v="Dubai Mall"/>
    <s v="P206"/>
    <n v="2"/>
    <n v="129"/>
    <x v="3"/>
    <x v="28"/>
    <s v="Home &amp; Kitchen"/>
    <n v="60"/>
    <n v="258"/>
    <n v="120"/>
    <n v="138"/>
    <x v="7"/>
  </r>
  <r>
    <s v="ORD53383"/>
    <d v="2025-08-08T00:00:00"/>
    <s v="Mall of the Emirates"/>
    <s v="P304"/>
    <n v="1"/>
    <n v="699"/>
    <x v="0"/>
    <x v="35"/>
    <s v="Fashion"/>
    <n v="380"/>
    <n v="594.15"/>
    <n v="380"/>
    <n v="214.14999999999998"/>
    <x v="7"/>
  </r>
  <r>
    <s v="ORD53914"/>
    <d v="2025-08-08T00:00:00"/>
    <s v="Mall of the Emirates"/>
    <s v="P505"/>
    <n v="2"/>
    <n v="99"/>
    <x v="3"/>
    <x v="11"/>
    <s v="Sports"/>
    <n v="45"/>
    <n v="198"/>
    <n v="90"/>
    <n v="108"/>
    <x v="7"/>
  </r>
  <r>
    <s v="ORD54080"/>
    <d v="2025-08-08T00:00:00"/>
    <s v="Dubai Mall"/>
    <s v="P301"/>
    <n v="1"/>
    <n v="179"/>
    <x v="5"/>
    <x v="2"/>
    <s v="Fashion"/>
    <n v="70"/>
    <n v="143.20000000000002"/>
    <n v="70"/>
    <n v="73.200000000000017"/>
    <x v="7"/>
  </r>
  <r>
    <s v="ORD50386"/>
    <d v="2025-08-09T00:00:00"/>
    <s v="Dubai Mall"/>
    <s v="P205"/>
    <n v="1"/>
    <n v="289"/>
    <x v="1"/>
    <x v="9"/>
    <s v="Home &amp; Kitchen"/>
    <n v="140"/>
    <n v="274.55"/>
    <n v="140"/>
    <n v="134.55000000000001"/>
    <x v="7"/>
  </r>
  <r>
    <s v="ORD50543"/>
    <d v="2025-08-09T00:00:00"/>
    <s v="Dubai Mall"/>
    <s v="P106"/>
    <n v="1"/>
    <n v="149"/>
    <x v="0"/>
    <x v="30"/>
    <s v="Electronics"/>
    <n v="70"/>
    <n v="126.64999999999999"/>
    <n v="70"/>
    <n v="56.649999999999991"/>
    <x v="7"/>
  </r>
  <r>
    <s v="ORD50832"/>
    <d v="2025-08-09T00:00:00"/>
    <s v="Dubai Mall"/>
    <s v="P403"/>
    <n v="2"/>
    <n v="299"/>
    <x v="2"/>
    <x v="8"/>
    <s v="Beauty"/>
    <n v="240"/>
    <n v="538.20000000000005"/>
    <n v="480"/>
    <n v="58.200000000000045"/>
    <x v="7"/>
  </r>
  <r>
    <s v="ORD50947"/>
    <d v="2025-08-09T00:00:00"/>
    <s v="Mall of the Emirates"/>
    <s v="P107"/>
    <n v="1"/>
    <n v="89"/>
    <x v="1"/>
    <x v="29"/>
    <s v="Electronics"/>
    <n v="35"/>
    <n v="84.55"/>
    <n v="35"/>
    <n v="49.55"/>
    <x v="7"/>
  </r>
  <r>
    <s v="ORD51112"/>
    <d v="2025-08-09T00:00:00"/>
    <s v="Online"/>
    <s v="P107"/>
    <n v="1"/>
    <n v="89"/>
    <x v="1"/>
    <x v="29"/>
    <s v="Electronics"/>
    <n v="35"/>
    <n v="84.55"/>
    <n v="35"/>
    <n v="49.55"/>
    <x v="7"/>
  </r>
  <r>
    <s v="ORD51352"/>
    <d v="2025-08-09T00:00:00"/>
    <s v="Online"/>
    <s v="P105"/>
    <n v="4"/>
    <n v="899"/>
    <x v="3"/>
    <x v="31"/>
    <s v="Electronics"/>
    <n v="610"/>
    <n v="3596"/>
    <n v="2440"/>
    <n v="1156"/>
    <x v="7"/>
  </r>
  <r>
    <s v="ORD52021"/>
    <d v="2025-08-09T00:00:00"/>
    <s v="Online"/>
    <s v="P404"/>
    <n v="2"/>
    <n v="189"/>
    <x v="3"/>
    <x v="6"/>
    <s v="Beauty"/>
    <n v="85"/>
    <n v="378"/>
    <n v="170"/>
    <n v="208"/>
    <x v="7"/>
  </r>
  <r>
    <s v="ORD52628"/>
    <d v="2025-08-09T00:00:00"/>
    <s v="Dubai Mall"/>
    <s v="P308"/>
    <n v="1"/>
    <n v="229"/>
    <x v="2"/>
    <x v="0"/>
    <s v="Fashion"/>
    <n v="120"/>
    <n v="206.1"/>
    <n v="120"/>
    <n v="86.1"/>
    <x v="7"/>
  </r>
  <r>
    <s v="ORD52688"/>
    <d v="2025-08-09T00:00:00"/>
    <s v="Mall of the Emirates"/>
    <s v="P207"/>
    <n v="1"/>
    <n v="399"/>
    <x v="3"/>
    <x v="32"/>
    <s v="Home &amp; Kitchen"/>
    <n v="250"/>
    <n v="399"/>
    <n v="250"/>
    <n v="149"/>
    <x v="7"/>
  </r>
  <r>
    <s v="ORD53023"/>
    <d v="2025-08-09T00:00:00"/>
    <s v="Dubai Mall"/>
    <s v="P402"/>
    <n v="1"/>
    <n v="149"/>
    <x v="0"/>
    <x v="17"/>
    <s v="Beauty"/>
    <n v="55"/>
    <n v="126.64999999999999"/>
    <n v="55"/>
    <n v="71.649999999999991"/>
    <x v="7"/>
  </r>
  <r>
    <s v="ORD53024"/>
    <d v="2025-08-09T00:00:00"/>
    <s v="Mall of the Emirates"/>
    <s v="P201"/>
    <n v="4"/>
    <n v="499"/>
    <x v="1"/>
    <x v="16"/>
    <s v="Home &amp; Kitchen"/>
    <n v="290"/>
    <n v="1896.1999999999998"/>
    <n v="1160"/>
    <n v="736.19999999999982"/>
    <x v="7"/>
  </r>
  <r>
    <s v="ORD53400"/>
    <d v="2025-08-09T00:00:00"/>
    <s v="Mall of the Emirates"/>
    <s v="P406"/>
    <n v="1"/>
    <n v="199"/>
    <x v="3"/>
    <x v="4"/>
    <s v="Beauty"/>
    <n v="90"/>
    <n v="199"/>
    <n v="90"/>
    <n v="109"/>
    <x v="7"/>
  </r>
  <r>
    <s v="ORD50101"/>
    <d v="2025-08-10T00:00:00"/>
    <s v="Mall of the Emirates"/>
    <s v="P403"/>
    <n v="2"/>
    <n v="299"/>
    <x v="0"/>
    <x v="8"/>
    <s v="Beauty"/>
    <n v="240"/>
    <n v="508.3"/>
    <n v="480"/>
    <n v="28.300000000000011"/>
    <x v="7"/>
  </r>
  <r>
    <s v="ORD50134"/>
    <d v="2025-08-10T00:00:00"/>
    <s v="Ibn Battuta Mall"/>
    <s v="P305"/>
    <n v="2"/>
    <n v="429"/>
    <x v="3"/>
    <x v="14"/>
    <s v="Fashion"/>
    <n v="300"/>
    <n v="858"/>
    <n v="600"/>
    <n v="258"/>
    <x v="7"/>
  </r>
  <r>
    <s v="ORD50372"/>
    <d v="2025-08-10T00:00:00"/>
    <s v="Dubai Mall"/>
    <s v="P302"/>
    <n v="3"/>
    <n v="459"/>
    <x v="5"/>
    <x v="10"/>
    <s v="Fashion"/>
    <n v="190"/>
    <n v="1101.6000000000001"/>
    <n v="570"/>
    <n v="531.60000000000014"/>
    <x v="7"/>
  </r>
  <r>
    <s v="ORD51221"/>
    <d v="2025-08-10T00:00:00"/>
    <s v="Dubai Mall"/>
    <s v="P307"/>
    <n v="1"/>
    <n v="399"/>
    <x v="0"/>
    <x v="20"/>
    <s v="Fashion"/>
    <n v="210"/>
    <n v="339.15"/>
    <n v="210"/>
    <n v="129.14999999999998"/>
    <x v="7"/>
  </r>
  <r>
    <s v="ORD51561"/>
    <d v="2025-08-10T00:00:00"/>
    <s v="Dubai Mall"/>
    <s v="P308"/>
    <n v="2"/>
    <n v="229"/>
    <x v="3"/>
    <x v="0"/>
    <s v="Fashion"/>
    <n v="120"/>
    <n v="458"/>
    <n v="240"/>
    <n v="218"/>
    <x v="7"/>
  </r>
  <r>
    <s v="ORD51785"/>
    <d v="2025-08-10T00:00:00"/>
    <s v="Mall of the Emirates"/>
    <s v="P101"/>
    <n v="2"/>
    <n v="399"/>
    <x v="3"/>
    <x v="5"/>
    <s v="Electronics"/>
    <n v="230"/>
    <n v="798"/>
    <n v="460"/>
    <n v="338"/>
    <x v="7"/>
  </r>
  <r>
    <s v="ORD52446"/>
    <d v="2025-08-10T00:00:00"/>
    <s v="Dubai Mall"/>
    <s v="P301"/>
    <n v="1"/>
    <n v="179"/>
    <x v="2"/>
    <x v="2"/>
    <s v="Fashion"/>
    <n v="70"/>
    <n v="161.1"/>
    <n v="70"/>
    <n v="91.1"/>
    <x v="7"/>
  </r>
  <r>
    <s v="ORD52699"/>
    <d v="2025-08-10T00:00:00"/>
    <s v="Dubai Mall"/>
    <s v="P205"/>
    <n v="1"/>
    <n v="289"/>
    <x v="0"/>
    <x v="9"/>
    <s v="Home &amp; Kitchen"/>
    <n v="140"/>
    <n v="245.65"/>
    <n v="140"/>
    <n v="105.65"/>
    <x v="7"/>
  </r>
  <r>
    <s v="ORD53091"/>
    <d v="2025-08-10T00:00:00"/>
    <s v="City Centre Deira"/>
    <s v="P304"/>
    <n v="3"/>
    <n v="699"/>
    <x v="1"/>
    <x v="35"/>
    <s v="Fashion"/>
    <n v="380"/>
    <n v="1992.1499999999999"/>
    <n v="1140"/>
    <n v="852.14999999999986"/>
    <x v="7"/>
  </r>
  <r>
    <s v="ORD53489"/>
    <d v="2025-08-10T00:00:00"/>
    <s v="Mall of the Emirates"/>
    <s v="P306"/>
    <n v="1"/>
    <n v="249"/>
    <x v="2"/>
    <x v="3"/>
    <s v="Fashion"/>
    <n v="95"/>
    <n v="224.1"/>
    <n v="95"/>
    <n v="129.1"/>
    <x v="7"/>
  </r>
  <r>
    <s v="ORD53765"/>
    <d v="2025-08-10T00:00:00"/>
    <s v="City Centre Deira"/>
    <s v="P202"/>
    <n v="1"/>
    <n v="1499"/>
    <x v="2"/>
    <x v="26"/>
    <s v="Home &amp; Kitchen"/>
    <n v="1050"/>
    <n v="1349.1000000000001"/>
    <n v="1050"/>
    <n v="299.10000000000014"/>
    <x v="7"/>
  </r>
  <r>
    <s v="ORD54059"/>
    <d v="2025-08-10T00:00:00"/>
    <s v="Mall of the Emirates"/>
    <s v="P403"/>
    <n v="2"/>
    <n v="299"/>
    <x v="6"/>
    <x v="8"/>
    <s v="Beauty"/>
    <n v="240"/>
    <n v="448.5"/>
    <n v="480"/>
    <n v="-31.5"/>
    <x v="7"/>
  </r>
  <r>
    <s v="ORD54163"/>
    <d v="2025-08-10T00:00:00"/>
    <s v="Online"/>
    <s v="P405"/>
    <n v="1"/>
    <n v="89"/>
    <x v="1"/>
    <x v="24"/>
    <s v="Beauty"/>
    <n v="40"/>
    <n v="84.55"/>
    <n v="40"/>
    <n v="44.55"/>
    <x v="7"/>
  </r>
  <r>
    <s v="ORD54167"/>
    <d v="2025-08-10T00:00:00"/>
    <s v="Dubai Mall"/>
    <s v="P307"/>
    <n v="1"/>
    <n v="399"/>
    <x v="3"/>
    <x v="20"/>
    <s v="Fashion"/>
    <n v="210"/>
    <n v="399"/>
    <n v="210"/>
    <n v="189"/>
    <x v="7"/>
  </r>
  <r>
    <s v="ORD50087"/>
    <d v="2025-08-11T00:00:00"/>
    <s v="Mall of the Emirates"/>
    <s v="P405"/>
    <n v="2"/>
    <n v="89"/>
    <x v="3"/>
    <x v="24"/>
    <s v="Beauty"/>
    <n v="40"/>
    <n v="178"/>
    <n v="80"/>
    <n v="98"/>
    <x v="7"/>
  </r>
  <r>
    <s v="ORD50790"/>
    <d v="2025-08-11T00:00:00"/>
    <s v="Online"/>
    <s v="P105"/>
    <n v="1"/>
    <n v="899"/>
    <x v="5"/>
    <x v="31"/>
    <s v="Electronics"/>
    <n v="610"/>
    <n v="719.2"/>
    <n v="610"/>
    <n v="109.20000000000005"/>
    <x v="7"/>
  </r>
  <r>
    <s v="ORD51625"/>
    <d v="2025-08-11T00:00:00"/>
    <s v="Mall of the Emirates"/>
    <s v="P406"/>
    <n v="1"/>
    <n v="199"/>
    <x v="2"/>
    <x v="4"/>
    <s v="Beauty"/>
    <n v="90"/>
    <n v="179.1"/>
    <n v="90"/>
    <n v="89.1"/>
    <x v="7"/>
  </r>
  <r>
    <s v="ORD51902"/>
    <d v="2025-08-11T00:00:00"/>
    <s v="Ibn Battuta Mall"/>
    <s v="P406"/>
    <n v="4"/>
    <n v="199"/>
    <x v="3"/>
    <x v="4"/>
    <s v="Beauty"/>
    <n v="90"/>
    <n v="796"/>
    <n v="360"/>
    <n v="436"/>
    <x v="7"/>
  </r>
  <r>
    <s v="ORD52178"/>
    <d v="2025-08-11T00:00:00"/>
    <s v="City Centre Deira"/>
    <s v="P201"/>
    <n v="2"/>
    <n v="499"/>
    <x v="3"/>
    <x v="16"/>
    <s v="Home &amp; Kitchen"/>
    <n v="290"/>
    <n v="998"/>
    <n v="580"/>
    <n v="418"/>
    <x v="7"/>
  </r>
  <r>
    <s v="ORD52405"/>
    <d v="2025-08-11T00:00:00"/>
    <s v="Online"/>
    <s v="P402"/>
    <n v="4"/>
    <n v="149"/>
    <x v="3"/>
    <x v="17"/>
    <s v="Beauty"/>
    <n v="55"/>
    <n v="596"/>
    <n v="220"/>
    <n v="376"/>
    <x v="7"/>
  </r>
  <r>
    <s v="ORD52425"/>
    <d v="2025-08-11T00:00:00"/>
    <s v="Online"/>
    <s v="P505"/>
    <n v="1"/>
    <n v="99"/>
    <x v="2"/>
    <x v="11"/>
    <s v="Sports"/>
    <n v="45"/>
    <n v="89.100000000000009"/>
    <n v="45"/>
    <n v="44.100000000000009"/>
    <x v="7"/>
  </r>
  <r>
    <s v="ORD53469"/>
    <d v="2025-08-11T00:00:00"/>
    <s v="Mall of the Emirates"/>
    <s v="P405"/>
    <n v="1"/>
    <n v="89"/>
    <x v="0"/>
    <x v="24"/>
    <s v="Beauty"/>
    <n v="40"/>
    <n v="75.649999999999991"/>
    <n v="40"/>
    <n v="35.649999999999991"/>
    <x v="7"/>
  </r>
  <r>
    <s v="ORD53542"/>
    <d v="2025-08-11T00:00:00"/>
    <s v="Online"/>
    <s v="P107"/>
    <n v="1"/>
    <n v="89"/>
    <x v="3"/>
    <x v="29"/>
    <s v="Electronics"/>
    <n v="35"/>
    <n v="89"/>
    <n v="35"/>
    <n v="54"/>
    <x v="7"/>
  </r>
  <r>
    <s v="ORD53582"/>
    <d v="2025-08-11T00:00:00"/>
    <s v="Dubai Mall"/>
    <s v="P306"/>
    <n v="3"/>
    <n v="249"/>
    <x v="3"/>
    <x v="3"/>
    <s v="Fashion"/>
    <n v="95"/>
    <n v="747"/>
    <n v="285"/>
    <n v="462"/>
    <x v="7"/>
  </r>
  <r>
    <s v="ORD50587"/>
    <d v="2025-08-12T00:00:00"/>
    <s v="City Centre Deira"/>
    <s v="P107"/>
    <n v="1"/>
    <n v="89"/>
    <x v="3"/>
    <x v="29"/>
    <s v="Electronics"/>
    <n v="35"/>
    <n v="89"/>
    <n v="35"/>
    <n v="54"/>
    <x v="7"/>
  </r>
  <r>
    <s v="ORD51323"/>
    <d v="2025-08-12T00:00:00"/>
    <s v="Ibn Battuta Mall"/>
    <s v="P307"/>
    <n v="1"/>
    <n v="399"/>
    <x v="3"/>
    <x v="20"/>
    <s v="Fashion"/>
    <n v="210"/>
    <n v="399"/>
    <n v="210"/>
    <n v="189"/>
    <x v="7"/>
  </r>
  <r>
    <s v="ORD51950"/>
    <d v="2025-08-12T00:00:00"/>
    <s v="Online"/>
    <s v="P403"/>
    <n v="1"/>
    <n v="299"/>
    <x v="6"/>
    <x v="8"/>
    <s v="Beauty"/>
    <n v="240"/>
    <n v="224.25"/>
    <n v="240"/>
    <n v="-15.75"/>
    <x v="7"/>
  </r>
  <r>
    <s v="ORD52906"/>
    <d v="2025-08-12T00:00:00"/>
    <s v="Ibn Battuta Mall"/>
    <s v="P104"/>
    <n v="2"/>
    <n v="199"/>
    <x v="0"/>
    <x v="1"/>
    <s v="Electronics"/>
    <n v="175"/>
    <n v="338.3"/>
    <n v="350"/>
    <n v="-11.699999999999989"/>
    <x v="7"/>
  </r>
  <r>
    <s v="ORD52924"/>
    <d v="2025-08-12T00:00:00"/>
    <s v="Online"/>
    <s v="P405"/>
    <n v="3"/>
    <n v="89"/>
    <x v="3"/>
    <x v="24"/>
    <s v="Beauty"/>
    <n v="40"/>
    <n v="267"/>
    <n v="120"/>
    <n v="147"/>
    <x v="7"/>
  </r>
  <r>
    <s v="ORD53427"/>
    <d v="2025-08-12T00:00:00"/>
    <s v="City Centre Deira"/>
    <s v="P503"/>
    <n v="2"/>
    <n v="229"/>
    <x v="3"/>
    <x v="18"/>
    <s v="Sports"/>
    <n v="120"/>
    <n v="458"/>
    <n v="240"/>
    <n v="218"/>
    <x v="7"/>
  </r>
  <r>
    <s v="ORD53704"/>
    <d v="2025-08-12T00:00:00"/>
    <s v="Mall of the Emirates"/>
    <s v="P505"/>
    <n v="2"/>
    <n v="99"/>
    <x v="3"/>
    <x v="11"/>
    <s v="Sports"/>
    <n v="45"/>
    <n v="198"/>
    <n v="90"/>
    <n v="108"/>
    <x v="7"/>
  </r>
  <r>
    <s v="ORD54161"/>
    <d v="2025-08-12T00:00:00"/>
    <s v="Online"/>
    <s v="P102"/>
    <n v="4"/>
    <n v="249"/>
    <x v="2"/>
    <x v="13"/>
    <s v="Electronics"/>
    <n v="150"/>
    <n v="896.4"/>
    <n v="600"/>
    <n v="296.39999999999998"/>
    <x v="7"/>
  </r>
  <r>
    <s v="ORD50467"/>
    <d v="2025-08-13T00:00:00"/>
    <s v="Mall of the Emirates"/>
    <s v="P403"/>
    <n v="1"/>
    <n v="299"/>
    <x v="2"/>
    <x v="8"/>
    <s v="Beauty"/>
    <n v="240"/>
    <n v="269.10000000000002"/>
    <n v="240"/>
    <n v="29.100000000000023"/>
    <x v="7"/>
  </r>
  <r>
    <s v="ORD50680"/>
    <d v="2025-08-13T00:00:00"/>
    <s v="Dubai Mall"/>
    <s v="P108"/>
    <n v="1"/>
    <n v="459"/>
    <x v="3"/>
    <x v="23"/>
    <s v="Electronics"/>
    <n v="300"/>
    <n v="459"/>
    <n v="300"/>
    <n v="159"/>
    <x v="7"/>
  </r>
  <r>
    <s v="ORD51098"/>
    <d v="2025-08-13T00:00:00"/>
    <s v="Dubai Mall"/>
    <s v="P206"/>
    <n v="2"/>
    <n v="129"/>
    <x v="1"/>
    <x v="28"/>
    <s v="Home &amp; Kitchen"/>
    <n v="60"/>
    <n v="245.1"/>
    <n v="120"/>
    <n v="125.1"/>
    <x v="7"/>
  </r>
  <r>
    <s v="ORD51373"/>
    <d v="2025-08-13T00:00:00"/>
    <s v="Online"/>
    <s v="P506"/>
    <n v="2"/>
    <n v="69"/>
    <x v="3"/>
    <x v="34"/>
    <s v="Sports"/>
    <n v="25"/>
    <n v="138"/>
    <n v="50"/>
    <n v="88"/>
    <x v="7"/>
  </r>
  <r>
    <s v="ORD52338"/>
    <d v="2025-08-13T00:00:00"/>
    <s v="Mall of the Emirates"/>
    <s v="P106"/>
    <n v="2"/>
    <n v="149"/>
    <x v="3"/>
    <x v="30"/>
    <s v="Electronics"/>
    <n v="70"/>
    <n v="298"/>
    <n v="140"/>
    <n v="158"/>
    <x v="7"/>
  </r>
  <r>
    <s v="ORD52793"/>
    <d v="2025-08-13T00:00:00"/>
    <s v="City Centre Deira"/>
    <s v="P405"/>
    <n v="2"/>
    <n v="89"/>
    <x v="2"/>
    <x v="24"/>
    <s v="Beauty"/>
    <n v="40"/>
    <n v="160.20000000000002"/>
    <n v="80"/>
    <n v="80.200000000000017"/>
    <x v="7"/>
  </r>
  <r>
    <s v="ORD54011"/>
    <d v="2025-08-13T00:00:00"/>
    <s v="City Centre Deira"/>
    <s v="P402"/>
    <n v="1"/>
    <n v="149"/>
    <x v="2"/>
    <x v="17"/>
    <s v="Beauty"/>
    <n v="55"/>
    <n v="134.1"/>
    <n v="55"/>
    <n v="79.099999999999994"/>
    <x v="7"/>
  </r>
  <r>
    <s v="ORD54140"/>
    <d v="2025-08-13T00:00:00"/>
    <s v="Online"/>
    <s v="P108"/>
    <n v="2"/>
    <n v="459"/>
    <x v="3"/>
    <x v="23"/>
    <s v="Electronics"/>
    <n v="300"/>
    <n v="918"/>
    <n v="600"/>
    <n v="318"/>
    <x v="7"/>
  </r>
  <r>
    <s v="ORD51000"/>
    <d v="2025-08-14T00:00:00"/>
    <s v="Online"/>
    <s v="P205"/>
    <n v="1"/>
    <n v="289"/>
    <x v="3"/>
    <x v="9"/>
    <s v="Home &amp; Kitchen"/>
    <n v="140"/>
    <n v="289"/>
    <n v="140"/>
    <n v="149"/>
    <x v="7"/>
  </r>
  <r>
    <s v="ORD51339"/>
    <d v="2025-08-14T00:00:00"/>
    <s v="Ibn Battuta Mall"/>
    <s v="P201"/>
    <n v="3"/>
    <n v="499"/>
    <x v="3"/>
    <x v="16"/>
    <s v="Home &amp; Kitchen"/>
    <n v="290"/>
    <n v="1497"/>
    <n v="870"/>
    <n v="627"/>
    <x v="7"/>
  </r>
  <r>
    <s v="ORD51454"/>
    <d v="2025-08-14T00:00:00"/>
    <s v="Ibn Battuta Mall"/>
    <s v="P304"/>
    <n v="1"/>
    <n v="699"/>
    <x v="2"/>
    <x v="35"/>
    <s v="Fashion"/>
    <n v="380"/>
    <n v="629.1"/>
    <n v="380"/>
    <n v="249.10000000000002"/>
    <x v="7"/>
  </r>
  <r>
    <s v="ORD51641"/>
    <d v="2025-08-14T00:00:00"/>
    <s v="Mall of the Emirates"/>
    <s v="P401"/>
    <n v="2"/>
    <n v="549"/>
    <x v="3"/>
    <x v="15"/>
    <s v="Beauty"/>
    <n v="250"/>
    <n v="1098"/>
    <n v="500"/>
    <n v="598"/>
    <x v="7"/>
  </r>
  <r>
    <s v="ORD51956"/>
    <d v="2025-08-14T00:00:00"/>
    <s v="Dubai Mall"/>
    <s v="P103"/>
    <n v="2"/>
    <n v="1299"/>
    <x v="3"/>
    <x v="25"/>
    <s v="Electronics"/>
    <n v="820"/>
    <n v="2598"/>
    <n v="1640"/>
    <n v="958"/>
    <x v="7"/>
  </r>
  <r>
    <s v="ORD52249"/>
    <d v="2025-08-14T00:00:00"/>
    <s v="Mall of the Emirates"/>
    <s v="P205"/>
    <n v="1"/>
    <n v="289"/>
    <x v="3"/>
    <x v="9"/>
    <s v="Home &amp; Kitchen"/>
    <n v="140"/>
    <n v="289"/>
    <n v="140"/>
    <n v="149"/>
    <x v="7"/>
  </r>
  <r>
    <s v="ORD53030"/>
    <d v="2025-08-14T00:00:00"/>
    <s v="Online"/>
    <s v="P404"/>
    <n v="1"/>
    <n v="189"/>
    <x v="5"/>
    <x v="6"/>
    <s v="Beauty"/>
    <n v="85"/>
    <n v="151.20000000000002"/>
    <n v="85"/>
    <n v="66.200000000000017"/>
    <x v="7"/>
  </r>
  <r>
    <s v="ORD53376"/>
    <d v="2025-08-14T00:00:00"/>
    <s v="Ibn Battuta Mall"/>
    <s v="P305"/>
    <n v="2"/>
    <n v="429"/>
    <x v="0"/>
    <x v="14"/>
    <s v="Fashion"/>
    <n v="300"/>
    <n v="729.3"/>
    <n v="600"/>
    <n v="129.29999999999995"/>
    <x v="7"/>
  </r>
  <r>
    <s v="ORD53405"/>
    <d v="2025-08-14T00:00:00"/>
    <s v="Online"/>
    <s v="P502"/>
    <n v="2"/>
    <n v="799"/>
    <x v="5"/>
    <x v="19"/>
    <s v="Sports"/>
    <n v="700"/>
    <n v="1278.4000000000001"/>
    <n v="1400"/>
    <n v="-121.59999999999991"/>
    <x v="7"/>
  </r>
  <r>
    <s v="ORD53716"/>
    <d v="2025-08-14T00:00:00"/>
    <s v="Mall of the Emirates"/>
    <s v="P208"/>
    <n v="1"/>
    <n v="259"/>
    <x v="1"/>
    <x v="22"/>
    <s v="Home &amp; Kitchen"/>
    <n v="115"/>
    <n v="246.04999999999998"/>
    <n v="115"/>
    <n v="131.04999999999998"/>
    <x v="7"/>
  </r>
  <r>
    <s v="ORD53839"/>
    <d v="2025-08-14T00:00:00"/>
    <s v="City Centre Deira"/>
    <s v="P406"/>
    <n v="1"/>
    <n v="199"/>
    <x v="2"/>
    <x v="4"/>
    <s v="Beauty"/>
    <n v="90"/>
    <n v="179.1"/>
    <n v="90"/>
    <n v="89.1"/>
    <x v="7"/>
  </r>
  <r>
    <s v="ORD50695"/>
    <d v="2025-08-15T00:00:00"/>
    <s v="Mall of the Emirates"/>
    <s v="P302"/>
    <n v="1"/>
    <n v="459"/>
    <x v="5"/>
    <x v="10"/>
    <s v="Fashion"/>
    <n v="190"/>
    <n v="367.20000000000005"/>
    <n v="190"/>
    <n v="177.20000000000005"/>
    <x v="7"/>
  </r>
  <r>
    <s v="ORD50890"/>
    <d v="2025-08-15T00:00:00"/>
    <s v="Ibn Battuta Mall"/>
    <s v="P506"/>
    <n v="1"/>
    <n v="69"/>
    <x v="1"/>
    <x v="34"/>
    <s v="Sports"/>
    <n v="25"/>
    <n v="65.55"/>
    <n v="25"/>
    <n v="40.549999999999997"/>
    <x v="7"/>
  </r>
  <r>
    <s v="ORD51025"/>
    <d v="2025-08-15T00:00:00"/>
    <s v="City Centre Deira"/>
    <s v="P102"/>
    <n v="2"/>
    <n v="249"/>
    <x v="1"/>
    <x v="13"/>
    <s v="Electronics"/>
    <n v="150"/>
    <n v="473.09999999999997"/>
    <n v="300"/>
    <n v="173.09999999999997"/>
    <x v="7"/>
  </r>
  <r>
    <s v="ORD51088"/>
    <d v="2025-08-15T00:00:00"/>
    <s v="Mall of the Emirates"/>
    <s v="P205"/>
    <n v="1"/>
    <n v="289"/>
    <x v="4"/>
    <x v="9"/>
    <s v="Home &amp; Kitchen"/>
    <n v="140"/>
    <n v="202.29999999999998"/>
    <n v="140"/>
    <n v="62.299999999999983"/>
    <x v="7"/>
  </r>
  <r>
    <s v="ORD52263"/>
    <d v="2025-08-15T00:00:00"/>
    <s v="Online"/>
    <s v="P301"/>
    <n v="4"/>
    <n v="179"/>
    <x v="3"/>
    <x v="2"/>
    <s v="Fashion"/>
    <n v="70"/>
    <n v="716"/>
    <n v="280"/>
    <n v="436"/>
    <x v="7"/>
  </r>
  <r>
    <s v="ORD53323"/>
    <d v="2025-08-15T00:00:00"/>
    <s v="Online"/>
    <s v="P404"/>
    <n v="2"/>
    <n v="189"/>
    <x v="2"/>
    <x v="6"/>
    <s v="Beauty"/>
    <n v="85"/>
    <n v="340.2"/>
    <n v="170"/>
    <n v="170.2"/>
    <x v="7"/>
  </r>
  <r>
    <s v="ORD53776"/>
    <d v="2025-08-15T00:00:00"/>
    <s v="Dubai Mall"/>
    <s v="P306"/>
    <n v="1"/>
    <n v="249"/>
    <x v="2"/>
    <x v="3"/>
    <s v="Fashion"/>
    <n v="95"/>
    <n v="224.1"/>
    <n v="95"/>
    <n v="129.1"/>
    <x v="7"/>
  </r>
  <r>
    <s v="ORD53857"/>
    <d v="2025-08-15T00:00:00"/>
    <s v="Online"/>
    <s v="P301"/>
    <n v="1"/>
    <n v="179"/>
    <x v="3"/>
    <x v="2"/>
    <s v="Fashion"/>
    <n v="70"/>
    <n v="179"/>
    <n v="70"/>
    <n v="109"/>
    <x v="7"/>
  </r>
  <r>
    <s v="ORD50621"/>
    <d v="2025-08-16T00:00:00"/>
    <s v="Mall of the Emirates"/>
    <s v="P106"/>
    <n v="2"/>
    <n v="149"/>
    <x v="0"/>
    <x v="30"/>
    <s v="Electronics"/>
    <n v="70"/>
    <n v="253.29999999999998"/>
    <n v="140"/>
    <n v="113.29999999999998"/>
    <x v="7"/>
  </r>
  <r>
    <s v="ORD50622"/>
    <d v="2025-08-16T00:00:00"/>
    <s v="Mall of the Emirates"/>
    <s v="P307"/>
    <n v="1"/>
    <n v="399"/>
    <x v="5"/>
    <x v="20"/>
    <s v="Fashion"/>
    <n v="210"/>
    <n v="319.20000000000005"/>
    <n v="210"/>
    <n v="109.20000000000005"/>
    <x v="7"/>
  </r>
  <r>
    <s v="ORD50775"/>
    <d v="2025-08-16T00:00:00"/>
    <s v="Dubai Mall"/>
    <s v="P304"/>
    <n v="1"/>
    <n v="699"/>
    <x v="0"/>
    <x v="35"/>
    <s v="Fashion"/>
    <n v="380"/>
    <n v="594.15"/>
    <n v="380"/>
    <n v="214.14999999999998"/>
    <x v="7"/>
  </r>
  <r>
    <s v="ORD51061"/>
    <d v="2025-08-16T00:00:00"/>
    <s v="Online"/>
    <s v="P307"/>
    <n v="3"/>
    <n v="399"/>
    <x v="3"/>
    <x v="20"/>
    <s v="Fashion"/>
    <n v="210"/>
    <n v="1197"/>
    <n v="630"/>
    <n v="567"/>
    <x v="7"/>
  </r>
  <r>
    <s v="ORD51289"/>
    <d v="2025-08-16T00:00:00"/>
    <s v="Online"/>
    <s v="P104"/>
    <n v="1"/>
    <n v="199"/>
    <x v="5"/>
    <x v="1"/>
    <s v="Electronics"/>
    <n v="175"/>
    <n v="159.20000000000002"/>
    <n v="175"/>
    <n v="-15.799999999999983"/>
    <x v="7"/>
  </r>
  <r>
    <s v="ORD51806"/>
    <d v="2025-08-16T00:00:00"/>
    <s v="Ibn Battuta Mall"/>
    <s v="P107"/>
    <n v="1"/>
    <n v="89"/>
    <x v="3"/>
    <x v="29"/>
    <s v="Electronics"/>
    <n v="35"/>
    <n v="89"/>
    <n v="35"/>
    <n v="54"/>
    <x v="7"/>
  </r>
  <r>
    <s v="ORD52064"/>
    <d v="2025-08-16T00:00:00"/>
    <s v="Dubai Mall"/>
    <s v="P207"/>
    <n v="1"/>
    <n v="399"/>
    <x v="3"/>
    <x v="32"/>
    <s v="Home &amp; Kitchen"/>
    <n v="250"/>
    <n v="399"/>
    <n v="250"/>
    <n v="149"/>
    <x v="7"/>
  </r>
  <r>
    <s v="ORD52115"/>
    <d v="2025-08-16T00:00:00"/>
    <s v="Dubai Mall"/>
    <s v="P107"/>
    <n v="1"/>
    <n v="89"/>
    <x v="1"/>
    <x v="29"/>
    <s v="Electronics"/>
    <n v="35"/>
    <n v="84.55"/>
    <n v="35"/>
    <n v="49.55"/>
    <x v="7"/>
  </r>
  <r>
    <s v="ORD53942"/>
    <d v="2025-08-16T00:00:00"/>
    <s v="Dubai Mall"/>
    <s v="P207"/>
    <n v="1"/>
    <n v="399"/>
    <x v="3"/>
    <x v="32"/>
    <s v="Home &amp; Kitchen"/>
    <n v="250"/>
    <n v="399"/>
    <n v="250"/>
    <n v="149"/>
    <x v="7"/>
  </r>
  <r>
    <s v="ORD54058"/>
    <d v="2025-08-16T00:00:00"/>
    <s v="Online"/>
    <s v="P301"/>
    <n v="1"/>
    <n v="179"/>
    <x v="5"/>
    <x v="2"/>
    <s v="Fashion"/>
    <n v="70"/>
    <n v="143.20000000000002"/>
    <n v="70"/>
    <n v="73.200000000000017"/>
    <x v="7"/>
  </r>
  <r>
    <s v="ORD50855"/>
    <d v="2025-08-17T00:00:00"/>
    <s v="Mall of the Emirates"/>
    <s v="P303"/>
    <n v="1"/>
    <n v="149"/>
    <x v="3"/>
    <x v="7"/>
    <s v="Fashion"/>
    <n v="80"/>
    <n v="149"/>
    <n v="80"/>
    <n v="69"/>
    <x v="7"/>
  </r>
  <r>
    <s v="ORD50916"/>
    <d v="2025-08-17T00:00:00"/>
    <s v="Online"/>
    <s v="P303"/>
    <n v="1"/>
    <n v="149"/>
    <x v="3"/>
    <x v="7"/>
    <s v="Fashion"/>
    <n v="80"/>
    <n v="149"/>
    <n v="80"/>
    <n v="69"/>
    <x v="7"/>
  </r>
  <r>
    <s v="ORD51437"/>
    <d v="2025-08-17T00:00:00"/>
    <s v="Ibn Battuta Mall"/>
    <s v="P102"/>
    <n v="1"/>
    <n v="249"/>
    <x v="3"/>
    <x v="13"/>
    <s v="Electronics"/>
    <n v="150"/>
    <n v="249"/>
    <n v="150"/>
    <n v="99"/>
    <x v="7"/>
  </r>
  <r>
    <s v="ORD51904"/>
    <d v="2025-08-17T00:00:00"/>
    <s v="Dubai Mall"/>
    <s v="P106"/>
    <n v="2"/>
    <n v="149"/>
    <x v="3"/>
    <x v="30"/>
    <s v="Electronics"/>
    <n v="70"/>
    <n v="298"/>
    <n v="140"/>
    <n v="158"/>
    <x v="7"/>
  </r>
  <r>
    <s v="ORD52606"/>
    <d v="2025-08-17T00:00:00"/>
    <s v="Ibn Battuta Mall"/>
    <s v="P305"/>
    <n v="1"/>
    <n v="429"/>
    <x v="3"/>
    <x v="14"/>
    <s v="Fashion"/>
    <n v="300"/>
    <n v="429"/>
    <n v="300"/>
    <n v="129"/>
    <x v="7"/>
  </r>
  <r>
    <s v="ORD52817"/>
    <d v="2025-08-17T00:00:00"/>
    <s v="Dubai Mall"/>
    <s v="P304"/>
    <n v="1"/>
    <n v="699"/>
    <x v="1"/>
    <x v="35"/>
    <s v="Fashion"/>
    <n v="380"/>
    <n v="664.05"/>
    <n v="380"/>
    <n v="284.04999999999995"/>
    <x v="7"/>
  </r>
  <r>
    <s v="ORD53006"/>
    <d v="2025-08-17T00:00:00"/>
    <s v="Mall of the Emirates"/>
    <s v="P204"/>
    <n v="2"/>
    <n v="1199"/>
    <x v="0"/>
    <x v="27"/>
    <s v="Home &amp; Kitchen"/>
    <n v="1080"/>
    <n v="2038.3"/>
    <n v="2160"/>
    <n v="-121.70000000000005"/>
    <x v="7"/>
  </r>
  <r>
    <s v="ORD53105"/>
    <d v="2025-08-17T00:00:00"/>
    <s v="Online"/>
    <s v="P208"/>
    <n v="2"/>
    <n v="259"/>
    <x v="3"/>
    <x v="22"/>
    <s v="Home &amp; Kitchen"/>
    <n v="115"/>
    <n v="518"/>
    <n v="230"/>
    <n v="288"/>
    <x v="7"/>
  </r>
  <r>
    <s v="ORD53606"/>
    <d v="2025-08-17T00:00:00"/>
    <s v="Mall of the Emirates"/>
    <s v="P201"/>
    <n v="2"/>
    <n v="499"/>
    <x v="2"/>
    <x v="16"/>
    <s v="Home &amp; Kitchen"/>
    <n v="290"/>
    <n v="898.2"/>
    <n v="580"/>
    <n v="318.20000000000005"/>
    <x v="7"/>
  </r>
  <r>
    <s v="ORD53671"/>
    <d v="2025-08-17T00:00:00"/>
    <s v="Mall of the Emirates"/>
    <s v="P107"/>
    <n v="1"/>
    <n v="89"/>
    <x v="3"/>
    <x v="29"/>
    <s v="Electronics"/>
    <n v="35"/>
    <n v="89"/>
    <n v="35"/>
    <n v="54"/>
    <x v="7"/>
  </r>
  <r>
    <s v="ORD53766"/>
    <d v="2025-08-17T00:00:00"/>
    <s v="City Centre Deira"/>
    <s v="P207"/>
    <n v="1"/>
    <n v="399"/>
    <x v="3"/>
    <x v="32"/>
    <s v="Home &amp; Kitchen"/>
    <n v="250"/>
    <n v="399"/>
    <n v="250"/>
    <n v="149"/>
    <x v="7"/>
  </r>
  <r>
    <s v="ORD53878"/>
    <d v="2025-08-17T00:00:00"/>
    <s v="Dubai Mall"/>
    <s v="P502"/>
    <n v="1"/>
    <n v="799"/>
    <x v="6"/>
    <x v="19"/>
    <s v="Sports"/>
    <n v="700"/>
    <n v="599.25"/>
    <n v="700"/>
    <n v="-100.75"/>
    <x v="7"/>
  </r>
  <r>
    <s v="ORD53939"/>
    <d v="2025-08-17T00:00:00"/>
    <s v="Online"/>
    <s v="P201"/>
    <n v="1"/>
    <n v="499"/>
    <x v="4"/>
    <x v="16"/>
    <s v="Home &amp; Kitchen"/>
    <n v="290"/>
    <n v="349.29999999999995"/>
    <n v="290"/>
    <n v="59.299999999999955"/>
    <x v="7"/>
  </r>
  <r>
    <s v="ORD54164"/>
    <d v="2025-08-17T00:00:00"/>
    <s v="Online"/>
    <s v="P104"/>
    <n v="2"/>
    <n v="199"/>
    <x v="0"/>
    <x v="1"/>
    <s v="Electronics"/>
    <n v="175"/>
    <n v="338.3"/>
    <n v="350"/>
    <n v="-11.699999999999989"/>
    <x v="7"/>
  </r>
  <r>
    <s v="ORD50130"/>
    <d v="2025-08-18T00:00:00"/>
    <s v="City Centre Deira"/>
    <s v="P404"/>
    <n v="2"/>
    <n v="189"/>
    <x v="3"/>
    <x v="6"/>
    <s v="Beauty"/>
    <n v="85"/>
    <n v="378"/>
    <n v="170"/>
    <n v="208"/>
    <x v="7"/>
  </r>
  <r>
    <s v="ORD50808"/>
    <d v="2025-08-18T00:00:00"/>
    <s v="Online"/>
    <s v="P103"/>
    <n v="4"/>
    <n v="1299"/>
    <x v="5"/>
    <x v="25"/>
    <s v="Electronics"/>
    <n v="820"/>
    <n v="4156.8"/>
    <n v="3280"/>
    <n v="876.80000000000018"/>
    <x v="7"/>
  </r>
  <r>
    <s v="ORD50879"/>
    <d v="2025-08-18T00:00:00"/>
    <s v="Ibn Battuta Mall"/>
    <s v="P108"/>
    <n v="3"/>
    <n v="459"/>
    <x v="3"/>
    <x v="23"/>
    <s v="Electronics"/>
    <n v="300"/>
    <n v="1377"/>
    <n v="900"/>
    <n v="477"/>
    <x v="7"/>
  </r>
  <r>
    <s v="ORD51485"/>
    <d v="2025-08-18T00:00:00"/>
    <s v="Ibn Battuta Mall"/>
    <s v="P107"/>
    <n v="1"/>
    <n v="89"/>
    <x v="2"/>
    <x v="29"/>
    <s v="Electronics"/>
    <n v="35"/>
    <n v="80.100000000000009"/>
    <n v="35"/>
    <n v="45.100000000000009"/>
    <x v="7"/>
  </r>
  <r>
    <s v="ORD51648"/>
    <d v="2025-08-18T00:00:00"/>
    <s v="Online"/>
    <s v="P106"/>
    <n v="4"/>
    <n v="149"/>
    <x v="2"/>
    <x v="30"/>
    <s v="Electronics"/>
    <n v="70"/>
    <n v="536.4"/>
    <n v="280"/>
    <n v="256.39999999999998"/>
    <x v="7"/>
  </r>
  <r>
    <s v="ORD51941"/>
    <d v="2025-08-18T00:00:00"/>
    <s v="Online"/>
    <s v="P206"/>
    <n v="1"/>
    <n v="129"/>
    <x v="3"/>
    <x v="28"/>
    <s v="Home &amp; Kitchen"/>
    <n v="60"/>
    <n v="129"/>
    <n v="60"/>
    <n v="69"/>
    <x v="7"/>
  </r>
  <r>
    <s v="ORD52344"/>
    <d v="2025-08-18T00:00:00"/>
    <s v="Mall of the Emirates"/>
    <s v="P502"/>
    <n v="3"/>
    <n v="799"/>
    <x v="5"/>
    <x v="19"/>
    <s v="Sports"/>
    <n v="700"/>
    <n v="1917.6000000000001"/>
    <n v="2100"/>
    <n v="-182.39999999999986"/>
    <x v="7"/>
  </r>
  <r>
    <s v="ORD52665"/>
    <d v="2025-08-18T00:00:00"/>
    <s v="Dubai Mall"/>
    <s v="P302"/>
    <n v="1"/>
    <n v="459"/>
    <x v="5"/>
    <x v="10"/>
    <s v="Fashion"/>
    <n v="190"/>
    <n v="367.20000000000005"/>
    <n v="190"/>
    <n v="177.20000000000005"/>
    <x v="7"/>
  </r>
  <r>
    <s v="ORD52668"/>
    <d v="2025-08-18T00:00:00"/>
    <s v="City Centre Deira"/>
    <s v="P107"/>
    <n v="1"/>
    <n v="89"/>
    <x v="5"/>
    <x v="29"/>
    <s v="Electronics"/>
    <n v="35"/>
    <n v="71.2"/>
    <n v="35"/>
    <n v="36.200000000000003"/>
    <x v="7"/>
  </r>
  <r>
    <s v="ORD52967"/>
    <d v="2025-08-18T00:00:00"/>
    <s v="Mall of the Emirates"/>
    <s v="P401"/>
    <n v="1"/>
    <n v="549"/>
    <x v="3"/>
    <x v="15"/>
    <s v="Beauty"/>
    <n v="250"/>
    <n v="549"/>
    <n v="250"/>
    <n v="299"/>
    <x v="7"/>
  </r>
  <r>
    <s v="ORD53255"/>
    <d v="2025-08-18T00:00:00"/>
    <s v="Online"/>
    <s v="P303"/>
    <n v="1"/>
    <n v="149"/>
    <x v="3"/>
    <x v="7"/>
    <s v="Fashion"/>
    <n v="80"/>
    <n v="149"/>
    <n v="80"/>
    <n v="69"/>
    <x v="7"/>
  </r>
  <r>
    <s v="ORD53717"/>
    <d v="2025-08-18T00:00:00"/>
    <s v="Online"/>
    <s v="P304"/>
    <n v="4"/>
    <n v="699"/>
    <x v="2"/>
    <x v="35"/>
    <s v="Fashion"/>
    <n v="380"/>
    <n v="2516.4"/>
    <n v="1520"/>
    <n v="996.40000000000009"/>
    <x v="7"/>
  </r>
  <r>
    <s v="ORD53824"/>
    <d v="2025-08-18T00:00:00"/>
    <s v="Online"/>
    <s v="P107"/>
    <n v="2"/>
    <n v="89"/>
    <x v="3"/>
    <x v="29"/>
    <s v="Electronics"/>
    <n v="35"/>
    <n v="178"/>
    <n v="70"/>
    <n v="108"/>
    <x v="7"/>
  </r>
  <r>
    <s v="ORD53954"/>
    <d v="2025-08-18T00:00:00"/>
    <s v="Dubai Mall"/>
    <s v="P402"/>
    <n v="1"/>
    <n v="149"/>
    <x v="0"/>
    <x v="17"/>
    <s v="Beauty"/>
    <n v="55"/>
    <n v="126.64999999999999"/>
    <n v="55"/>
    <n v="71.649999999999991"/>
    <x v="7"/>
  </r>
  <r>
    <s v="ORD51380"/>
    <d v="2025-08-19T00:00:00"/>
    <s v="Mall of the Emirates"/>
    <s v="P305"/>
    <n v="1"/>
    <n v="429"/>
    <x v="3"/>
    <x v="14"/>
    <s v="Fashion"/>
    <n v="300"/>
    <n v="429"/>
    <n v="300"/>
    <n v="129"/>
    <x v="7"/>
  </r>
  <r>
    <s v="ORD51585"/>
    <d v="2025-08-19T00:00:00"/>
    <s v="Ibn Battuta Mall"/>
    <s v="P103"/>
    <n v="2"/>
    <n v="1299"/>
    <x v="3"/>
    <x v="25"/>
    <s v="Electronics"/>
    <n v="820"/>
    <n v="2598"/>
    <n v="1640"/>
    <n v="958"/>
    <x v="7"/>
  </r>
  <r>
    <s v="ORD52968"/>
    <d v="2025-08-19T00:00:00"/>
    <s v="Ibn Battuta Mall"/>
    <s v="P506"/>
    <n v="2"/>
    <n v="69"/>
    <x v="3"/>
    <x v="34"/>
    <s v="Sports"/>
    <n v="25"/>
    <n v="138"/>
    <n v="50"/>
    <n v="88"/>
    <x v="7"/>
  </r>
  <r>
    <s v="ORD53633"/>
    <d v="2025-08-19T00:00:00"/>
    <s v="City Centre Deira"/>
    <s v="P206"/>
    <n v="1"/>
    <n v="129"/>
    <x v="1"/>
    <x v="28"/>
    <s v="Home &amp; Kitchen"/>
    <n v="60"/>
    <n v="122.55"/>
    <n v="60"/>
    <n v="62.55"/>
    <x v="7"/>
  </r>
  <r>
    <s v="ORD53987"/>
    <d v="2025-08-19T00:00:00"/>
    <s v="Mall of the Emirates"/>
    <s v="P104"/>
    <n v="4"/>
    <n v="199"/>
    <x v="0"/>
    <x v="1"/>
    <s v="Electronics"/>
    <n v="175"/>
    <n v="676.6"/>
    <n v="700"/>
    <n v="-23.399999999999977"/>
    <x v="7"/>
  </r>
  <r>
    <s v="ORD54019"/>
    <d v="2025-08-19T00:00:00"/>
    <s v="Online"/>
    <s v="P305"/>
    <n v="1"/>
    <n v="429"/>
    <x v="0"/>
    <x v="14"/>
    <s v="Fashion"/>
    <n v="300"/>
    <n v="364.65"/>
    <n v="300"/>
    <n v="64.649999999999977"/>
    <x v="7"/>
  </r>
  <r>
    <s v="ORD50001"/>
    <d v="2025-08-20T00:00:00"/>
    <s v="Online"/>
    <s v="P406"/>
    <n v="2"/>
    <n v="199"/>
    <x v="1"/>
    <x v="4"/>
    <s v="Beauty"/>
    <n v="90"/>
    <n v="378.09999999999997"/>
    <n v="180"/>
    <n v="198.09999999999997"/>
    <x v="7"/>
  </r>
  <r>
    <s v="ORD50035"/>
    <d v="2025-08-20T00:00:00"/>
    <s v="City Centre Deira"/>
    <s v="P304"/>
    <n v="3"/>
    <n v="699"/>
    <x v="2"/>
    <x v="35"/>
    <s v="Fashion"/>
    <n v="380"/>
    <n v="1887.3"/>
    <n v="1140"/>
    <n v="747.3"/>
    <x v="7"/>
  </r>
  <r>
    <s v="ORD50293"/>
    <d v="2025-08-20T00:00:00"/>
    <s v="City Centre Deira"/>
    <s v="P303"/>
    <n v="1"/>
    <n v="149"/>
    <x v="2"/>
    <x v="7"/>
    <s v="Fashion"/>
    <n v="80"/>
    <n v="134.1"/>
    <n v="80"/>
    <n v="54.099999999999994"/>
    <x v="7"/>
  </r>
  <r>
    <s v="ORD50517"/>
    <d v="2025-08-20T00:00:00"/>
    <s v="Dubai Mall"/>
    <s v="P301"/>
    <n v="1"/>
    <n v="179"/>
    <x v="5"/>
    <x v="2"/>
    <s v="Fashion"/>
    <n v="70"/>
    <n v="143.20000000000002"/>
    <n v="70"/>
    <n v="73.200000000000017"/>
    <x v="7"/>
  </r>
  <r>
    <s v="ORD51114"/>
    <d v="2025-08-20T00:00:00"/>
    <s v="Online"/>
    <s v="P303"/>
    <n v="1"/>
    <n v="149"/>
    <x v="3"/>
    <x v="7"/>
    <s v="Fashion"/>
    <n v="80"/>
    <n v="149"/>
    <n v="80"/>
    <n v="69"/>
    <x v="7"/>
  </r>
  <r>
    <s v="ORD51252"/>
    <d v="2025-08-20T00:00:00"/>
    <s v="City Centre Deira"/>
    <s v="P307"/>
    <n v="4"/>
    <n v="399"/>
    <x v="0"/>
    <x v="20"/>
    <s v="Fashion"/>
    <n v="210"/>
    <n v="1356.6"/>
    <n v="840"/>
    <n v="516.59999999999991"/>
    <x v="7"/>
  </r>
  <r>
    <s v="ORD51656"/>
    <d v="2025-08-20T00:00:00"/>
    <s v="Mall of the Emirates"/>
    <s v="P505"/>
    <n v="2"/>
    <n v="99"/>
    <x v="3"/>
    <x v="11"/>
    <s v="Sports"/>
    <n v="45"/>
    <n v="198"/>
    <n v="90"/>
    <n v="108"/>
    <x v="7"/>
  </r>
  <r>
    <s v="ORD52460"/>
    <d v="2025-08-20T00:00:00"/>
    <s v="Ibn Battuta Mall"/>
    <s v="P201"/>
    <n v="3"/>
    <n v="499"/>
    <x v="5"/>
    <x v="16"/>
    <s v="Home &amp; Kitchen"/>
    <n v="290"/>
    <n v="1197.6000000000001"/>
    <n v="870"/>
    <n v="327.60000000000014"/>
    <x v="7"/>
  </r>
  <r>
    <s v="ORD52769"/>
    <d v="2025-08-20T00:00:00"/>
    <s v="Mall of the Emirates"/>
    <s v="P307"/>
    <n v="2"/>
    <n v="399"/>
    <x v="2"/>
    <x v="20"/>
    <s v="Fashion"/>
    <n v="210"/>
    <n v="718.2"/>
    <n v="420"/>
    <n v="298.20000000000005"/>
    <x v="7"/>
  </r>
  <r>
    <s v="ORD52929"/>
    <d v="2025-08-20T00:00:00"/>
    <s v="Mall of the Emirates"/>
    <s v="P503"/>
    <n v="2"/>
    <n v="229"/>
    <x v="5"/>
    <x v="18"/>
    <s v="Sports"/>
    <n v="120"/>
    <n v="366.40000000000003"/>
    <n v="240"/>
    <n v="126.40000000000003"/>
    <x v="7"/>
  </r>
  <r>
    <s v="ORD53360"/>
    <d v="2025-08-20T00:00:00"/>
    <s v="Dubai Mall"/>
    <s v="P101"/>
    <n v="2"/>
    <n v="399"/>
    <x v="5"/>
    <x v="5"/>
    <s v="Electronics"/>
    <n v="230"/>
    <n v="638.40000000000009"/>
    <n v="460"/>
    <n v="178.40000000000009"/>
    <x v="7"/>
  </r>
  <r>
    <s v="ORD53371"/>
    <d v="2025-08-20T00:00:00"/>
    <s v="Online"/>
    <s v="P305"/>
    <n v="1"/>
    <n v="429"/>
    <x v="1"/>
    <x v="14"/>
    <s v="Fashion"/>
    <n v="300"/>
    <n v="407.54999999999995"/>
    <n v="300"/>
    <n v="107.54999999999995"/>
    <x v="7"/>
  </r>
  <r>
    <s v="ORD53463"/>
    <d v="2025-08-20T00:00:00"/>
    <s v="Dubai Mall"/>
    <s v="P204"/>
    <n v="1"/>
    <n v="1199"/>
    <x v="6"/>
    <x v="27"/>
    <s v="Home &amp; Kitchen"/>
    <n v="1080"/>
    <n v="899.25"/>
    <n v="1080"/>
    <n v="-180.75"/>
    <x v="7"/>
  </r>
  <r>
    <s v="ORD53560"/>
    <d v="2025-08-20T00:00:00"/>
    <s v="Online"/>
    <s v="P204"/>
    <n v="1"/>
    <n v="1199"/>
    <x v="5"/>
    <x v="27"/>
    <s v="Home &amp; Kitchen"/>
    <n v="1080"/>
    <n v="959.2"/>
    <n v="1080"/>
    <n v="-120.79999999999995"/>
    <x v="7"/>
  </r>
  <r>
    <s v="ORD50059"/>
    <d v="2025-08-21T00:00:00"/>
    <s v="Online"/>
    <s v="P107"/>
    <n v="1"/>
    <n v="89"/>
    <x v="1"/>
    <x v="29"/>
    <s v="Electronics"/>
    <n v="35"/>
    <n v="84.55"/>
    <n v="35"/>
    <n v="49.55"/>
    <x v="7"/>
  </r>
  <r>
    <s v="ORD50143"/>
    <d v="2025-08-21T00:00:00"/>
    <s v="Mall of the Emirates"/>
    <s v="P406"/>
    <n v="1"/>
    <n v="199"/>
    <x v="1"/>
    <x v="4"/>
    <s v="Beauty"/>
    <n v="90"/>
    <n v="189.04999999999998"/>
    <n v="90"/>
    <n v="99.049999999999983"/>
    <x v="7"/>
  </r>
  <r>
    <s v="ORD50243"/>
    <d v="2025-08-21T00:00:00"/>
    <s v="Mall of the Emirates"/>
    <s v="P102"/>
    <n v="1"/>
    <n v="249"/>
    <x v="3"/>
    <x v="13"/>
    <s v="Electronics"/>
    <n v="150"/>
    <n v="249"/>
    <n v="150"/>
    <n v="99"/>
    <x v="7"/>
  </r>
  <r>
    <s v="ORD51272"/>
    <d v="2025-08-21T00:00:00"/>
    <s v="Online"/>
    <s v="P302"/>
    <n v="3"/>
    <n v="459"/>
    <x v="3"/>
    <x v="10"/>
    <s v="Fashion"/>
    <n v="190"/>
    <n v="1377"/>
    <n v="570"/>
    <n v="807"/>
    <x v="7"/>
  </r>
  <r>
    <s v="ORD51947"/>
    <d v="2025-08-21T00:00:00"/>
    <s v="Mall of the Emirates"/>
    <s v="P201"/>
    <n v="1"/>
    <n v="499"/>
    <x v="1"/>
    <x v="16"/>
    <s v="Home &amp; Kitchen"/>
    <n v="290"/>
    <n v="474.04999999999995"/>
    <n v="290"/>
    <n v="184.04999999999995"/>
    <x v="7"/>
  </r>
  <r>
    <s v="ORD52104"/>
    <d v="2025-08-21T00:00:00"/>
    <s v="Ibn Battuta Mall"/>
    <s v="P102"/>
    <n v="1"/>
    <n v="249"/>
    <x v="3"/>
    <x v="13"/>
    <s v="Electronics"/>
    <n v="150"/>
    <n v="249"/>
    <n v="150"/>
    <n v="99"/>
    <x v="7"/>
  </r>
  <r>
    <s v="ORD52273"/>
    <d v="2025-08-21T00:00:00"/>
    <s v="Online"/>
    <s v="P301"/>
    <n v="1"/>
    <n v="179"/>
    <x v="2"/>
    <x v="2"/>
    <s v="Fashion"/>
    <n v="70"/>
    <n v="161.1"/>
    <n v="70"/>
    <n v="91.1"/>
    <x v="7"/>
  </r>
  <r>
    <s v="ORD52809"/>
    <d v="2025-08-21T00:00:00"/>
    <s v="Mall of the Emirates"/>
    <s v="P107"/>
    <n v="1"/>
    <n v="89"/>
    <x v="2"/>
    <x v="29"/>
    <s v="Electronics"/>
    <n v="35"/>
    <n v="80.100000000000009"/>
    <n v="35"/>
    <n v="45.100000000000009"/>
    <x v="7"/>
  </r>
  <r>
    <s v="ORD52830"/>
    <d v="2025-08-21T00:00:00"/>
    <s v="Online"/>
    <s v="P105"/>
    <n v="2"/>
    <n v="899"/>
    <x v="5"/>
    <x v="31"/>
    <s v="Electronics"/>
    <n v="610"/>
    <n v="1438.4"/>
    <n v="1220"/>
    <n v="218.40000000000009"/>
    <x v="7"/>
  </r>
  <r>
    <s v="ORD53099"/>
    <d v="2025-08-21T00:00:00"/>
    <s v="Online"/>
    <s v="P106"/>
    <n v="3"/>
    <n v="149"/>
    <x v="3"/>
    <x v="30"/>
    <s v="Electronics"/>
    <n v="70"/>
    <n v="447"/>
    <n v="210"/>
    <n v="237"/>
    <x v="7"/>
  </r>
  <r>
    <s v="ORD53357"/>
    <d v="2025-08-21T00:00:00"/>
    <s v="Online"/>
    <s v="P102"/>
    <n v="3"/>
    <n v="249"/>
    <x v="3"/>
    <x v="13"/>
    <s v="Electronics"/>
    <n v="150"/>
    <n v="747"/>
    <n v="450"/>
    <n v="297"/>
    <x v="7"/>
  </r>
  <r>
    <s v="ORD53392"/>
    <d v="2025-08-21T00:00:00"/>
    <s v="Mall of the Emirates"/>
    <s v="P405"/>
    <n v="2"/>
    <n v="89"/>
    <x v="0"/>
    <x v="24"/>
    <s v="Beauty"/>
    <n v="40"/>
    <n v="151.29999999999998"/>
    <n v="80"/>
    <n v="71.299999999999983"/>
    <x v="7"/>
  </r>
  <r>
    <s v="ORD53530"/>
    <d v="2025-08-21T00:00:00"/>
    <s v="Mall of the Emirates"/>
    <s v="P105"/>
    <n v="1"/>
    <n v="899"/>
    <x v="0"/>
    <x v="31"/>
    <s v="Electronics"/>
    <n v="610"/>
    <n v="764.15"/>
    <n v="610"/>
    <n v="154.14999999999998"/>
    <x v="7"/>
  </r>
  <r>
    <s v="ORD53684"/>
    <d v="2025-08-21T00:00:00"/>
    <s v="Dubai Mall"/>
    <s v="P306"/>
    <n v="1"/>
    <n v="249"/>
    <x v="1"/>
    <x v="3"/>
    <s v="Fashion"/>
    <n v="95"/>
    <n v="236.54999999999998"/>
    <n v="95"/>
    <n v="141.54999999999998"/>
    <x v="7"/>
  </r>
  <r>
    <s v="ORD53696"/>
    <d v="2025-08-21T00:00:00"/>
    <s v="Online"/>
    <s v="P106"/>
    <n v="1"/>
    <n v="149"/>
    <x v="1"/>
    <x v="30"/>
    <s v="Electronics"/>
    <n v="70"/>
    <n v="141.54999999999998"/>
    <n v="70"/>
    <n v="71.549999999999983"/>
    <x v="7"/>
  </r>
  <r>
    <s v="ORD53719"/>
    <d v="2025-08-21T00:00:00"/>
    <s v="Dubai Mall"/>
    <s v="P207"/>
    <n v="1"/>
    <n v="399"/>
    <x v="0"/>
    <x v="32"/>
    <s v="Home &amp; Kitchen"/>
    <n v="250"/>
    <n v="339.15"/>
    <n v="250"/>
    <n v="89.149999999999977"/>
    <x v="7"/>
  </r>
  <r>
    <s v="ORD54072"/>
    <d v="2025-08-21T00:00:00"/>
    <s v="Dubai Mall"/>
    <s v="P406"/>
    <n v="1"/>
    <n v="199"/>
    <x v="3"/>
    <x v="4"/>
    <s v="Beauty"/>
    <n v="90"/>
    <n v="199"/>
    <n v="90"/>
    <n v="109"/>
    <x v="7"/>
  </r>
  <r>
    <s v="ORD50245"/>
    <d v="2025-08-22T00:00:00"/>
    <s v="Online"/>
    <s v="P303"/>
    <n v="1"/>
    <n v="149"/>
    <x v="3"/>
    <x v="7"/>
    <s v="Fashion"/>
    <n v="80"/>
    <n v="149"/>
    <n v="80"/>
    <n v="69"/>
    <x v="7"/>
  </r>
  <r>
    <s v="ORD50356"/>
    <d v="2025-08-22T00:00:00"/>
    <s v="Dubai Mall"/>
    <s v="P105"/>
    <n v="1"/>
    <n v="899"/>
    <x v="1"/>
    <x v="31"/>
    <s v="Electronics"/>
    <n v="610"/>
    <n v="854.05"/>
    <n v="610"/>
    <n v="244.04999999999995"/>
    <x v="7"/>
  </r>
  <r>
    <s v="ORD50666"/>
    <d v="2025-08-22T00:00:00"/>
    <s v="Online"/>
    <s v="P102"/>
    <n v="2"/>
    <n v="249"/>
    <x v="1"/>
    <x v="13"/>
    <s v="Electronics"/>
    <n v="150"/>
    <n v="473.09999999999997"/>
    <n v="300"/>
    <n v="173.09999999999997"/>
    <x v="7"/>
  </r>
  <r>
    <s v="ORD50682"/>
    <d v="2025-08-22T00:00:00"/>
    <s v="Mall of the Emirates"/>
    <s v="P308"/>
    <n v="1"/>
    <n v="229"/>
    <x v="3"/>
    <x v="0"/>
    <s v="Fashion"/>
    <n v="120"/>
    <n v="229"/>
    <n v="120"/>
    <n v="109"/>
    <x v="7"/>
  </r>
  <r>
    <s v="ORD50888"/>
    <d v="2025-08-22T00:00:00"/>
    <s v="Online"/>
    <s v="P503"/>
    <n v="4"/>
    <n v="229"/>
    <x v="1"/>
    <x v="18"/>
    <s v="Sports"/>
    <n v="120"/>
    <n v="870.19999999999993"/>
    <n v="480"/>
    <n v="390.19999999999993"/>
    <x v="7"/>
  </r>
  <r>
    <s v="ORD51027"/>
    <d v="2025-08-22T00:00:00"/>
    <s v="Mall of the Emirates"/>
    <s v="P404"/>
    <n v="1"/>
    <n v="189"/>
    <x v="3"/>
    <x v="6"/>
    <s v="Beauty"/>
    <n v="85"/>
    <n v="189"/>
    <n v="85"/>
    <n v="104"/>
    <x v="7"/>
  </r>
  <r>
    <s v="ORD51613"/>
    <d v="2025-08-22T00:00:00"/>
    <s v="Online"/>
    <s v="P306"/>
    <n v="1"/>
    <n v="249"/>
    <x v="1"/>
    <x v="3"/>
    <s v="Fashion"/>
    <n v="95"/>
    <n v="236.54999999999998"/>
    <n v="95"/>
    <n v="141.54999999999998"/>
    <x v="7"/>
  </r>
  <r>
    <s v="ORD51740"/>
    <d v="2025-08-22T00:00:00"/>
    <s v="Dubai Mall"/>
    <s v="P301"/>
    <n v="1"/>
    <n v="179"/>
    <x v="1"/>
    <x v="2"/>
    <s v="Fashion"/>
    <n v="70"/>
    <n v="170.04999999999998"/>
    <n v="70"/>
    <n v="100.04999999999998"/>
    <x v="7"/>
  </r>
  <r>
    <s v="ORD51749"/>
    <d v="2025-08-22T00:00:00"/>
    <s v="Ibn Battuta Mall"/>
    <s v="P306"/>
    <n v="1"/>
    <n v="249"/>
    <x v="3"/>
    <x v="3"/>
    <s v="Fashion"/>
    <n v="95"/>
    <n v="249"/>
    <n v="95"/>
    <n v="154"/>
    <x v="7"/>
  </r>
  <r>
    <s v="ORD51787"/>
    <d v="2025-08-22T00:00:00"/>
    <s v="Dubai Mall"/>
    <s v="P404"/>
    <n v="1"/>
    <n v="189"/>
    <x v="3"/>
    <x v="6"/>
    <s v="Beauty"/>
    <n v="85"/>
    <n v="189"/>
    <n v="85"/>
    <n v="104"/>
    <x v="7"/>
  </r>
  <r>
    <s v="ORD52158"/>
    <d v="2025-08-22T00:00:00"/>
    <s v="Mall of the Emirates"/>
    <s v="P401"/>
    <n v="2"/>
    <n v="549"/>
    <x v="2"/>
    <x v="15"/>
    <s v="Beauty"/>
    <n v="250"/>
    <n v="988.2"/>
    <n v="500"/>
    <n v="488.20000000000005"/>
    <x v="7"/>
  </r>
  <r>
    <s v="ORD52693"/>
    <d v="2025-08-22T00:00:00"/>
    <s v="Dubai Mall"/>
    <s v="P506"/>
    <n v="1"/>
    <n v="69"/>
    <x v="3"/>
    <x v="34"/>
    <s v="Sports"/>
    <n v="25"/>
    <n v="69"/>
    <n v="25"/>
    <n v="44"/>
    <x v="7"/>
  </r>
  <r>
    <s v="ORD50008"/>
    <d v="2025-08-23T00:00:00"/>
    <s v="Mall of the Emirates"/>
    <s v="P307"/>
    <n v="1"/>
    <n v="399"/>
    <x v="5"/>
    <x v="20"/>
    <s v="Fashion"/>
    <n v="210"/>
    <n v="319.20000000000005"/>
    <n v="210"/>
    <n v="109.20000000000005"/>
    <x v="7"/>
  </r>
  <r>
    <s v="ORD50075"/>
    <d v="2025-08-23T00:00:00"/>
    <s v="Online"/>
    <s v="P208"/>
    <n v="3"/>
    <n v="259"/>
    <x v="3"/>
    <x v="22"/>
    <s v="Home &amp; Kitchen"/>
    <n v="115"/>
    <n v="777"/>
    <n v="345"/>
    <n v="432"/>
    <x v="7"/>
  </r>
  <r>
    <s v="ORD50630"/>
    <d v="2025-08-23T00:00:00"/>
    <s v="Mall of the Emirates"/>
    <s v="P306"/>
    <n v="2"/>
    <n v="249"/>
    <x v="5"/>
    <x v="3"/>
    <s v="Fashion"/>
    <n v="95"/>
    <n v="398.40000000000003"/>
    <n v="190"/>
    <n v="208.40000000000003"/>
    <x v="7"/>
  </r>
  <r>
    <s v="ORD51165"/>
    <d v="2025-08-23T00:00:00"/>
    <s v="Mall of the Emirates"/>
    <s v="P403"/>
    <n v="1"/>
    <n v="299"/>
    <x v="0"/>
    <x v="8"/>
    <s v="Beauty"/>
    <n v="240"/>
    <n v="254.15"/>
    <n v="240"/>
    <n v="14.150000000000006"/>
    <x v="7"/>
  </r>
  <r>
    <s v="ORD52191"/>
    <d v="2025-08-23T00:00:00"/>
    <s v="Ibn Battuta Mall"/>
    <s v="P201"/>
    <n v="1"/>
    <n v="499"/>
    <x v="3"/>
    <x v="16"/>
    <s v="Home &amp; Kitchen"/>
    <n v="290"/>
    <n v="499"/>
    <n v="290"/>
    <n v="209"/>
    <x v="7"/>
  </r>
  <r>
    <s v="ORD52393"/>
    <d v="2025-08-23T00:00:00"/>
    <s v="Ibn Battuta Mall"/>
    <s v="P404"/>
    <n v="1"/>
    <n v="189"/>
    <x v="3"/>
    <x v="6"/>
    <s v="Beauty"/>
    <n v="85"/>
    <n v="189"/>
    <n v="85"/>
    <n v="104"/>
    <x v="7"/>
  </r>
  <r>
    <s v="ORD52843"/>
    <d v="2025-08-23T00:00:00"/>
    <s v="Dubai Mall"/>
    <s v="P108"/>
    <n v="2"/>
    <n v="459"/>
    <x v="3"/>
    <x v="23"/>
    <s v="Electronics"/>
    <n v="300"/>
    <n v="918"/>
    <n v="600"/>
    <n v="318"/>
    <x v="7"/>
  </r>
  <r>
    <s v="ORD53552"/>
    <d v="2025-08-23T00:00:00"/>
    <s v="Online"/>
    <s v="P402"/>
    <n v="1"/>
    <n v="149"/>
    <x v="3"/>
    <x v="17"/>
    <s v="Beauty"/>
    <n v="55"/>
    <n v="149"/>
    <n v="55"/>
    <n v="94"/>
    <x v="7"/>
  </r>
  <r>
    <s v="ORD53752"/>
    <d v="2025-08-23T00:00:00"/>
    <s v="Mall of the Emirates"/>
    <s v="P203"/>
    <n v="2"/>
    <n v="349"/>
    <x v="1"/>
    <x v="21"/>
    <s v="Home &amp; Kitchen"/>
    <n v="170"/>
    <n v="663.1"/>
    <n v="340"/>
    <n v="323.10000000000002"/>
    <x v="7"/>
  </r>
  <r>
    <s v="ORD53891"/>
    <d v="2025-08-23T00:00:00"/>
    <s v="Dubai Mall"/>
    <s v="P301"/>
    <n v="1"/>
    <n v="179"/>
    <x v="3"/>
    <x v="2"/>
    <s v="Fashion"/>
    <n v="70"/>
    <n v="179"/>
    <n v="70"/>
    <n v="109"/>
    <x v="7"/>
  </r>
  <r>
    <s v="ORD53908"/>
    <d v="2025-08-23T00:00:00"/>
    <s v="Dubai Mall"/>
    <s v="P108"/>
    <n v="1"/>
    <n v="459"/>
    <x v="4"/>
    <x v="23"/>
    <s v="Electronics"/>
    <n v="300"/>
    <n v="321.29999999999995"/>
    <n v="300"/>
    <n v="21.299999999999955"/>
    <x v="7"/>
  </r>
  <r>
    <s v="ORD53965"/>
    <d v="2025-08-23T00:00:00"/>
    <s v="Dubai Mall"/>
    <s v="P308"/>
    <n v="1"/>
    <n v="229"/>
    <x v="3"/>
    <x v="0"/>
    <s v="Fashion"/>
    <n v="120"/>
    <n v="229"/>
    <n v="120"/>
    <n v="109"/>
    <x v="7"/>
  </r>
  <r>
    <s v="ORD53976"/>
    <d v="2025-08-23T00:00:00"/>
    <s v="Mall of the Emirates"/>
    <s v="P106"/>
    <n v="2"/>
    <n v="149"/>
    <x v="2"/>
    <x v="30"/>
    <s v="Electronics"/>
    <n v="70"/>
    <n v="268.2"/>
    <n v="140"/>
    <n v="128.19999999999999"/>
    <x v="7"/>
  </r>
  <r>
    <s v="ORD54152"/>
    <d v="2025-08-23T00:00:00"/>
    <s v="Dubai Mall"/>
    <s v="P301"/>
    <n v="1"/>
    <n v="179"/>
    <x v="2"/>
    <x v="2"/>
    <s v="Fashion"/>
    <n v="70"/>
    <n v="161.1"/>
    <n v="70"/>
    <n v="91.1"/>
    <x v="7"/>
  </r>
  <r>
    <s v="ORD50719"/>
    <d v="2025-08-24T00:00:00"/>
    <s v="City Centre Deira"/>
    <s v="P403"/>
    <n v="2"/>
    <n v="299"/>
    <x v="6"/>
    <x v="8"/>
    <s v="Beauty"/>
    <n v="240"/>
    <n v="448.5"/>
    <n v="480"/>
    <n v="-31.5"/>
    <x v="7"/>
  </r>
  <r>
    <s v="ORD51230"/>
    <d v="2025-08-24T00:00:00"/>
    <s v="Dubai Mall"/>
    <s v="P308"/>
    <n v="1"/>
    <n v="229"/>
    <x v="3"/>
    <x v="0"/>
    <s v="Fashion"/>
    <n v="120"/>
    <n v="229"/>
    <n v="120"/>
    <n v="109"/>
    <x v="7"/>
  </r>
  <r>
    <s v="ORD52037"/>
    <d v="2025-08-24T00:00:00"/>
    <s v="Dubai Mall"/>
    <s v="P106"/>
    <n v="1"/>
    <n v="149"/>
    <x v="1"/>
    <x v="30"/>
    <s v="Electronics"/>
    <n v="70"/>
    <n v="141.54999999999998"/>
    <n v="70"/>
    <n v="71.549999999999983"/>
    <x v="7"/>
  </r>
  <r>
    <s v="ORD52131"/>
    <d v="2025-08-24T00:00:00"/>
    <s v="Ibn Battuta Mall"/>
    <s v="P503"/>
    <n v="1"/>
    <n v="229"/>
    <x v="3"/>
    <x v="18"/>
    <s v="Sports"/>
    <n v="120"/>
    <n v="229"/>
    <n v="120"/>
    <n v="109"/>
    <x v="7"/>
  </r>
  <r>
    <s v="ORD52490"/>
    <d v="2025-08-24T00:00:00"/>
    <s v="Online"/>
    <s v="P205"/>
    <n v="1"/>
    <n v="289"/>
    <x v="5"/>
    <x v="9"/>
    <s v="Home &amp; Kitchen"/>
    <n v="140"/>
    <n v="231.20000000000002"/>
    <n v="140"/>
    <n v="91.200000000000017"/>
    <x v="7"/>
  </r>
  <r>
    <s v="ORD52972"/>
    <d v="2025-08-24T00:00:00"/>
    <s v="Mall of the Emirates"/>
    <s v="P301"/>
    <n v="3"/>
    <n v="179"/>
    <x v="3"/>
    <x v="2"/>
    <s v="Fashion"/>
    <n v="70"/>
    <n v="537"/>
    <n v="210"/>
    <n v="327"/>
    <x v="7"/>
  </r>
  <r>
    <s v="ORD53843"/>
    <d v="2025-08-24T00:00:00"/>
    <s v="Online"/>
    <s v="P405"/>
    <n v="1"/>
    <n v="89"/>
    <x v="3"/>
    <x v="24"/>
    <s v="Beauty"/>
    <n v="40"/>
    <n v="89"/>
    <n v="40"/>
    <n v="49"/>
    <x v="7"/>
  </r>
  <r>
    <s v="ORD50174"/>
    <d v="2025-08-25T00:00:00"/>
    <s v="Online"/>
    <s v="P402"/>
    <n v="1"/>
    <n v="149"/>
    <x v="3"/>
    <x v="17"/>
    <s v="Beauty"/>
    <n v="55"/>
    <n v="149"/>
    <n v="55"/>
    <n v="94"/>
    <x v="7"/>
  </r>
  <r>
    <s v="ORD50252"/>
    <d v="2025-08-25T00:00:00"/>
    <s v="Online"/>
    <s v="P405"/>
    <n v="1"/>
    <n v="89"/>
    <x v="3"/>
    <x v="24"/>
    <s v="Beauty"/>
    <n v="40"/>
    <n v="89"/>
    <n v="40"/>
    <n v="49"/>
    <x v="7"/>
  </r>
  <r>
    <s v="ORD50696"/>
    <d v="2025-08-25T00:00:00"/>
    <s v="Mall of the Emirates"/>
    <s v="P105"/>
    <n v="1"/>
    <n v="899"/>
    <x v="2"/>
    <x v="31"/>
    <s v="Electronics"/>
    <n v="610"/>
    <n v="809.1"/>
    <n v="610"/>
    <n v="199.10000000000002"/>
    <x v="7"/>
  </r>
  <r>
    <s v="ORD50722"/>
    <d v="2025-08-25T00:00:00"/>
    <s v="City Centre Deira"/>
    <s v="P501"/>
    <n v="2"/>
    <n v="129"/>
    <x v="1"/>
    <x v="12"/>
    <s v="Sports"/>
    <n v="60"/>
    <n v="245.1"/>
    <n v="120"/>
    <n v="125.1"/>
    <x v="7"/>
  </r>
  <r>
    <s v="ORD51202"/>
    <d v="2025-08-25T00:00:00"/>
    <s v="Mall of the Emirates"/>
    <s v="P206"/>
    <n v="2"/>
    <n v="129"/>
    <x v="3"/>
    <x v="28"/>
    <s v="Home &amp; Kitchen"/>
    <n v="60"/>
    <n v="258"/>
    <n v="120"/>
    <n v="138"/>
    <x v="7"/>
  </r>
  <r>
    <s v="ORD51583"/>
    <d v="2025-08-25T00:00:00"/>
    <s v="City Centre Deira"/>
    <s v="P303"/>
    <n v="1"/>
    <n v="149"/>
    <x v="3"/>
    <x v="7"/>
    <s v="Fashion"/>
    <n v="80"/>
    <n v="149"/>
    <n v="80"/>
    <n v="69"/>
    <x v="7"/>
  </r>
  <r>
    <s v="ORD51701"/>
    <d v="2025-08-25T00:00:00"/>
    <s v="Mall of the Emirates"/>
    <s v="P503"/>
    <n v="2"/>
    <n v="229"/>
    <x v="5"/>
    <x v="18"/>
    <s v="Sports"/>
    <n v="120"/>
    <n v="366.40000000000003"/>
    <n v="240"/>
    <n v="126.40000000000003"/>
    <x v="7"/>
  </r>
  <r>
    <s v="ORD52235"/>
    <d v="2025-08-25T00:00:00"/>
    <s v="City Centre Deira"/>
    <s v="P101"/>
    <n v="1"/>
    <n v="399"/>
    <x v="5"/>
    <x v="5"/>
    <s v="Electronics"/>
    <n v="230"/>
    <n v="319.20000000000005"/>
    <n v="230"/>
    <n v="89.200000000000045"/>
    <x v="7"/>
  </r>
  <r>
    <s v="ORD52741"/>
    <d v="2025-08-25T00:00:00"/>
    <s v="Ibn Battuta Mall"/>
    <s v="P501"/>
    <n v="2"/>
    <n v="129"/>
    <x v="1"/>
    <x v="12"/>
    <s v="Sports"/>
    <n v="60"/>
    <n v="245.1"/>
    <n v="120"/>
    <n v="125.1"/>
    <x v="7"/>
  </r>
  <r>
    <s v="ORD53153"/>
    <d v="2025-08-25T00:00:00"/>
    <s v="Dubai Mall"/>
    <s v="P402"/>
    <n v="1"/>
    <n v="149"/>
    <x v="3"/>
    <x v="17"/>
    <s v="Beauty"/>
    <n v="55"/>
    <n v="149"/>
    <n v="55"/>
    <n v="94"/>
    <x v="7"/>
  </r>
  <r>
    <s v="ORD53652"/>
    <d v="2025-08-25T00:00:00"/>
    <s v="City Centre Deira"/>
    <s v="P405"/>
    <n v="1"/>
    <n v="89"/>
    <x v="0"/>
    <x v="24"/>
    <s v="Beauty"/>
    <n v="40"/>
    <n v="75.649999999999991"/>
    <n v="40"/>
    <n v="35.649999999999991"/>
    <x v="7"/>
  </r>
  <r>
    <s v="ORD50204"/>
    <d v="2025-08-26T00:00:00"/>
    <s v="Online"/>
    <s v="P405"/>
    <n v="1"/>
    <n v="89"/>
    <x v="3"/>
    <x v="24"/>
    <s v="Beauty"/>
    <n v="40"/>
    <n v="89"/>
    <n v="40"/>
    <n v="49"/>
    <x v="7"/>
  </r>
  <r>
    <s v="ORD50497"/>
    <d v="2025-08-26T00:00:00"/>
    <s v="Mall of the Emirates"/>
    <s v="P403"/>
    <n v="1"/>
    <n v="299"/>
    <x v="0"/>
    <x v="8"/>
    <s v="Beauty"/>
    <n v="240"/>
    <n v="254.15"/>
    <n v="240"/>
    <n v="14.150000000000006"/>
    <x v="7"/>
  </r>
  <r>
    <s v="ORD50606"/>
    <d v="2025-08-26T00:00:00"/>
    <s v="City Centre Deira"/>
    <s v="P304"/>
    <n v="3"/>
    <n v="699"/>
    <x v="2"/>
    <x v="35"/>
    <s v="Fashion"/>
    <n v="380"/>
    <n v="1887.3"/>
    <n v="1140"/>
    <n v="747.3"/>
    <x v="7"/>
  </r>
  <r>
    <s v="ORD52473"/>
    <d v="2025-08-26T00:00:00"/>
    <s v="Online"/>
    <s v="P304"/>
    <n v="1"/>
    <n v="699"/>
    <x v="1"/>
    <x v="35"/>
    <s v="Fashion"/>
    <n v="380"/>
    <n v="664.05"/>
    <n v="380"/>
    <n v="284.04999999999995"/>
    <x v="7"/>
  </r>
  <r>
    <s v="ORD52507"/>
    <d v="2025-08-26T00:00:00"/>
    <s v="Mall of the Emirates"/>
    <s v="P502"/>
    <n v="3"/>
    <n v="799"/>
    <x v="0"/>
    <x v="19"/>
    <s v="Sports"/>
    <n v="700"/>
    <n v="2037.45"/>
    <n v="2100"/>
    <n v="-62.549999999999955"/>
    <x v="7"/>
  </r>
  <r>
    <s v="ORD53208"/>
    <d v="2025-08-26T00:00:00"/>
    <s v="Dubai Mall"/>
    <s v="P307"/>
    <n v="1"/>
    <n v="399"/>
    <x v="1"/>
    <x v="20"/>
    <s v="Fashion"/>
    <n v="210"/>
    <n v="379.04999999999995"/>
    <n v="210"/>
    <n v="169.04999999999995"/>
    <x v="7"/>
  </r>
  <r>
    <s v="ORD53402"/>
    <d v="2025-08-26T00:00:00"/>
    <s v="Online"/>
    <s v="P303"/>
    <n v="1"/>
    <n v="149"/>
    <x v="5"/>
    <x v="7"/>
    <s v="Fashion"/>
    <n v="80"/>
    <n v="119.2"/>
    <n v="80"/>
    <n v="39.200000000000003"/>
    <x v="7"/>
  </r>
  <r>
    <s v="ORD53563"/>
    <d v="2025-08-26T00:00:00"/>
    <s v="City Centre Deira"/>
    <s v="P301"/>
    <n v="1"/>
    <n v="179"/>
    <x v="1"/>
    <x v="2"/>
    <s v="Fashion"/>
    <n v="70"/>
    <n v="170.04999999999998"/>
    <n v="70"/>
    <n v="100.04999999999998"/>
    <x v="7"/>
  </r>
  <r>
    <s v="ORD53568"/>
    <d v="2025-08-26T00:00:00"/>
    <s v="Dubai Mall"/>
    <s v="P506"/>
    <n v="2"/>
    <n v="69"/>
    <x v="4"/>
    <x v="34"/>
    <s v="Sports"/>
    <n v="25"/>
    <n v="96.6"/>
    <n v="50"/>
    <n v="46.599999999999994"/>
    <x v="7"/>
  </r>
  <r>
    <s v="ORD53938"/>
    <d v="2025-08-26T00:00:00"/>
    <s v="Ibn Battuta Mall"/>
    <s v="P201"/>
    <n v="1"/>
    <n v="499"/>
    <x v="3"/>
    <x v="16"/>
    <s v="Home &amp; Kitchen"/>
    <n v="290"/>
    <n v="499"/>
    <n v="290"/>
    <n v="209"/>
    <x v="7"/>
  </r>
  <r>
    <s v="ORD50318"/>
    <d v="2025-08-27T00:00:00"/>
    <s v="Dubai Mall"/>
    <s v="P101"/>
    <n v="4"/>
    <n v="399"/>
    <x v="3"/>
    <x v="5"/>
    <s v="Electronics"/>
    <n v="230"/>
    <n v="1596"/>
    <n v="920"/>
    <n v="676"/>
    <x v="7"/>
  </r>
  <r>
    <s v="ORD50466"/>
    <d v="2025-08-27T00:00:00"/>
    <s v="Dubai Mall"/>
    <s v="P102"/>
    <n v="1"/>
    <n v="249"/>
    <x v="2"/>
    <x v="13"/>
    <s v="Electronics"/>
    <n v="150"/>
    <n v="224.1"/>
    <n v="150"/>
    <n v="74.099999999999994"/>
    <x v="7"/>
  </r>
  <r>
    <s v="ORD51269"/>
    <d v="2025-08-27T00:00:00"/>
    <s v="Dubai Mall"/>
    <s v="P403"/>
    <n v="2"/>
    <n v="299"/>
    <x v="6"/>
    <x v="8"/>
    <s v="Beauty"/>
    <n v="240"/>
    <n v="448.5"/>
    <n v="480"/>
    <n v="-31.5"/>
    <x v="7"/>
  </r>
  <r>
    <s v="ORD52385"/>
    <d v="2025-08-27T00:00:00"/>
    <s v="Ibn Battuta Mall"/>
    <s v="P406"/>
    <n v="2"/>
    <n v="199"/>
    <x v="2"/>
    <x v="4"/>
    <s v="Beauty"/>
    <n v="90"/>
    <n v="358.2"/>
    <n v="180"/>
    <n v="178.2"/>
    <x v="7"/>
  </r>
  <r>
    <s v="ORD52468"/>
    <d v="2025-08-27T00:00:00"/>
    <s v="Ibn Battuta Mall"/>
    <s v="P405"/>
    <n v="1"/>
    <n v="89"/>
    <x v="1"/>
    <x v="24"/>
    <s v="Beauty"/>
    <n v="40"/>
    <n v="84.55"/>
    <n v="40"/>
    <n v="44.55"/>
    <x v="7"/>
  </r>
  <r>
    <s v="ORD52981"/>
    <d v="2025-08-27T00:00:00"/>
    <s v="Mall of the Emirates"/>
    <s v="P308"/>
    <n v="3"/>
    <n v="229"/>
    <x v="0"/>
    <x v="0"/>
    <s v="Fashion"/>
    <n v="120"/>
    <n v="583.94999999999993"/>
    <n v="360"/>
    <n v="223.94999999999993"/>
    <x v="7"/>
  </r>
  <r>
    <s v="ORD53220"/>
    <d v="2025-08-27T00:00:00"/>
    <s v="Online"/>
    <s v="P505"/>
    <n v="1"/>
    <n v="99"/>
    <x v="3"/>
    <x v="11"/>
    <s v="Sports"/>
    <n v="45"/>
    <n v="99"/>
    <n v="45"/>
    <n v="54"/>
    <x v="7"/>
  </r>
  <r>
    <s v="ORD53350"/>
    <d v="2025-08-27T00:00:00"/>
    <s v="Dubai Mall"/>
    <s v="P107"/>
    <n v="2"/>
    <n v="89"/>
    <x v="1"/>
    <x v="29"/>
    <s v="Electronics"/>
    <n v="35"/>
    <n v="169.1"/>
    <n v="70"/>
    <n v="99.1"/>
    <x v="7"/>
  </r>
  <r>
    <s v="ORD53769"/>
    <d v="2025-08-27T00:00:00"/>
    <s v="Mall of the Emirates"/>
    <s v="P102"/>
    <n v="1"/>
    <n v="249"/>
    <x v="3"/>
    <x v="13"/>
    <s v="Electronics"/>
    <n v="150"/>
    <n v="249"/>
    <n v="150"/>
    <n v="99"/>
    <x v="7"/>
  </r>
  <r>
    <s v="ORD53846"/>
    <d v="2025-08-27T00:00:00"/>
    <s v="Online"/>
    <s v="P205"/>
    <n v="1"/>
    <n v="289"/>
    <x v="2"/>
    <x v="9"/>
    <s v="Home &amp; Kitchen"/>
    <n v="140"/>
    <n v="260.10000000000002"/>
    <n v="140"/>
    <n v="120.10000000000002"/>
    <x v="7"/>
  </r>
  <r>
    <s v="ORD54067"/>
    <d v="2025-08-27T00:00:00"/>
    <s v="Ibn Battuta Mall"/>
    <s v="P406"/>
    <n v="1"/>
    <n v="199"/>
    <x v="3"/>
    <x v="4"/>
    <s v="Beauty"/>
    <n v="90"/>
    <n v="199"/>
    <n v="90"/>
    <n v="109"/>
    <x v="7"/>
  </r>
  <r>
    <s v="ORD50740"/>
    <d v="2025-08-28T00:00:00"/>
    <s v="Dubai Mall"/>
    <s v="P308"/>
    <n v="2"/>
    <n v="229"/>
    <x v="2"/>
    <x v="0"/>
    <s v="Fashion"/>
    <n v="120"/>
    <n v="412.2"/>
    <n v="240"/>
    <n v="172.2"/>
    <x v="7"/>
  </r>
  <r>
    <s v="ORD50953"/>
    <d v="2025-08-28T00:00:00"/>
    <s v="Online"/>
    <s v="P104"/>
    <n v="4"/>
    <n v="199"/>
    <x v="6"/>
    <x v="1"/>
    <s v="Electronics"/>
    <n v="175"/>
    <n v="597"/>
    <n v="700"/>
    <n v="-103"/>
    <x v="7"/>
  </r>
  <r>
    <s v="ORD50956"/>
    <d v="2025-08-28T00:00:00"/>
    <s v="Ibn Battuta Mall"/>
    <s v="P406"/>
    <n v="2"/>
    <n v="199"/>
    <x v="3"/>
    <x v="4"/>
    <s v="Beauty"/>
    <n v="90"/>
    <n v="398"/>
    <n v="180"/>
    <n v="218"/>
    <x v="7"/>
  </r>
  <r>
    <s v="ORD51370"/>
    <d v="2025-08-28T00:00:00"/>
    <s v="City Centre Deira"/>
    <s v="P406"/>
    <n v="1"/>
    <n v="199"/>
    <x v="3"/>
    <x v="4"/>
    <s v="Beauty"/>
    <n v="90"/>
    <n v="199"/>
    <n v="90"/>
    <n v="109"/>
    <x v="7"/>
  </r>
  <r>
    <s v="ORD51383"/>
    <d v="2025-08-28T00:00:00"/>
    <s v="Dubai Mall"/>
    <s v="P208"/>
    <n v="1"/>
    <n v="259"/>
    <x v="5"/>
    <x v="22"/>
    <s v="Home &amp; Kitchen"/>
    <n v="115"/>
    <n v="207.20000000000002"/>
    <n v="115"/>
    <n v="92.200000000000017"/>
    <x v="7"/>
  </r>
  <r>
    <s v="ORD51777"/>
    <d v="2025-08-28T00:00:00"/>
    <s v="Ibn Battuta Mall"/>
    <s v="P102"/>
    <n v="1"/>
    <n v="249"/>
    <x v="2"/>
    <x v="13"/>
    <s v="Electronics"/>
    <n v="150"/>
    <n v="224.1"/>
    <n v="150"/>
    <n v="74.099999999999994"/>
    <x v="7"/>
  </r>
  <r>
    <s v="ORD51860"/>
    <d v="2025-08-28T00:00:00"/>
    <s v="Mall of the Emirates"/>
    <s v="P306"/>
    <n v="1"/>
    <n v="249"/>
    <x v="3"/>
    <x v="3"/>
    <s v="Fashion"/>
    <n v="95"/>
    <n v="249"/>
    <n v="95"/>
    <n v="154"/>
    <x v="7"/>
  </r>
  <r>
    <s v="ORD52641"/>
    <d v="2025-08-28T00:00:00"/>
    <s v="Mall of the Emirates"/>
    <s v="P205"/>
    <n v="3"/>
    <n v="289"/>
    <x v="3"/>
    <x v="9"/>
    <s v="Home &amp; Kitchen"/>
    <n v="140"/>
    <n v="867"/>
    <n v="420"/>
    <n v="447"/>
    <x v="7"/>
  </r>
  <r>
    <s v="ORD53090"/>
    <d v="2025-08-28T00:00:00"/>
    <s v="Ibn Battuta Mall"/>
    <s v="P207"/>
    <n v="1"/>
    <n v="399"/>
    <x v="2"/>
    <x v="32"/>
    <s v="Home &amp; Kitchen"/>
    <n v="250"/>
    <n v="359.1"/>
    <n v="250"/>
    <n v="109.10000000000002"/>
    <x v="7"/>
  </r>
  <r>
    <s v="ORD53139"/>
    <d v="2025-08-28T00:00:00"/>
    <s v="Mall of the Emirates"/>
    <s v="P208"/>
    <n v="1"/>
    <n v="259"/>
    <x v="4"/>
    <x v="22"/>
    <s v="Home &amp; Kitchen"/>
    <n v="115"/>
    <n v="181.29999999999998"/>
    <n v="115"/>
    <n v="66.299999999999983"/>
    <x v="7"/>
  </r>
  <r>
    <s v="ORD53494"/>
    <d v="2025-08-28T00:00:00"/>
    <s v="Ibn Battuta Mall"/>
    <s v="P303"/>
    <n v="2"/>
    <n v="149"/>
    <x v="3"/>
    <x v="7"/>
    <s v="Fashion"/>
    <n v="80"/>
    <n v="298"/>
    <n v="160"/>
    <n v="138"/>
    <x v="7"/>
  </r>
  <r>
    <s v="ORD53575"/>
    <d v="2025-08-28T00:00:00"/>
    <s v="City Centre Deira"/>
    <s v="P106"/>
    <n v="3"/>
    <n v="149"/>
    <x v="3"/>
    <x v="30"/>
    <s v="Electronics"/>
    <n v="70"/>
    <n v="447"/>
    <n v="210"/>
    <n v="237"/>
    <x v="7"/>
  </r>
  <r>
    <s v="ORD53959"/>
    <d v="2025-08-28T00:00:00"/>
    <s v="Mall of the Emirates"/>
    <s v="P107"/>
    <n v="1"/>
    <n v="89"/>
    <x v="5"/>
    <x v="29"/>
    <s v="Electronics"/>
    <n v="35"/>
    <n v="71.2"/>
    <n v="35"/>
    <n v="36.200000000000003"/>
    <x v="7"/>
  </r>
  <r>
    <s v="ORD50102"/>
    <d v="2025-08-29T00:00:00"/>
    <s v="Online"/>
    <s v="P104"/>
    <n v="4"/>
    <n v="199"/>
    <x v="2"/>
    <x v="1"/>
    <s v="Electronics"/>
    <n v="175"/>
    <n v="716.4"/>
    <n v="700"/>
    <n v="16.399999999999977"/>
    <x v="7"/>
  </r>
  <r>
    <s v="ORD50339"/>
    <d v="2025-08-29T00:00:00"/>
    <s v="Mall of the Emirates"/>
    <s v="P506"/>
    <n v="3"/>
    <n v="69"/>
    <x v="3"/>
    <x v="34"/>
    <s v="Sports"/>
    <n v="25"/>
    <n v="207"/>
    <n v="75"/>
    <n v="132"/>
    <x v="7"/>
  </r>
  <r>
    <s v="ORD50553"/>
    <d v="2025-08-29T00:00:00"/>
    <s v="Dubai Mall"/>
    <s v="P308"/>
    <n v="1"/>
    <n v="229"/>
    <x v="5"/>
    <x v="0"/>
    <s v="Fashion"/>
    <n v="120"/>
    <n v="183.20000000000002"/>
    <n v="120"/>
    <n v="63.200000000000017"/>
    <x v="7"/>
  </r>
  <r>
    <s v="ORD50964"/>
    <d v="2025-08-29T00:00:00"/>
    <s v="Online"/>
    <s v="P206"/>
    <n v="1"/>
    <n v="129"/>
    <x v="3"/>
    <x v="28"/>
    <s v="Home &amp; Kitchen"/>
    <n v="60"/>
    <n v="129"/>
    <n v="60"/>
    <n v="69"/>
    <x v="7"/>
  </r>
  <r>
    <s v="ORD51068"/>
    <d v="2025-08-29T00:00:00"/>
    <s v="City Centre Deira"/>
    <s v="P306"/>
    <n v="1"/>
    <n v="249"/>
    <x v="1"/>
    <x v="3"/>
    <s v="Fashion"/>
    <n v="95"/>
    <n v="236.54999999999998"/>
    <n v="95"/>
    <n v="141.54999999999998"/>
    <x v="7"/>
  </r>
  <r>
    <s v="ORD51123"/>
    <d v="2025-08-29T00:00:00"/>
    <s v="Mall of the Emirates"/>
    <s v="P506"/>
    <n v="1"/>
    <n v="69"/>
    <x v="3"/>
    <x v="34"/>
    <s v="Sports"/>
    <n v="25"/>
    <n v="69"/>
    <n v="25"/>
    <n v="44"/>
    <x v="7"/>
  </r>
  <r>
    <s v="ORD51783"/>
    <d v="2025-08-29T00:00:00"/>
    <s v="Online"/>
    <s v="P101"/>
    <n v="2"/>
    <n v="399"/>
    <x v="1"/>
    <x v="5"/>
    <s v="Electronics"/>
    <n v="230"/>
    <n v="758.09999999999991"/>
    <n v="460"/>
    <n v="298.09999999999991"/>
    <x v="7"/>
  </r>
  <r>
    <s v="ORD52000"/>
    <d v="2025-08-29T00:00:00"/>
    <s v="Online"/>
    <s v="P108"/>
    <n v="1"/>
    <n v="459"/>
    <x v="3"/>
    <x v="23"/>
    <s v="Electronics"/>
    <n v="300"/>
    <n v="459"/>
    <n v="300"/>
    <n v="159"/>
    <x v="7"/>
  </r>
  <r>
    <s v="ORD52357"/>
    <d v="2025-08-29T00:00:00"/>
    <s v="Mall of the Emirates"/>
    <s v="P303"/>
    <n v="1"/>
    <n v="149"/>
    <x v="5"/>
    <x v="7"/>
    <s v="Fashion"/>
    <n v="80"/>
    <n v="119.2"/>
    <n v="80"/>
    <n v="39.200000000000003"/>
    <x v="7"/>
  </r>
  <r>
    <s v="ORD52412"/>
    <d v="2025-08-29T00:00:00"/>
    <s v="Mall of the Emirates"/>
    <s v="P305"/>
    <n v="1"/>
    <n v="429"/>
    <x v="3"/>
    <x v="14"/>
    <s v="Fashion"/>
    <n v="300"/>
    <n v="429"/>
    <n v="300"/>
    <n v="129"/>
    <x v="7"/>
  </r>
  <r>
    <s v="ORD52751"/>
    <d v="2025-08-29T00:00:00"/>
    <s v="Dubai Mall"/>
    <s v="P405"/>
    <n v="1"/>
    <n v="89"/>
    <x v="1"/>
    <x v="24"/>
    <s v="Beauty"/>
    <n v="40"/>
    <n v="84.55"/>
    <n v="40"/>
    <n v="44.55"/>
    <x v="7"/>
  </r>
  <r>
    <s v="ORD52880"/>
    <d v="2025-08-29T00:00:00"/>
    <s v="Ibn Battuta Mall"/>
    <s v="P301"/>
    <n v="3"/>
    <n v="179"/>
    <x v="3"/>
    <x v="2"/>
    <s v="Fashion"/>
    <n v="70"/>
    <n v="537"/>
    <n v="210"/>
    <n v="327"/>
    <x v="7"/>
  </r>
  <r>
    <s v="ORD53191"/>
    <d v="2025-08-29T00:00:00"/>
    <s v="Dubai Mall"/>
    <s v="P304"/>
    <n v="1"/>
    <n v="699"/>
    <x v="5"/>
    <x v="35"/>
    <s v="Fashion"/>
    <n v="380"/>
    <n v="559.20000000000005"/>
    <n v="380"/>
    <n v="179.20000000000005"/>
    <x v="7"/>
  </r>
  <r>
    <s v="ORD53235"/>
    <d v="2025-08-29T00:00:00"/>
    <s v="Ibn Battuta Mall"/>
    <s v="P106"/>
    <n v="1"/>
    <n v="149"/>
    <x v="2"/>
    <x v="30"/>
    <s v="Electronics"/>
    <n v="70"/>
    <n v="134.1"/>
    <n v="70"/>
    <n v="64.099999999999994"/>
    <x v="7"/>
  </r>
  <r>
    <s v="ORD53396"/>
    <d v="2025-08-29T00:00:00"/>
    <s v="Online"/>
    <s v="P306"/>
    <n v="1"/>
    <n v="249"/>
    <x v="1"/>
    <x v="3"/>
    <s v="Fashion"/>
    <n v="95"/>
    <n v="236.54999999999998"/>
    <n v="95"/>
    <n v="141.54999999999998"/>
    <x v="7"/>
  </r>
  <r>
    <s v="ORD50217"/>
    <d v="2025-08-30T00:00:00"/>
    <s v="Dubai Mall"/>
    <s v="P406"/>
    <n v="3"/>
    <n v="199"/>
    <x v="2"/>
    <x v="4"/>
    <s v="Beauty"/>
    <n v="90"/>
    <n v="537.30000000000007"/>
    <n v="270"/>
    <n v="267.30000000000007"/>
    <x v="7"/>
  </r>
  <r>
    <s v="ORD50255"/>
    <d v="2025-08-30T00:00:00"/>
    <s v="Online"/>
    <s v="P301"/>
    <n v="2"/>
    <n v="179"/>
    <x v="5"/>
    <x v="2"/>
    <s v="Fashion"/>
    <n v="70"/>
    <n v="286.40000000000003"/>
    <n v="140"/>
    <n v="146.40000000000003"/>
    <x v="7"/>
  </r>
  <r>
    <s v="ORD50810"/>
    <d v="2025-08-30T00:00:00"/>
    <s v="Dubai Mall"/>
    <s v="P404"/>
    <n v="1"/>
    <n v="189"/>
    <x v="3"/>
    <x v="6"/>
    <s v="Beauty"/>
    <n v="85"/>
    <n v="189"/>
    <n v="85"/>
    <n v="104"/>
    <x v="7"/>
  </r>
  <r>
    <s v="ORD51351"/>
    <d v="2025-08-30T00:00:00"/>
    <s v="Online"/>
    <s v="P306"/>
    <n v="2"/>
    <n v="249"/>
    <x v="0"/>
    <x v="3"/>
    <s v="Fashion"/>
    <n v="95"/>
    <n v="423.3"/>
    <n v="190"/>
    <n v="233.3"/>
    <x v="7"/>
  </r>
  <r>
    <s v="ORD51483"/>
    <d v="2025-08-30T00:00:00"/>
    <s v="Mall of the Emirates"/>
    <s v="P306"/>
    <n v="1"/>
    <n v="249"/>
    <x v="3"/>
    <x v="3"/>
    <s v="Fashion"/>
    <n v="95"/>
    <n v="249"/>
    <n v="95"/>
    <n v="154"/>
    <x v="7"/>
  </r>
  <r>
    <s v="ORD51905"/>
    <d v="2025-08-30T00:00:00"/>
    <s v="Dubai Mall"/>
    <s v="P207"/>
    <n v="3"/>
    <n v="399"/>
    <x v="2"/>
    <x v="32"/>
    <s v="Home &amp; Kitchen"/>
    <n v="250"/>
    <n v="1077.3"/>
    <n v="750"/>
    <n v="327.29999999999995"/>
    <x v="7"/>
  </r>
  <r>
    <s v="ORD52884"/>
    <d v="2025-08-30T00:00:00"/>
    <s v="Ibn Battuta Mall"/>
    <s v="P205"/>
    <n v="1"/>
    <n v="289"/>
    <x v="3"/>
    <x v="9"/>
    <s v="Home &amp; Kitchen"/>
    <n v="140"/>
    <n v="289"/>
    <n v="140"/>
    <n v="149"/>
    <x v="7"/>
  </r>
  <r>
    <s v="ORD53271"/>
    <d v="2025-08-30T00:00:00"/>
    <s v="Mall of the Emirates"/>
    <s v="P207"/>
    <n v="1"/>
    <n v="399"/>
    <x v="2"/>
    <x v="32"/>
    <s v="Home &amp; Kitchen"/>
    <n v="250"/>
    <n v="359.1"/>
    <n v="250"/>
    <n v="109.10000000000002"/>
    <x v="7"/>
  </r>
  <r>
    <s v="ORD54153"/>
    <d v="2025-08-30T00:00:00"/>
    <s v="Online"/>
    <s v="P102"/>
    <n v="1"/>
    <n v="249"/>
    <x v="3"/>
    <x v="13"/>
    <s v="Electronics"/>
    <n v="150"/>
    <n v="249"/>
    <n v="150"/>
    <n v="99"/>
    <x v="7"/>
  </r>
  <r>
    <s v="ORD50076"/>
    <d v="2025-08-31T00:00:00"/>
    <s v="Mall of the Emirates"/>
    <s v="P303"/>
    <n v="3"/>
    <n v="149"/>
    <x v="5"/>
    <x v="7"/>
    <s v="Fashion"/>
    <n v="80"/>
    <n v="357.6"/>
    <n v="240"/>
    <n v="117.60000000000002"/>
    <x v="7"/>
  </r>
  <r>
    <s v="ORD50544"/>
    <d v="2025-08-31T00:00:00"/>
    <s v="City Centre Deira"/>
    <s v="P206"/>
    <n v="1"/>
    <n v="129"/>
    <x v="5"/>
    <x v="28"/>
    <s v="Home &amp; Kitchen"/>
    <n v="60"/>
    <n v="103.2"/>
    <n v="60"/>
    <n v="43.2"/>
    <x v="7"/>
  </r>
  <r>
    <s v="ORD51497"/>
    <d v="2025-08-31T00:00:00"/>
    <s v="City Centre Deira"/>
    <s v="P107"/>
    <n v="3"/>
    <n v="89"/>
    <x v="3"/>
    <x v="29"/>
    <s v="Electronics"/>
    <n v="35"/>
    <n v="267"/>
    <n v="105"/>
    <n v="162"/>
    <x v="7"/>
  </r>
  <r>
    <s v="ORD52318"/>
    <d v="2025-08-31T00:00:00"/>
    <s v="City Centre Deira"/>
    <s v="P506"/>
    <n v="3"/>
    <n v="69"/>
    <x v="0"/>
    <x v="34"/>
    <s v="Sports"/>
    <n v="25"/>
    <n v="175.95"/>
    <n v="75"/>
    <n v="100.94999999999999"/>
    <x v="7"/>
  </r>
  <r>
    <s v="ORD52639"/>
    <d v="2025-08-31T00:00:00"/>
    <s v="Mall of the Emirates"/>
    <s v="P301"/>
    <n v="1"/>
    <n v="179"/>
    <x v="3"/>
    <x v="2"/>
    <s v="Fashion"/>
    <n v="70"/>
    <n v="179"/>
    <n v="70"/>
    <n v="109"/>
    <x v="7"/>
  </r>
  <r>
    <s v="ORD52739"/>
    <d v="2025-08-31T00:00:00"/>
    <s v="Ibn Battuta Mall"/>
    <s v="P207"/>
    <n v="2"/>
    <n v="399"/>
    <x v="0"/>
    <x v="32"/>
    <s v="Home &amp; Kitchen"/>
    <n v="250"/>
    <n v="678.3"/>
    <n v="500"/>
    <n v="178.29999999999995"/>
    <x v="7"/>
  </r>
  <r>
    <s v="ORD52761"/>
    <d v="2025-08-31T00:00:00"/>
    <s v="Mall of the Emirates"/>
    <s v="P402"/>
    <n v="3"/>
    <n v="149"/>
    <x v="3"/>
    <x v="17"/>
    <s v="Beauty"/>
    <n v="55"/>
    <n v="447"/>
    <n v="165"/>
    <n v="282"/>
    <x v="7"/>
  </r>
  <r>
    <s v="ORD52852"/>
    <d v="2025-08-31T00:00:00"/>
    <s v="Dubai Mall"/>
    <s v="P302"/>
    <n v="3"/>
    <n v="459"/>
    <x v="3"/>
    <x v="10"/>
    <s v="Fashion"/>
    <n v="190"/>
    <n v="1377"/>
    <n v="570"/>
    <n v="807"/>
    <x v="7"/>
  </r>
  <r>
    <s v="ORD53015"/>
    <d v="2025-08-31T00:00:00"/>
    <s v="Dubai Mall"/>
    <s v="P106"/>
    <n v="1"/>
    <n v="149"/>
    <x v="3"/>
    <x v="30"/>
    <s v="Electronics"/>
    <n v="70"/>
    <n v="149"/>
    <n v="70"/>
    <n v="79"/>
    <x v="7"/>
  </r>
  <r>
    <s v="ORD50077"/>
    <d v="2025-09-01T00:00:00"/>
    <s v="Dubai Mall"/>
    <s v="P303"/>
    <n v="1"/>
    <n v="149"/>
    <x v="3"/>
    <x v="7"/>
    <s v="Fashion"/>
    <n v="80"/>
    <n v="149"/>
    <n v="80"/>
    <n v="69"/>
    <x v="8"/>
  </r>
  <r>
    <s v="ORD51051"/>
    <d v="2025-09-01T00:00:00"/>
    <s v="Online"/>
    <s v="P503"/>
    <n v="1"/>
    <n v="229"/>
    <x v="2"/>
    <x v="18"/>
    <s v="Sports"/>
    <n v="120"/>
    <n v="206.1"/>
    <n v="120"/>
    <n v="86.1"/>
    <x v="8"/>
  </r>
  <r>
    <s v="ORD51849"/>
    <d v="2025-09-01T00:00:00"/>
    <s v="Mall of the Emirates"/>
    <s v="P502"/>
    <n v="3"/>
    <n v="799"/>
    <x v="2"/>
    <x v="19"/>
    <s v="Sports"/>
    <n v="700"/>
    <n v="2157.3000000000002"/>
    <n v="2100"/>
    <n v="57.300000000000182"/>
    <x v="8"/>
  </r>
  <r>
    <s v="ORD52230"/>
    <d v="2025-09-01T00:00:00"/>
    <s v="Dubai Mall"/>
    <s v="P301"/>
    <n v="1"/>
    <n v="179"/>
    <x v="3"/>
    <x v="2"/>
    <s v="Fashion"/>
    <n v="70"/>
    <n v="179"/>
    <n v="70"/>
    <n v="109"/>
    <x v="8"/>
  </r>
  <r>
    <s v="ORD52569"/>
    <d v="2025-09-01T00:00:00"/>
    <s v="City Centre Deira"/>
    <s v="P301"/>
    <n v="1"/>
    <n v="179"/>
    <x v="1"/>
    <x v="2"/>
    <s v="Fashion"/>
    <n v="70"/>
    <n v="170.04999999999998"/>
    <n v="70"/>
    <n v="100.04999999999998"/>
    <x v="8"/>
  </r>
  <r>
    <s v="ORD53196"/>
    <d v="2025-09-01T00:00:00"/>
    <s v="Online"/>
    <s v="P404"/>
    <n v="3"/>
    <n v="189"/>
    <x v="3"/>
    <x v="6"/>
    <s v="Beauty"/>
    <n v="85"/>
    <n v="567"/>
    <n v="255"/>
    <n v="312"/>
    <x v="8"/>
  </r>
  <r>
    <s v="ORD53730"/>
    <d v="2025-09-01T00:00:00"/>
    <s v="Online"/>
    <s v="P107"/>
    <n v="1"/>
    <n v="89"/>
    <x v="0"/>
    <x v="29"/>
    <s v="Electronics"/>
    <n v="35"/>
    <n v="75.649999999999991"/>
    <n v="35"/>
    <n v="40.649999999999991"/>
    <x v="8"/>
  </r>
  <r>
    <s v="ORD54070"/>
    <d v="2025-09-01T00:00:00"/>
    <s v="Online"/>
    <s v="P301"/>
    <n v="1"/>
    <n v="179"/>
    <x v="3"/>
    <x v="2"/>
    <s v="Fashion"/>
    <n v="70"/>
    <n v="179"/>
    <n v="70"/>
    <n v="109"/>
    <x v="8"/>
  </r>
  <r>
    <s v="ORD50527"/>
    <d v="2025-09-02T00:00:00"/>
    <s v="City Centre Deira"/>
    <s v="P201"/>
    <n v="1"/>
    <n v="499"/>
    <x v="1"/>
    <x v="16"/>
    <s v="Home &amp; Kitchen"/>
    <n v="290"/>
    <n v="474.04999999999995"/>
    <n v="290"/>
    <n v="184.04999999999995"/>
    <x v="8"/>
  </r>
  <r>
    <s v="ORD51064"/>
    <d v="2025-09-02T00:00:00"/>
    <s v="Online"/>
    <s v="P303"/>
    <n v="1"/>
    <n v="149"/>
    <x v="3"/>
    <x v="7"/>
    <s v="Fashion"/>
    <n v="80"/>
    <n v="149"/>
    <n v="80"/>
    <n v="69"/>
    <x v="8"/>
  </r>
  <r>
    <s v="ORD51399"/>
    <d v="2025-09-02T00:00:00"/>
    <s v="Dubai Mall"/>
    <s v="P101"/>
    <n v="2"/>
    <n v="399"/>
    <x v="3"/>
    <x v="5"/>
    <s v="Electronics"/>
    <n v="230"/>
    <n v="798"/>
    <n v="460"/>
    <n v="338"/>
    <x v="8"/>
  </r>
  <r>
    <s v="ORD51449"/>
    <d v="2025-09-02T00:00:00"/>
    <s v="Mall of the Emirates"/>
    <s v="P302"/>
    <n v="1"/>
    <n v="459"/>
    <x v="1"/>
    <x v="10"/>
    <s v="Fashion"/>
    <n v="190"/>
    <n v="436.04999999999995"/>
    <n v="190"/>
    <n v="246.04999999999995"/>
    <x v="8"/>
  </r>
  <r>
    <s v="ORD51778"/>
    <d v="2025-09-02T00:00:00"/>
    <s v="Mall of the Emirates"/>
    <s v="P403"/>
    <n v="3"/>
    <n v="299"/>
    <x v="0"/>
    <x v="8"/>
    <s v="Beauty"/>
    <n v="240"/>
    <n v="762.44999999999993"/>
    <n v="720"/>
    <n v="42.449999999999932"/>
    <x v="8"/>
  </r>
  <r>
    <s v="ORD52144"/>
    <d v="2025-09-02T00:00:00"/>
    <s v="Dubai Mall"/>
    <s v="P403"/>
    <n v="1"/>
    <n v="299"/>
    <x v="2"/>
    <x v="8"/>
    <s v="Beauty"/>
    <n v="240"/>
    <n v="269.10000000000002"/>
    <n v="240"/>
    <n v="29.100000000000023"/>
    <x v="8"/>
  </r>
  <r>
    <s v="ORD53700"/>
    <d v="2025-09-02T00:00:00"/>
    <s v="Dubai Mall"/>
    <s v="P406"/>
    <n v="1"/>
    <n v="199"/>
    <x v="2"/>
    <x v="4"/>
    <s v="Beauty"/>
    <n v="90"/>
    <n v="179.1"/>
    <n v="90"/>
    <n v="89.1"/>
    <x v="8"/>
  </r>
  <r>
    <s v="ORD53924"/>
    <d v="2025-09-02T00:00:00"/>
    <s v="Mall of the Emirates"/>
    <s v="P102"/>
    <n v="1"/>
    <n v="249"/>
    <x v="3"/>
    <x v="13"/>
    <s v="Electronics"/>
    <n v="150"/>
    <n v="249"/>
    <n v="150"/>
    <n v="99"/>
    <x v="8"/>
  </r>
  <r>
    <s v="ORD50028"/>
    <d v="2025-09-03T00:00:00"/>
    <s v="Online"/>
    <s v="P304"/>
    <n v="2"/>
    <n v="699"/>
    <x v="3"/>
    <x v="35"/>
    <s v="Fashion"/>
    <n v="380"/>
    <n v="1398"/>
    <n v="760"/>
    <n v="638"/>
    <x v="8"/>
  </r>
  <r>
    <s v="ORD50796"/>
    <d v="2025-09-03T00:00:00"/>
    <s v="Dubai Mall"/>
    <s v="P302"/>
    <n v="1"/>
    <n v="459"/>
    <x v="1"/>
    <x v="10"/>
    <s v="Fashion"/>
    <n v="190"/>
    <n v="436.04999999999995"/>
    <n v="190"/>
    <n v="246.04999999999995"/>
    <x v="8"/>
  </r>
  <r>
    <s v="ORD50863"/>
    <d v="2025-09-03T00:00:00"/>
    <s v="City Centre Deira"/>
    <s v="P503"/>
    <n v="1"/>
    <n v="229"/>
    <x v="5"/>
    <x v="18"/>
    <s v="Sports"/>
    <n v="120"/>
    <n v="183.20000000000002"/>
    <n v="120"/>
    <n v="63.200000000000017"/>
    <x v="8"/>
  </r>
  <r>
    <s v="ORD50926"/>
    <d v="2025-09-03T00:00:00"/>
    <s v="City Centre Deira"/>
    <s v="P305"/>
    <n v="1"/>
    <n v="429"/>
    <x v="2"/>
    <x v="14"/>
    <s v="Fashion"/>
    <n v="300"/>
    <n v="386.1"/>
    <n v="300"/>
    <n v="86.100000000000023"/>
    <x v="8"/>
  </r>
  <r>
    <s v="ORD51077"/>
    <d v="2025-09-03T00:00:00"/>
    <s v="Mall of the Emirates"/>
    <s v="P208"/>
    <n v="1"/>
    <n v="259"/>
    <x v="3"/>
    <x v="22"/>
    <s v="Home &amp; Kitchen"/>
    <n v="115"/>
    <n v="259"/>
    <n v="115"/>
    <n v="144"/>
    <x v="8"/>
  </r>
  <r>
    <s v="ORD51143"/>
    <d v="2025-09-03T00:00:00"/>
    <s v="Online"/>
    <s v="P306"/>
    <n v="1"/>
    <n v="249"/>
    <x v="3"/>
    <x v="3"/>
    <s v="Fashion"/>
    <n v="95"/>
    <n v="249"/>
    <n v="95"/>
    <n v="154"/>
    <x v="8"/>
  </r>
  <r>
    <s v="ORD51155"/>
    <d v="2025-09-03T00:00:00"/>
    <s v="Ibn Battuta Mall"/>
    <s v="P106"/>
    <n v="1"/>
    <n v="149"/>
    <x v="3"/>
    <x v="30"/>
    <s v="Electronics"/>
    <n v="70"/>
    <n v="149"/>
    <n v="70"/>
    <n v="79"/>
    <x v="8"/>
  </r>
  <r>
    <s v="ORD51388"/>
    <d v="2025-09-03T00:00:00"/>
    <s v="Online"/>
    <s v="P501"/>
    <n v="1"/>
    <n v="129"/>
    <x v="4"/>
    <x v="12"/>
    <s v="Sports"/>
    <n v="60"/>
    <n v="90.3"/>
    <n v="60"/>
    <n v="30.299999999999997"/>
    <x v="8"/>
  </r>
  <r>
    <s v="ORD51601"/>
    <d v="2025-09-03T00:00:00"/>
    <s v="Ibn Battuta Mall"/>
    <s v="P108"/>
    <n v="2"/>
    <n v="459"/>
    <x v="5"/>
    <x v="23"/>
    <s v="Electronics"/>
    <n v="300"/>
    <n v="734.40000000000009"/>
    <n v="600"/>
    <n v="134.40000000000009"/>
    <x v="8"/>
  </r>
  <r>
    <s v="ORD52101"/>
    <d v="2025-09-03T00:00:00"/>
    <s v="Online"/>
    <s v="P201"/>
    <n v="1"/>
    <n v="499"/>
    <x v="1"/>
    <x v="16"/>
    <s v="Home &amp; Kitchen"/>
    <n v="290"/>
    <n v="474.04999999999995"/>
    <n v="290"/>
    <n v="184.04999999999995"/>
    <x v="8"/>
  </r>
  <r>
    <s v="ORD52439"/>
    <d v="2025-09-03T00:00:00"/>
    <s v="City Centre Deira"/>
    <s v="P107"/>
    <n v="1"/>
    <n v="89"/>
    <x v="3"/>
    <x v="29"/>
    <s v="Electronics"/>
    <n v="35"/>
    <n v="89"/>
    <n v="35"/>
    <n v="54"/>
    <x v="8"/>
  </r>
  <r>
    <s v="ORD52829"/>
    <d v="2025-09-03T00:00:00"/>
    <s v="City Centre Deira"/>
    <s v="P202"/>
    <n v="1"/>
    <n v="1499"/>
    <x v="3"/>
    <x v="26"/>
    <s v="Home &amp; Kitchen"/>
    <n v="1050"/>
    <n v="1499"/>
    <n v="1050"/>
    <n v="449"/>
    <x v="8"/>
  </r>
  <r>
    <s v="ORD52904"/>
    <d v="2025-09-03T00:00:00"/>
    <s v="Ibn Battuta Mall"/>
    <s v="P305"/>
    <n v="2"/>
    <n v="429"/>
    <x v="3"/>
    <x v="14"/>
    <s v="Fashion"/>
    <n v="300"/>
    <n v="858"/>
    <n v="600"/>
    <n v="258"/>
    <x v="8"/>
  </r>
  <r>
    <s v="ORD53570"/>
    <d v="2025-09-03T00:00:00"/>
    <s v="Dubai Mall"/>
    <s v="P406"/>
    <n v="3"/>
    <n v="199"/>
    <x v="3"/>
    <x v="4"/>
    <s v="Beauty"/>
    <n v="90"/>
    <n v="597"/>
    <n v="270"/>
    <n v="327"/>
    <x v="8"/>
  </r>
  <r>
    <s v="ORD53709"/>
    <d v="2025-09-03T00:00:00"/>
    <s v="Ibn Battuta Mall"/>
    <s v="P108"/>
    <n v="1"/>
    <n v="459"/>
    <x v="5"/>
    <x v="23"/>
    <s v="Electronics"/>
    <n v="300"/>
    <n v="367.20000000000005"/>
    <n v="300"/>
    <n v="67.200000000000045"/>
    <x v="8"/>
  </r>
  <r>
    <s v="ORD50034"/>
    <d v="2025-09-04T00:00:00"/>
    <s v="Mall of the Emirates"/>
    <s v="P103"/>
    <n v="1"/>
    <n v="1299"/>
    <x v="3"/>
    <x v="25"/>
    <s v="Electronics"/>
    <n v="820"/>
    <n v="1299"/>
    <n v="820"/>
    <n v="479"/>
    <x v="8"/>
  </r>
  <r>
    <s v="ORD50092"/>
    <d v="2025-09-04T00:00:00"/>
    <s v="Dubai Mall"/>
    <s v="P106"/>
    <n v="1"/>
    <n v="149"/>
    <x v="0"/>
    <x v="30"/>
    <s v="Electronics"/>
    <n v="70"/>
    <n v="126.64999999999999"/>
    <n v="70"/>
    <n v="56.649999999999991"/>
    <x v="8"/>
  </r>
  <r>
    <s v="ORD50310"/>
    <d v="2025-09-04T00:00:00"/>
    <s v="Ibn Battuta Mall"/>
    <s v="P107"/>
    <n v="1"/>
    <n v="89"/>
    <x v="3"/>
    <x v="29"/>
    <s v="Electronics"/>
    <n v="35"/>
    <n v="89"/>
    <n v="35"/>
    <n v="54"/>
    <x v="8"/>
  </r>
  <r>
    <s v="ORD50407"/>
    <d v="2025-09-04T00:00:00"/>
    <s v="City Centre Deira"/>
    <s v="P104"/>
    <n v="1"/>
    <n v="199"/>
    <x v="2"/>
    <x v="1"/>
    <s v="Electronics"/>
    <n v="175"/>
    <n v="179.1"/>
    <n v="175"/>
    <n v="4.0999999999999943"/>
    <x v="8"/>
  </r>
  <r>
    <s v="ORD50410"/>
    <d v="2025-09-04T00:00:00"/>
    <s v="Mall of the Emirates"/>
    <s v="P308"/>
    <n v="1"/>
    <n v="229"/>
    <x v="1"/>
    <x v="0"/>
    <s v="Fashion"/>
    <n v="120"/>
    <n v="217.54999999999998"/>
    <n v="120"/>
    <n v="97.549999999999983"/>
    <x v="8"/>
  </r>
  <r>
    <s v="ORD50483"/>
    <d v="2025-09-04T00:00:00"/>
    <s v="Mall of the Emirates"/>
    <s v="P106"/>
    <n v="2"/>
    <n v="149"/>
    <x v="1"/>
    <x v="30"/>
    <s v="Electronics"/>
    <n v="70"/>
    <n v="283.09999999999997"/>
    <n v="140"/>
    <n v="143.09999999999997"/>
    <x v="8"/>
  </r>
  <r>
    <s v="ORD50604"/>
    <d v="2025-09-04T00:00:00"/>
    <s v="Mall of the Emirates"/>
    <s v="P106"/>
    <n v="1"/>
    <n v="149"/>
    <x v="2"/>
    <x v="30"/>
    <s v="Electronics"/>
    <n v="70"/>
    <n v="134.1"/>
    <n v="70"/>
    <n v="64.099999999999994"/>
    <x v="8"/>
  </r>
  <r>
    <s v="ORD50828"/>
    <d v="2025-09-04T00:00:00"/>
    <s v="Ibn Battuta Mall"/>
    <s v="P301"/>
    <n v="1"/>
    <n v="179"/>
    <x v="3"/>
    <x v="2"/>
    <s v="Fashion"/>
    <n v="70"/>
    <n v="179"/>
    <n v="70"/>
    <n v="109"/>
    <x v="8"/>
  </r>
  <r>
    <s v="ORD51279"/>
    <d v="2025-09-04T00:00:00"/>
    <s v="Online"/>
    <s v="P107"/>
    <n v="1"/>
    <n v="89"/>
    <x v="5"/>
    <x v="29"/>
    <s v="Electronics"/>
    <n v="35"/>
    <n v="71.2"/>
    <n v="35"/>
    <n v="36.200000000000003"/>
    <x v="8"/>
  </r>
  <r>
    <s v="ORD51305"/>
    <d v="2025-09-04T00:00:00"/>
    <s v="Dubai Mall"/>
    <s v="P102"/>
    <n v="2"/>
    <n v="249"/>
    <x v="0"/>
    <x v="13"/>
    <s v="Electronics"/>
    <n v="150"/>
    <n v="423.3"/>
    <n v="300"/>
    <n v="123.30000000000001"/>
    <x v="8"/>
  </r>
  <r>
    <s v="ORD51761"/>
    <d v="2025-09-04T00:00:00"/>
    <s v="Online"/>
    <s v="P205"/>
    <n v="2"/>
    <n v="289"/>
    <x v="3"/>
    <x v="9"/>
    <s v="Home &amp; Kitchen"/>
    <n v="140"/>
    <n v="578"/>
    <n v="280"/>
    <n v="298"/>
    <x v="8"/>
  </r>
  <r>
    <s v="ORD52666"/>
    <d v="2025-09-04T00:00:00"/>
    <s v="Mall of the Emirates"/>
    <s v="P101"/>
    <n v="1"/>
    <n v="399"/>
    <x v="2"/>
    <x v="5"/>
    <s v="Electronics"/>
    <n v="230"/>
    <n v="359.1"/>
    <n v="230"/>
    <n v="129.10000000000002"/>
    <x v="8"/>
  </r>
  <r>
    <s v="ORD53725"/>
    <d v="2025-09-04T00:00:00"/>
    <s v="Online"/>
    <s v="P201"/>
    <n v="1"/>
    <n v="499"/>
    <x v="1"/>
    <x v="16"/>
    <s v="Home &amp; Kitchen"/>
    <n v="290"/>
    <n v="474.04999999999995"/>
    <n v="290"/>
    <n v="184.04999999999995"/>
    <x v="8"/>
  </r>
  <r>
    <s v="ORD50025"/>
    <d v="2025-09-05T00:00:00"/>
    <s v="Mall of the Emirates"/>
    <s v="P306"/>
    <n v="1"/>
    <n v="249"/>
    <x v="3"/>
    <x v="3"/>
    <s v="Fashion"/>
    <n v="95"/>
    <n v="249"/>
    <n v="95"/>
    <n v="154"/>
    <x v="8"/>
  </r>
  <r>
    <s v="ORD50184"/>
    <d v="2025-09-05T00:00:00"/>
    <s v="Mall of the Emirates"/>
    <s v="P205"/>
    <n v="1"/>
    <n v="289"/>
    <x v="3"/>
    <x v="9"/>
    <s v="Home &amp; Kitchen"/>
    <n v="140"/>
    <n v="289"/>
    <n v="140"/>
    <n v="149"/>
    <x v="8"/>
  </r>
  <r>
    <s v="ORD50312"/>
    <d v="2025-09-05T00:00:00"/>
    <s v="Online"/>
    <s v="P105"/>
    <n v="4"/>
    <n v="899"/>
    <x v="3"/>
    <x v="31"/>
    <s v="Electronics"/>
    <n v="610"/>
    <n v="3596"/>
    <n v="2440"/>
    <n v="1156"/>
    <x v="8"/>
  </r>
  <r>
    <s v="ORD50465"/>
    <d v="2025-09-05T00:00:00"/>
    <s v="Online"/>
    <s v="P403"/>
    <n v="1"/>
    <n v="299"/>
    <x v="6"/>
    <x v="8"/>
    <s v="Beauty"/>
    <n v="240"/>
    <n v="224.25"/>
    <n v="240"/>
    <n v="-15.75"/>
    <x v="8"/>
  </r>
  <r>
    <s v="ORD50597"/>
    <d v="2025-09-05T00:00:00"/>
    <s v="Online"/>
    <s v="P307"/>
    <n v="1"/>
    <n v="399"/>
    <x v="3"/>
    <x v="20"/>
    <s v="Fashion"/>
    <n v="210"/>
    <n v="399"/>
    <n v="210"/>
    <n v="189"/>
    <x v="8"/>
  </r>
  <r>
    <s v="ORD51966"/>
    <d v="2025-09-05T00:00:00"/>
    <s v="Dubai Mall"/>
    <s v="P301"/>
    <n v="1"/>
    <n v="179"/>
    <x v="1"/>
    <x v="2"/>
    <s v="Fashion"/>
    <n v="70"/>
    <n v="170.04999999999998"/>
    <n v="70"/>
    <n v="100.04999999999998"/>
    <x v="8"/>
  </r>
  <r>
    <s v="ORD50435"/>
    <d v="2025-09-06T00:00:00"/>
    <s v="City Centre Deira"/>
    <s v="P107"/>
    <n v="1"/>
    <n v="89"/>
    <x v="5"/>
    <x v="29"/>
    <s v="Electronics"/>
    <n v="35"/>
    <n v="71.2"/>
    <n v="35"/>
    <n v="36.200000000000003"/>
    <x v="8"/>
  </r>
  <r>
    <s v="ORD50718"/>
    <d v="2025-09-06T00:00:00"/>
    <s v="Online"/>
    <s v="P404"/>
    <n v="2"/>
    <n v="189"/>
    <x v="4"/>
    <x v="6"/>
    <s v="Beauty"/>
    <n v="85"/>
    <n v="264.59999999999997"/>
    <n v="170"/>
    <n v="94.599999999999966"/>
    <x v="8"/>
  </r>
  <r>
    <s v="ORD50721"/>
    <d v="2025-09-06T00:00:00"/>
    <s v="Online"/>
    <s v="P306"/>
    <n v="2"/>
    <n v="249"/>
    <x v="4"/>
    <x v="3"/>
    <s v="Fashion"/>
    <n v="95"/>
    <n v="348.59999999999997"/>
    <n v="190"/>
    <n v="158.59999999999997"/>
    <x v="8"/>
  </r>
  <r>
    <s v="ORD51430"/>
    <d v="2025-09-06T00:00:00"/>
    <s v="Mall of the Emirates"/>
    <s v="P302"/>
    <n v="1"/>
    <n v="459"/>
    <x v="5"/>
    <x v="10"/>
    <s v="Fashion"/>
    <n v="190"/>
    <n v="367.20000000000005"/>
    <n v="190"/>
    <n v="177.20000000000005"/>
    <x v="8"/>
  </r>
  <r>
    <s v="ORD51500"/>
    <d v="2025-09-06T00:00:00"/>
    <s v="Dubai Mall"/>
    <s v="P305"/>
    <n v="1"/>
    <n v="429"/>
    <x v="1"/>
    <x v="14"/>
    <s v="Fashion"/>
    <n v="300"/>
    <n v="407.54999999999995"/>
    <n v="300"/>
    <n v="107.54999999999995"/>
    <x v="8"/>
  </r>
  <r>
    <s v="ORD51506"/>
    <d v="2025-09-06T00:00:00"/>
    <s v="City Centre Deira"/>
    <s v="P107"/>
    <n v="1"/>
    <n v="89"/>
    <x v="3"/>
    <x v="29"/>
    <s v="Electronics"/>
    <n v="35"/>
    <n v="89"/>
    <n v="35"/>
    <n v="54"/>
    <x v="8"/>
  </r>
  <r>
    <s v="ORD51735"/>
    <d v="2025-09-06T00:00:00"/>
    <s v="Mall of the Emirates"/>
    <s v="P506"/>
    <n v="1"/>
    <n v="69"/>
    <x v="2"/>
    <x v="34"/>
    <s v="Sports"/>
    <n v="25"/>
    <n v="62.1"/>
    <n v="25"/>
    <n v="37.1"/>
    <x v="8"/>
  </r>
  <r>
    <s v="ORD51851"/>
    <d v="2025-09-06T00:00:00"/>
    <s v="Mall of the Emirates"/>
    <s v="P202"/>
    <n v="1"/>
    <n v="1499"/>
    <x v="2"/>
    <x v="26"/>
    <s v="Home &amp; Kitchen"/>
    <n v="1050"/>
    <n v="1349.1000000000001"/>
    <n v="1050"/>
    <n v="299.10000000000014"/>
    <x v="8"/>
  </r>
  <r>
    <s v="ORD51991"/>
    <d v="2025-09-06T00:00:00"/>
    <s v="Mall of the Emirates"/>
    <s v="P108"/>
    <n v="2"/>
    <n v="459"/>
    <x v="3"/>
    <x v="23"/>
    <s v="Electronics"/>
    <n v="300"/>
    <n v="918"/>
    <n v="600"/>
    <n v="318"/>
    <x v="8"/>
  </r>
  <r>
    <s v="ORD52554"/>
    <d v="2025-09-06T00:00:00"/>
    <s v="Online"/>
    <s v="P505"/>
    <n v="1"/>
    <n v="99"/>
    <x v="3"/>
    <x v="11"/>
    <s v="Sports"/>
    <n v="45"/>
    <n v="99"/>
    <n v="45"/>
    <n v="54"/>
    <x v="8"/>
  </r>
  <r>
    <s v="ORD53213"/>
    <d v="2025-09-06T00:00:00"/>
    <s v="Ibn Battuta Mall"/>
    <s v="P303"/>
    <n v="2"/>
    <n v="149"/>
    <x v="0"/>
    <x v="7"/>
    <s v="Fashion"/>
    <n v="80"/>
    <n v="253.29999999999998"/>
    <n v="160"/>
    <n v="93.299999999999983"/>
    <x v="8"/>
  </r>
  <r>
    <s v="ORD53279"/>
    <d v="2025-09-06T00:00:00"/>
    <s v="Dubai Mall"/>
    <s v="P201"/>
    <n v="1"/>
    <n v="499"/>
    <x v="1"/>
    <x v="16"/>
    <s v="Home &amp; Kitchen"/>
    <n v="290"/>
    <n v="474.04999999999995"/>
    <n v="290"/>
    <n v="184.04999999999995"/>
    <x v="8"/>
  </r>
  <r>
    <s v="ORD53464"/>
    <d v="2025-09-06T00:00:00"/>
    <s v="Ibn Battuta Mall"/>
    <s v="P108"/>
    <n v="1"/>
    <n v="459"/>
    <x v="4"/>
    <x v="23"/>
    <s v="Electronics"/>
    <n v="300"/>
    <n v="321.29999999999995"/>
    <n v="300"/>
    <n v="21.299999999999955"/>
    <x v="8"/>
  </r>
  <r>
    <s v="ORD53674"/>
    <d v="2025-09-06T00:00:00"/>
    <s v="City Centre Deira"/>
    <s v="P108"/>
    <n v="1"/>
    <n v="459"/>
    <x v="3"/>
    <x v="23"/>
    <s v="Electronics"/>
    <n v="300"/>
    <n v="459"/>
    <n v="300"/>
    <n v="159"/>
    <x v="8"/>
  </r>
  <r>
    <s v="ORD53995"/>
    <d v="2025-09-06T00:00:00"/>
    <s v="City Centre Deira"/>
    <s v="P205"/>
    <n v="2"/>
    <n v="289"/>
    <x v="3"/>
    <x v="9"/>
    <s v="Home &amp; Kitchen"/>
    <n v="140"/>
    <n v="578"/>
    <n v="280"/>
    <n v="298"/>
    <x v="8"/>
  </r>
  <r>
    <s v="ORD50308"/>
    <d v="2025-09-07T00:00:00"/>
    <s v="Dubai Mall"/>
    <s v="P301"/>
    <n v="3"/>
    <n v="179"/>
    <x v="3"/>
    <x v="2"/>
    <s v="Fashion"/>
    <n v="70"/>
    <n v="537"/>
    <n v="210"/>
    <n v="327"/>
    <x v="8"/>
  </r>
  <r>
    <s v="ORD50648"/>
    <d v="2025-09-07T00:00:00"/>
    <s v="Dubai Mall"/>
    <s v="P205"/>
    <n v="1"/>
    <n v="289"/>
    <x v="3"/>
    <x v="9"/>
    <s v="Home &amp; Kitchen"/>
    <n v="140"/>
    <n v="289"/>
    <n v="140"/>
    <n v="149"/>
    <x v="8"/>
  </r>
  <r>
    <s v="ORD50971"/>
    <d v="2025-09-07T00:00:00"/>
    <s v="Mall of the Emirates"/>
    <s v="P203"/>
    <n v="3"/>
    <n v="349"/>
    <x v="0"/>
    <x v="21"/>
    <s v="Home &amp; Kitchen"/>
    <n v="170"/>
    <n v="889.94999999999993"/>
    <n v="510"/>
    <n v="379.94999999999993"/>
    <x v="8"/>
  </r>
  <r>
    <s v="ORD51006"/>
    <d v="2025-09-07T00:00:00"/>
    <s v="Online"/>
    <s v="P104"/>
    <n v="2"/>
    <n v="199"/>
    <x v="5"/>
    <x v="1"/>
    <s v="Electronics"/>
    <n v="175"/>
    <n v="318.40000000000003"/>
    <n v="350"/>
    <n v="-31.599999999999966"/>
    <x v="8"/>
  </r>
  <r>
    <s v="ORD51538"/>
    <d v="2025-09-07T00:00:00"/>
    <s v="Mall of the Emirates"/>
    <s v="P301"/>
    <n v="1"/>
    <n v="179"/>
    <x v="1"/>
    <x v="2"/>
    <s v="Fashion"/>
    <n v="70"/>
    <n v="170.04999999999998"/>
    <n v="70"/>
    <n v="100.04999999999998"/>
    <x v="8"/>
  </r>
  <r>
    <s v="ORD51711"/>
    <d v="2025-09-07T00:00:00"/>
    <s v="Online"/>
    <s v="P205"/>
    <n v="1"/>
    <n v="289"/>
    <x v="4"/>
    <x v="9"/>
    <s v="Home &amp; Kitchen"/>
    <n v="140"/>
    <n v="202.29999999999998"/>
    <n v="140"/>
    <n v="62.299999999999983"/>
    <x v="8"/>
  </r>
  <r>
    <s v="ORD52579"/>
    <d v="2025-09-07T00:00:00"/>
    <s v="Online"/>
    <s v="P303"/>
    <n v="2"/>
    <n v="149"/>
    <x v="3"/>
    <x v="7"/>
    <s v="Fashion"/>
    <n v="80"/>
    <n v="298"/>
    <n v="160"/>
    <n v="138"/>
    <x v="8"/>
  </r>
  <r>
    <s v="ORD53482"/>
    <d v="2025-09-07T00:00:00"/>
    <s v="Dubai Mall"/>
    <s v="P105"/>
    <n v="1"/>
    <n v="899"/>
    <x v="5"/>
    <x v="31"/>
    <s v="Electronics"/>
    <n v="610"/>
    <n v="719.2"/>
    <n v="610"/>
    <n v="109.20000000000005"/>
    <x v="8"/>
  </r>
  <r>
    <s v="ORD53622"/>
    <d v="2025-09-07T00:00:00"/>
    <s v="Online"/>
    <s v="P505"/>
    <n v="4"/>
    <n v="99"/>
    <x v="3"/>
    <x v="11"/>
    <s v="Sports"/>
    <n v="45"/>
    <n v="396"/>
    <n v="180"/>
    <n v="216"/>
    <x v="8"/>
  </r>
  <r>
    <s v="ORD53689"/>
    <d v="2025-09-07T00:00:00"/>
    <s v="Online"/>
    <s v="P308"/>
    <n v="2"/>
    <n v="229"/>
    <x v="5"/>
    <x v="0"/>
    <s v="Fashion"/>
    <n v="120"/>
    <n v="366.40000000000003"/>
    <n v="240"/>
    <n v="126.40000000000003"/>
    <x v="8"/>
  </r>
  <r>
    <s v="ORD53872"/>
    <d v="2025-09-07T00:00:00"/>
    <s v="Mall of the Emirates"/>
    <s v="P101"/>
    <n v="2"/>
    <n v="399"/>
    <x v="3"/>
    <x v="5"/>
    <s v="Electronics"/>
    <n v="230"/>
    <n v="798"/>
    <n v="460"/>
    <n v="338"/>
    <x v="8"/>
  </r>
  <r>
    <s v="ORD53919"/>
    <d v="2025-09-07T00:00:00"/>
    <s v="Online"/>
    <s v="P107"/>
    <n v="3"/>
    <n v="89"/>
    <x v="1"/>
    <x v="29"/>
    <s v="Electronics"/>
    <n v="35"/>
    <n v="253.64999999999998"/>
    <n v="105"/>
    <n v="148.64999999999998"/>
    <x v="8"/>
  </r>
  <r>
    <s v="ORD50383"/>
    <d v="2025-09-08T00:00:00"/>
    <s v="Online"/>
    <s v="P107"/>
    <n v="1"/>
    <n v="89"/>
    <x v="3"/>
    <x v="29"/>
    <s v="Electronics"/>
    <n v="35"/>
    <n v="89"/>
    <n v="35"/>
    <n v="54"/>
    <x v="8"/>
  </r>
  <r>
    <s v="ORD50692"/>
    <d v="2025-09-08T00:00:00"/>
    <s v="City Centre Deira"/>
    <s v="P104"/>
    <n v="2"/>
    <n v="199"/>
    <x v="0"/>
    <x v="1"/>
    <s v="Electronics"/>
    <n v="175"/>
    <n v="338.3"/>
    <n v="350"/>
    <n v="-11.699999999999989"/>
    <x v="8"/>
  </r>
  <r>
    <s v="ORD50877"/>
    <d v="2025-09-08T00:00:00"/>
    <s v="Mall of the Emirates"/>
    <s v="P103"/>
    <n v="1"/>
    <n v="1299"/>
    <x v="0"/>
    <x v="25"/>
    <s v="Electronics"/>
    <n v="820"/>
    <n v="1104.1499999999999"/>
    <n v="820"/>
    <n v="284.14999999999986"/>
    <x v="8"/>
  </r>
  <r>
    <s v="ORD50896"/>
    <d v="2025-09-08T00:00:00"/>
    <s v="Dubai Mall"/>
    <s v="P302"/>
    <n v="2"/>
    <n v="459"/>
    <x v="2"/>
    <x v="10"/>
    <s v="Fashion"/>
    <n v="190"/>
    <n v="826.2"/>
    <n v="380"/>
    <n v="446.20000000000005"/>
    <x v="8"/>
  </r>
  <r>
    <s v="ORD52272"/>
    <d v="2025-09-08T00:00:00"/>
    <s v="Dubai Mall"/>
    <s v="P307"/>
    <n v="2"/>
    <n v="399"/>
    <x v="3"/>
    <x v="20"/>
    <s v="Fashion"/>
    <n v="210"/>
    <n v="798"/>
    <n v="420"/>
    <n v="378"/>
    <x v="8"/>
  </r>
  <r>
    <s v="ORD52707"/>
    <d v="2025-09-08T00:00:00"/>
    <s v="Online"/>
    <s v="P306"/>
    <n v="2"/>
    <n v="249"/>
    <x v="1"/>
    <x v="3"/>
    <s v="Fashion"/>
    <n v="95"/>
    <n v="473.09999999999997"/>
    <n v="190"/>
    <n v="283.09999999999997"/>
    <x v="8"/>
  </r>
  <r>
    <s v="ORD52757"/>
    <d v="2025-09-08T00:00:00"/>
    <s v="Online"/>
    <s v="P107"/>
    <n v="4"/>
    <n v="89"/>
    <x v="3"/>
    <x v="29"/>
    <s v="Electronics"/>
    <n v="35"/>
    <n v="356"/>
    <n v="140"/>
    <n v="216"/>
    <x v="8"/>
  </r>
  <r>
    <s v="ORD52764"/>
    <d v="2025-09-08T00:00:00"/>
    <s v="Dubai Mall"/>
    <s v="P108"/>
    <n v="1"/>
    <n v="459"/>
    <x v="0"/>
    <x v="23"/>
    <s v="Electronics"/>
    <n v="300"/>
    <n v="390.15"/>
    <n v="300"/>
    <n v="90.149999999999977"/>
    <x v="8"/>
  </r>
  <r>
    <s v="ORD52792"/>
    <d v="2025-09-08T00:00:00"/>
    <s v="Dubai Mall"/>
    <s v="P501"/>
    <n v="2"/>
    <n v="129"/>
    <x v="0"/>
    <x v="12"/>
    <s v="Sports"/>
    <n v="60"/>
    <n v="219.29999999999998"/>
    <n v="120"/>
    <n v="99.299999999999983"/>
    <x v="8"/>
  </r>
  <r>
    <s v="ORD53708"/>
    <d v="2025-09-08T00:00:00"/>
    <s v="Mall of the Emirates"/>
    <s v="P403"/>
    <n v="3"/>
    <n v="299"/>
    <x v="5"/>
    <x v="8"/>
    <s v="Beauty"/>
    <n v="240"/>
    <n v="717.6"/>
    <n v="720"/>
    <n v="-2.3999999999999773"/>
    <x v="8"/>
  </r>
  <r>
    <s v="ORD50340"/>
    <d v="2025-09-09T00:00:00"/>
    <s v="Dubai Mall"/>
    <s v="P104"/>
    <n v="3"/>
    <n v="199"/>
    <x v="2"/>
    <x v="1"/>
    <s v="Electronics"/>
    <n v="175"/>
    <n v="537.30000000000007"/>
    <n v="525"/>
    <n v="12.300000000000068"/>
    <x v="8"/>
  </r>
  <r>
    <s v="ORD50473"/>
    <d v="2025-09-09T00:00:00"/>
    <s v="Online"/>
    <s v="P108"/>
    <n v="3"/>
    <n v="459"/>
    <x v="5"/>
    <x v="23"/>
    <s v="Electronics"/>
    <n v="300"/>
    <n v="1101.6000000000001"/>
    <n v="900"/>
    <n v="201.60000000000014"/>
    <x v="8"/>
  </r>
  <r>
    <s v="ORD50578"/>
    <d v="2025-09-09T00:00:00"/>
    <s v="Dubai Mall"/>
    <s v="P305"/>
    <n v="1"/>
    <n v="429"/>
    <x v="3"/>
    <x v="14"/>
    <s v="Fashion"/>
    <n v="300"/>
    <n v="429"/>
    <n v="300"/>
    <n v="129"/>
    <x v="8"/>
  </r>
  <r>
    <s v="ORD51131"/>
    <d v="2025-09-09T00:00:00"/>
    <s v="City Centre Deira"/>
    <s v="P306"/>
    <n v="1"/>
    <n v="249"/>
    <x v="5"/>
    <x v="3"/>
    <s v="Fashion"/>
    <n v="95"/>
    <n v="199.20000000000002"/>
    <n v="95"/>
    <n v="104.20000000000002"/>
    <x v="8"/>
  </r>
  <r>
    <s v="ORD51345"/>
    <d v="2025-09-09T00:00:00"/>
    <s v="City Centre Deira"/>
    <s v="P203"/>
    <n v="1"/>
    <n v="349"/>
    <x v="3"/>
    <x v="21"/>
    <s v="Home &amp; Kitchen"/>
    <n v="170"/>
    <n v="349"/>
    <n v="170"/>
    <n v="179"/>
    <x v="8"/>
  </r>
  <r>
    <s v="ORD51771"/>
    <d v="2025-09-09T00:00:00"/>
    <s v="Ibn Battuta Mall"/>
    <s v="P403"/>
    <n v="2"/>
    <n v="299"/>
    <x v="2"/>
    <x v="8"/>
    <s v="Beauty"/>
    <n v="240"/>
    <n v="538.20000000000005"/>
    <n v="480"/>
    <n v="58.200000000000045"/>
    <x v="8"/>
  </r>
  <r>
    <s v="ORD51780"/>
    <d v="2025-09-09T00:00:00"/>
    <s v="City Centre Deira"/>
    <s v="P104"/>
    <n v="2"/>
    <n v="199"/>
    <x v="0"/>
    <x v="1"/>
    <s v="Electronics"/>
    <n v="175"/>
    <n v="338.3"/>
    <n v="350"/>
    <n v="-11.699999999999989"/>
    <x v="8"/>
  </r>
  <r>
    <s v="ORD51843"/>
    <d v="2025-09-09T00:00:00"/>
    <s v="City Centre Deira"/>
    <s v="P501"/>
    <n v="2"/>
    <n v="129"/>
    <x v="2"/>
    <x v="12"/>
    <s v="Sports"/>
    <n v="60"/>
    <n v="232.20000000000002"/>
    <n v="120"/>
    <n v="112.20000000000002"/>
    <x v="8"/>
  </r>
  <r>
    <s v="ORD51981"/>
    <d v="2025-09-09T00:00:00"/>
    <s v="Online"/>
    <s v="P306"/>
    <n v="1"/>
    <n v="249"/>
    <x v="3"/>
    <x v="3"/>
    <s v="Fashion"/>
    <n v="95"/>
    <n v="249"/>
    <n v="95"/>
    <n v="154"/>
    <x v="8"/>
  </r>
  <r>
    <s v="ORD53492"/>
    <d v="2025-09-09T00:00:00"/>
    <s v="Mall of the Emirates"/>
    <s v="P206"/>
    <n v="1"/>
    <n v="129"/>
    <x v="3"/>
    <x v="28"/>
    <s v="Home &amp; Kitchen"/>
    <n v="60"/>
    <n v="129"/>
    <n v="60"/>
    <n v="69"/>
    <x v="8"/>
  </r>
  <r>
    <s v="ORD53662"/>
    <d v="2025-09-09T00:00:00"/>
    <s v="Online"/>
    <s v="P101"/>
    <n v="1"/>
    <n v="399"/>
    <x v="3"/>
    <x v="5"/>
    <s v="Electronics"/>
    <n v="230"/>
    <n v="399"/>
    <n v="230"/>
    <n v="169"/>
    <x v="8"/>
  </r>
  <r>
    <s v="ORD53711"/>
    <d v="2025-09-09T00:00:00"/>
    <s v="Dubai Mall"/>
    <s v="P308"/>
    <n v="2"/>
    <n v="229"/>
    <x v="1"/>
    <x v="0"/>
    <s v="Fashion"/>
    <n v="120"/>
    <n v="435.09999999999997"/>
    <n v="240"/>
    <n v="195.09999999999997"/>
    <x v="8"/>
  </r>
  <r>
    <s v="ORD54057"/>
    <d v="2025-09-09T00:00:00"/>
    <s v="City Centre Deira"/>
    <s v="P104"/>
    <n v="1"/>
    <n v="199"/>
    <x v="5"/>
    <x v="1"/>
    <s v="Electronics"/>
    <n v="175"/>
    <n v="159.20000000000002"/>
    <n v="175"/>
    <n v="-15.799999999999983"/>
    <x v="8"/>
  </r>
  <r>
    <s v="ORD50068"/>
    <d v="2025-09-10T00:00:00"/>
    <s v="City Centre Deira"/>
    <s v="P305"/>
    <n v="2"/>
    <n v="429"/>
    <x v="3"/>
    <x v="14"/>
    <s v="Fashion"/>
    <n v="300"/>
    <n v="858"/>
    <n v="600"/>
    <n v="258"/>
    <x v="8"/>
  </r>
  <r>
    <s v="ORD50766"/>
    <d v="2025-09-10T00:00:00"/>
    <s v="Online"/>
    <s v="P405"/>
    <n v="1"/>
    <n v="89"/>
    <x v="3"/>
    <x v="24"/>
    <s v="Beauty"/>
    <n v="40"/>
    <n v="89"/>
    <n v="40"/>
    <n v="49"/>
    <x v="8"/>
  </r>
  <r>
    <s v="ORD50799"/>
    <d v="2025-09-10T00:00:00"/>
    <s v="City Centre Deira"/>
    <s v="P402"/>
    <n v="1"/>
    <n v="149"/>
    <x v="4"/>
    <x v="17"/>
    <s v="Beauty"/>
    <n v="55"/>
    <n v="104.3"/>
    <n v="55"/>
    <n v="49.3"/>
    <x v="8"/>
  </r>
  <r>
    <s v="ORD52112"/>
    <d v="2025-09-10T00:00:00"/>
    <s v="City Centre Deira"/>
    <s v="P205"/>
    <n v="1"/>
    <n v="289"/>
    <x v="5"/>
    <x v="9"/>
    <s v="Home &amp; Kitchen"/>
    <n v="140"/>
    <n v="231.20000000000002"/>
    <n v="140"/>
    <n v="91.200000000000017"/>
    <x v="8"/>
  </r>
  <r>
    <s v="ORD52303"/>
    <d v="2025-09-10T00:00:00"/>
    <s v="Online"/>
    <s v="P401"/>
    <n v="1"/>
    <n v="549"/>
    <x v="3"/>
    <x v="15"/>
    <s v="Beauty"/>
    <n v="250"/>
    <n v="549"/>
    <n v="250"/>
    <n v="299"/>
    <x v="8"/>
  </r>
  <r>
    <s v="ORD52450"/>
    <d v="2025-09-10T00:00:00"/>
    <s v="Mall of the Emirates"/>
    <s v="P107"/>
    <n v="1"/>
    <n v="89"/>
    <x v="5"/>
    <x v="29"/>
    <s v="Electronics"/>
    <n v="35"/>
    <n v="71.2"/>
    <n v="35"/>
    <n v="36.200000000000003"/>
    <x v="8"/>
  </r>
  <r>
    <s v="ORD52933"/>
    <d v="2025-09-10T00:00:00"/>
    <s v="Mall of the Emirates"/>
    <s v="P505"/>
    <n v="1"/>
    <n v="99"/>
    <x v="2"/>
    <x v="11"/>
    <s v="Sports"/>
    <n v="45"/>
    <n v="89.100000000000009"/>
    <n v="45"/>
    <n v="44.100000000000009"/>
    <x v="8"/>
  </r>
  <r>
    <s v="ORD52952"/>
    <d v="2025-09-10T00:00:00"/>
    <s v="Mall of the Emirates"/>
    <s v="P402"/>
    <n v="1"/>
    <n v="149"/>
    <x v="5"/>
    <x v="17"/>
    <s v="Beauty"/>
    <n v="55"/>
    <n v="119.2"/>
    <n v="55"/>
    <n v="64.2"/>
    <x v="8"/>
  </r>
  <r>
    <s v="ORD53562"/>
    <d v="2025-09-10T00:00:00"/>
    <s v="Ibn Battuta Mall"/>
    <s v="P404"/>
    <n v="1"/>
    <n v="189"/>
    <x v="0"/>
    <x v="6"/>
    <s v="Beauty"/>
    <n v="85"/>
    <n v="160.65"/>
    <n v="85"/>
    <n v="75.650000000000006"/>
    <x v="8"/>
  </r>
  <r>
    <s v="ORD53665"/>
    <d v="2025-09-10T00:00:00"/>
    <s v="Mall of the Emirates"/>
    <s v="P502"/>
    <n v="2"/>
    <n v="799"/>
    <x v="2"/>
    <x v="19"/>
    <s v="Sports"/>
    <n v="700"/>
    <n v="1438.2"/>
    <n v="1400"/>
    <n v="38.200000000000045"/>
    <x v="8"/>
  </r>
  <r>
    <s v="ORD53721"/>
    <d v="2025-09-10T00:00:00"/>
    <s v="City Centre Deira"/>
    <s v="P206"/>
    <n v="1"/>
    <n v="129"/>
    <x v="2"/>
    <x v="28"/>
    <s v="Home &amp; Kitchen"/>
    <n v="60"/>
    <n v="116.10000000000001"/>
    <n v="60"/>
    <n v="56.100000000000009"/>
    <x v="8"/>
  </r>
  <r>
    <s v="ORD53743"/>
    <d v="2025-09-10T00:00:00"/>
    <s v="Mall of the Emirates"/>
    <s v="P206"/>
    <n v="1"/>
    <n v="129"/>
    <x v="5"/>
    <x v="28"/>
    <s v="Home &amp; Kitchen"/>
    <n v="60"/>
    <n v="103.2"/>
    <n v="60"/>
    <n v="43.2"/>
    <x v="8"/>
  </r>
  <r>
    <s v="ORD53768"/>
    <d v="2025-09-10T00:00:00"/>
    <s v="Mall of the Emirates"/>
    <s v="P202"/>
    <n v="3"/>
    <n v="1499"/>
    <x v="3"/>
    <x v="26"/>
    <s v="Home &amp; Kitchen"/>
    <n v="1050"/>
    <n v="4497"/>
    <n v="3150"/>
    <n v="1347"/>
    <x v="8"/>
  </r>
  <r>
    <s v="ORD54199"/>
    <d v="2025-09-10T00:00:00"/>
    <s v="Dubai Mall"/>
    <s v="P502"/>
    <n v="1"/>
    <n v="799"/>
    <x v="5"/>
    <x v="19"/>
    <s v="Sports"/>
    <n v="700"/>
    <n v="639.20000000000005"/>
    <n v="700"/>
    <n v="-60.799999999999955"/>
    <x v="8"/>
  </r>
  <r>
    <s v="ORD50663"/>
    <d v="2025-09-11T00:00:00"/>
    <s v="Dubai Mall"/>
    <s v="P503"/>
    <n v="1"/>
    <n v="229"/>
    <x v="3"/>
    <x v="18"/>
    <s v="Sports"/>
    <n v="120"/>
    <n v="229"/>
    <n v="120"/>
    <n v="109"/>
    <x v="8"/>
  </r>
  <r>
    <s v="ORD50739"/>
    <d v="2025-09-11T00:00:00"/>
    <s v="City Centre Deira"/>
    <s v="P102"/>
    <n v="1"/>
    <n v="249"/>
    <x v="1"/>
    <x v="13"/>
    <s v="Electronics"/>
    <n v="150"/>
    <n v="236.54999999999998"/>
    <n v="150"/>
    <n v="86.549999999999983"/>
    <x v="8"/>
  </r>
  <r>
    <s v="ORD50844"/>
    <d v="2025-09-11T00:00:00"/>
    <s v="Dubai Mall"/>
    <s v="P308"/>
    <n v="2"/>
    <n v="229"/>
    <x v="3"/>
    <x v="0"/>
    <s v="Fashion"/>
    <n v="120"/>
    <n v="458"/>
    <n v="240"/>
    <n v="218"/>
    <x v="8"/>
  </r>
  <r>
    <s v="ORD50918"/>
    <d v="2025-09-11T00:00:00"/>
    <s v="Mall of the Emirates"/>
    <s v="P406"/>
    <n v="1"/>
    <n v="199"/>
    <x v="2"/>
    <x v="4"/>
    <s v="Beauty"/>
    <n v="90"/>
    <n v="179.1"/>
    <n v="90"/>
    <n v="89.1"/>
    <x v="8"/>
  </r>
  <r>
    <s v="ORD51546"/>
    <d v="2025-09-11T00:00:00"/>
    <s v="Dubai Mall"/>
    <s v="P101"/>
    <n v="3"/>
    <n v="399"/>
    <x v="3"/>
    <x v="5"/>
    <s v="Electronics"/>
    <n v="230"/>
    <n v="1197"/>
    <n v="690"/>
    <n v="507"/>
    <x v="8"/>
  </r>
  <r>
    <s v="ORD51559"/>
    <d v="2025-09-11T00:00:00"/>
    <s v="Mall of the Emirates"/>
    <s v="P401"/>
    <n v="1"/>
    <n v="549"/>
    <x v="2"/>
    <x v="15"/>
    <s v="Beauty"/>
    <n v="250"/>
    <n v="494.1"/>
    <n v="250"/>
    <n v="244.10000000000002"/>
    <x v="8"/>
  </r>
  <r>
    <s v="ORD52129"/>
    <d v="2025-09-11T00:00:00"/>
    <s v="Dubai Mall"/>
    <s v="P307"/>
    <n v="3"/>
    <n v="399"/>
    <x v="1"/>
    <x v="20"/>
    <s v="Fashion"/>
    <n v="210"/>
    <n v="1137.1499999999999"/>
    <n v="630"/>
    <n v="507.14999999999986"/>
    <x v="8"/>
  </r>
  <r>
    <s v="ORD52630"/>
    <d v="2025-09-11T00:00:00"/>
    <s v="Dubai Mall"/>
    <s v="P404"/>
    <n v="2"/>
    <n v="189"/>
    <x v="3"/>
    <x v="6"/>
    <s v="Beauty"/>
    <n v="85"/>
    <n v="378"/>
    <n v="170"/>
    <n v="208"/>
    <x v="8"/>
  </r>
  <r>
    <s v="ORD52998"/>
    <d v="2025-09-11T00:00:00"/>
    <s v="Dubai Mall"/>
    <s v="P206"/>
    <n v="2"/>
    <n v="129"/>
    <x v="5"/>
    <x v="28"/>
    <s v="Home &amp; Kitchen"/>
    <n v="60"/>
    <n v="206.4"/>
    <n v="120"/>
    <n v="86.4"/>
    <x v="8"/>
  </r>
  <r>
    <s v="ORD53277"/>
    <d v="2025-09-11T00:00:00"/>
    <s v="Mall of the Emirates"/>
    <s v="P304"/>
    <n v="1"/>
    <n v="699"/>
    <x v="1"/>
    <x v="35"/>
    <s v="Fashion"/>
    <n v="380"/>
    <n v="664.05"/>
    <n v="380"/>
    <n v="284.04999999999995"/>
    <x v="8"/>
  </r>
  <r>
    <s v="ORD53779"/>
    <d v="2025-09-11T00:00:00"/>
    <s v="Dubai Mall"/>
    <s v="P105"/>
    <n v="1"/>
    <n v="899"/>
    <x v="1"/>
    <x v="31"/>
    <s v="Electronics"/>
    <n v="610"/>
    <n v="854.05"/>
    <n v="610"/>
    <n v="244.04999999999995"/>
    <x v="8"/>
  </r>
  <r>
    <s v="ORD53945"/>
    <d v="2025-09-11T00:00:00"/>
    <s v="City Centre Deira"/>
    <s v="P308"/>
    <n v="2"/>
    <n v="229"/>
    <x v="3"/>
    <x v="0"/>
    <s v="Fashion"/>
    <n v="120"/>
    <n v="458"/>
    <n v="240"/>
    <n v="218"/>
    <x v="8"/>
  </r>
  <r>
    <s v="ORD50047"/>
    <d v="2025-09-12T00:00:00"/>
    <s v="Online"/>
    <s v="P206"/>
    <n v="1"/>
    <n v="129"/>
    <x v="3"/>
    <x v="28"/>
    <s v="Home &amp; Kitchen"/>
    <n v="60"/>
    <n v="129"/>
    <n v="60"/>
    <n v="69"/>
    <x v="8"/>
  </r>
  <r>
    <s v="ORD51581"/>
    <d v="2025-09-12T00:00:00"/>
    <s v="Dubai Mall"/>
    <s v="P105"/>
    <n v="3"/>
    <n v="899"/>
    <x v="0"/>
    <x v="31"/>
    <s v="Electronics"/>
    <n v="610"/>
    <n v="2292.4499999999998"/>
    <n v="1830"/>
    <n v="462.44999999999982"/>
    <x v="8"/>
  </r>
  <r>
    <s v="ORD51977"/>
    <d v="2025-09-12T00:00:00"/>
    <s v="Mall of the Emirates"/>
    <s v="P105"/>
    <n v="1"/>
    <n v="899"/>
    <x v="3"/>
    <x v="31"/>
    <s v="Electronics"/>
    <n v="610"/>
    <n v="899"/>
    <n v="610"/>
    <n v="289"/>
    <x v="8"/>
  </r>
  <r>
    <s v="ORD52528"/>
    <d v="2025-09-12T00:00:00"/>
    <s v="Mall of the Emirates"/>
    <s v="P504"/>
    <n v="2"/>
    <n v="2499"/>
    <x v="5"/>
    <x v="33"/>
    <s v="Sports"/>
    <n v="2150"/>
    <n v="3998.4"/>
    <n v="4300"/>
    <n v="-301.59999999999991"/>
    <x v="8"/>
  </r>
  <r>
    <s v="ORD53299"/>
    <d v="2025-09-12T00:00:00"/>
    <s v="Online"/>
    <s v="P403"/>
    <n v="3"/>
    <n v="299"/>
    <x v="5"/>
    <x v="8"/>
    <s v="Beauty"/>
    <n v="240"/>
    <n v="717.6"/>
    <n v="720"/>
    <n v="-2.3999999999999773"/>
    <x v="8"/>
  </r>
  <r>
    <s v="ORD53557"/>
    <d v="2025-09-12T00:00:00"/>
    <s v="Online"/>
    <s v="P103"/>
    <n v="1"/>
    <n v="1299"/>
    <x v="2"/>
    <x v="25"/>
    <s v="Electronics"/>
    <n v="820"/>
    <n v="1169.1000000000001"/>
    <n v="820"/>
    <n v="349.10000000000014"/>
    <x v="8"/>
  </r>
  <r>
    <s v="ORD50080"/>
    <d v="2025-09-13T00:00:00"/>
    <s v="City Centre Deira"/>
    <s v="P104"/>
    <n v="1"/>
    <n v="199"/>
    <x v="0"/>
    <x v="1"/>
    <s v="Electronics"/>
    <n v="175"/>
    <n v="169.15"/>
    <n v="175"/>
    <n v="-5.8499999999999943"/>
    <x v="8"/>
  </r>
  <r>
    <s v="ORD50525"/>
    <d v="2025-09-13T00:00:00"/>
    <s v="Online"/>
    <s v="P305"/>
    <n v="2"/>
    <n v="429"/>
    <x v="3"/>
    <x v="14"/>
    <s v="Fashion"/>
    <n v="300"/>
    <n v="858"/>
    <n v="600"/>
    <n v="258"/>
    <x v="8"/>
  </r>
  <r>
    <s v="ORD51118"/>
    <d v="2025-09-13T00:00:00"/>
    <s v="Online"/>
    <s v="P503"/>
    <n v="3"/>
    <n v="229"/>
    <x v="3"/>
    <x v="18"/>
    <s v="Sports"/>
    <n v="120"/>
    <n v="687"/>
    <n v="360"/>
    <n v="327"/>
    <x v="8"/>
  </r>
  <r>
    <s v="ORD51725"/>
    <d v="2025-09-13T00:00:00"/>
    <s v="Online"/>
    <s v="P103"/>
    <n v="1"/>
    <n v="1299"/>
    <x v="3"/>
    <x v="25"/>
    <s v="Electronics"/>
    <n v="820"/>
    <n v="1299"/>
    <n v="820"/>
    <n v="479"/>
    <x v="8"/>
  </r>
  <r>
    <s v="ORD52151"/>
    <d v="2025-09-13T00:00:00"/>
    <s v="Online"/>
    <s v="P101"/>
    <n v="1"/>
    <n v="399"/>
    <x v="1"/>
    <x v="5"/>
    <s v="Electronics"/>
    <n v="230"/>
    <n v="379.04999999999995"/>
    <n v="230"/>
    <n v="149.04999999999995"/>
    <x v="8"/>
  </r>
  <r>
    <s v="ORD52604"/>
    <d v="2025-09-13T00:00:00"/>
    <s v="Dubai Mall"/>
    <s v="P206"/>
    <n v="1"/>
    <n v="129"/>
    <x v="3"/>
    <x v="28"/>
    <s v="Home &amp; Kitchen"/>
    <n v="60"/>
    <n v="129"/>
    <n v="60"/>
    <n v="69"/>
    <x v="8"/>
  </r>
  <r>
    <s v="ORD52865"/>
    <d v="2025-09-13T00:00:00"/>
    <s v="City Centre Deira"/>
    <s v="P404"/>
    <n v="1"/>
    <n v="189"/>
    <x v="3"/>
    <x v="6"/>
    <s v="Beauty"/>
    <n v="85"/>
    <n v="189"/>
    <n v="85"/>
    <n v="104"/>
    <x v="8"/>
  </r>
  <r>
    <s v="ORD53127"/>
    <d v="2025-09-13T00:00:00"/>
    <s v="Online"/>
    <s v="P308"/>
    <n v="2"/>
    <n v="229"/>
    <x v="1"/>
    <x v="0"/>
    <s v="Fashion"/>
    <n v="120"/>
    <n v="435.09999999999997"/>
    <n v="240"/>
    <n v="195.09999999999997"/>
    <x v="8"/>
  </r>
  <r>
    <s v="ORD53246"/>
    <d v="2025-09-13T00:00:00"/>
    <s v="Dubai Mall"/>
    <s v="P403"/>
    <n v="1"/>
    <n v="299"/>
    <x v="2"/>
    <x v="8"/>
    <s v="Beauty"/>
    <n v="240"/>
    <n v="269.10000000000002"/>
    <n v="240"/>
    <n v="29.100000000000023"/>
    <x v="8"/>
  </r>
  <r>
    <s v="ORD54053"/>
    <d v="2025-09-13T00:00:00"/>
    <s v="City Centre Deira"/>
    <s v="P506"/>
    <n v="4"/>
    <n v="69"/>
    <x v="4"/>
    <x v="34"/>
    <s v="Sports"/>
    <n v="25"/>
    <n v="193.2"/>
    <n v="100"/>
    <n v="93.199999999999989"/>
    <x v="8"/>
  </r>
  <r>
    <s v="ORD54126"/>
    <d v="2025-09-13T00:00:00"/>
    <s v="Mall of the Emirates"/>
    <s v="P301"/>
    <n v="2"/>
    <n v="179"/>
    <x v="0"/>
    <x v="2"/>
    <s v="Fashion"/>
    <n v="70"/>
    <n v="304.3"/>
    <n v="140"/>
    <n v="164.3"/>
    <x v="8"/>
  </r>
  <r>
    <s v="ORD50384"/>
    <d v="2025-09-14T00:00:00"/>
    <s v="Dubai Mall"/>
    <s v="P502"/>
    <n v="2"/>
    <n v="799"/>
    <x v="5"/>
    <x v="19"/>
    <s v="Sports"/>
    <n v="700"/>
    <n v="1278.4000000000001"/>
    <n v="1400"/>
    <n v="-121.59999999999991"/>
    <x v="8"/>
  </r>
  <r>
    <s v="ORD51072"/>
    <d v="2025-09-14T00:00:00"/>
    <s v="Ibn Battuta Mall"/>
    <s v="P402"/>
    <n v="3"/>
    <n v="149"/>
    <x v="0"/>
    <x v="17"/>
    <s v="Beauty"/>
    <n v="55"/>
    <n v="379.95"/>
    <n v="165"/>
    <n v="214.95"/>
    <x v="8"/>
  </r>
  <r>
    <s v="ORD51203"/>
    <d v="2025-09-14T00:00:00"/>
    <s v="City Centre Deira"/>
    <s v="P305"/>
    <n v="3"/>
    <n v="429"/>
    <x v="5"/>
    <x v="14"/>
    <s v="Fashion"/>
    <n v="300"/>
    <n v="1029.6000000000001"/>
    <n v="900"/>
    <n v="129.60000000000014"/>
    <x v="8"/>
  </r>
  <r>
    <s v="ORD51886"/>
    <d v="2025-09-14T00:00:00"/>
    <s v="Online"/>
    <s v="P304"/>
    <n v="1"/>
    <n v="699"/>
    <x v="3"/>
    <x v="35"/>
    <s v="Fashion"/>
    <n v="380"/>
    <n v="699"/>
    <n v="380"/>
    <n v="319"/>
    <x v="8"/>
  </r>
  <r>
    <s v="ORD52224"/>
    <d v="2025-09-14T00:00:00"/>
    <s v="Dubai Mall"/>
    <s v="P106"/>
    <n v="2"/>
    <n v="149"/>
    <x v="1"/>
    <x v="30"/>
    <s v="Electronics"/>
    <n v="70"/>
    <n v="283.09999999999997"/>
    <n v="140"/>
    <n v="143.09999999999997"/>
    <x v="8"/>
  </r>
  <r>
    <s v="ORD52319"/>
    <d v="2025-09-14T00:00:00"/>
    <s v="Ibn Battuta Mall"/>
    <s v="P401"/>
    <n v="1"/>
    <n v="549"/>
    <x v="3"/>
    <x v="15"/>
    <s v="Beauty"/>
    <n v="250"/>
    <n v="549"/>
    <n v="250"/>
    <n v="299"/>
    <x v="8"/>
  </r>
  <r>
    <s v="ORD52459"/>
    <d v="2025-09-14T00:00:00"/>
    <s v="City Centre Deira"/>
    <s v="P201"/>
    <n v="2"/>
    <n v="499"/>
    <x v="3"/>
    <x v="16"/>
    <s v="Home &amp; Kitchen"/>
    <n v="290"/>
    <n v="998"/>
    <n v="580"/>
    <n v="418"/>
    <x v="8"/>
  </r>
  <r>
    <s v="ORD50238"/>
    <d v="2025-09-15T00:00:00"/>
    <s v="Mall of the Emirates"/>
    <s v="P301"/>
    <n v="2"/>
    <n v="179"/>
    <x v="3"/>
    <x v="2"/>
    <s v="Fashion"/>
    <n v="70"/>
    <n v="358"/>
    <n v="140"/>
    <n v="218"/>
    <x v="8"/>
  </r>
  <r>
    <s v="ORD50464"/>
    <d v="2025-09-15T00:00:00"/>
    <s v="Online"/>
    <s v="P107"/>
    <n v="2"/>
    <n v="89"/>
    <x v="3"/>
    <x v="29"/>
    <s v="Electronics"/>
    <n v="35"/>
    <n v="178"/>
    <n v="70"/>
    <n v="108"/>
    <x v="8"/>
  </r>
  <r>
    <s v="ORD50651"/>
    <d v="2025-09-15T00:00:00"/>
    <s v="Mall of the Emirates"/>
    <s v="P104"/>
    <n v="1"/>
    <n v="199"/>
    <x v="5"/>
    <x v="1"/>
    <s v="Electronics"/>
    <n v="175"/>
    <n v="159.20000000000002"/>
    <n v="175"/>
    <n v="-15.799999999999983"/>
    <x v="8"/>
  </r>
  <r>
    <s v="ORD50687"/>
    <d v="2025-09-15T00:00:00"/>
    <s v="Online"/>
    <s v="P207"/>
    <n v="2"/>
    <n v="399"/>
    <x v="0"/>
    <x v="32"/>
    <s v="Home &amp; Kitchen"/>
    <n v="250"/>
    <n v="678.3"/>
    <n v="500"/>
    <n v="178.29999999999995"/>
    <x v="8"/>
  </r>
  <r>
    <s v="ORD51492"/>
    <d v="2025-09-15T00:00:00"/>
    <s v="Dubai Mall"/>
    <s v="P404"/>
    <n v="1"/>
    <n v="189"/>
    <x v="1"/>
    <x v="6"/>
    <s v="Beauty"/>
    <n v="85"/>
    <n v="179.54999999999998"/>
    <n v="85"/>
    <n v="94.549999999999983"/>
    <x v="8"/>
  </r>
  <r>
    <s v="ORD51730"/>
    <d v="2025-09-15T00:00:00"/>
    <s v="City Centre Deira"/>
    <s v="P403"/>
    <n v="1"/>
    <n v="299"/>
    <x v="2"/>
    <x v="8"/>
    <s v="Beauty"/>
    <n v="240"/>
    <n v="269.10000000000002"/>
    <n v="240"/>
    <n v="29.100000000000023"/>
    <x v="8"/>
  </r>
  <r>
    <s v="ORD52841"/>
    <d v="2025-09-15T00:00:00"/>
    <s v="Online"/>
    <s v="P304"/>
    <n v="1"/>
    <n v="699"/>
    <x v="3"/>
    <x v="35"/>
    <s v="Fashion"/>
    <n v="380"/>
    <n v="699"/>
    <n v="380"/>
    <n v="319"/>
    <x v="8"/>
  </r>
  <r>
    <s v="ORD53038"/>
    <d v="2025-09-15T00:00:00"/>
    <s v="Dubai Mall"/>
    <s v="P405"/>
    <n v="2"/>
    <n v="89"/>
    <x v="2"/>
    <x v="24"/>
    <s v="Beauty"/>
    <n v="40"/>
    <n v="160.20000000000002"/>
    <n v="80"/>
    <n v="80.200000000000017"/>
    <x v="8"/>
  </r>
  <r>
    <s v="ORD53151"/>
    <d v="2025-09-15T00:00:00"/>
    <s v="Dubai Mall"/>
    <s v="P404"/>
    <n v="2"/>
    <n v="189"/>
    <x v="3"/>
    <x v="6"/>
    <s v="Beauty"/>
    <n v="85"/>
    <n v="378"/>
    <n v="170"/>
    <n v="208"/>
    <x v="8"/>
  </r>
  <r>
    <s v="ORD53659"/>
    <d v="2025-09-15T00:00:00"/>
    <s v="Dubai Mall"/>
    <s v="P406"/>
    <n v="1"/>
    <n v="199"/>
    <x v="2"/>
    <x v="4"/>
    <s v="Beauty"/>
    <n v="90"/>
    <n v="179.1"/>
    <n v="90"/>
    <n v="89.1"/>
    <x v="8"/>
  </r>
  <r>
    <s v="ORD53836"/>
    <d v="2025-09-15T00:00:00"/>
    <s v="City Centre Deira"/>
    <s v="P403"/>
    <n v="2"/>
    <n v="299"/>
    <x v="5"/>
    <x v="8"/>
    <s v="Beauty"/>
    <n v="240"/>
    <n v="478.40000000000003"/>
    <n v="480"/>
    <n v="-1.5999999999999659"/>
    <x v="8"/>
  </r>
  <r>
    <s v="ORD53949"/>
    <d v="2025-09-15T00:00:00"/>
    <s v="Online"/>
    <s v="P401"/>
    <n v="1"/>
    <n v="549"/>
    <x v="3"/>
    <x v="15"/>
    <s v="Beauty"/>
    <n v="250"/>
    <n v="549"/>
    <n v="250"/>
    <n v="299"/>
    <x v="8"/>
  </r>
  <r>
    <s v="ORD50366"/>
    <d v="2025-09-16T00:00:00"/>
    <s v="City Centre Deira"/>
    <s v="P205"/>
    <n v="2"/>
    <n v="289"/>
    <x v="4"/>
    <x v="9"/>
    <s v="Home &amp; Kitchen"/>
    <n v="140"/>
    <n v="404.59999999999997"/>
    <n v="280"/>
    <n v="124.59999999999997"/>
    <x v="8"/>
  </r>
  <r>
    <s v="ORD50519"/>
    <d v="2025-09-16T00:00:00"/>
    <s v="Online"/>
    <s v="P505"/>
    <n v="1"/>
    <n v="99"/>
    <x v="2"/>
    <x v="11"/>
    <s v="Sports"/>
    <n v="45"/>
    <n v="89.100000000000009"/>
    <n v="45"/>
    <n v="44.100000000000009"/>
    <x v="8"/>
  </r>
  <r>
    <s v="ORD50772"/>
    <d v="2025-09-16T00:00:00"/>
    <s v="Dubai Mall"/>
    <s v="P301"/>
    <n v="2"/>
    <n v="179"/>
    <x v="1"/>
    <x v="2"/>
    <s v="Fashion"/>
    <n v="70"/>
    <n v="340.09999999999997"/>
    <n v="140"/>
    <n v="200.09999999999997"/>
    <x v="8"/>
  </r>
  <r>
    <s v="ORD50800"/>
    <d v="2025-09-16T00:00:00"/>
    <s v="Online"/>
    <s v="P303"/>
    <n v="2"/>
    <n v="149"/>
    <x v="3"/>
    <x v="7"/>
    <s v="Fashion"/>
    <n v="80"/>
    <n v="298"/>
    <n v="160"/>
    <n v="138"/>
    <x v="8"/>
  </r>
  <r>
    <s v="ORD51083"/>
    <d v="2025-09-16T00:00:00"/>
    <s v="Dubai Mall"/>
    <s v="P505"/>
    <n v="1"/>
    <n v="99"/>
    <x v="3"/>
    <x v="11"/>
    <s v="Sports"/>
    <n v="45"/>
    <n v="99"/>
    <n v="45"/>
    <n v="54"/>
    <x v="8"/>
  </r>
  <r>
    <s v="ORD53705"/>
    <d v="2025-09-16T00:00:00"/>
    <s v="Online"/>
    <s v="P108"/>
    <n v="2"/>
    <n v="459"/>
    <x v="0"/>
    <x v="23"/>
    <s v="Electronics"/>
    <n v="300"/>
    <n v="780.3"/>
    <n v="600"/>
    <n v="180.29999999999995"/>
    <x v="8"/>
  </r>
  <r>
    <s v="ORD53902"/>
    <d v="2025-09-16T00:00:00"/>
    <s v="Dubai Mall"/>
    <s v="P306"/>
    <n v="1"/>
    <n v="249"/>
    <x v="2"/>
    <x v="3"/>
    <s v="Fashion"/>
    <n v="95"/>
    <n v="224.1"/>
    <n v="95"/>
    <n v="129.1"/>
    <x v="8"/>
  </r>
  <r>
    <s v="ORD53915"/>
    <d v="2025-09-16T00:00:00"/>
    <s v="City Centre Deira"/>
    <s v="P308"/>
    <n v="1"/>
    <n v="229"/>
    <x v="3"/>
    <x v="0"/>
    <s v="Fashion"/>
    <n v="120"/>
    <n v="229"/>
    <n v="120"/>
    <n v="109"/>
    <x v="8"/>
  </r>
  <r>
    <s v="ORD54119"/>
    <d v="2025-09-16T00:00:00"/>
    <s v="Online"/>
    <s v="P104"/>
    <n v="2"/>
    <n v="199"/>
    <x v="6"/>
    <x v="1"/>
    <s v="Electronics"/>
    <n v="175"/>
    <n v="298.5"/>
    <n v="350"/>
    <n v="-51.5"/>
    <x v="8"/>
  </r>
  <r>
    <s v="ORD50123"/>
    <d v="2025-09-17T00:00:00"/>
    <s v="Mall of the Emirates"/>
    <s v="P306"/>
    <n v="1"/>
    <n v="249"/>
    <x v="2"/>
    <x v="3"/>
    <s v="Fashion"/>
    <n v="95"/>
    <n v="224.1"/>
    <n v="95"/>
    <n v="129.1"/>
    <x v="8"/>
  </r>
  <r>
    <s v="ORD50603"/>
    <d v="2025-09-17T00:00:00"/>
    <s v="Dubai Mall"/>
    <s v="P307"/>
    <n v="2"/>
    <n v="399"/>
    <x v="3"/>
    <x v="20"/>
    <s v="Fashion"/>
    <n v="210"/>
    <n v="798"/>
    <n v="420"/>
    <n v="378"/>
    <x v="8"/>
  </r>
  <r>
    <s v="ORD50833"/>
    <d v="2025-09-17T00:00:00"/>
    <s v="City Centre Deira"/>
    <s v="P107"/>
    <n v="1"/>
    <n v="89"/>
    <x v="3"/>
    <x v="29"/>
    <s v="Electronics"/>
    <n v="35"/>
    <n v="89"/>
    <n v="35"/>
    <n v="54"/>
    <x v="8"/>
  </r>
  <r>
    <s v="ORD50853"/>
    <d v="2025-09-17T00:00:00"/>
    <s v="Mall of the Emirates"/>
    <s v="P301"/>
    <n v="2"/>
    <n v="179"/>
    <x v="0"/>
    <x v="2"/>
    <s v="Fashion"/>
    <n v="70"/>
    <n v="304.3"/>
    <n v="140"/>
    <n v="164.3"/>
    <x v="8"/>
  </r>
  <r>
    <s v="ORD50966"/>
    <d v="2025-09-17T00:00:00"/>
    <s v="City Centre Deira"/>
    <s v="P201"/>
    <n v="3"/>
    <n v="499"/>
    <x v="3"/>
    <x v="16"/>
    <s v="Home &amp; Kitchen"/>
    <n v="290"/>
    <n v="1497"/>
    <n v="870"/>
    <n v="627"/>
    <x v="8"/>
  </r>
  <r>
    <s v="ORD51026"/>
    <d v="2025-09-17T00:00:00"/>
    <s v="Mall of the Emirates"/>
    <s v="P108"/>
    <n v="1"/>
    <n v="459"/>
    <x v="2"/>
    <x v="23"/>
    <s v="Electronics"/>
    <n v="300"/>
    <n v="413.1"/>
    <n v="300"/>
    <n v="113.10000000000002"/>
    <x v="8"/>
  </r>
  <r>
    <s v="ORD51807"/>
    <d v="2025-09-17T00:00:00"/>
    <s v="Dubai Mall"/>
    <s v="P404"/>
    <n v="3"/>
    <n v="189"/>
    <x v="0"/>
    <x v="6"/>
    <s v="Beauty"/>
    <n v="85"/>
    <n v="481.95"/>
    <n v="255"/>
    <n v="226.95"/>
    <x v="8"/>
  </r>
  <r>
    <s v="ORD51813"/>
    <d v="2025-09-17T00:00:00"/>
    <s v="City Centre Deira"/>
    <s v="P301"/>
    <n v="1"/>
    <n v="179"/>
    <x v="5"/>
    <x v="2"/>
    <s v="Fashion"/>
    <n v="70"/>
    <n v="143.20000000000002"/>
    <n v="70"/>
    <n v="73.200000000000017"/>
    <x v="8"/>
  </r>
  <r>
    <s v="ORD52117"/>
    <d v="2025-09-17T00:00:00"/>
    <s v="Dubai Mall"/>
    <s v="P201"/>
    <n v="1"/>
    <n v="499"/>
    <x v="3"/>
    <x v="16"/>
    <s v="Home &amp; Kitchen"/>
    <n v="290"/>
    <n v="499"/>
    <n v="290"/>
    <n v="209"/>
    <x v="8"/>
  </r>
  <r>
    <s v="ORD52282"/>
    <d v="2025-09-17T00:00:00"/>
    <s v="Mall of the Emirates"/>
    <s v="P205"/>
    <n v="1"/>
    <n v="289"/>
    <x v="1"/>
    <x v="9"/>
    <s v="Home &amp; Kitchen"/>
    <n v="140"/>
    <n v="274.55"/>
    <n v="140"/>
    <n v="134.55000000000001"/>
    <x v="8"/>
  </r>
  <r>
    <s v="ORD52478"/>
    <d v="2025-09-17T00:00:00"/>
    <s v="Dubai Mall"/>
    <s v="P107"/>
    <n v="1"/>
    <n v="89"/>
    <x v="3"/>
    <x v="29"/>
    <s v="Electronics"/>
    <n v="35"/>
    <n v="89"/>
    <n v="35"/>
    <n v="54"/>
    <x v="8"/>
  </r>
  <r>
    <s v="ORD53321"/>
    <d v="2025-09-17T00:00:00"/>
    <s v="Ibn Battuta Mall"/>
    <s v="P306"/>
    <n v="3"/>
    <n v="249"/>
    <x v="0"/>
    <x v="3"/>
    <s v="Fashion"/>
    <n v="95"/>
    <n v="634.94999999999993"/>
    <n v="285"/>
    <n v="349.94999999999993"/>
    <x v="8"/>
  </r>
  <r>
    <s v="ORD53393"/>
    <d v="2025-09-17T00:00:00"/>
    <s v="Ibn Battuta Mall"/>
    <s v="P105"/>
    <n v="1"/>
    <n v="899"/>
    <x v="1"/>
    <x v="31"/>
    <s v="Electronics"/>
    <n v="610"/>
    <n v="854.05"/>
    <n v="610"/>
    <n v="244.04999999999995"/>
    <x v="8"/>
  </r>
  <r>
    <s v="ORD53538"/>
    <d v="2025-09-17T00:00:00"/>
    <s v="Ibn Battuta Mall"/>
    <s v="P207"/>
    <n v="1"/>
    <n v="399"/>
    <x v="3"/>
    <x v="32"/>
    <s v="Home &amp; Kitchen"/>
    <n v="250"/>
    <n v="399"/>
    <n v="250"/>
    <n v="149"/>
    <x v="8"/>
  </r>
  <r>
    <s v="ORD53890"/>
    <d v="2025-09-17T00:00:00"/>
    <s v="Mall of the Emirates"/>
    <s v="P301"/>
    <n v="1"/>
    <n v="179"/>
    <x v="2"/>
    <x v="2"/>
    <s v="Fashion"/>
    <n v="70"/>
    <n v="161.1"/>
    <n v="70"/>
    <n v="91.1"/>
    <x v="8"/>
  </r>
  <r>
    <s v="ORD53963"/>
    <d v="2025-09-17T00:00:00"/>
    <s v="Dubai Mall"/>
    <s v="P102"/>
    <n v="1"/>
    <n v="249"/>
    <x v="2"/>
    <x v="13"/>
    <s v="Electronics"/>
    <n v="150"/>
    <n v="224.1"/>
    <n v="150"/>
    <n v="74.099999999999994"/>
    <x v="8"/>
  </r>
  <r>
    <s v="ORD54056"/>
    <d v="2025-09-17T00:00:00"/>
    <s v="Dubai Mall"/>
    <s v="P207"/>
    <n v="2"/>
    <n v="399"/>
    <x v="2"/>
    <x v="32"/>
    <s v="Home &amp; Kitchen"/>
    <n v="250"/>
    <n v="718.2"/>
    <n v="500"/>
    <n v="218.20000000000005"/>
    <x v="8"/>
  </r>
  <r>
    <s v="ORD50016"/>
    <d v="2025-09-18T00:00:00"/>
    <s v="City Centre Deira"/>
    <s v="P107"/>
    <n v="1"/>
    <n v="89"/>
    <x v="2"/>
    <x v="29"/>
    <s v="Electronics"/>
    <n v="35"/>
    <n v="80.100000000000009"/>
    <n v="35"/>
    <n v="45.100000000000009"/>
    <x v="8"/>
  </r>
  <r>
    <s v="ORD50774"/>
    <d v="2025-09-18T00:00:00"/>
    <s v="Mall of the Emirates"/>
    <s v="P104"/>
    <n v="1"/>
    <n v="199"/>
    <x v="5"/>
    <x v="1"/>
    <s v="Electronics"/>
    <n v="175"/>
    <n v="159.20000000000002"/>
    <n v="175"/>
    <n v="-15.799999999999983"/>
    <x v="8"/>
  </r>
  <r>
    <s v="ORD50904"/>
    <d v="2025-09-18T00:00:00"/>
    <s v="Dubai Mall"/>
    <s v="P106"/>
    <n v="1"/>
    <n v="149"/>
    <x v="1"/>
    <x v="30"/>
    <s v="Electronics"/>
    <n v="70"/>
    <n v="141.54999999999998"/>
    <n v="70"/>
    <n v="71.549999999999983"/>
    <x v="8"/>
  </r>
  <r>
    <s v="ORD51132"/>
    <d v="2025-09-18T00:00:00"/>
    <s v="Dubai Mall"/>
    <s v="P303"/>
    <n v="2"/>
    <n v="149"/>
    <x v="2"/>
    <x v="7"/>
    <s v="Fashion"/>
    <n v="80"/>
    <n v="268.2"/>
    <n v="160"/>
    <n v="108.19999999999999"/>
    <x v="8"/>
  </r>
  <r>
    <s v="ORD51652"/>
    <d v="2025-09-18T00:00:00"/>
    <s v="Dubai Mall"/>
    <s v="P108"/>
    <n v="1"/>
    <n v="459"/>
    <x v="2"/>
    <x v="23"/>
    <s v="Electronics"/>
    <n v="300"/>
    <n v="413.1"/>
    <n v="300"/>
    <n v="113.10000000000002"/>
    <x v="8"/>
  </r>
  <r>
    <s v="ORD52116"/>
    <d v="2025-09-18T00:00:00"/>
    <s v="Online"/>
    <s v="P105"/>
    <n v="2"/>
    <n v="899"/>
    <x v="1"/>
    <x v="31"/>
    <s v="Electronics"/>
    <n v="610"/>
    <n v="1708.1"/>
    <n v="1220"/>
    <n v="488.09999999999991"/>
    <x v="8"/>
  </r>
  <r>
    <s v="ORD52172"/>
    <d v="2025-09-18T00:00:00"/>
    <s v="Mall of the Emirates"/>
    <s v="P402"/>
    <n v="2"/>
    <n v="149"/>
    <x v="1"/>
    <x v="17"/>
    <s v="Beauty"/>
    <n v="55"/>
    <n v="283.09999999999997"/>
    <n v="110"/>
    <n v="173.09999999999997"/>
    <x v="8"/>
  </r>
  <r>
    <s v="ORD52537"/>
    <d v="2025-09-18T00:00:00"/>
    <s v="Mall of the Emirates"/>
    <s v="P104"/>
    <n v="1"/>
    <n v="199"/>
    <x v="2"/>
    <x v="1"/>
    <s v="Electronics"/>
    <n v="175"/>
    <n v="179.1"/>
    <n v="175"/>
    <n v="4.0999999999999943"/>
    <x v="8"/>
  </r>
  <r>
    <s v="ORD52717"/>
    <d v="2025-09-18T00:00:00"/>
    <s v="Dubai Mall"/>
    <s v="P402"/>
    <n v="1"/>
    <n v="149"/>
    <x v="3"/>
    <x v="17"/>
    <s v="Beauty"/>
    <n v="55"/>
    <n v="149"/>
    <n v="55"/>
    <n v="94"/>
    <x v="8"/>
  </r>
  <r>
    <s v="ORD52833"/>
    <d v="2025-09-18T00:00:00"/>
    <s v="Online"/>
    <s v="P303"/>
    <n v="2"/>
    <n v="149"/>
    <x v="0"/>
    <x v="7"/>
    <s v="Fashion"/>
    <n v="80"/>
    <n v="253.29999999999998"/>
    <n v="160"/>
    <n v="93.299999999999983"/>
    <x v="8"/>
  </r>
  <r>
    <s v="ORD53375"/>
    <d v="2025-09-18T00:00:00"/>
    <s v="Dubai Mall"/>
    <s v="P106"/>
    <n v="1"/>
    <n v="149"/>
    <x v="4"/>
    <x v="30"/>
    <s v="Electronics"/>
    <n v="70"/>
    <n v="104.3"/>
    <n v="70"/>
    <n v="34.299999999999997"/>
    <x v="8"/>
  </r>
  <r>
    <s v="ORD53497"/>
    <d v="2025-09-18T00:00:00"/>
    <s v="Online"/>
    <s v="P503"/>
    <n v="3"/>
    <n v="229"/>
    <x v="1"/>
    <x v="18"/>
    <s v="Sports"/>
    <n v="120"/>
    <n v="652.65"/>
    <n v="360"/>
    <n v="292.64999999999998"/>
    <x v="8"/>
  </r>
  <r>
    <s v="ORD50725"/>
    <d v="2025-09-19T00:00:00"/>
    <s v="Online"/>
    <s v="P301"/>
    <n v="1"/>
    <n v="179"/>
    <x v="4"/>
    <x v="2"/>
    <s v="Fashion"/>
    <n v="70"/>
    <n v="125.3"/>
    <n v="70"/>
    <n v="55.3"/>
    <x v="8"/>
  </r>
  <r>
    <s v="ORD50898"/>
    <d v="2025-09-19T00:00:00"/>
    <s v="Mall of the Emirates"/>
    <s v="P505"/>
    <n v="1"/>
    <n v="99"/>
    <x v="0"/>
    <x v="11"/>
    <s v="Sports"/>
    <n v="45"/>
    <n v="84.149999999999991"/>
    <n v="45"/>
    <n v="39.149999999999991"/>
    <x v="8"/>
  </r>
  <r>
    <s v="ORD52073"/>
    <d v="2025-09-19T00:00:00"/>
    <s v="Mall of the Emirates"/>
    <s v="P201"/>
    <n v="3"/>
    <n v="499"/>
    <x v="3"/>
    <x v="16"/>
    <s v="Home &amp; Kitchen"/>
    <n v="290"/>
    <n v="1497"/>
    <n v="870"/>
    <n v="627"/>
    <x v="8"/>
  </r>
  <r>
    <s v="ORD52533"/>
    <d v="2025-09-19T00:00:00"/>
    <s v="Online"/>
    <s v="P304"/>
    <n v="1"/>
    <n v="699"/>
    <x v="3"/>
    <x v="35"/>
    <s v="Fashion"/>
    <n v="380"/>
    <n v="699"/>
    <n v="380"/>
    <n v="319"/>
    <x v="8"/>
  </r>
  <r>
    <s v="ORD52901"/>
    <d v="2025-09-19T00:00:00"/>
    <s v="Ibn Battuta Mall"/>
    <s v="P102"/>
    <n v="2"/>
    <n v="249"/>
    <x v="3"/>
    <x v="13"/>
    <s v="Electronics"/>
    <n v="150"/>
    <n v="498"/>
    <n v="300"/>
    <n v="198"/>
    <x v="8"/>
  </r>
  <r>
    <s v="ORD53731"/>
    <d v="2025-09-19T00:00:00"/>
    <s v="Dubai Mall"/>
    <s v="P308"/>
    <n v="4"/>
    <n v="229"/>
    <x v="3"/>
    <x v="0"/>
    <s v="Fashion"/>
    <n v="120"/>
    <n v="916"/>
    <n v="480"/>
    <n v="436"/>
    <x v="8"/>
  </r>
  <r>
    <s v="ORD54035"/>
    <d v="2025-09-19T00:00:00"/>
    <s v="Ibn Battuta Mall"/>
    <s v="P106"/>
    <n v="2"/>
    <n v="149"/>
    <x v="3"/>
    <x v="30"/>
    <s v="Electronics"/>
    <n v="70"/>
    <n v="298"/>
    <n v="140"/>
    <n v="158"/>
    <x v="8"/>
  </r>
  <r>
    <s v="ORD54135"/>
    <d v="2025-09-19T00:00:00"/>
    <s v="City Centre Deira"/>
    <s v="P307"/>
    <n v="2"/>
    <n v="399"/>
    <x v="2"/>
    <x v="20"/>
    <s v="Fashion"/>
    <n v="210"/>
    <n v="718.2"/>
    <n v="420"/>
    <n v="298.20000000000005"/>
    <x v="8"/>
  </r>
  <r>
    <s v="ORD50097"/>
    <d v="2025-09-20T00:00:00"/>
    <s v="Mall of the Emirates"/>
    <s v="P403"/>
    <n v="1"/>
    <n v="299"/>
    <x v="6"/>
    <x v="8"/>
    <s v="Beauty"/>
    <n v="240"/>
    <n v="224.25"/>
    <n v="240"/>
    <n v="-15.75"/>
    <x v="8"/>
  </r>
  <r>
    <s v="ORD50487"/>
    <d v="2025-09-20T00:00:00"/>
    <s v="Mall of the Emirates"/>
    <s v="P307"/>
    <n v="2"/>
    <n v="399"/>
    <x v="2"/>
    <x v="20"/>
    <s v="Fashion"/>
    <n v="210"/>
    <n v="718.2"/>
    <n v="420"/>
    <n v="298.20000000000005"/>
    <x v="8"/>
  </r>
  <r>
    <s v="ORD50779"/>
    <d v="2025-09-20T00:00:00"/>
    <s v="Dubai Mall"/>
    <s v="P107"/>
    <n v="1"/>
    <n v="89"/>
    <x v="3"/>
    <x v="29"/>
    <s v="Electronics"/>
    <n v="35"/>
    <n v="89"/>
    <n v="35"/>
    <n v="54"/>
    <x v="8"/>
  </r>
  <r>
    <s v="ORD51400"/>
    <d v="2025-09-20T00:00:00"/>
    <s v="Online"/>
    <s v="P107"/>
    <n v="1"/>
    <n v="89"/>
    <x v="3"/>
    <x v="29"/>
    <s v="Electronics"/>
    <n v="35"/>
    <n v="89"/>
    <n v="35"/>
    <n v="54"/>
    <x v="8"/>
  </r>
  <r>
    <s v="ORD51423"/>
    <d v="2025-09-20T00:00:00"/>
    <s v="Online"/>
    <s v="P104"/>
    <n v="1"/>
    <n v="199"/>
    <x v="0"/>
    <x v="1"/>
    <s v="Electronics"/>
    <n v="175"/>
    <n v="169.15"/>
    <n v="175"/>
    <n v="-5.8499999999999943"/>
    <x v="8"/>
  </r>
  <r>
    <s v="ORD51448"/>
    <d v="2025-09-20T00:00:00"/>
    <s v="Online"/>
    <s v="P405"/>
    <n v="3"/>
    <n v="89"/>
    <x v="3"/>
    <x v="24"/>
    <s v="Beauty"/>
    <n v="40"/>
    <n v="267"/>
    <n v="120"/>
    <n v="147"/>
    <x v="8"/>
  </r>
  <r>
    <s v="ORD51632"/>
    <d v="2025-09-20T00:00:00"/>
    <s v="Mall of the Emirates"/>
    <s v="P105"/>
    <n v="1"/>
    <n v="899"/>
    <x v="1"/>
    <x v="31"/>
    <s v="Electronics"/>
    <n v="610"/>
    <n v="854.05"/>
    <n v="610"/>
    <n v="244.04999999999995"/>
    <x v="8"/>
  </r>
  <r>
    <s v="ORD51974"/>
    <d v="2025-09-20T00:00:00"/>
    <s v="Mall of the Emirates"/>
    <s v="P402"/>
    <n v="1"/>
    <n v="149"/>
    <x v="0"/>
    <x v="17"/>
    <s v="Beauty"/>
    <n v="55"/>
    <n v="126.64999999999999"/>
    <n v="55"/>
    <n v="71.649999999999991"/>
    <x v="8"/>
  </r>
  <r>
    <s v="ORD52003"/>
    <d v="2025-09-20T00:00:00"/>
    <s v="Mall of the Emirates"/>
    <s v="P505"/>
    <n v="1"/>
    <n v="99"/>
    <x v="2"/>
    <x v="11"/>
    <s v="Sports"/>
    <n v="45"/>
    <n v="89.100000000000009"/>
    <n v="45"/>
    <n v="44.100000000000009"/>
    <x v="8"/>
  </r>
  <r>
    <s v="ORD52034"/>
    <d v="2025-09-20T00:00:00"/>
    <s v="Dubai Mall"/>
    <s v="P208"/>
    <n v="1"/>
    <n v="259"/>
    <x v="3"/>
    <x v="22"/>
    <s v="Home &amp; Kitchen"/>
    <n v="115"/>
    <n v="259"/>
    <n v="115"/>
    <n v="144"/>
    <x v="8"/>
  </r>
  <r>
    <s v="ORD53262"/>
    <d v="2025-09-20T00:00:00"/>
    <s v="Online"/>
    <s v="P402"/>
    <n v="2"/>
    <n v="149"/>
    <x v="2"/>
    <x v="17"/>
    <s v="Beauty"/>
    <n v="55"/>
    <n v="268.2"/>
    <n v="110"/>
    <n v="158.19999999999999"/>
    <x v="8"/>
  </r>
  <r>
    <s v="ORD53266"/>
    <d v="2025-09-20T00:00:00"/>
    <s v="Online"/>
    <s v="P301"/>
    <n v="1"/>
    <n v="179"/>
    <x v="1"/>
    <x v="2"/>
    <s v="Fashion"/>
    <n v="70"/>
    <n v="170.04999999999998"/>
    <n v="70"/>
    <n v="100.04999999999998"/>
    <x v="8"/>
  </r>
  <r>
    <s v="ORD53588"/>
    <d v="2025-09-20T00:00:00"/>
    <s v="Ibn Battuta Mall"/>
    <s v="P302"/>
    <n v="3"/>
    <n v="459"/>
    <x v="3"/>
    <x v="10"/>
    <s v="Fashion"/>
    <n v="190"/>
    <n v="1377"/>
    <n v="570"/>
    <n v="807"/>
    <x v="8"/>
  </r>
  <r>
    <s v="ORD53656"/>
    <d v="2025-09-20T00:00:00"/>
    <s v="City Centre Deira"/>
    <s v="P406"/>
    <n v="1"/>
    <n v="199"/>
    <x v="2"/>
    <x v="4"/>
    <s v="Beauty"/>
    <n v="90"/>
    <n v="179.1"/>
    <n v="90"/>
    <n v="89.1"/>
    <x v="8"/>
  </r>
  <r>
    <s v="ORD53672"/>
    <d v="2025-09-20T00:00:00"/>
    <s v="Mall of the Emirates"/>
    <s v="P506"/>
    <n v="2"/>
    <n v="69"/>
    <x v="3"/>
    <x v="34"/>
    <s v="Sports"/>
    <n v="25"/>
    <n v="138"/>
    <n v="50"/>
    <n v="88"/>
    <x v="8"/>
  </r>
  <r>
    <s v="ORD53692"/>
    <d v="2025-09-20T00:00:00"/>
    <s v="Online"/>
    <s v="P301"/>
    <n v="1"/>
    <n v="179"/>
    <x v="3"/>
    <x v="2"/>
    <s v="Fashion"/>
    <n v="70"/>
    <n v="179"/>
    <n v="70"/>
    <n v="109"/>
    <x v="8"/>
  </r>
  <r>
    <s v="ORD50561"/>
    <d v="2025-09-21T00:00:00"/>
    <s v="Dubai Mall"/>
    <s v="P304"/>
    <n v="1"/>
    <n v="699"/>
    <x v="3"/>
    <x v="35"/>
    <s v="Fashion"/>
    <n v="380"/>
    <n v="699"/>
    <n v="380"/>
    <n v="319"/>
    <x v="8"/>
  </r>
  <r>
    <s v="ORD50749"/>
    <d v="2025-09-21T00:00:00"/>
    <s v="City Centre Deira"/>
    <s v="P102"/>
    <n v="1"/>
    <n v="249"/>
    <x v="2"/>
    <x v="13"/>
    <s v="Electronics"/>
    <n v="150"/>
    <n v="224.1"/>
    <n v="150"/>
    <n v="74.099999999999994"/>
    <x v="8"/>
  </r>
  <r>
    <s v="ORD51300"/>
    <d v="2025-09-21T00:00:00"/>
    <s v="Ibn Battuta Mall"/>
    <s v="P205"/>
    <n v="1"/>
    <n v="289"/>
    <x v="3"/>
    <x v="9"/>
    <s v="Home &amp; Kitchen"/>
    <n v="140"/>
    <n v="289"/>
    <n v="140"/>
    <n v="149"/>
    <x v="8"/>
  </r>
  <r>
    <s v="ORD51434"/>
    <d v="2025-09-21T00:00:00"/>
    <s v="Dubai Mall"/>
    <s v="P308"/>
    <n v="1"/>
    <n v="229"/>
    <x v="0"/>
    <x v="0"/>
    <s v="Fashion"/>
    <n v="120"/>
    <n v="194.65"/>
    <n v="120"/>
    <n v="74.650000000000006"/>
    <x v="8"/>
  </r>
  <r>
    <s v="ORD52079"/>
    <d v="2025-09-21T00:00:00"/>
    <s v="Online"/>
    <s v="P108"/>
    <n v="3"/>
    <n v="459"/>
    <x v="3"/>
    <x v="23"/>
    <s v="Electronics"/>
    <n v="300"/>
    <n v="1377"/>
    <n v="900"/>
    <n v="477"/>
    <x v="8"/>
  </r>
  <r>
    <s v="ORD52271"/>
    <d v="2025-09-21T00:00:00"/>
    <s v="Online"/>
    <s v="P104"/>
    <n v="1"/>
    <n v="199"/>
    <x v="5"/>
    <x v="1"/>
    <s v="Electronics"/>
    <n v="175"/>
    <n v="159.20000000000002"/>
    <n v="175"/>
    <n v="-15.799999999999983"/>
    <x v="8"/>
  </r>
  <r>
    <s v="ORD52301"/>
    <d v="2025-09-21T00:00:00"/>
    <s v="Ibn Battuta Mall"/>
    <s v="P402"/>
    <n v="1"/>
    <n v="149"/>
    <x v="0"/>
    <x v="17"/>
    <s v="Beauty"/>
    <n v="55"/>
    <n v="126.64999999999999"/>
    <n v="55"/>
    <n v="71.649999999999991"/>
    <x v="8"/>
  </r>
  <r>
    <s v="ORD52334"/>
    <d v="2025-09-21T00:00:00"/>
    <s v="Online"/>
    <s v="P404"/>
    <n v="1"/>
    <n v="189"/>
    <x v="1"/>
    <x v="6"/>
    <s v="Beauty"/>
    <n v="85"/>
    <n v="179.54999999999998"/>
    <n v="85"/>
    <n v="94.549999999999983"/>
    <x v="8"/>
  </r>
  <r>
    <s v="ORD53194"/>
    <d v="2025-09-21T00:00:00"/>
    <s v="Dubai Mall"/>
    <s v="P303"/>
    <n v="2"/>
    <n v="149"/>
    <x v="2"/>
    <x v="7"/>
    <s v="Fashion"/>
    <n v="80"/>
    <n v="268.2"/>
    <n v="160"/>
    <n v="108.19999999999999"/>
    <x v="8"/>
  </r>
  <r>
    <s v="ORD53285"/>
    <d v="2025-09-21T00:00:00"/>
    <s v="Mall of the Emirates"/>
    <s v="P305"/>
    <n v="2"/>
    <n v="429"/>
    <x v="3"/>
    <x v="14"/>
    <s v="Fashion"/>
    <n v="300"/>
    <n v="858"/>
    <n v="600"/>
    <n v="258"/>
    <x v="8"/>
  </r>
  <r>
    <s v="ORD53450"/>
    <d v="2025-09-21T00:00:00"/>
    <s v="Mall of the Emirates"/>
    <s v="P405"/>
    <n v="1"/>
    <n v="89"/>
    <x v="5"/>
    <x v="24"/>
    <s v="Beauty"/>
    <n v="40"/>
    <n v="71.2"/>
    <n v="40"/>
    <n v="31.200000000000003"/>
    <x v="8"/>
  </r>
  <r>
    <s v="ORD53940"/>
    <d v="2025-09-21T00:00:00"/>
    <s v="Dubai Mall"/>
    <s v="P206"/>
    <n v="1"/>
    <n v="129"/>
    <x v="2"/>
    <x v="28"/>
    <s v="Home &amp; Kitchen"/>
    <n v="60"/>
    <n v="116.10000000000001"/>
    <n v="60"/>
    <n v="56.100000000000009"/>
    <x v="8"/>
  </r>
  <r>
    <s v="ORD50067"/>
    <d v="2025-09-22T00:00:00"/>
    <s v="Ibn Battuta Mall"/>
    <s v="P501"/>
    <n v="2"/>
    <n v="129"/>
    <x v="3"/>
    <x v="12"/>
    <s v="Sports"/>
    <n v="60"/>
    <n v="258"/>
    <n v="120"/>
    <n v="138"/>
    <x v="8"/>
  </r>
  <r>
    <s v="ORD50140"/>
    <d v="2025-09-22T00:00:00"/>
    <s v="Mall of the Emirates"/>
    <s v="P108"/>
    <n v="1"/>
    <n v="459"/>
    <x v="3"/>
    <x v="23"/>
    <s v="Electronics"/>
    <n v="300"/>
    <n v="459"/>
    <n v="300"/>
    <n v="159"/>
    <x v="8"/>
  </r>
  <r>
    <s v="ORD51738"/>
    <d v="2025-09-22T00:00:00"/>
    <s v="Mall of the Emirates"/>
    <s v="P102"/>
    <n v="4"/>
    <n v="249"/>
    <x v="5"/>
    <x v="13"/>
    <s v="Electronics"/>
    <n v="150"/>
    <n v="796.80000000000007"/>
    <n v="600"/>
    <n v="196.80000000000007"/>
    <x v="8"/>
  </r>
  <r>
    <s v="ORD51764"/>
    <d v="2025-09-22T00:00:00"/>
    <s v="Online"/>
    <s v="P201"/>
    <n v="2"/>
    <n v="499"/>
    <x v="3"/>
    <x v="16"/>
    <s v="Home &amp; Kitchen"/>
    <n v="290"/>
    <n v="998"/>
    <n v="580"/>
    <n v="418"/>
    <x v="8"/>
  </r>
  <r>
    <s v="ORD52491"/>
    <d v="2025-09-22T00:00:00"/>
    <s v="Online"/>
    <s v="P307"/>
    <n v="1"/>
    <n v="399"/>
    <x v="5"/>
    <x v="20"/>
    <s v="Fashion"/>
    <n v="210"/>
    <n v="319.20000000000005"/>
    <n v="210"/>
    <n v="109.20000000000005"/>
    <x v="8"/>
  </r>
  <r>
    <s v="ORD52679"/>
    <d v="2025-09-22T00:00:00"/>
    <s v="Online"/>
    <s v="P501"/>
    <n v="1"/>
    <n v="129"/>
    <x v="3"/>
    <x v="12"/>
    <s v="Sports"/>
    <n v="60"/>
    <n v="129"/>
    <n v="60"/>
    <n v="69"/>
    <x v="8"/>
  </r>
  <r>
    <s v="ORD53978"/>
    <d v="2025-09-22T00:00:00"/>
    <s v="City Centre Deira"/>
    <s v="P404"/>
    <n v="2"/>
    <n v="189"/>
    <x v="4"/>
    <x v="6"/>
    <s v="Beauty"/>
    <n v="85"/>
    <n v="264.59999999999997"/>
    <n v="170"/>
    <n v="94.599999999999966"/>
    <x v="8"/>
  </r>
  <r>
    <s v="ORD50369"/>
    <d v="2025-09-23T00:00:00"/>
    <s v="Dubai Mall"/>
    <s v="P506"/>
    <n v="1"/>
    <n v="69"/>
    <x v="3"/>
    <x v="34"/>
    <s v="Sports"/>
    <n v="25"/>
    <n v="69"/>
    <n v="25"/>
    <n v="44"/>
    <x v="8"/>
  </r>
  <r>
    <s v="ORD51145"/>
    <d v="2025-09-23T00:00:00"/>
    <s v="Dubai Mall"/>
    <s v="P403"/>
    <n v="1"/>
    <n v="299"/>
    <x v="6"/>
    <x v="8"/>
    <s v="Beauty"/>
    <n v="240"/>
    <n v="224.25"/>
    <n v="240"/>
    <n v="-15.75"/>
    <x v="8"/>
  </r>
  <r>
    <s v="ORD51301"/>
    <d v="2025-09-23T00:00:00"/>
    <s v="Dubai Mall"/>
    <s v="P106"/>
    <n v="1"/>
    <n v="149"/>
    <x v="1"/>
    <x v="30"/>
    <s v="Electronics"/>
    <n v="70"/>
    <n v="141.54999999999998"/>
    <n v="70"/>
    <n v="71.549999999999983"/>
    <x v="8"/>
  </r>
  <r>
    <s v="ORD51664"/>
    <d v="2025-09-23T00:00:00"/>
    <s v="City Centre Deira"/>
    <s v="P107"/>
    <n v="2"/>
    <n v="89"/>
    <x v="3"/>
    <x v="29"/>
    <s v="Electronics"/>
    <n v="35"/>
    <n v="178"/>
    <n v="70"/>
    <n v="108"/>
    <x v="8"/>
  </r>
  <r>
    <s v="ORD51811"/>
    <d v="2025-09-23T00:00:00"/>
    <s v="City Centre Deira"/>
    <s v="P108"/>
    <n v="2"/>
    <n v="459"/>
    <x v="1"/>
    <x v="23"/>
    <s v="Electronics"/>
    <n v="300"/>
    <n v="872.09999999999991"/>
    <n v="600"/>
    <n v="272.09999999999991"/>
    <x v="8"/>
  </r>
  <r>
    <s v="ORD52421"/>
    <d v="2025-09-23T00:00:00"/>
    <s v="Online"/>
    <s v="P406"/>
    <n v="2"/>
    <n v="199"/>
    <x v="4"/>
    <x v="4"/>
    <s v="Beauty"/>
    <n v="90"/>
    <n v="278.59999999999997"/>
    <n v="180"/>
    <n v="98.599999999999966"/>
    <x v="8"/>
  </r>
  <r>
    <s v="ORD52936"/>
    <d v="2025-09-23T00:00:00"/>
    <s v="City Centre Deira"/>
    <s v="P102"/>
    <n v="1"/>
    <n v="249"/>
    <x v="3"/>
    <x v="13"/>
    <s v="Electronics"/>
    <n v="150"/>
    <n v="249"/>
    <n v="150"/>
    <n v="99"/>
    <x v="8"/>
  </r>
  <r>
    <s v="ORD53192"/>
    <d v="2025-09-23T00:00:00"/>
    <s v="Mall of the Emirates"/>
    <s v="P506"/>
    <n v="1"/>
    <n v="69"/>
    <x v="2"/>
    <x v="34"/>
    <s v="Sports"/>
    <n v="25"/>
    <n v="62.1"/>
    <n v="25"/>
    <n v="37.1"/>
    <x v="8"/>
  </r>
  <r>
    <s v="ORD53569"/>
    <d v="2025-09-23T00:00:00"/>
    <s v="Mall of the Emirates"/>
    <s v="P307"/>
    <n v="1"/>
    <n v="399"/>
    <x v="2"/>
    <x v="20"/>
    <s v="Fashion"/>
    <n v="210"/>
    <n v="359.1"/>
    <n v="210"/>
    <n v="149.10000000000002"/>
    <x v="8"/>
  </r>
  <r>
    <s v="ORD50108"/>
    <d v="2025-09-24T00:00:00"/>
    <s v="Online"/>
    <s v="P305"/>
    <n v="2"/>
    <n v="429"/>
    <x v="0"/>
    <x v="14"/>
    <s v="Fashion"/>
    <n v="300"/>
    <n v="729.3"/>
    <n v="600"/>
    <n v="129.29999999999995"/>
    <x v="8"/>
  </r>
  <r>
    <s v="ORD50389"/>
    <d v="2025-09-24T00:00:00"/>
    <s v="Ibn Battuta Mall"/>
    <s v="P402"/>
    <n v="1"/>
    <n v="149"/>
    <x v="3"/>
    <x v="17"/>
    <s v="Beauty"/>
    <n v="55"/>
    <n v="149"/>
    <n v="55"/>
    <n v="94"/>
    <x v="8"/>
  </r>
  <r>
    <s v="ORD50433"/>
    <d v="2025-09-24T00:00:00"/>
    <s v="Mall of the Emirates"/>
    <s v="P304"/>
    <n v="2"/>
    <n v="699"/>
    <x v="3"/>
    <x v="35"/>
    <s v="Fashion"/>
    <n v="380"/>
    <n v="1398"/>
    <n v="760"/>
    <n v="638"/>
    <x v="8"/>
  </r>
  <r>
    <s v="ORD51056"/>
    <d v="2025-09-24T00:00:00"/>
    <s v="Dubai Mall"/>
    <s v="P308"/>
    <n v="4"/>
    <n v="229"/>
    <x v="3"/>
    <x v="0"/>
    <s v="Fashion"/>
    <n v="120"/>
    <n v="916"/>
    <n v="480"/>
    <n v="436"/>
    <x v="8"/>
  </r>
  <r>
    <s v="ORD51234"/>
    <d v="2025-09-24T00:00:00"/>
    <s v="Dubai Mall"/>
    <s v="P406"/>
    <n v="1"/>
    <n v="199"/>
    <x v="3"/>
    <x v="4"/>
    <s v="Beauty"/>
    <n v="90"/>
    <n v="199"/>
    <n v="90"/>
    <n v="109"/>
    <x v="8"/>
  </r>
  <r>
    <s v="ORD51896"/>
    <d v="2025-09-24T00:00:00"/>
    <s v="Ibn Battuta Mall"/>
    <s v="P501"/>
    <n v="2"/>
    <n v="129"/>
    <x v="0"/>
    <x v="12"/>
    <s v="Sports"/>
    <n v="60"/>
    <n v="219.29999999999998"/>
    <n v="120"/>
    <n v="99.299999999999983"/>
    <x v="8"/>
  </r>
  <r>
    <s v="ORD52557"/>
    <d v="2025-09-24T00:00:00"/>
    <s v="Online"/>
    <s v="P501"/>
    <n v="2"/>
    <n v="129"/>
    <x v="1"/>
    <x v="12"/>
    <s v="Sports"/>
    <n v="60"/>
    <n v="245.1"/>
    <n v="120"/>
    <n v="125.1"/>
    <x v="8"/>
  </r>
  <r>
    <s v="ORD52564"/>
    <d v="2025-09-24T00:00:00"/>
    <s v="Online"/>
    <s v="P104"/>
    <n v="1"/>
    <n v="199"/>
    <x v="6"/>
    <x v="1"/>
    <s v="Electronics"/>
    <n v="175"/>
    <n v="149.25"/>
    <n v="175"/>
    <n v="-25.75"/>
    <x v="8"/>
  </r>
  <r>
    <s v="ORD52736"/>
    <d v="2025-09-24T00:00:00"/>
    <s v="Online"/>
    <s v="P102"/>
    <n v="2"/>
    <n v="249"/>
    <x v="3"/>
    <x v="13"/>
    <s v="Electronics"/>
    <n v="150"/>
    <n v="498"/>
    <n v="300"/>
    <n v="198"/>
    <x v="8"/>
  </r>
  <r>
    <s v="ORD53238"/>
    <d v="2025-09-24T00:00:00"/>
    <s v="Ibn Battuta Mall"/>
    <s v="P404"/>
    <n v="2"/>
    <n v="189"/>
    <x v="3"/>
    <x v="6"/>
    <s v="Beauty"/>
    <n v="85"/>
    <n v="378"/>
    <n v="170"/>
    <n v="208"/>
    <x v="8"/>
  </r>
  <r>
    <s v="ORD53397"/>
    <d v="2025-09-24T00:00:00"/>
    <s v="Mall of the Emirates"/>
    <s v="P102"/>
    <n v="1"/>
    <n v="249"/>
    <x v="3"/>
    <x v="13"/>
    <s v="Electronics"/>
    <n v="150"/>
    <n v="249"/>
    <n v="150"/>
    <n v="99"/>
    <x v="8"/>
  </r>
  <r>
    <s v="ORD53695"/>
    <d v="2025-09-24T00:00:00"/>
    <s v="Mall of the Emirates"/>
    <s v="P207"/>
    <n v="1"/>
    <n v="399"/>
    <x v="2"/>
    <x v="32"/>
    <s v="Home &amp; Kitchen"/>
    <n v="250"/>
    <n v="359.1"/>
    <n v="250"/>
    <n v="109.10000000000002"/>
    <x v="8"/>
  </r>
  <r>
    <s v="ORD53751"/>
    <d v="2025-09-24T00:00:00"/>
    <s v="City Centre Deira"/>
    <s v="P306"/>
    <n v="2"/>
    <n v="249"/>
    <x v="1"/>
    <x v="3"/>
    <s v="Fashion"/>
    <n v="95"/>
    <n v="473.09999999999997"/>
    <n v="190"/>
    <n v="283.09999999999997"/>
    <x v="8"/>
  </r>
  <r>
    <s v="ORD50032"/>
    <d v="2025-09-25T00:00:00"/>
    <s v="Dubai Mall"/>
    <s v="P305"/>
    <n v="1"/>
    <n v="429"/>
    <x v="3"/>
    <x v="14"/>
    <s v="Fashion"/>
    <n v="300"/>
    <n v="429"/>
    <n v="300"/>
    <n v="129"/>
    <x v="8"/>
  </r>
  <r>
    <s v="ORD50117"/>
    <d v="2025-09-25T00:00:00"/>
    <s v="Online"/>
    <s v="P104"/>
    <n v="3"/>
    <n v="199"/>
    <x v="6"/>
    <x v="1"/>
    <s v="Electronics"/>
    <n v="175"/>
    <n v="447.75"/>
    <n v="525"/>
    <n v="-77.25"/>
    <x v="8"/>
  </r>
  <r>
    <s v="ORD50148"/>
    <d v="2025-09-25T00:00:00"/>
    <s v="Mall of the Emirates"/>
    <s v="P205"/>
    <n v="1"/>
    <n v="289"/>
    <x v="0"/>
    <x v="9"/>
    <s v="Home &amp; Kitchen"/>
    <n v="140"/>
    <n v="245.65"/>
    <n v="140"/>
    <n v="105.65"/>
    <x v="8"/>
  </r>
  <r>
    <s v="ORD50568"/>
    <d v="2025-09-25T00:00:00"/>
    <s v="City Centre Deira"/>
    <s v="P104"/>
    <n v="1"/>
    <n v="199"/>
    <x v="5"/>
    <x v="1"/>
    <s v="Electronics"/>
    <n v="175"/>
    <n v="159.20000000000002"/>
    <n v="175"/>
    <n v="-15.799999999999983"/>
    <x v="8"/>
  </r>
  <r>
    <s v="ORD50925"/>
    <d v="2025-09-25T00:00:00"/>
    <s v="Dubai Mall"/>
    <s v="P104"/>
    <n v="1"/>
    <n v="199"/>
    <x v="0"/>
    <x v="1"/>
    <s v="Electronics"/>
    <n v="175"/>
    <n v="169.15"/>
    <n v="175"/>
    <n v="-5.8499999999999943"/>
    <x v="8"/>
  </r>
  <r>
    <s v="ORD50972"/>
    <d v="2025-09-25T00:00:00"/>
    <s v="City Centre Deira"/>
    <s v="P104"/>
    <n v="2"/>
    <n v="199"/>
    <x v="5"/>
    <x v="1"/>
    <s v="Electronics"/>
    <n v="175"/>
    <n v="318.40000000000003"/>
    <n v="350"/>
    <n v="-31.599999999999966"/>
    <x v="8"/>
  </r>
  <r>
    <s v="ORD51513"/>
    <d v="2025-09-25T00:00:00"/>
    <s v="Dubai Mall"/>
    <s v="P308"/>
    <n v="1"/>
    <n v="229"/>
    <x v="3"/>
    <x v="0"/>
    <s v="Fashion"/>
    <n v="120"/>
    <n v="229"/>
    <n v="120"/>
    <n v="109"/>
    <x v="8"/>
  </r>
  <r>
    <s v="ORD51659"/>
    <d v="2025-09-25T00:00:00"/>
    <s v="City Centre Deira"/>
    <s v="P506"/>
    <n v="1"/>
    <n v="69"/>
    <x v="0"/>
    <x v="34"/>
    <s v="Sports"/>
    <n v="25"/>
    <n v="58.65"/>
    <n v="25"/>
    <n v="33.65"/>
    <x v="8"/>
  </r>
  <r>
    <s v="ORD51835"/>
    <d v="2025-09-25T00:00:00"/>
    <s v="Dubai Mall"/>
    <s v="P306"/>
    <n v="3"/>
    <n v="249"/>
    <x v="5"/>
    <x v="3"/>
    <s v="Fashion"/>
    <n v="95"/>
    <n v="597.6"/>
    <n v="285"/>
    <n v="312.60000000000002"/>
    <x v="8"/>
  </r>
  <r>
    <s v="ORD52157"/>
    <d v="2025-09-25T00:00:00"/>
    <s v="Online"/>
    <s v="P307"/>
    <n v="1"/>
    <n v="399"/>
    <x v="5"/>
    <x v="20"/>
    <s v="Fashion"/>
    <n v="210"/>
    <n v="319.20000000000005"/>
    <n v="210"/>
    <n v="109.20000000000005"/>
    <x v="8"/>
  </r>
  <r>
    <s v="ORD52234"/>
    <d v="2025-09-25T00:00:00"/>
    <s v="Dubai Mall"/>
    <s v="P503"/>
    <n v="4"/>
    <n v="229"/>
    <x v="0"/>
    <x v="18"/>
    <s v="Sports"/>
    <n v="120"/>
    <n v="778.6"/>
    <n v="480"/>
    <n v="298.60000000000002"/>
    <x v="8"/>
  </r>
  <r>
    <s v="ORD52914"/>
    <d v="2025-09-25T00:00:00"/>
    <s v="Ibn Battuta Mall"/>
    <s v="P405"/>
    <n v="4"/>
    <n v="89"/>
    <x v="3"/>
    <x v="24"/>
    <s v="Beauty"/>
    <n v="40"/>
    <n v="356"/>
    <n v="160"/>
    <n v="196"/>
    <x v="8"/>
  </r>
  <r>
    <s v="ORD53409"/>
    <d v="2025-09-25T00:00:00"/>
    <s v="City Centre Deira"/>
    <s v="P205"/>
    <n v="1"/>
    <n v="289"/>
    <x v="0"/>
    <x v="9"/>
    <s v="Home &amp; Kitchen"/>
    <n v="140"/>
    <n v="245.65"/>
    <n v="140"/>
    <n v="105.65"/>
    <x v="8"/>
  </r>
  <r>
    <s v="ORD53826"/>
    <d v="2025-09-25T00:00:00"/>
    <s v="Dubai Mall"/>
    <s v="P201"/>
    <n v="3"/>
    <n v="499"/>
    <x v="4"/>
    <x v="16"/>
    <s v="Home &amp; Kitchen"/>
    <n v="290"/>
    <n v="1047.8999999999999"/>
    <n v="870"/>
    <n v="177.89999999999986"/>
    <x v="8"/>
  </r>
  <r>
    <s v="ORD53918"/>
    <d v="2025-09-25T00:00:00"/>
    <s v="Mall of the Emirates"/>
    <s v="P208"/>
    <n v="1"/>
    <n v="259"/>
    <x v="4"/>
    <x v="22"/>
    <s v="Home &amp; Kitchen"/>
    <n v="115"/>
    <n v="181.29999999999998"/>
    <n v="115"/>
    <n v="66.299999999999983"/>
    <x v="8"/>
  </r>
  <r>
    <s v="ORD50225"/>
    <d v="2025-09-26T00:00:00"/>
    <s v="Ibn Battuta Mall"/>
    <s v="P406"/>
    <n v="1"/>
    <n v="199"/>
    <x v="3"/>
    <x v="4"/>
    <s v="Beauty"/>
    <n v="90"/>
    <n v="199"/>
    <n v="90"/>
    <n v="109"/>
    <x v="8"/>
  </r>
  <r>
    <s v="ORD50689"/>
    <d v="2025-09-26T00:00:00"/>
    <s v="Online"/>
    <s v="P303"/>
    <n v="3"/>
    <n v="149"/>
    <x v="0"/>
    <x v="7"/>
    <s v="Fashion"/>
    <n v="80"/>
    <n v="379.95"/>
    <n v="240"/>
    <n v="139.94999999999999"/>
    <x v="8"/>
  </r>
  <r>
    <s v="ORD50705"/>
    <d v="2025-09-26T00:00:00"/>
    <s v="City Centre Deira"/>
    <s v="P306"/>
    <n v="2"/>
    <n v="249"/>
    <x v="3"/>
    <x v="3"/>
    <s v="Fashion"/>
    <n v="95"/>
    <n v="498"/>
    <n v="190"/>
    <n v="308"/>
    <x v="8"/>
  </r>
  <r>
    <s v="ORD50795"/>
    <d v="2025-09-26T00:00:00"/>
    <s v="Ibn Battuta Mall"/>
    <s v="P401"/>
    <n v="2"/>
    <n v="549"/>
    <x v="0"/>
    <x v="15"/>
    <s v="Beauty"/>
    <n v="250"/>
    <n v="933.3"/>
    <n v="500"/>
    <n v="433.29999999999995"/>
    <x v="8"/>
  </r>
  <r>
    <s v="ORD51189"/>
    <d v="2025-09-26T00:00:00"/>
    <s v="City Centre Deira"/>
    <s v="P503"/>
    <n v="2"/>
    <n v="229"/>
    <x v="1"/>
    <x v="18"/>
    <s v="Sports"/>
    <n v="120"/>
    <n v="435.09999999999997"/>
    <n v="240"/>
    <n v="195.09999999999997"/>
    <x v="8"/>
  </r>
  <r>
    <s v="ORD52801"/>
    <d v="2025-09-26T00:00:00"/>
    <s v="Mall of the Emirates"/>
    <s v="P501"/>
    <n v="3"/>
    <n v="129"/>
    <x v="2"/>
    <x v="12"/>
    <s v="Sports"/>
    <n v="60"/>
    <n v="348.3"/>
    <n v="180"/>
    <n v="168.3"/>
    <x v="8"/>
  </r>
  <r>
    <s v="ORD52970"/>
    <d v="2025-09-26T00:00:00"/>
    <s v="Online"/>
    <s v="P203"/>
    <n v="1"/>
    <n v="349"/>
    <x v="5"/>
    <x v="21"/>
    <s v="Home &amp; Kitchen"/>
    <n v="170"/>
    <n v="279.2"/>
    <n v="170"/>
    <n v="109.19999999999999"/>
    <x v="8"/>
  </r>
  <r>
    <s v="ORD53020"/>
    <d v="2025-09-26T00:00:00"/>
    <s v="Online"/>
    <s v="P104"/>
    <n v="1"/>
    <n v="199"/>
    <x v="6"/>
    <x v="1"/>
    <s v="Electronics"/>
    <n v="175"/>
    <n v="149.25"/>
    <n v="175"/>
    <n v="-25.75"/>
    <x v="8"/>
  </r>
  <r>
    <s v="ORD53033"/>
    <d v="2025-09-26T00:00:00"/>
    <s v="Mall of the Emirates"/>
    <s v="P302"/>
    <n v="2"/>
    <n v="459"/>
    <x v="0"/>
    <x v="10"/>
    <s v="Fashion"/>
    <n v="190"/>
    <n v="780.3"/>
    <n v="380"/>
    <n v="400.29999999999995"/>
    <x v="8"/>
  </r>
  <r>
    <s v="ORD54114"/>
    <d v="2025-09-26T00:00:00"/>
    <s v="Dubai Mall"/>
    <s v="P102"/>
    <n v="3"/>
    <n v="249"/>
    <x v="2"/>
    <x v="13"/>
    <s v="Electronics"/>
    <n v="150"/>
    <n v="672.30000000000007"/>
    <n v="450"/>
    <n v="222.30000000000007"/>
    <x v="8"/>
  </r>
  <r>
    <s v="ORD50241"/>
    <d v="2025-09-27T00:00:00"/>
    <s v="Online"/>
    <s v="P403"/>
    <n v="1"/>
    <n v="299"/>
    <x v="5"/>
    <x v="8"/>
    <s v="Beauty"/>
    <n v="240"/>
    <n v="239.20000000000002"/>
    <n v="240"/>
    <n v="-0.79999999999998295"/>
    <x v="8"/>
  </r>
  <r>
    <s v="ORD50246"/>
    <d v="2025-09-27T00:00:00"/>
    <s v="Mall of the Emirates"/>
    <s v="P105"/>
    <n v="1"/>
    <n v="899"/>
    <x v="3"/>
    <x v="31"/>
    <s v="Electronics"/>
    <n v="610"/>
    <n v="899"/>
    <n v="610"/>
    <n v="289"/>
    <x v="8"/>
  </r>
  <r>
    <s v="ORD50319"/>
    <d v="2025-09-27T00:00:00"/>
    <s v="Dubai Mall"/>
    <s v="P201"/>
    <n v="3"/>
    <n v="499"/>
    <x v="1"/>
    <x v="16"/>
    <s v="Home &amp; Kitchen"/>
    <n v="290"/>
    <n v="1422.1499999999999"/>
    <n v="870"/>
    <n v="552.14999999999986"/>
    <x v="8"/>
  </r>
  <r>
    <s v="ORD50797"/>
    <d v="2025-09-27T00:00:00"/>
    <s v="City Centre Deira"/>
    <s v="P107"/>
    <n v="1"/>
    <n v="89"/>
    <x v="4"/>
    <x v="29"/>
    <s v="Electronics"/>
    <n v="35"/>
    <n v="62.3"/>
    <n v="35"/>
    <n v="27.299999999999997"/>
    <x v="8"/>
  </r>
  <r>
    <s v="ORD51796"/>
    <d v="2025-09-27T00:00:00"/>
    <s v="Dubai Mall"/>
    <s v="P104"/>
    <n v="1"/>
    <n v="199"/>
    <x v="6"/>
    <x v="1"/>
    <s v="Electronics"/>
    <n v="175"/>
    <n v="149.25"/>
    <n v="175"/>
    <n v="-25.75"/>
    <x v="8"/>
  </r>
  <r>
    <s v="ORD51985"/>
    <d v="2025-09-27T00:00:00"/>
    <s v="Online"/>
    <s v="P108"/>
    <n v="1"/>
    <n v="459"/>
    <x v="1"/>
    <x v="23"/>
    <s v="Electronics"/>
    <n v="300"/>
    <n v="436.04999999999995"/>
    <n v="300"/>
    <n v="136.04999999999995"/>
    <x v="8"/>
  </r>
  <r>
    <s v="ORD52062"/>
    <d v="2025-09-27T00:00:00"/>
    <s v="Online"/>
    <s v="P305"/>
    <n v="3"/>
    <n v="429"/>
    <x v="1"/>
    <x v="14"/>
    <s v="Fashion"/>
    <n v="300"/>
    <n v="1222.6499999999999"/>
    <n v="900"/>
    <n v="322.64999999999986"/>
    <x v="8"/>
  </r>
  <r>
    <s v="ORD52220"/>
    <d v="2025-09-27T00:00:00"/>
    <s v="Dubai Mall"/>
    <s v="P403"/>
    <n v="1"/>
    <n v="299"/>
    <x v="2"/>
    <x v="8"/>
    <s v="Beauty"/>
    <n v="240"/>
    <n v="269.10000000000002"/>
    <n v="240"/>
    <n v="29.100000000000023"/>
    <x v="8"/>
  </r>
  <r>
    <s v="ORD52419"/>
    <d v="2025-09-27T00:00:00"/>
    <s v="Online"/>
    <s v="P206"/>
    <n v="1"/>
    <n v="129"/>
    <x v="3"/>
    <x v="28"/>
    <s v="Home &amp; Kitchen"/>
    <n v="60"/>
    <n v="129"/>
    <n v="60"/>
    <n v="69"/>
    <x v="8"/>
  </r>
  <r>
    <s v="ORD52548"/>
    <d v="2025-09-27T00:00:00"/>
    <s v="Dubai Mall"/>
    <s v="P402"/>
    <n v="1"/>
    <n v="149"/>
    <x v="0"/>
    <x v="17"/>
    <s v="Beauty"/>
    <n v="55"/>
    <n v="126.64999999999999"/>
    <n v="55"/>
    <n v="71.649999999999991"/>
    <x v="8"/>
  </r>
  <r>
    <s v="ORD52633"/>
    <d v="2025-09-27T00:00:00"/>
    <s v="Online"/>
    <s v="P308"/>
    <n v="1"/>
    <n v="229"/>
    <x v="5"/>
    <x v="0"/>
    <s v="Fashion"/>
    <n v="120"/>
    <n v="183.20000000000002"/>
    <n v="120"/>
    <n v="63.200000000000017"/>
    <x v="8"/>
  </r>
  <r>
    <s v="ORD52667"/>
    <d v="2025-09-27T00:00:00"/>
    <s v="Online"/>
    <s v="P406"/>
    <n v="1"/>
    <n v="199"/>
    <x v="2"/>
    <x v="4"/>
    <s v="Beauty"/>
    <n v="90"/>
    <n v="179.1"/>
    <n v="90"/>
    <n v="89.1"/>
    <x v="8"/>
  </r>
  <r>
    <s v="ORD52695"/>
    <d v="2025-09-27T00:00:00"/>
    <s v="Dubai Mall"/>
    <s v="P106"/>
    <n v="2"/>
    <n v="149"/>
    <x v="2"/>
    <x v="30"/>
    <s v="Electronics"/>
    <n v="70"/>
    <n v="268.2"/>
    <n v="140"/>
    <n v="128.19999999999999"/>
    <x v="8"/>
  </r>
  <r>
    <s v="ORD52728"/>
    <d v="2025-09-27T00:00:00"/>
    <s v="Dubai Mall"/>
    <s v="P107"/>
    <n v="1"/>
    <n v="89"/>
    <x v="1"/>
    <x v="29"/>
    <s v="Electronics"/>
    <n v="35"/>
    <n v="84.55"/>
    <n v="35"/>
    <n v="49.55"/>
    <x v="8"/>
  </r>
  <r>
    <s v="ORD52831"/>
    <d v="2025-09-27T00:00:00"/>
    <s v="Mall of the Emirates"/>
    <s v="P308"/>
    <n v="1"/>
    <n v="229"/>
    <x v="3"/>
    <x v="0"/>
    <s v="Fashion"/>
    <n v="120"/>
    <n v="229"/>
    <n v="120"/>
    <n v="109"/>
    <x v="8"/>
  </r>
  <r>
    <s v="ORD52978"/>
    <d v="2025-09-27T00:00:00"/>
    <s v="Online"/>
    <s v="P302"/>
    <n v="1"/>
    <n v="459"/>
    <x v="2"/>
    <x v="10"/>
    <s v="Fashion"/>
    <n v="190"/>
    <n v="413.1"/>
    <n v="190"/>
    <n v="223.10000000000002"/>
    <x v="8"/>
  </r>
  <r>
    <s v="ORD53434"/>
    <d v="2025-09-27T00:00:00"/>
    <s v="Online"/>
    <s v="P402"/>
    <n v="1"/>
    <n v="149"/>
    <x v="2"/>
    <x v="17"/>
    <s v="Beauty"/>
    <n v="55"/>
    <n v="134.1"/>
    <n v="55"/>
    <n v="79.099999999999994"/>
    <x v="8"/>
  </r>
  <r>
    <s v="ORD53571"/>
    <d v="2025-09-27T00:00:00"/>
    <s v="City Centre Deira"/>
    <s v="P307"/>
    <n v="1"/>
    <n v="399"/>
    <x v="0"/>
    <x v="20"/>
    <s v="Fashion"/>
    <n v="210"/>
    <n v="339.15"/>
    <n v="210"/>
    <n v="129.14999999999998"/>
    <x v="8"/>
  </r>
  <r>
    <s v="ORD54036"/>
    <d v="2025-09-27T00:00:00"/>
    <s v="Ibn Battuta Mall"/>
    <s v="P107"/>
    <n v="1"/>
    <n v="89"/>
    <x v="2"/>
    <x v="29"/>
    <s v="Electronics"/>
    <n v="35"/>
    <n v="80.100000000000009"/>
    <n v="35"/>
    <n v="45.100000000000009"/>
    <x v="8"/>
  </r>
  <r>
    <s v="ORD50163"/>
    <d v="2025-09-28T00:00:00"/>
    <s v="Online"/>
    <s v="P404"/>
    <n v="2"/>
    <n v="189"/>
    <x v="3"/>
    <x v="6"/>
    <s v="Beauty"/>
    <n v="85"/>
    <n v="378"/>
    <n v="170"/>
    <n v="208"/>
    <x v="8"/>
  </r>
  <r>
    <s v="ORD51968"/>
    <d v="2025-09-28T00:00:00"/>
    <s v="Dubai Mall"/>
    <s v="P306"/>
    <n v="1"/>
    <n v="249"/>
    <x v="2"/>
    <x v="3"/>
    <s v="Fashion"/>
    <n v="95"/>
    <n v="224.1"/>
    <n v="95"/>
    <n v="129.1"/>
    <x v="8"/>
  </r>
  <r>
    <s v="ORD52796"/>
    <d v="2025-09-28T00:00:00"/>
    <s v="Ibn Battuta Mall"/>
    <s v="P506"/>
    <n v="4"/>
    <n v="69"/>
    <x v="3"/>
    <x v="34"/>
    <s v="Sports"/>
    <n v="25"/>
    <n v="276"/>
    <n v="100"/>
    <n v="176"/>
    <x v="8"/>
  </r>
  <r>
    <s v="ORD54046"/>
    <d v="2025-09-28T00:00:00"/>
    <s v="City Centre Deira"/>
    <s v="P104"/>
    <n v="1"/>
    <n v="199"/>
    <x v="0"/>
    <x v="1"/>
    <s v="Electronics"/>
    <n v="175"/>
    <n v="169.15"/>
    <n v="175"/>
    <n v="-5.8499999999999943"/>
    <x v="8"/>
  </r>
  <r>
    <s v="ORD50082"/>
    <d v="2025-09-29T00:00:00"/>
    <s v="Ibn Battuta Mall"/>
    <s v="P306"/>
    <n v="3"/>
    <n v="249"/>
    <x v="1"/>
    <x v="3"/>
    <s v="Fashion"/>
    <n v="95"/>
    <n v="709.65"/>
    <n v="285"/>
    <n v="424.65"/>
    <x v="8"/>
  </r>
  <r>
    <s v="ORD50139"/>
    <d v="2025-09-29T00:00:00"/>
    <s v="Mall of the Emirates"/>
    <s v="P404"/>
    <n v="1"/>
    <n v="189"/>
    <x v="3"/>
    <x v="6"/>
    <s v="Beauty"/>
    <n v="85"/>
    <n v="189"/>
    <n v="85"/>
    <n v="104"/>
    <x v="8"/>
  </r>
  <r>
    <s v="ORD50215"/>
    <d v="2025-09-29T00:00:00"/>
    <s v="Mall of the Emirates"/>
    <s v="P208"/>
    <n v="1"/>
    <n v="259"/>
    <x v="3"/>
    <x v="22"/>
    <s v="Home &amp; Kitchen"/>
    <n v="115"/>
    <n v="259"/>
    <n v="115"/>
    <n v="144"/>
    <x v="8"/>
  </r>
  <r>
    <s v="ORD50643"/>
    <d v="2025-09-29T00:00:00"/>
    <s v="Dubai Mall"/>
    <s v="P406"/>
    <n v="1"/>
    <n v="199"/>
    <x v="0"/>
    <x v="4"/>
    <s v="Beauty"/>
    <n v="90"/>
    <n v="169.15"/>
    <n v="90"/>
    <n v="79.150000000000006"/>
    <x v="8"/>
  </r>
  <r>
    <s v="ORD50675"/>
    <d v="2025-09-29T00:00:00"/>
    <s v="Dubai Mall"/>
    <s v="P503"/>
    <n v="4"/>
    <n v="229"/>
    <x v="3"/>
    <x v="18"/>
    <s v="Sports"/>
    <n v="120"/>
    <n v="916"/>
    <n v="480"/>
    <n v="436"/>
    <x v="8"/>
  </r>
  <r>
    <s v="ORD50699"/>
    <d v="2025-09-29T00:00:00"/>
    <s v="Dubai Mall"/>
    <s v="P108"/>
    <n v="1"/>
    <n v="459"/>
    <x v="2"/>
    <x v="23"/>
    <s v="Electronics"/>
    <n v="300"/>
    <n v="413.1"/>
    <n v="300"/>
    <n v="113.10000000000002"/>
    <x v="8"/>
  </r>
  <r>
    <s v="ORD51149"/>
    <d v="2025-09-29T00:00:00"/>
    <s v="Online"/>
    <s v="P107"/>
    <n v="1"/>
    <n v="89"/>
    <x v="1"/>
    <x v="29"/>
    <s v="Electronics"/>
    <n v="35"/>
    <n v="84.55"/>
    <n v="35"/>
    <n v="49.55"/>
    <x v="8"/>
  </r>
  <r>
    <s v="ORD51734"/>
    <d v="2025-09-29T00:00:00"/>
    <s v="Online"/>
    <s v="P303"/>
    <n v="1"/>
    <n v="149"/>
    <x v="1"/>
    <x v="7"/>
    <s v="Fashion"/>
    <n v="80"/>
    <n v="141.54999999999998"/>
    <n v="80"/>
    <n v="61.549999999999983"/>
    <x v="8"/>
  </r>
  <r>
    <s v="ORD52164"/>
    <d v="2025-09-29T00:00:00"/>
    <s v="Mall of the Emirates"/>
    <s v="P208"/>
    <n v="1"/>
    <n v="259"/>
    <x v="1"/>
    <x v="22"/>
    <s v="Home &amp; Kitchen"/>
    <n v="115"/>
    <n v="246.04999999999998"/>
    <n v="115"/>
    <n v="131.04999999999998"/>
    <x v="8"/>
  </r>
  <r>
    <s v="ORD53170"/>
    <d v="2025-09-29T00:00:00"/>
    <s v="Ibn Battuta Mall"/>
    <s v="P405"/>
    <n v="4"/>
    <n v="89"/>
    <x v="3"/>
    <x v="24"/>
    <s v="Beauty"/>
    <n v="40"/>
    <n v="356"/>
    <n v="160"/>
    <n v="196"/>
    <x v="8"/>
  </r>
  <r>
    <s v="ORD53310"/>
    <d v="2025-09-29T00:00:00"/>
    <s v="Online"/>
    <s v="P107"/>
    <n v="1"/>
    <n v="89"/>
    <x v="2"/>
    <x v="29"/>
    <s v="Electronics"/>
    <n v="35"/>
    <n v="80.100000000000009"/>
    <n v="35"/>
    <n v="45.100000000000009"/>
    <x v="8"/>
  </r>
  <r>
    <s v="ORD53340"/>
    <d v="2025-09-29T00:00:00"/>
    <s v="City Centre Deira"/>
    <s v="P207"/>
    <n v="1"/>
    <n v="399"/>
    <x v="1"/>
    <x v="32"/>
    <s v="Home &amp; Kitchen"/>
    <n v="250"/>
    <n v="379.04999999999995"/>
    <n v="250"/>
    <n v="129.04999999999995"/>
    <x v="8"/>
  </r>
  <r>
    <s v="ORD53678"/>
    <d v="2025-09-29T00:00:00"/>
    <s v="Ibn Battuta Mall"/>
    <s v="P307"/>
    <n v="3"/>
    <n v="399"/>
    <x v="2"/>
    <x v="20"/>
    <s v="Fashion"/>
    <n v="210"/>
    <n v="1077.3"/>
    <n v="630"/>
    <n v="447.29999999999995"/>
    <x v="8"/>
  </r>
  <r>
    <s v="ORD50066"/>
    <d v="2025-09-30T00:00:00"/>
    <s v="Online"/>
    <s v="P205"/>
    <n v="1"/>
    <n v="289"/>
    <x v="3"/>
    <x v="9"/>
    <s v="Home &amp; Kitchen"/>
    <n v="140"/>
    <n v="289"/>
    <n v="140"/>
    <n v="149"/>
    <x v="8"/>
  </r>
  <r>
    <s v="ORD50612"/>
    <d v="2025-09-30T00:00:00"/>
    <s v="Dubai Mall"/>
    <s v="P206"/>
    <n v="2"/>
    <n v="129"/>
    <x v="5"/>
    <x v="28"/>
    <s v="Home &amp; Kitchen"/>
    <n v="60"/>
    <n v="206.4"/>
    <n v="120"/>
    <n v="86.4"/>
    <x v="8"/>
  </r>
  <r>
    <s v="ORD50661"/>
    <d v="2025-09-30T00:00:00"/>
    <s v="Ibn Battuta Mall"/>
    <s v="P304"/>
    <n v="4"/>
    <n v="699"/>
    <x v="3"/>
    <x v="35"/>
    <s v="Fashion"/>
    <n v="380"/>
    <n v="2796"/>
    <n v="1520"/>
    <n v="1276"/>
    <x v="8"/>
  </r>
  <r>
    <s v="ORD50748"/>
    <d v="2025-09-30T00:00:00"/>
    <s v="Mall of the Emirates"/>
    <s v="P301"/>
    <n v="1"/>
    <n v="179"/>
    <x v="2"/>
    <x v="2"/>
    <s v="Fashion"/>
    <n v="70"/>
    <n v="161.1"/>
    <n v="70"/>
    <n v="91.1"/>
    <x v="8"/>
  </r>
  <r>
    <s v="ORD50931"/>
    <d v="2025-09-30T00:00:00"/>
    <s v="Mall of the Emirates"/>
    <s v="P302"/>
    <n v="4"/>
    <n v="459"/>
    <x v="3"/>
    <x v="10"/>
    <s v="Fashion"/>
    <n v="190"/>
    <n v="1836"/>
    <n v="760"/>
    <n v="1076"/>
    <x v="8"/>
  </r>
  <r>
    <s v="ORD51241"/>
    <d v="2025-09-30T00:00:00"/>
    <s v="Ibn Battuta Mall"/>
    <s v="P502"/>
    <n v="3"/>
    <n v="799"/>
    <x v="2"/>
    <x v="19"/>
    <s v="Sports"/>
    <n v="700"/>
    <n v="2157.3000000000002"/>
    <n v="2100"/>
    <n v="57.300000000000182"/>
    <x v="8"/>
  </r>
  <r>
    <s v="ORD51530"/>
    <d v="2025-09-30T00:00:00"/>
    <s v="Dubai Mall"/>
    <s v="P304"/>
    <n v="2"/>
    <n v="699"/>
    <x v="3"/>
    <x v="35"/>
    <s v="Fashion"/>
    <n v="380"/>
    <n v="1398"/>
    <n v="760"/>
    <n v="638"/>
    <x v="8"/>
  </r>
  <r>
    <s v="ORD51831"/>
    <d v="2025-09-30T00:00:00"/>
    <s v="City Centre Deira"/>
    <s v="P107"/>
    <n v="2"/>
    <n v="89"/>
    <x v="0"/>
    <x v="29"/>
    <s v="Electronics"/>
    <n v="35"/>
    <n v="151.29999999999998"/>
    <n v="70"/>
    <n v="81.299999999999983"/>
    <x v="8"/>
  </r>
  <r>
    <s v="ORD50056"/>
    <d v="2025-10-01T00:00:00"/>
    <s v="Dubai Mall"/>
    <s v="P401"/>
    <n v="1"/>
    <n v="549"/>
    <x v="3"/>
    <x v="15"/>
    <s v="Beauty"/>
    <n v="250"/>
    <n v="549"/>
    <n v="250"/>
    <n v="299"/>
    <x v="9"/>
  </r>
  <r>
    <s v="ORD50425"/>
    <d v="2025-10-01T00:00:00"/>
    <s v="City Centre Deira"/>
    <s v="P402"/>
    <n v="1"/>
    <n v="149"/>
    <x v="2"/>
    <x v="17"/>
    <s v="Beauty"/>
    <n v="55"/>
    <n v="134.1"/>
    <n v="55"/>
    <n v="79.099999999999994"/>
    <x v="9"/>
  </r>
  <r>
    <s v="ORD51167"/>
    <d v="2025-10-01T00:00:00"/>
    <s v="Mall of the Emirates"/>
    <s v="P303"/>
    <n v="1"/>
    <n v="149"/>
    <x v="0"/>
    <x v="7"/>
    <s v="Fashion"/>
    <n v="80"/>
    <n v="126.64999999999999"/>
    <n v="80"/>
    <n v="46.649999999999991"/>
    <x v="9"/>
  </r>
  <r>
    <s v="ORD51598"/>
    <d v="2025-10-01T00:00:00"/>
    <s v="Dubai Mall"/>
    <s v="P201"/>
    <n v="1"/>
    <n v="499"/>
    <x v="2"/>
    <x v="16"/>
    <s v="Home &amp; Kitchen"/>
    <n v="290"/>
    <n v="449.1"/>
    <n v="290"/>
    <n v="159.10000000000002"/>
    <x v="9"/>
  </r>
  <r>
    <s v="ORD51737"/>
    <d v="2025-10-01T00:00:00"/>
    <s v="Ibn Battuta Mall"/>
    <s v="P301"/>
    <n v="1"/>
    <n v="179"/>
    <x v="1"/>
    <x v="2"/>
    <s v="Fashion"/>
    <n v="70"/>
    <n v="170.04999999999998"/>
    <n v="70"/>
    <n v="100.04999999999998"/>
    <x v="9"/>
  </r>
  <r>
    <s v="ORD52184"/>
    <d v="2025-10-01T00:00:00"/>
    <s v="Mall of the Emirates"/>
    <s v="P104"/>
    <n v="1"/>
    <n v="199"/>
    <x v="0"/>
    <x v="1"/>
    <s v="Electronics"/>
    <n v="175"/>
    <n v="169.15"/>
    <n v="175"/>
    <n v="-5.8499999999999943"/>
    <x v="9"/>
  </r>
  <r>
    <s v="ORD52636"/>
    <d v="2025-10-01T00:00:00"/>
    <s v="City Centre Deira"/>
    <s v="P404"/>
    <n v="1"/>
    <n v="189"/>
    <x v="3"/>
    <x v="6"/>
    <s v="Beauty"/>
    <n v="85"/>
    <n v="189"/>
    <n v="85"/>
    <n v="104"/>
    <x v="9"/>
  </r>
  <r>
    <s v="ORD52816"/>
    <d v="2025-10-01T00:00:00"/>
    <s v="Online"/>
    <s v="P105"/>
    <n v="1"/>
    <n v="899"/>
    <x v="3"/>
    <x v="31"/>
    <s v="Electronics"/>
    <n v="610"/>
    <n v="899"/>
    <n v="610"/>
    <n v="289"/>
    <x v="9"/>
  </r>
  <r>
    <s v="ORD53614"/>
    <d v="2025-10-01T00:00:00"/>
    <s v="Dubai Mall"/>
    <s v="P306"/>
    <n v="1"/>
    <n v="249"/>
    <x v="3"/>
    <x v="3"/>
    <s v="Fashion"/>
    <n v="95"/>
    <n v="249"/>
    <n v="95"/>
    <n v="154"/>
    <x v="9"/>
  </r>
  <r>
    <s v="ORD50054"/>
    <d v="2025-10-02T00:00:00"/>
    <s v="Online"/>
    <s v="P307"/>
    <n v="4"/>
    <n v="399"/>
    <x v="2"/>
    <x v="20"/>
    <s v="Fashion"/>
    <n v="210"/>
    <n v="1436.4"/>
    <n v="840"/>
    <n v="596.40000000000009"/>
    <x v="9"/>
  </r>
  <r>
    <s v="ORD50338"/>
    <d v="2025-10-02T00:00:00"/>
    <s v="Online"/>
    <s v="P302"/>
    <n v="2"/>
    <n v="459"/>
    <x v="3"/>
    <x v="10"/>
    <s v="Fashion"/>
    <n v="190"/>
    <n v="918"/>
    <n v="380"/>
    <n v="538"/>
    <x v="9"/>
  </r>
  <r>
    <s v="ORD50343"/>
    <d v="2025-10-02T00:00:00"/>
    <s v="Mall of the Emirates"/>
    <s v="P101"/>
    <n v="1"/>
    <n v="399"/>
    <x v="4"/>
    <x v="5"/>
    <s v="Electronics"/>
    <n v="230"/>
    <n v="279.29999999999995"/>
    <n v="230"/>
    <n v="49.299999999999955"/>
    <x v="9"/>
  </r>
  <r>
    <s v="ORD50588"/>
    <d v="2025-10-02T00:00:00"/>
    <s v="Mall of the Emirates"/>
    <s v="P403"/>
    <n v="1"/>
    <n v="299"/>
    <x v="2"/>
    <x v="8"/>
    <s v="Beauty"/>
    <n v="240"/>
    <n v="269.10000000000002"/>
    <n v="240"/>
    <n v="29.100000000000023"/>
    <x v="9"/>
  </r>
  <r>
    <s v="ORD51099"/>
    <d v="2025-10-02T00:00:00"/>
    <s v="Dubai Mall"/>
    <s v="P504"/>
    <n v="1"/>
    <n v="2499"/>
    <x v="0"/>
    <x v="33"/>
    <s v="Sports"/>
    <n v="2150"/>
    <n v="2124.15"/>
    <n v="2150"/>
    <n v="-25.849999999999909"/>
    <x v="9"/>
  </r>
  <r>
    <s v="ORD51640"/>
    <d v="2025-10-02T00:00:00"/>
    <s v="Dubai Mall"/>
    <s v="P401"/>
    <n v="1"/>
    <n v="549"/>
    <x v="3"/>
    <x v="15"/>
    <s v="Beauty"/>
    <n v="250"/>
    <n v="549"/>
    <n v="250"/>
    <n v="299"/>
    <x v="9"/>
  </r>
  <r>
    <s v="ORD52371"/>
    <d v="2025-10-02T00:00:00"/>
    <s v="Mall of the Emirates"/>
    <s v="P302"/>
    <n v="3"/>
    <n v="459"/>
    <x v="3"/>
    <x v="10"/>
    <s v="Fashion"/>
    <n v="190"/>
    <n v="1377"/>
    <n v="570"/>
    <n v="807"/>
    <x v="9"/>
  </r>
  <r>
    <s v="ORD52648"/>
    <d v="2025-10-02T00:00:00"/>
    <s v="Dubai Mall"/>
    <s v="P308"/>
    <n v="4"/>
    <n v="229"/>
    <x v="1"/>
    <x v="0"/>
    <s v="Fashion"/>
    <n v="120"/>
    <n v="870.19999999999993"/>
    <n v="480"/>
    <n v="390.19999999999993"/>
    <x v="9"/>
  </r>
  <r>
    <s v="ORD53096"/>
    <d v="2025-10-02T00:00:00"/>
    <s v="Dubai Mall"/>
    <s v="P403"/>
    <n v="2"/>
    <n v="299"/>
    <x v="2"/>
    <x v="8"/>
    <s v="Beauty"/>
    <n v="240"/>
    <n v="538.20000000000005"/>
    <n v="480"/>
    <n v="58.200000000000045"/>
    <x v="9"/>
  </r>
  <r>
    <s v="ORD53231"/>
    <d v="2025-10-02T00:00:00"/>
    <s v="Mall of the Emirates"/>
    <s v="P208"/>
    <n v="1"/>
    <n v="259"/>
    <x v="3"/>
    <x v="22"/>
    <s v="Home &amp; Kitchen"/>
    <n v="115"/>
    <n v="259"/>
    <n v="115"/>
    <n v="144"/>
    <x v="9"/>
  </r>
  <r>
    <s v="ORD50073"/>
    <d v="2025-10-03T00:00:00"/>
    <s v="Ibn Battuta Mall"/>
    <s v="P505"/>
    <n v="1"/>
    <n v="99"/>
    <x v="0"/>
    <x v="11"/>
    <s v="Sports"/>
    <n v="45"/>
    <n v="84.149999999999991"/>
    <n v="45"/>
    <n v="39.149999999999991"/>
    <x v="9"/>
  </r>
  <r>
    <s v="ORD50328"/>
    <d v="2025-10-03T00:00:00"/>
    <s v="Online"/>
    <s v="P405"/>
    <n v="1"/>
    <n v="89"/>
    <x v="3"/>
    <x v="24"/>
    <s v="Beauty"/>
    <n v="40"/>
    <n v="89"/>
    <n v="40"/>
    <n v="49"/>
    <x v="9"/>
  </r>
  <r>
    <s v="ORD50617"/>
    <d v="2025-10-03T00:00:00"/>
    <s v="City Centre Deira"/>
    <s v="P105"/>
    <n v="2"/>
    <n v="899"/>
    <x v="4"/>
    <x v="31"/>
    <s v="Electronics"/>
    <n v="610"/>
    <n v="1258.5999999999999"/>
    <n v="1220"/>
    <n v="38.599999999999909"/>
    <x v="9"/>
  </r>
  <r>
    <s v="ORD51507"/>
    <d v="2025-10-03T00:00:00"/>
    <s v="Dubai Mall"/>
    <s v="P503"/>
    <n v="2"/>
    <n v="229"/>
    <x v="2"/>
    <x v="18"/>
    <s v="Sports"/>
    <n v="120"/>
    <n v="412.2"/>
    <n v="240"/>
    <n v="172.2"/>
    <x v="9"/>
  </r>
  <r>
    <s v="ORD52763"/>
    <d v="2025-10-03T00:00:00"/>
    <s v="Dubai Mall"/>
    <s v="P306"/>
    <n v="1"/>
    <n v="249"/>
    <x v="3"/>
    <x v="3"/>
    <s v="Fashion"/>
    <n v="95"/>
    <n v="249"/>
    <n v="95"/>
    <n v="154"/>
    <x v="9"/>
  </r>
  <r>
    <s v="ORD52944"/>
    <d v="2025-10-03T00:00:00"/>
    <s v="Dubai Mall"/>
    <s v="P203"/>
    <n v="4"/>
    <n v="349"/>
    <x v="3"/>
    <x v="21"/>
    <s v="Home &amp; Kitchen"/>
    <n v="170"/>
    <n v="1396"/>
    <n v="680"/>
    <n v="716"/>
    <x v="9"/>
  </r>
  <r>
    <s v="ORD53436"/>
    <d v="2025-10-03T00:00:00"/>
    <s v="Ibn Battuta Mall"/>
    <s v="P502"/>
    <n v="1"/>
    <n v="799"/>
    <x v="0"/>
    <x v="19"/>
    <s v="Sports"/>
    <n v="700"/>
    <n v="679.15"/>
    <n v="700"/>
    <n v="-20.850000000000023"/>
    <x v="9"/>
  </r>
  <r>
    <s v="ORD53599"/>
    <d v="2025-10-03T00:00:00"/>
    <s v="Ibn Battuta Mall"/>
    <s v="P104"/>
    <n v="1"/>
    <n v="199"/>
    <x v="2"/>
    <x v="1"/>
    <s v="Electronics"/>
    <n v="175"/>
    <n v="179.1"/>
    <n v="175"/>
    <n v="4.0999999999999943"/>
    <x v="9"/>
  </r>
  <r>
    <s v="ORD53970"/>
    <d v="2025-10-03T00:00:00"/>
    <s v="Online"/>
    <s v="P102"/>
    <n v="1"/>
    <n v="249"/>
    <x v="1"/>
    <x v="13"/>
    <s v="Electronics"/>
    <n v="150"/>
    <n v="236.54999999999998"/>
    <n v="150"/>
    <n v="86.549999999999983"/>
    <x v="9"/>
  </r>
  <r>
    <s v="ORD54102"/>
    <d v="2025-10-03T00:00:00"/>
    <s v="Mall of the Emirates"/>
    <s v="P406"/>
    <n v="2"/>
    <n v="199"/>
    <x v="2"/>
    <x v="4"/>
    <s v="Beauty"/>
    <n v="90"/>
    <n v="358.2"/>
    <n v="180"/>
    <n v="178.2"/>
    <x v="9"/>
  </r>
  <r>
    <s v="ORD50894"/>
    <d v="2025-10-04T00:00:00"/>
    <s v="Online"/>
    <s v="P404"/>
    <n v="1"/>
    <n v="189"/>
    <x v="0"/>
    <x v="6"/>
    <s v="Beauty"/>
    <n v="85"/>
    <n v="160.65"/>
    <n v="85"/>
    <n v="75.650000000000006"/>
    <x v="9"/>
  </r>
  <r>
    <s v="ORD51428"/>
    <d v="2025-10-04T00:00:00"/>
    <s v="Online"/>
    <s v="P505"/>
    <n v="1"/>
    <n v="99"/>
    <x v="0"/>
    <x v="11"/>
    <s v="Sports"/>
    <n v="45"/>
    <n v="84.149999999999991"/>
    <n v="45"/>
    <n v="39.149999999999991"/>
    <x v="9"/>
  </r>
  <r>
    <s v="ORD52242"/>
    <d v="2025-10-04T00:00:00"/>
    <s v="Online"/>
    <s v="P403"/>
    <n v="1"/>
    <n v="299"/>
    <x v="6"/>
    <x v="8"/>
    <s v="Beauty"/>
    <n v="240"/>
    <n v="224.25"/>
    <n v="240"/>
    <n v="-15.75"/>
    <x v="9"/>
  </r>
  <r>
    <s v="ORD52760"/>
    <d v="2025-10-04T00:00:00"/>
    <s v="Online"/>
    <s v="P501"/>
    <n v="1"/>
    <n v="129"/>
    <x v="3"/>
    <x v="12"/>
    <s v="Sports"/>
    <n v="60"/>
    <n v="129"/>
    <n v="60"/>
    <n v="69"/>
    <x v="9"/>
  </r>
  <r>
    <s v="ORD53204"/>
    <d v="2025-10-04T00:00:00"/>
    <s v="Online"/>
    <s v="P501"/>
    <n v="1"/>
    <n v="129"/>
    <x v="3"/>
    <x v="12"/>
    <s v="Sports"/>
    <n v="60"/>
    <n v="129"/>
    <n v="60"/>
    <n v="69"/>
    <x v="9"/>
  </r>
  <r>
    <s v="ORD54052"/>
    <d v="2025-10-04T00:00:00"/>
    <s v="City Centre Deira"/>
    <s v="P207"/>
    <n v="1"/>
    <n v="399"/>
    <x v="3"/>
    <x v="32"/>
    <s v="Home &amp; Kitchen"/>
    <n v="250"/>
    <n v="399"/>
    <n v="250"/>
    <n v="149"/>
    <x v="9"/>
  </r>
  <r>
    <s v="ORD50041"/>
    <d v="2025-10-05T00:00:00"/>
    <s v="Online"/>
    <s v="P104"/>
    <n v="1"/>
    <n v="199"/>
    <x v="0"/>
    <x v="1"/>
    <s v="Electronics"/>
    <n v="175"/>
    <n v="169.15"/>
    <n v="175"/>
    <n v="-5.8499999999999943"/>
    <x v="9"/>
  </r>
  <r>
    <s v="ORD50127"/>
    <d v="2025-10-05T00:00:00"/>
    <s v="Online"/>
    <s v="P202"/>
    <n v="3"/>
    <n v="1499"/>
    <x v="3"/>
    <x v="26"/>
    <s v="Home &amp; Kitchen"/>
    <n v="1050"/>
    <n v="4497"/>
    <n v="3150"/>
    <n v="1347"/>
    <x v="9"/>
  </r>
  <r>
    <s v="ORD50965"/>
    <d v="2025-10-05T00:00:00"/>
    <s v="City Centre Deira"/>
    <s v="P306"/>
    <n v="2"/>
    <n v="249"/>
    <x v="1"/>
    <x v="3"/>
    <s v="Fashion"/>
    <n v="95"/>
    <n v="473.09999999999997"/>
    <n v="190"/>
    <n v="283.09999999999997"/>
    <x v="9"/>
  </r>
  <r>
    <s v="ORD51280"/>
    <d v="2025-10-05T00:00:00"/>
    <s v="City Centre Deira"/>
    <s v="P102"/>
    <n v="4"/>
    <n v="249"/>
    <x v="1"/>
    <x v="13"/>
    <s v="Electronics"/>
    <n v="150"/>
    <n v="946.19999999999993"/>
    <n v="600"/>
    <n v="346.19999999999993"/>
    <x v="9"/>
  </r>
  <r>
    <s v="ORD51406"/>
    <d v="2025-10-05T00:00:00"/>
    <s v="Mall of the Emirates"/>
    <s v="P302"/>
    <n v="3"/>
    <n v="459"/>
    <x v="4"/>
    <x v="10"/>
    <s v="Fashion"/>
    <n v="190"/>
    <n v="963.9"/>
    <n v="570"/>
    <n v="393.9"/>
    <x v="9"/>
  </r>
  <r>
    <s v="ORD51892"/>
    <d v="2025-10-05T00:00:00"/>
    <s v="Mall of the Emirates"/>
    <s v="P308"/>
    <n v="2"/>
    <n v="229"/>
    <x v="3"/>
    <x v="0"/>
    <s v="Fashion"/>
    <n v="120"/>
    <n v="458"/>
    <n v="240"/>
    <n v="218"/>
    <x v="9"/>
  </r>
  <r>
    <s v="ORD51944"/>
    <d v="2025-10-05T00:00:00"/>
    <s v="City Centre Deira"/>
    <s v="P102"/>
    <n v="1"/>
    <n v="249"/>
    <x v="3"/>
    <x v="13"/>
    <s v="Electronics"/>
    <n v="150"/>
    <n v="249"/>
    <n v="150"/>
    <n v="99"/>
    <x v="9"/>
  </r>
  <r>
    <s v="ORD52212"/>
    <d v="2025-10-05T00:00:00"/>
    <s v="Mall of the Emirates"/>
    <s v="P106"/>
    <n v="1"/>
    <n v="149"/>
    <x v="3"/>
    <x v="30"/>
    <s v="Electronics"/>
    <n v="70"/>
    <n v="149"/>
    <n v="70"/>
    <n v="79"/>
    <x v="9"/>
  </r>
  <r>
    <s v="ORD52813"/>
    <d v="2025-10-05T00:00:00"/>
    <s v="Dubai Mall"/>
    <s v="P203"/>
    <n v="2"/>
    <n v="349"/>
    <x v="1"/>
    <x v="21"/>
    <s v="Home &amp; Kitchen"/>
    <n v="170"/>
    <n v="663.1"/>
    <n v="340"/>
    <n v="323.10000000000002"/>
    <x v="9"/>
  </r>
  <r>
    <s v="ORD53618"/>
    <d v="2025-10-05T00:00:00"/>
    <s v="Mall of the Emirates"/>
    <s v="P104"/>
    <n v="4"/>
    <n v="199"/>
    <x v="5"/>
    <x v="1"/>
    <s v="Electronics"/>
    <n v="175"/>
    <n v="636.80000000000007"/>
    <n v="700"/>
    <n v="-63.199999999999932"/>
    <x v="9"/>
  </r>
  <r>
    <s v="ORD53957"/>
    <d v="2025-10-05T00:00:00"/>
    <s v="City Centre Deira"/>
    <s v="P104"/>
    <n v="1"/>
    <n v="199"/>
    <x v="6"/>
    <x v="1"/>
    <s v="Electronics"/>
    <n v="175"/>
    <n v="149.25"/>
    <n v="175"/>
    <n v="-25.75"/>
    <x v="9"/>
  </r>
  <r>
    <s v="ORD50144"/>
    <d v="2025-10-06T00:00:00"/>
    <s v="Mall of the Emirates"/>
    <s v="P106"/>
    <n v="1"/>
    <n v="149"/>
    <x v="0"/>
    <x v="30"/>
    <s v="Electronics"/>
    <n v="70"/>
    <n v="126.64999999999999"/>
    <n v="70"/>
    <n v="56.649999999999991"/>
    <x v="9"/>
  </r>
  <r>
    <s v="ORD50170"/>
    <d v="2025-10-06T00:00:00"/>
    <s v="Mall of the Emirates"/>
    <s v="P405"/>
    <n v="2"/>
    <n v="89"/>
    <x v="3"/>
    <x v="24"/>
    <s v="Beauty"/>
    <n v="40"/>
    <n v="178"/>
    <n v="80"/>
    <n v="98"/>
    <x v="9"/>
  </r>
  <r>
    <s v="ORD50381"/>
    <d v="2025-10-06T00:00:00"/>
    <s v="Online"/>
    <s v="P307"/>
    <n v="1"/>
    <n v="399"/>
    <x v="3"/>
    <x v="20"/>
    <s v="Fashion"/>
    <n v="210"/>
    <n v="399"/>
    <n v="210"/>
    <n v="189"/>
    <x v="9"/>
  </r>
  <r>
    <s v="ORD50424"/>
    <d v="2025-10-06T00:00:00"/>
    <s v="City Centre Deira"/>
    <s v="P405"/>
    <n v="1"/>
    <n v="89"/>
    <x v="2"/>
    <x v="24"/>
    <s v="Beauty"/>
    <n v="40"/>
    <n v="80.100000000000009"/>
    <n v="40"/>
    <n v="40.100000000000009"/>
    <x v="9"/>
  </r>
  <r>
    <s v="ORD51089"/>
    <d v="2025-10-06T00:00:00"/>
    <s v="Ibn Battuta Mall"/>
    <s v="P205"/>
    <n v="1"/>
    <n v="289"/>
    <x v="0"/>
    <x v="9"/>
    <s v="Home &amp; Kitchen"/>
    <n v="140"/>
    <n v="245.65"/>
    <n v="140"/>
    <n v="105.65"/>
    <x v="9"/>
  </r>
  <r>
    <s v="ORD52127"/>
    <d v="2025-10-06T00:00:00"/>
    <s v="City Centre Deira"/>
    <s v="P301"/>
    <n v="1"/>
    <n v="179"/>
    <x v="1"/>
    <x v="2"/>
    <s v="Fashion"/>
    <n v="70"/>
    <n v="170.04999999999998"/>
    <n v="70"/>
    <n v="100.04999999999998"/>
    <x v="9"/>
  </r>
  <r>
    <s v="ORD52136"/>
    <d v="2025-10-06T00:00:00"/>
    <s v="Online"/>
    <s v="P402"/>
    <n v="1"/>
    <n v="149"/>
    <x v="3"/>
    <x v="17"/>
    <s v="Beauty"/>
    <n v="55"/>
    <n v="149"/>
    <n v="55"/>
    <n v="94"/>
    <x v="9"/>
  </r>
  <r>
    <s v="ORD52231"/>
    <d v="2025-10-06T00:00:00"/>
    <s v="Dubai Mall"/>
    <s v="P308"/>
    <n v="1"/>
    <n v="229"/>
    <x v="3"/>
    <x v="0"/>
    <s v="Fashion"/>
    <n v="120"/>
    <n v="229"/>
    <n v="120"/>
    <n v="109"/>
    <x v="9"/>
  </r>
  <r>
    <s v="ORD52463"/>
    <d v="2025-10-06T00:00:00"/>
    <s v="Online"/>
    <s v="P107"/>
    <n v="1"/>
    <n v="89"/>
    <x v="1"/>
    <x v="29"/>
    <s v="Electronics"/>
    <n v="35"/>
    <n v="84.55"/>
    <n v="35"/>
    <n v="49.55"/>
    <x v="9"/>
  </r>
  <r>
    <s v="ORD52915"/>
    <d v="2025-10-06T00:00:00"/>
    <s v="Dubai Mall"/>
    <s v="P402"/>
    <n v="2"/>
    <n v="149"/>
    <x v="2"/>
    <x v="17"/>
    <s v="Beauty"/>
    <n v="55"/>
    <n v="268.2"/>
    <n v="110"/>
    <n v="158.19999999999999"/>
    <x v="9"/>
  </r>
  <r>
    <s v="ORD53989"/>
    <d v="2025-10-06T00:00:00"/>
    <s v="Ibn Battuta Mall"/>
    <s v="P305"/>
    <n v="3"/>
    <n v="429"/>
    <x v="1"/>
    <x v="14"/>
    <s v="Fashion"/>
    <n v="300"/>
    <n v="1222.6499999999999"/>
    <n v="900"/>
    <n v="322.64999999999986"/>
    <x v="9"/>
  </r>
  <r>
    <s v="ORD50564"/>
    <d v="2025-10-07T00:00:00"/>
    <s v="Ibn Battuta Mall"/>
    <s v="P306"/>
    <n v="1"/>
    <n v="249"/>
    <x v="1"/>
    <x v="3"/>
    <s v="Fashion"/>
    <n v="95"/>
    <n v="236.54999999999998"/>
    <n v="95"/>
    <n v="141.54999999999998"/>
    <x v="9"/>
  </r>
  <r>
    <s v="ORD50632"/>
    <d v="2025-10-07T00:00:00"/>
    <s v="Dubai Mall"/>
    <s v="P406"/>
    <n v="1"/>
    <n v="199"/>
    <x v="3"/>
    <x v="4"/>
    <s v="Beauty"/>
    <n v="90"/>
    <n v="199"/>
    <n v="90"/>
    <n v="109"/>
    <x v="9"/>
  </r>
  <r>
    <s v="ORD50681"/>
    <d v="2025-10-07T00:00:00"/>
    <s v="Online"/>
    <s v="P203"/>
    <n v="1"/>
    <n v="349"/>
    <x v="3"/>
    <x v="21"/>
    <s v="Home &amp; Kitchen"/>
    <n v="170"/>
    <n v="349"/>
    <n v="170"/>
    <n v="179"/>
    <x v="9"/>
  </r>
  <r>
    <s v="ORD51135"/>
    <d v="2025-10-07T00:00:00"/>
    <s v="Mall of the Emirates"/>
    <s v="P406"/>
    <n v="1"/>
    <n v="199"/>
    <x v="3"/>
    <x v="4"/>
    <s v="Beauty"/>
    <n v="90"/>
    <n v="199"/>
    <n v="90"/>
    <n v="109"/>
    <x v="9"/>
  </r>
  <r>
    <s v="ORD51220"/>
    <d v="2025-10-07T00:00:00"/>
    <s v="Dubai Mall"/>
    <s v="P406"/>
    <n v="1"/>
    <n v="199"/>
    <x v="5"/>
    <x v="4"/>
    <s v="Beauty"/>
    <n v="90"/>
    <n v="159.20000000000002"/>
    <n v="90"/>
    <n v="69.200000000000017"/>
    <x v="9"/>
  </r>
  <r>
    <s v="ORD51321"/>
    <d v="2025-10-07T00:00:00"/>
    <s v="Online"/>
    <s v="P404"/>
    <n v="1"/>
    <n v="189"/>
    <x v="2"/>
    <x v="6"/>
    <s v="Beauty"/>
    <n v="85"/>
    <n v="170.1"/>
    <n v="85"/>
    <n v="85.1"/>
    <x v="9"/>
  </r>
  <r>
    <s v="ORD51403"/>
    <d v="2025-10-07T00:00:00"/>
    <s v="City Centre Deira"/>
    <s v="P305"/>
    <n v="1"/>
    <n v="429"/>
    <x v="0"/>
    <x v="14"/>
    <s v="Fashion"/>
    <n v="300"/>
    <n v="364.65"/>
    <n v="300"/>
    <n v="64.649999999999977"/>
    <x v="9"/>
  </r>
  <r>
    <s v="ORD52991"/>
    <d v="2025-10-07T00:00:00"/>
    <s v="Online"/>
    <s v="P102"/>
    <n v="1"/>
    <n v="249"/>
    <x v="0"/>
    <x v="13"/>
    <s v="Electronics"/>
    <n v="150"/>
    <n v="211.65"/>
    <n v="150"/>
    <n v="61.650000000000006"/>
    <x v="9"/>
  </r>
  <r>
    <s v="ORD53061"/>
    <d v="2025-10-07T00:00:00"/>
    <s v="Mall of the Emirates"/>
    <s v="P205"/>
    <n v="1"/>
    <n v="289"/>
    <x v="3"/>
    <x v="9"/>
    <s v="Home &amp; Kitchen"/>
    <n v="140"/>
    <n v="289"/>
    <n v="140"/>
    <n v="149"/>
    <x v="9"/>
  </r>
  <r>
    <s v="ORD53258"/>
    <d v="2025-10-07T00:00:00"/>
    <s v="City Centre Deira"/>
    <s v="P402"/>
    <n v="1"/>
    <n v="149"/>
    <x v="0"/>
    <x v="17"/>
    <s v="Beauty"/>
    <n v="55"/>
    <n v="126.64999999999999"/>
    <n v="55"/>
    <n v="71.649999999999991"/>
    <x v="9"/>
  </r>
  <r>
    <s v="ORD53385"/>
    <d v="2025-10-07T00:00:00"/>
    <s v="Dubai Mall"/>
    <s v="P505"/>
    <n v="1"/>
    <n v="99"/>
    <x v="2"/>
    <x v="11"/>
    <s v="Sports"/>
    <n v="45"/>
    <n v="89.100000000000009"/>
    <n v="45"/>
    <n v="44.100000000000009"/>
    <x v="9"/>
  </r>
  <r>
    <s v="ORD53830"/>
    <d v="2025-10-07T00:00:00"/>
    <s v="Mall of the Emirates"/>
    <s v="P107"/>
    <n v="1"/>
    <n v="89"/>
    <x v="2"/>
    <x v="29"/>
    <s v="Electronics"/>
    <n v="35"/>
    <n v="80.100000000000009"/>
    <n v="35"/>
    <n v="45.100000000000009"/>
    <x v="9"/>
  </r>
  <r>
    <s v="ORD53861"/>
    <d v="2025-10-07T00:00:00"/>
    <s v="City Centre Deira"/>
    <s v="P302"/>
    <n v="2"/>
    <n v="459"/>
    <x v="3"/>
    <x v="10"/>
    <s v="Fashion"/>
    <n v="190"/>
    <n v="918"/>
    <n v="380"/>
    <n v="538"/>
    <x v="9"/>
  </r>
  <r>
    <s v="ORD54146"/>
    <d v="2025-10-07T00:00:00"/>
    <s v="Online"/>
    <s v="P403"/>
    <n v="2"/>
    <n v="299"/>
    <x v="0"/>
    <x v="8"/>
    <s v="Beauty"/>
    <n v="240"/>
    <n v="508.3"/>
    <n v="480"/>
    <n v="28.300000000000011"/>
    <x v="9"/>
  </r>
  <r>
    <s v="ORD54162"/>
    <d v="2025-10-07T00:00:00"/>
    <s v="Ibn Battuta Mall"/>
    <s v="P107"/>
    <n v="4"/>
    <n v="89"/>
    <x v="5"/>
    <x v="29"/>
    <s v="Electronics"/>
    <n v="35"/>
    <n v="284.8"/>
    <n v="140"/>
    <n v="144.80000000000001"/>
    <x v="9"/>
  </r>
  <r>
    <s v="ORD50803"/>
    <d v="2025-10-08T00:00:00"/>
    <s v="Online"/>
    <s v="P206"/>
    <n v="1"/>
    <n v="129"/>
    <x v="5"/>
    <x v="28"/>
    <s v="Home &amp; Kitchen"/>
    <n v="60"/>
    <n v="103.2"/>
    <n v="60"/>
    <n v="43.2"/>
    <x v="9"/>
  </r>
  <r>
    <s v="ORD50804"/>
    <d v="2025-10-08T00:00:00"/>
    <s v="Mall of the Emirates"/>
    <s v="P308"/>
    <n v="4"/>
    <n v="229"/>
    <x v="1"/>
    <x v="0"/>
    <s v="Fashion"/>
    <n v="120"/>
    <n v="870.19999999999993"/>
    <n v="480"/>
    <n v="390.19999999999993"/>
    <x v="9"/>
  </r>
  <r>
    <s v="ORD51317"/>
    <d v="2025-10-08T00:00:00"/>
    <s v="Online"/>
    <s v="P102"/>
    <n v="1"/>
    <n v="249"/>
    <x v="4"/>
    <x v="13"/>
    <s v="Electronics"/>
    <n v="150"/>
    <n v="174.29999999999998"/>
    <n v="150"/>
    <n v="24.299999999999983"/>
    <x v="9"/>
  </r>
  <r>
    <s v="ORD51558"/>
    <d v="2025-10-08T00:00:00"/>
    <s v="Online"/>
    <s v="P104"/>
    <n v="1"/>
    <n v="199"/>
    <x v="5"/>
    <x v="1"/>
    <s v="Electronics"/>
    <n v="175"/>
    <n v="159.20000000000002"/>
    <n v="175"/>
    <n v="-15.799999999999983"/>
    <x v="9"/>
  </r>
  <r>
    <s v="ORD52014"/>
    <d v="2025-10-08T00:00:00"/>
    <s v="Ibn Battuta Mall"/>
    <s v="P208"/>
    <n v="1"/>
    <n v="259"/>
    <x v="3"/>
    <x v="22"/>
    <s v="Home &amp; Kitchen"/>
    <n v="115"/>
    <n v="259"/>
    <n v="115"/>
    <n v="144"/>
    <x v="9"/>
  </r>
  <r>
    <s v="ORD52049"/>
    <d v="2025-10-08T00:00:00"/>
    <s v="Dubai Mall"/>
    <s v="P103"/>
    <n v="2"/>
    <n v="1299"/>
    <x v="1"/>
    <x v="25"/>
    <s v="Electronics"/>
    <n v="820"/>
    <n v="2468.1"/>
    <n v="1640"/>
    <n v="828.09999999999991"/>
    <x v="9"/>
  </r>
  <r>
    <s v="ORD52313"/>
    <d v="2025-10-08T00:00:00"/>
    <s v="Dubai Mall"/>
    <s v="P401"/>
    <n v="1"/>
    <n v="549"/>
    <x v="3"/>
    <x v="15"/>
    <s v="Beauty"/>
    <n v="250"/>
    <n v="549"/>
    <n v="250"/>
    <n v="299"/>
    <x v="9"/>
  </r>
  <r>
    <s v="ORD53100"/>
    <d v="2025-10-08T00:00:00"/>
    <s v="City Centre Deira"/>
    <s v="P402"/>
    <n v="1"/>
    <n v="149"/>
    <x v="3"/>
    <x v="17"/>
    <s v="Beauty"/>
    <n v="55"/>
    <n v="149"/>
    <n v="55"/>
    <n v="94"/>
    <x v="9"/>
  </r>
  <r>
    <s v="ORD53228"/>
    <d v="2025-10-08T00:00:00"/>
    <s v="City Centre Deira"/>
    <s v="P304"/>
    <n v="1"/>
    <n v="699"/>
    <x v="1"/>
    <x v="35"/>
    <s v="Fashion"/>
    <n v="380"/>
    <n v="664.05"/>
    <n v="380"/>
    <n v="284.04999999999995"/>
    <x v="9"/>
  </r>
  <r>
    <s v="ORD53525"/>
    <d v="2025-10-08T00:00:00"/>
    <s v="Online"/>
    <s v="P405"/>
    <n v="1"/>
    <n v="89"/>
    <x v="3"/>
    <x v="24"/>
    <s v="Beauty"/>
    <n v="40"/>
    <n v="89"/>
    <n v="40"/>
    <n v="49"/>
    <x v="9"/>
  </r>
  <r>
    <s v="ORD53533"/>
    <d v="2025-10-08T00:00:00"/>
    <s v="Dubai Mall"/>
    <s v="P202"/>
    <n v="1"/>
    <n v="1499"/>
    <x v="0"/>
    <x v="26"/>
    <s v="Home &amp; Kitchen"/>
    <n v="1050"/>
    <n v="1274.1499999999999"/>
    <n v="1050"/>
    <n v="224.14999999999986"/>
    <x v="9"/>
  </r>
  <r>
    <s v="ORD53802"/>
    <d v="2025-10-08T00:00:00"/>
    <s v="Online"/>
    <s v="P205"/>
    <n v="1"/>
    <n v="289"/>
    <x v="3"/>
    <x v="9"/>
    <s v="Home &amp; Kitchen"/>
    <n v="140"/>
    <n v="289"/>
    <n v="140"/>
    <n v="149"/>
    <x v="9"/>
  </r>
  <r>
    <s v="ORD50160"/>
    <d v="2025-10-09T00:00:00"/>
    <s v="Mall of the Emirates"/>
    <s v="P302"/>
    <n v="3"/>
    <n v="459"/>
    <x v="5"/>
    <x v="10"/>
    <s v="Fashion"/>
    <n v="190"/>
    <n v="1101.6000000000001"/>
    <n v="570"/>
    <n v="531.60000000000014"/>
    <x v="9"/>
  </r>
  <r>
    <s v="ORD50314"/>
    <d v="2025-10-09T00:00:00"/>
    <s v="Online"/>
    <s v="P306"/>
    <n v="1"/>
    <n v="249"/>
    <x v="3"/>
    <x v="3"/>
    <s v="Fashion"/>
    <n v="95"/>
    <n v="249"/>
    <n v="95"/>
    <n v="154"/>
    <x v="9"/>
  </r>
  <r>
    <s v="ORD50783"/>
    <d v="2025-10-09T00:00:00"/>
    <s v="Online"/>
    <s v="P206"/>
    <n v="1"/>
    <n v="129"/>
    <x v="3"/>
    <x v="28"/>
    <s v="Home &amp; Kitchen"/>
    <n v="60"/>
    <n v="129"/>
    <n v="60"/>
    <n v="69"/>
    <x v="9"/>
  </r>
  <r>
    <s v="ORD50961"/>
    <d v="2025-10-09T00:00:00"/>
    <s v="Mall of the Emirates"/>
    <s v="P301"/>
    <n v="1"/>
    <n v="179"/>
    <x v="3"/>
    <x v="2"/>
    <s v="Fashion"/>
    <n v="70"/>
    <n v="179"/>
    <n v="70"/>
    <n v="109"/>
    <x v="9"/>
  </r>
  <r>
    <s v="ORD51502"/>
    <d v="2025-10-09T00:00:00"/>
    <s v="Online"/>
    <s v="P105"/>
    <n v="1"/>
    <n v="899"/>
    <x v="3"/>
    <x v="31"/>
    <s v="Electronics"/>
    <n v="610"/>
    <n v="899"/>
    <n v="610"/>
    <n v="289"/>
    <x v="9"/>
  </r>
  <r>
    <s v="ORD51821"/>
    <d v="2025-10-09T00:00:00"/>
    <s v="Online"/>
    <s v="P101"/>
    <n v="1"/>
    <n v="399"/>
    <x v="3"/>
    <x v="5"/>
    <s v="Electronics"/>
    <n v="230"/>
    <n v="399"/>
    <n v="230"/>
    <n v="169"/>
    <x v="9"/>
  </r>
  <r>
    <s v="ORD51972"/>
    <d v="2025-10-09T00:00:00"/>
    <s v="Dubai Mall"/>
    <s v="P306"/>
    <n v="2"/>
    <n v="249"/>
    <x v="4"/>
    <x v="3"/>
    <s v="Fashion"/>
    <n v="95"/>
    <n v="348.59999999999997"/>
    <n v="190"/>
    <n v="158.59999999999997"/>
    <x v="9"/>
  </r>
  <r>
    <s v="ORD52969"/>
    <d v="2025-10-09T00:00:00"/>
    <s v="Mall of the Emirates"/>
    <s v="P306"/>
    <n v="1"/>
    <n v="249"/>
    <x v="1"/>
    <x v="3"/>
    <s v="Fashion"/>
    <n v="95"/>
    <n v="236.54999999999998"/>
    <n v="95"/>
    <n v="141.54999999999998"/>
    <x v="9"/>
  </r>
  <r>
    <s v="ORD53879"/>
    <d v="2025-10-09T00:00:00"/>
    <s v="Dubai Mall"/>
    <s v="P301"/>
    <n v="4"/>
    <n v="179"/>
    <x v="2"/>
    <x v="2"/>
    <s v="Fashion"/>
    <n v="70"/>
    <n v="644.4"/>
    <n v="280"/>
    <n v="364.4"/>
    <x v="9"/>
  </r>
  <r>
    <s v="ORD50850"/>
    <d v="2025-10-10T00:00:00"/>
    <s v="Ibn Battuta Mall"/>
    <s v="P303"/>
    <n v="1"/>
    <n v="149"/>
    <x v="3"/>
    <x v="7"/>
    <s v="Fashion"/>
    <n v="80"/>
    <n v="149"/>
    <n v="80"/>
    <n v="69"/>
    <x v="9"/>
  </r>
  <r>
    <s v="ORD50921"/>
    <d v="2025-10-10T00:00:00"/>
    <s v="Online"/>
    <s v="P104"/>
    <n v="3"/>
    <n v="199"/>
    <x v="6"/>
    <x v="1"/>
    <s v="Electronics"/>
    <n v="175"/>
    <n v="447.75"/>
    <n v="525"/>
    <n v="-77.25"/>
    <x v="9"/>
  </r>
  <r>
    <s v="ORD51094"/>
    <d v="2025-10-10T00:00:00"/>
    <s v="Dubai Mall"/>
    <s v="P203"/>
    <n v="1"/>
    <n v="349"/>
    <x v="1"/>
    <x v="21"/>
    <s v="Home &amp; Kitchen"/>
    <n v="170"/>
    <n v="331.55"/>
    <n v="170"/>
    <n v="161.55000000000001"/>
    <x v="9"/>
  </r>
  <r>
    <s v="ORD51455"/>
    <d v="2025-10-10T00:00:00"/>
    <s v="Dubai Mall"/>
    <s v="P205"/>
    <n v="3"/>
    <n v="289"/>
    <x v="3"/>
    <x v="9"/>
    <s v="Home &amp; Kitchen"/>
    <n v="140"/>
    <n v="867"/>
    <n v="420"/>
    <n v="447"/>
    <x v="9"/>
  </r>
  <r>
    <s v="ORD51767"/>
    <d v="2025-10-10T00:00:00"/>
    <s v="Online"/>
    <s v="P301"/>
    <n v="1"/>
    <n v="179"/>
    <x v="3"/>
    <x v="2"/>
    <s v="Fashion"/>
    <n v="70"/>
    <n v="179"/>
    <n v="70"/>
    <n v="109"/>
    <x v="9"/>
  </r>
  <r>
    <s v="ORD52360"/>
    <d v="2025-10-10T00:00:00"/>
    <s v="Ibn Battuta Mall"/>
    <s v="P104"/>
    <n v="2"/>
    <n v="199"/>
    <x v="0"/>
    <x v="1"/>
    <s v="Electronics"/>
    <n v="175"/>
    <n v="338.3"/>
    <n v="350"/>
    <n v="-11.699999999999989"/>
    <x v="9"/>
  </r>
  <r>
    <s v="ORD52872"/>
    <d v="2025-10-10T00:00:00"/>
    <s v="Online"/>
    <s v="P102"/>
    <n v="1"/>
    <n v="249"/>
    <x v="5"/>
    <x v="13"/>
    <s v="Electronics"/>
    <n v="150"/>
    <n v="199.20000000000002"/>
    <n v="150"/>
    <n v="49.200000000000017"/>
    <x v="9"/>
  </r>
  <r>
    <s v="ORD53018"/>
    <d v="2025-10-10T00:00:00"/>
    <s v="Online"/>
    <s v="P404"/>
    <n v="3"/>
    <n v="189"/>
    <x v="3"/>
    <x v="6"/>
    <s v="Beauty"/>
    <n v="85"/>
    <n v="567"/>
    <n v="255"/>
    <n v="312"/>
    <x v="9"/>
  </r>
  <r>
    <s v="ORD53316"/>
    <d v="2025-10-10T00:00:00"/>
    <s v="Mall of the Emirates"/>
    <s v="P106"/>
    <n v="1"/>
    <n v="149"/>
    <x v="1"/>
    <x v="30"/>
    <s v="Electronics"/>
    <n v="70"/>
    <n v="141.54999999999998"/>
    <n v="70"/>
    <n v="71.549999999999983"/>
    <x v="9"/>
  </r>
  <r>
    <s v="ORD53506"/>
    <d v="2025-10-10T00:00:00"/>
    <s v="Dubai Mall"/>
    <s v="P106"/>
    <n v="1"/>
    <n v="149"/>
    <x v="3"/>
    <x v="30"/>
    <s v="Electronics"/>
    <n v="70"/>
    <n v="149"/>
    <n v="70"/>
    <n v="79"/>
    <x v="9"/>
  </r>
  <r>
    <s v="ORD53593"/>
    <d v="2025-10-10T00:00:00"/>
    <s v="Online"/>
    <s v="P208"/>
    <n v="1"/>
    <n v="259"/>
    <x v="3"/>
    <x v="22"/>
    <s v="Home &amp; Kitchen"/>
    <n v="115"/>
    <n v="259"/>
    <n v="115"/>
    <n v="144"/>
    <x v="9"/>
  </r>
  <r>
    <s v="ORD53829"/>
    <d v="2025-10-10T00:00:00"/>
    <s v="Online"/>
    <s v="P301"/>
    <n v="1"/>
    <n v="179"/>
    <x v="1"/>
    <x v="2"/>
    <s v="Fashion"/>
    <n v="70"/>
    <n v="170.04999999999998"/>
    <n v="70"/>
    <n v="100.04999999999998"/>
    <x v="9"/>
  </r>
  <r>
    <s v="ORD53850"/>
    <d v="2025-10-10T00:00:00"/>
    <s v="Mall of the Emirates"/>
    <s v="P506"/>
    <n v="1"/>
    <n v="69"/>
    <x v="4"/>
    <x v="34"/>
    <s v="Sports"/>
    <n v="25"/>
    <n v="48.3"/>
    <n v="25"/>
    <n v="23.299999999999997"/>
    <x v="9"/>
  </r>
  <r>
    <s v="ORD53974"/>
    <d v="2025-10-10T00:00:00"/>
    <s v="Dubai Mall"/>
    <s v="P404"/>
    <n v="3"/>
    <n v="189"/>
    <x v="3"/>
    <x v="6"/>
    <s v="Beauty"/>
    <n v="85"/>
    <n v="567"/>
    <n v="255"/>
    <n v="312"/>
    <x v="9"/>
  </r>
  <r>
    <s v="ORD50791"/>
    <d v="2025-10-11T00:00:00"/>
    <s v="Dubai Mall"/>
    <s v="P102"/>
    <n v="2"/>
    <n v="249"/>
    <x v="1"/>
    <x v="13"/>
    <s v="Electronics"/>
    <n v="150"/>
    <n v="473.09999999999997"/>
    <n v="300"/>
    <n v="173.09999999999997"/>
    <x v="9"/>
  </r>
  <r>
    <s v="ORD50831"/>
    <d v="2025-10-11T00:00:00"/>
    <s v="Mall of the Emirates"/>
    <s v="P306"/>
    <n v="1"/>
    <n v="249"/>
    <x v="2"/>
    <x v="3"/>
    <s v="Fashion"/>
    <n v="95"/>
    <n v="224.1"/>
    <n v="95"/>
    <n v="129.1"/>
    <x v="9"/>
  </r>
  <r>
    <s v="ORD50854"/>
    <d v="2025-10-11T00:00:00"/>
    <s v="City Centre Deira"/>
    <s v="P404"/>
    <n v="4"/>
    <n v="189"/>
    <x v="3"/>
    <x v="6"/>
    <s v="Beauty"/>
    <n v="85"/>
    <n v="756"/>
    <n v="340"/>
    <n v="416"/>
    <x v="9"/>
  </r>
  <r>
    <s v="ORD51032"/>
    <d v="2025-10-11T00:00:00"/>
    <s v="Dubai Mall"/>
    <s v="P306"/>
    <n v="1"/>
    <n v="249"/>
    <x v="3"/>
    <x v="3"/>
    <s v="Fashion"/>
    <n v="95"/>
    <n v="249"/>
    <n v="95"/>
    <n v="154"/>
    <x v="9"/>
  </r>
  <r>
    <s v="ORD51343"/>
    <d v="2025-10-11T00:00:00"/>
    <s v="Dubai Mall"/>
    <s v="P505"/>
    <n v="1"/>
    <n v="99"/>
    <x v="3"/>
    <x v="11"/>
    <s v="Sports"/>
    <n v="45"/>
    <n v="99"/>
    <n v="45"/>
    <n v="54"/>
    <x v="9"/>
  </r>
  <r>
    <s v="ORD51622"/>
    <d v="2025-10-11T00:00:00"/>
    <s v="Ibn Battuta Mall"/>
    <s v="P105"/>
    <n v="1"/>
    <n v="899"/>
    <x v="5"/>
    <x v="31"/>
    <s v="Electronics"/>
    <n v="610"/>
    <n v="719.2"/>
    <n v="610"/>
    <n v="109.20000000000005"/>
    <x v="9"/>
  </r>
  <r>
    <s v="ORD51642"/>
    <d v="2025-10-11T00:00:00"/>
    <s v="Online"/>
    <s v="P207"/>
    <n v="2"/>
    <n v="399"/>
    <x v="5"/>
    <x v="32"/>
    <s v="Home &amp; Kitchen"/>
    <n v="250"/>
    <n v="638.40000000000009"/>
    <n v="500"/>
    <n v="138.40000000000009"/>
    <x v="9"/>
  </r>
  <r>
    <s v="ORD51859"/>
    <d v="2025-10-11T00:00:00"/>
    <s v="Mall of the Emirates"/>
    <s v="P305"/>
    <n v="1"/>
    <n v="429"/>
    <x v="2"/>
    <x v="14"/>
    <s v="Fashion"/>
    <n v="300"/>
    <n v="386.1"/>
    <n v="300"/>
    <n v="86.100000000000023"/>
    <x v="9"/>
  </r>
  <r>
    <s v="ORD52497"/>
    <d v="2025-10-11T00:00:00"/>
    <s v="Mall of the Emirates"/>
    <s v="P503"/>
    <n v="1"/>
    <n v="229"/>
    <x v="2"/>
    <x v="18"/>
    <s v="Sports"/>
    <n v="120"/>
    <n v="206.1"/>
    <n v="120"/>
    <n v="86.1"/>
    <x v="9"/>
  </r>
  <r>
    <s v="ORD52889"/>
    <d v="2025-10-11T00:00:00"/>
    <s v="Online"/>
    <s v="P108"/>
    <n v="1"/>
    <n v="459"/>
    <x v="1"/>
    <x v="23"/>
    <s v="Electronics"/>
    <n v="300"/>
    <n v="436.04999999999995"/>
    <n v="300"/>
    <n v="136.04999999999995"/>
    <x v="9"/>
  </r>
  <r>
    <s v="ORD52930"/>
    <d v="2025-10-11T00:00:00"/>
    <s v="Dubai Mall"/>
    <s v="P403"/>
    <n v="1"/>
    <n v="299"/>
    <x v="5"/>
    <x v="8"/>
    <s v="Beauty"/>
    <n v="240"/>
    <n v="239.20000000000002"/>
    <n v="240"/>
    <n v="-0.79999999999998295"/>
    <x v="9"/>
  </r>
  <r>
    <s v="ORD53275"/>
    <d v="2025-10-11T00:00:00"/>
    <s v="Dubai Mall"/>
    <s v="P402"/>
    <n v="2"/>
    <n v="149"/>
    <x v="1"/>
    <x v="17"/>
    <s v="Beauty"/>
    <n v="55"/>
    <n v="283.09999999999997"/>
    <n v="110"/>
    <n v="173.09999999999997"/>
    <x v="9"/>
  </r>
  <r>
    <s v="ORD53467"/>
    <d v="2025-10-11T00:00:00"/>
    <s v="City Centre Deira"/>
    <s v="P506"/>
    <n v="1"/>
    <n v="69"/>
    <x v="3"/>
    <x v="34"/>
    <s v="Sports"/>
    <n v="25"/>
    <n v="69"/>
    <n v="25"/>
    <n v="44"/>
    <x v="9"/>
  </r>
  <r>
    <s v="ORD53564"/>
    <d v="2025-10-11T00:00:00"/>
    <s v="Dubai Mall"/>
    <s v="P404"/>
    <n v="1"/>
    <n v="189"/>
    <x v="3"/>
    <x v="6"/>
    <s v="Beauty"/>
    <n v="85"/>
    <n v="189"/>
    <n v="85"/>
    <n v="104"/>
    <x v="9"/>
  </r>
  <r>
    <s v="ORD54104"/>
    <d v="2025-10-11T00:00:00"/>
    <s v="Online"/>
    <s v="P404"/>
    <n v="1"/>
    <n v="189"/>
    <x v="0"/>
    <x v="6"/>
    <s v="Beauty"/>
    <n v="85"/>
    <n v="160.65"/>
    <n v="85"/>
    <n v="75.650000000000006"/>
    <x v="9"/>
  </r>
  <r>
    <s v="ORD50503"/>
    <d v="2025-10-12T00:00:00"/>
    <s v="Online"/>
    <s v="P404"/>
    <n v="1"/>
    <n v="189"/>
    <x v="5"/>
    <x v="6"/>
    <s v="Beauty"/>
    <n v="85"/>
    <n v="151.20000000000002"/>
    <n v="85"/>
    <n v="66.200000000000017"/>
    <x v="9"/>
  </r>
  <r>
    <s v="ORD51011"/>
    <d v="2025-10-12T00:00:00"/>
    <s v="Online"/>
    <s v="P205"/>
    <n v="1"/>
    <n v="289"/>
    <x v="5"/>
    <x v="9"/>
    <s v="Home &amp; Kitchen"/>
    <n v="140"/>
    <n v="231.20000000000002"/>
    <n v="140"/>
    <n v="91.200000000000017"/>
    <x v="9"/>
  </r>
  <r>
    <s v="ORD52122"/>
    <d v="2025-10-12T00:00:00"/>
    <s v="City Centre Deira"/>
    <s v="P106"/>
    <n v="4"/>
    <n v="149"/>
    <x v="3"/>
    <x v="30"/>
    <s v="Electronics"/>
    <n v="70"/>
    <n v="596"/>
    <n v="280"/>
    <n v="316"/>
    <x v="9"/>
  </r>
  <r>
    <s v="ORD53152"/>
    <d v="2025-10-12T00:00:00"/>
    <s v="Dubai Mall"/>
    <s v="P108"/>
    <n v="1"/>
    <n v="459"/>
    <x v="3"/>
    <x v="23"/>
    <s v="Electronics"/>
    <n v="300"/>
    <n v="459"/>
    <n v="300"/>
    <n v="159"/>
    <x v="9"/>
  </r>
  <r>
    <s v="ORD53311"/>
    <d v="2025-10-12T00:00:00"/>
    <s v="Dubai Mall"/>
    <s v="P206"/>
    <n v="1"/>
    <n v="129"/>
    <x v="5"/>
    <x v="28"/>
    <s v="Home &amp; Kitchen"/>
    <n v="60"/>
    <n v="103.2"/>
    <n v="60"/>
    <n v="43.2"/>
    <x v="9"/>
  </r>
  <r>
    <s v="ORD54200"/>
    <d v="2025-10-12T00:00:00"/>
    <s v="Online"/>
    <s v="P207"/>
    <n v="1"/>
    <n v="399"/>
    <x v="3"/>
    <x v="32"/>
    <s v="Home &amp; Kitchen"/>
    <n v="250"/>
    <n v="399"/>
    <n v="250"/>
    <n v="149"/>
    <x v="9"/>
  </r>
  <r>
    <s v="ORD50377"/>
    <d v="2025-10-13T00:00:00"/>
    <s v="Dubai Mall"/>
    <s v="P104"/>
    <n v="3"/>
    <n v="199"/>
    <x v="5"/>
    <x v="1"/>
    <s v="Electronics"/>
    <n v="175"/>
    <n v="477.6"/>
    <n v="525"/>
    <n v="-47.399999999999977"/>
    <x v="9"/>
  </r>
  <r>
    <s v="ORD50532"/>
    <d v="2025-10-13T00:00:00"/>
    <s v="Ibn Battuta Mall"/>
    <s v="P506"/>
    <n v="4"/>
    <n v="69"/>
    <x v="3"/>
    <x v="34"/>
    <s v="Sports"/>
    <n v="25"/>
    <n v="276"/>
    <n v="100"/>
    <n v="176"/>
    <x v="9"/>
  </r>
  <r>
    <s v="ORD50558"/>
    <d v="2025-10-13T00:00:00"/>
    <s v="City Centre Deira"/>
    <s v="P308"/>
    <n v="2"/>
    <n v="229"/>
    <x v="1"/>
    <x v="0"/>
    <s v="Fashion"/>
    <n v="120"/>
    <n v="435.09999999999997"/>
    <n v="240"/>
    <n v="195.09999999999997"/>
    <x v="9"/>
  </r>
  <r>
    <s v="ORD51040"/>
    <d v="2025-10-13T00:00:00"/>
    <s v="Ibn Battuta Mall"/>
    <s v="P506"/>
    <n v="2"/>
    <n v="69"/>
    <x v="1"/>
    <x v="34"/>
    <s v="Sports"/>
    <n v="25"/>
    <n v="131.1"/>
    <n v="50"/>
    <n v="81.099999999999994"/>
    <x v="9"/>
  </r>
  <r>
    <s v="ORD51349"/>
    <d v="2025-10-13T00:00:00"/>
    <s v="Ibn Battuta Mall"/>
    <s v="P505"/>
    <n v="2"/>
    <n v="99"/>
    <x v="0"/>
    <x v="11"/>
    <s v="Sports"/>
    <n v="45"/>
    <n v="168.29999999999998"/>
    <n v="90"/>
    <n v="78.299999999999983"/>
    <x v="9"/>
  </r>
  <r>
    <s v="ORD51385"/>
    <d v="2025-10-13T00:00:00"/>
    <s v="Mall of the Emirates"/>
    <s v="P304"/>
    <n v="1"/>
    <n v="699"/>
    <x v="5"/>
    <x v="35"/>
    <s v="Fashion"/>
    <n v="380"/>
    <n v="559.20000000000005"/>
    <n v="380"/>
    <n v="179.20000000000005"/>
    <x v="9"/>
  </r>
  <r>
    <s v="ORD52445"/>
    <d v="2025-10-13T00:00:00"/>
    <s v="Dubai Mall"/>
    <s v="P406"/>
    <n v="2"/>
    <n v="199"/>
    <x v="3"/>
    <x v="4"/>
    <s v="Beauty"/>
    <n v="90"/>
    <n v="398"/>
    <n v="180"/>
    <n v="218"/>
    <x v="9"/>
  </r>
  <r>
    <s v="ORD52487"/>
    <d v="2025-10-13T00:00:00"/>
    <s v="Dubai Mall"/>
    <s v="P405"/>
    <n v="1"/>
    <n v="89"/>
    <x v="1"/>
    <x v="24"/>
    <s v="Beauty"/>
    <n v="40"/>
    <n v="84.55"/>
    <n v="40"/>
    <n v="44.55"/>
    <x v="9"/>
  </r>
  <r>
    <s v="ORD53065"/>
    <d v="2025-10-13T00:00:00"/>
    <s v="Dubai Mall"/>
    <s v="P301"/>
    <n v="2"/>
    <n v="179"/>
    <x v="2"/>
    <x v="2"/>
    <s v="Fashion"/>
    <n v="70"/>
    <n v="322.2"/>
    <n v="140"/>
    <n v="182.2"/>
    <x v="9"/>
  </r>
  <r>
    <s v="ORD53174"/>
    <d v="2025-10-13T00:00:00"/>
    <s v="Mall of the Emirates"/>
    <s v="P405"/>
    <n v="1"/>
    <n v="89"/>
    <x v="0"/>
    <x v="24"/>
    <s v="Beauty"/>
    <n v="40"/>
    <n v="75.649999999999991"/>
    <n v="40"/>
    <n v="35.649999999999991"/>
    <x v="9"/>
  </r>
  <r>
    <s v="ORD53178"/>
    <d v="2025-10-13T00:00:00"/>
    <s v="Online"/>
    <s v="P106"/>
    <n v="1"/>
    <n v="149"/>
    <x v="1"/>
    <x v="30"/>
    <s v="Electronics"/>
    <n v="70"/>
    <n v="141.54999999999998"/>
    <n v="70"/>
    <n v="71.549999999999983"/>
    <x v="9"/>
  </r>
  <r>
    <s v="ORD53452"/>
    <d v="2025-10-13T00:00:00"/>
    <s v="Mall of the Emirates"/>
    <s v="P401"/>
    <n v="4"/>
    <n v="549"/>
    <x v="5"/>
    <x v="15"/>
    <s v="Beauty"/>
    <n v="250"/>
    <n v="1756.8000000000002"/>
    <n v="1000"/>
    <n v="756.80000000000018"/>
    <x v="9"/>
  </r>
  <r>
    <s v="ORD53859"/>
    <d v="2025-10-13T00:00:00"/>
    <s v="City Centre Deira"/>
    <s v="P104"/>
    <n v="1"/>
    <n v="199"/>
    <x v="6"/>
    <x v="1"/>
    <s v="Electronics"/>
    <n v="175"/>
    <n v="149.25"/>
    <n v="175"/>
    <n v="-25.75"/>
    <x v="9"/>
  </r>
  <r>
    <s v="ORD53922"/>
    <d v="2025-10-13T00:00:00"/>
    <s v="City Centre Deira"/>
    <s v="P304"/>
    <n v="1"/>
    <n v="699"/>
    <x v="3"/>
    <x v="35"/>
    <s v="Fashion"/>
    <n v="380"/>
    <n v="699"/>
    <n v="380"/>
    <n v="319"/>
    <x v="9"/>
  </r>
  <r>
    <s v="ORD50069"/>
    <d v="2025-10-14T00:00:00"/>
    <s v="City Centre Deira"/>
    <s v="P203"/>
    <n v="2"/>
    <n v="349"/>
    <x v="1"/>
    <x v="21"/>
    <s v="Home &amp; Kitchen"/>
    <n v="170"/>
    <n v="663.1"/>
    <n v="340"/>
    <n v="323.10000000000002"/>
    <x v="9"/>
  </r>
  <r>
    <s v="ORD50070"/>
    <d v="2025-10-14T00:00:00"/>
    <s v="City Centre Deira"/>
    <s v="P201"/>
    <n v="4"/>
    <n v="499"/>
    <x v="5"/>
    <x v="16"/>
    <s v="Home &amp; Kitchen"/>
    <n v="290"/>
    <n v="1596.8000000000002"/>
    <n v="1160"/>
    <n v="436.80000000000018"/>
    <x v="9"/>
  </r>
  <r>
    <s v="ORD50413"/>
    <d v="2025-10-14T00:00:00"/>
    <s v="Mall of the Emirates"/>
    <s v="P106"/>
    <n v="1"/>
    <n v="149"/>
    <x v="3"/>
    <x v="30"/>
    <s v="Electronics"/>
    <n v="70"/>
    <n v="149"/>
    <n v="70"/>
    <n v="79"/>
    <x v="9"/>
  </r>
  <r>
    <s v="ORD51358"/>
    <d v="2025-10-14T00:00:00"/>
    <s v="Online"/>
    <s v="P505"/>
    <n v="2"/>
    <n v="99"/>
    <x v="3"/>
    <x v="11"/>
    <s v="Sports"/>
    <n v="45"/>
    <n v="198"/>
    <n v="90"/>
    <n v="108"/>
    <x v="9"/>
  </r>
  <r>
    <s v="ORD51503"/>
    <d v="2025-10-14T00:00:00"/>
    <s v="Mall of the Emirates"/>
    <s v="P306"/>
    <n v="1"/>
    <n v="249"/>
    <x v="0"/>
    <x v="3"/>
    <s v="Fashion"/>
    <n v="95"/>
    <n v="211.65"/>
    <n v="95"/>
    <n v="116.65"/>
    <x v="9"/>
  </r>
  <r>
    <s v="ORD52023"/>
    <d v="2025-10-14T00:00:00"/>
    <s v="City Centre Deira"/>
    <s v="P501"/>
    <n v="2"/>
    <n v="129"/>
    <x v="3"/>
    <x v="12"/>
    <s v="Sports"/>
    <n v="60"/>
    <n v="258"/>
    <n v="120"/>
    <n v="138"/>
    <x v="9"/>
  </r>
  <r>
    <s v="ORD52296"/>
    <d v="2025-10-14T00:00:00"/>
    <s v="Online"/>
    <s v="P108"/>
    <n v="1"/>
    <n v="459"/>
    <x v="2"/>
    <x v="23"/>
    <s v="Electronics"/>
    <n v="300"/>
    <n v="413.1"/>
    <n v="300"/>
    <n v="113.10000000000002"/>
    <x v="9"/>
  </r>
  <r>
    <s v="ORD52712"/>
    <d v="2025-10-14T00:00:00"/>
    <s v="Dubai Mall"/>
    <s v="P104"/>
    <n v="1"/>
    <n v="199"/>
    <x v="6"/>
    <x v="1"/>
    <s v="Electronics"/>
    <n v="175"/>
    <n v="149.25"/>
    <n v="175"/>
    <n v="-25.75"/>
    <x v="9"/>
  </r>
  <r>
    <s v="ORD52868"/>
    <d v="2025-10-14T00:00:00"/>
    <s v="Online"/>
    <s v="P205"/>
    <n v="1"/>
    <n v="289"/>
    <x v="0"/>
    <x v="9"/>
    <s v="Home &amp; Kitchen"/>
    <n v="140"/>
    <n v="245.65"/>
    <n v="140"/>
    <n v="105.65"/>
    <x v="9"/>
  </r>
  <r>
    <s v="ORD53642"/>
    <d v="2025-10-14T00:00:00"/>
    <s v="Dubai Mall"/>
    <s v="P208"/>
    <n v="1"/>
    <n v="259"/>
    <x v="3"/>
    <x v="22"/>
    <s v="Home &amp; Kitchen"/>
    <n v="115"/>
    <n v="259"/>
    <n v="115"/>
    <n v="144"/>
    <x v="9"/>
  </r>
  <r>
    <s v="ORD50436"/>
    <d v="2025-10-15T00:00:00"/>
    <s v="Online"/>
    <s v="P104"/>
    <n v="1"/>
    <n v="199"/>
    <x v="0"/>
    <x v="1"/>
    <s v="Electronics"/>
    <n v="175"/>
    <n v="169.15"/>
    <n v="175"/>
    <n v="-5.8499999999999943"/>
    <x v="9"/>
  </r>
  <r>
    <s v="ORD50761"/>
    <d v="2025-10-15T00:00:00"/>
    <s v="Dubai Mall"/>
    <s v="P107"/>
    <n v="1"/>
    <n v="89"/>
    <x v="3"/>
    <x v="29"/>
    <s v="Electronics"/>
    <n v="35"/>
    <n v="89"/>
    <n v="35"/>
    <n v="54"/>
    <x v="9"/>
  </r>
  <r>
    <s v="ORD50818"/>
    <d v="2025-10-15T00:00:00"/>
    <s v="Dubai Mall"/>
    <s v="P108"/>
    <n v="1"/>
    <n v="459"/>
    <x v="3"/>
    <x v="23"/>
    <s v="Electronics"/>
    <n v="300"/>
    <n v="459"/>
    <n v="300"/>
    <n v="159"/>
    <x v="9"/>
  </r>
  <r>
    <s v="ORD51209"/>
    <d v="2025-10-15T00:00:00"/>
    <s v="Ibn Battuta Mall"/>
    <s v="P206"/>
    <n v="1"/>
    <n v="129"/>
    <x v="3"/>
    <x v="28"/>
    <s v="Home &amp; Kitchen"/>
    <n v="60"/>
    <n v="129"/>
    <n v="60"/>
    <n v="69"/>
    <x v="9"/>
  </r>
  <r>
    <s v="ORD51992"/>
    <d v="2025-10-15T00:00:00"/>
    <s v="Dubai Mall"/>
    <s v="P307"/>
    <n v="2"/>
    <n v="399"/>
    <x v="4"/>
    <x v="20"/>
    <s v="Fashion"/>
    <n v="210"/>
    <n v="558.59999999999991"/>
    <n v="420"/>
    <n v="138.59999999999991"/>
    <x v="9"/>
  </r>
  <r>
    <s v="ORD52108"/>
    <d v="2025-10-15T00:00:00"/>
    <s v="Dubai Mall"/>
    <s v="P108"/>
    <n v="2"/>
    <n v="459"/>
    <x v="1"/>
    <x v="23"/>
    <s v="Electronics"/>
    <n v="300"/>
    <n v="872.09999999999991"/>
    <n v="600"/>
    <n v="272.09999999999991"/>
    <x v="9"/>
  </r>
  <r>
    <s v="ORD52328"/>
    <d v="2025-10-15T00:00:00"/>
    <s v="Dubai Mall"/>
    <s v="P102"/>
    <n v="3"/>
    <n v="249"/>
    <x v="3"/>
    <x v="13"/>
    <s v="Electronics"/>
    <n v="150"/>
    <n v="747"/>
    <n v="450"/>
    <n v="297"/>
    <x v="9"/>
  </r>
  <r>
    <s v="ORD52993"/>
    <d v="2025-10-15T00:00:00"/>
    <s v="Ibn Battuta Mall"/>
    <s v="P104"/>
    <n v="1"/>
    <n v="199"/>
    <x v="6"/>
    <x v="1"/>
    <s v="Electronics"/>
    <n v="175"/>
    <n v="149.25"/>
    <n v="175"/>
    <n v="-25.75"/>
    <x v="9"/>
  </r>
  <r>
    <s v="ORD53289"/>
    <d v="2025-10-15T00:00:00"/>
    <s v="Dubai Mall"/>
    <s v="P206"/>
    <n v="1"/>
    <n v="129"/>
    <x v="4"/>
    <x v="28"/>
    <s v="Home &amp; Kitchen"/>
    <n v="60"/>
    <n v="90.3"/>
    <n v="60"/>
    <n v="30.299999999999997"/>
    <x v="9"/>
  </r>
  <r>
    <s v="ORD53883"/>
    <d v="2025-10-15T00:00:00"/>
    <s v="Mall of the Emirates"/>
    <s v="P202"/>
    <n v="1"/>
    <n v="1499"/>
    <x v="0"/>
    <x v="26"/>
    <s v="Home &amp; Kitchen"/>
    <n v="1050"/>
    <n v="1274.1499999999999"/>
    <n v="1050"/>
    <n v="224.14999999999986"/>
    <x v="9"/>
  </r>
  <r>
    <s v="ORD54030"/>
    <d v="2025-10-15T00:00:00"/>
    <s v="Ibn Battuta Mall"/>
    <s v="P107"/>
    <n v="3"/>
    <n v="89"/>
    <x v="5"/>
    <x v="29"/>
    <s v="Electronics"/>
    <n v="35"/>
    <n v="213.60000000000002"/>
    <n v="105"/>
    <n v="108.60000000000002"/>
    <x v="9"/>
  </r>
  <r>
    <s v="ORD50074"/>
    <d v="2025-10-16T00:00:00"/>
    <s v="Dubai Mall"/>
    <s v="P105"/>
    <n v="1"/>
    <n v="899"/>
    <x v="5"/>
    <x v="31"/>
    <s v="Electronics"/>
    <n v="610"/>
    <n v="719.2"/>
    <n v="610"/>
    <n v="109.20000000000005"/>
    <x v="9"/>
  </r>
  <r>
    <s v="ORD50598"/>
    <d v="2025-10-16T00:00:00"/>
    <s v="Online"/>
    <s v="P104"/>
    <n v="2"/>
    <n v="199"/>
    <x v="5"/>
    <x v="1"/>
    <s v="Electronics"/>
    <n v="175"/>
    <n v="318.40000000000003"/>
    <n v="350"/>
    <n v="-31.599999999999966"/>
    <x v="9"/>
  </r>
  <r>
    <s v="ORD50668"/>
    <d v="2025-10-16T00:00:00"/>
    <s v="Dubai Mall"/>
    <s v="P206"/>
    <n v="1"/>
    <n v="129"/>
    <x v="3"/>
    <x v="28"/>
    <s v="Home &amp; Kitchen"/>
    <n v="60"/>
    <n v="129"/>
    <n v="60"/>
    <n v="69"/>
    <x v="9"/>
  </r>
  <r>
    <s v="ORD51127"/>
    <d v="2025-10-16T00:00:00"/>
    <s v="Online"/>
    <s v="P202"/>
    <n v="2"/>
    <n v="1499"/>
    <x v="3"/>
    <x v="26"/>
    <s v="Home &amp; Kitchen"/>
    <n v="1050"/>
    <n v="2998"/>
    <n v="2100"/>
    <n v="898"/>
    <x v="9"/>
  </r>
  <r>
    <s v="ORD51283"/>
    <d v="2025-10-16T00:00:00"/>
    <s v="City Centre Deira"/>
    <s v="P302"/>
    <n v="1"/>
    <n v="459"/>
    <x v="3"/>
    <x v="10"/>
    <s v="Fashion"/>
    <n v="190"/>
    <n v="459"/>
    <n v="190"/>
    <n v="269"/>
    <x v="9"/>
  </r>
  <r>
    <s v="ORD51369"/>
    <d v="2025-10-16T00:00:00"/>
    <s v="Dubai Mall"/>
    <s v="P108"/>
    <n v="2"/>
    <n v="459"/>
    <x v="4"/>
    <x v="23"/>
    <s v="Electronics"/>
    <n v="300"/>
    <n v="642.59999999999991"/>
    <n v="600"/>
    <n v="42.599999999999909"/>
    <x v="9"/>
  </r>
  <r>
    <s v="ORD51390"/>
    <d v="2025-10-16T00:00:00"/>
    <s v="Online"/>
    <s v="P506"/>
    <n v="1"/>
    <n v="69"/>
    <x v="4"/>
    <x v="34"/>
    <s v="Sports"/>
    <n v="25"/>
    <n v="48.3"/>
    <n v="25"/>
    <n v="23.299999999999997"/>
    <x v="9"/>
  </r>
  <r>
    <s v="ORD51451"/>
    <d v="2025-10-16T00:00:00"/>
    <s v="Mall of the Emirates"/>
    <s v="P404"/>
    <n v="3"/>
    <n v="189"/>
    <x v="5"/>
    <x v="6"/>
    <s v="Beauty"/>
    <n v="85"/>
    <n v="453.6"/>
    <n v="255"/>
    <n v="198.60000000000002"/>
    <x v="9"/>
  </r>
  <r>
    <s v="ORD51617"/>
    <d v="2025-10-16T00:00:00"/>
    <s v="Mall of the Emirates"/>
    <s v="P303"/>
    <n v="1"/>
    <n v="149"/>
    <x v="0"/>
    <x v="7"/>
    <s v="Fashion"/>
    <n v="80"/>
    <n v="126.64999999999999"/>
    <n v="80"/>
    <n v="46.649999999999991"/>
    <x v="9"/>
  </r>
  <r>
    <s v="ORD52105"/>
    <d v="2025-10-16T00:00:00"/>
    <s v="Mall of the Emirates"/>
    <s v="P404"/>
    <n v="1"/>
    <n v="189"/>
    <x v="0"/>
    <x v="6"/>
    <s v="Beauty"/>
    <n v="85"/>
    <n v="160.65"/>
    <n v="85"/>
    <n v="75.650000000000006"/>
    <x v="9"/>
  </r>
  <r>
    <s v="ORD52709"/>
    <d v="2025-10-16T00:00:00"/>
    <s v="Mall of the Emirates"/>
    <s v="P301"/>
    <n v="1"/>
    <n v="179"/>
    <x v="2"/>
    <x v="2"/>
    <s v="Fashion"/>
    <n v="70"/>
    <n v="161.1"/>
    <n v="70"/>
    <n v="91.1"/>
    <x v="9"/>
  </r>
  <r>
    <s v="ORD50124"/>
    <d v="2025-10-17T00:00:00"/>
    <s v="Dubai Mall"/>
    <s v="P308"/>
    <n v="1"/>
    <n v="229"/>
    <x v="3"/>
    <x v="0"/>
    <s v="Fashion"/>
    <n v="120"/>
    <n v="229"/>
    <n v="120"/>
    <n v="109"/>
    <x v="9"/>
  </r>
  <r>
    <s v="ORD50205"/>
    <d v="2025-10-17T00:00:00"/>
    <s v="Online"/>
    <s v="P104"/>
    <n v="1"/>
    <n v="199"/>
    <x v="0"/>
    <x v="1"/>
    <s v="Electronics"/>
    <n v="175"/>
    <n v="169.15"/>
    <n v="175"/>
    <n v="-5.8499999999999943"/>
    <x v="9"/>
  </r>
  <r>
    <s v="ORD50915"/>
    <d v="2025-10-17T00:00:00"/>
    <s v="Ibn Battuta Mall"/>
    <s v="P404"/>
    <n v="2"/>
    <n v="189"/>
    <x v="1"/>
    <x v="6"/>
    <s v="Beauty"/>
    <n v="85"/>
    <n v="359.09999999999997"/>
    <n v="170"/>
    <n v="189.09999999999997"/>
    <x v="9"/>
  </r>
  <r>
    <s v="ORD51953"/>
    <d v="2025-10-17T00:00:00"/>
    <s v="Mall of the Emirates"/>
    <s v="P402"/>
    <n v="1"/>
    <n v="149"/>
    <x v="0"/>
    <x v="17"/>
    <s v="Beauty"/>
    <n v="55"/>
    <n v="126.64999999999999"/>
    <n v="55"/>
    <n v="71.649999999999991"/>
    <x v="9"/>
  </r>
  <r>
    <s v="ORD52398"/>
    <d v="2025-10-17T00:00:00"/>
    <s v="Dubai Mall"/>
    <s v="P307"/>
    <n v="1"/>
    <n v="399"/>
    <x v="3"/>
    <x v="20"/>
    <s v="Fashion"/>
    <n v="210"/>
    <n v="399"/>
    <n v="210"/>
    <n v="189"/>
    <x v="9"/>
  </r>
  <r>
    <s v="ORD52684"/>
    <d v="2025-10-17T00:00:00"/>
    <s v="Dubai Mall"/>
    <s v="P206"/>
    <n v="1"/>
    <n v="129"/>
    <x v="1"/>
    <x v="28"/>
    <s v="Home &amp; Kitchen"/>
    <n v="60"/>
    <n v="122.55"/>
    <n v="60"/>
    <n v="62.55"/>
    <x v="9"/>
  </r>
  <r>
    <s v="ORD52862"/>
    <d v="2025-10-17T00:00:00"/>
    <s v="Online"/>
    <s v="P203"/>
    <n v="4"/>
    <n v="349"/>
    <x v="3"/>
    <x v="21"/>
    <s v="Home &amp; Kitchen"/>
    <n v="170"/>
    <n v="1396"/>
    <n v="680"/>
    <n v="716"/>
    <x v="9"/>
  </r>
  <r>
    <s v="ORD52932"/>
    <d v="2025-10-17T00:00:00"/>
    <s v="Dubai Mall"/>
    <s v="P505"/>
    <n v="1"/>
    <n v="99"/>
    <x v="1"/>
    <x v="11"/>
    <s v="Sports"/>
    <n v="45"/>
    <n v="94.05"/>
    <n v="45"/>
    <n v="49.05"/>
    <x v="9"/>
  </r>
  <r>
    <s v="ORD53367"/>
    <d v="2025-10-17T00:00:00"/>
    <s v="Mall of the Emirates"/>
    <s v="P303"/>
    <n v="2"/>
    <n v="149"/>
    <x v="3"/>
    <x v="7"/>
    <s v="Fashion"/>
    <n v="80"/>
    <n v="298"/>
    <n v="160"/>
    <n v="138"/>
    <x v="9"/>
  </r>
  <r>
    <s v="ORD53553"/>
    <d v="2025-10-17T00:00:00"/>
    <s v="Online"/>
    <s v="P203"/>
    <n v="1"/>
    <n v="349"/>
    <x v="2"/>
    <x v="21"/>
    <s v="Home &amp; Kitchen"/>
    <n v="170"/>
    <n v="314.10000000000002"/>
    <n v="170"/>
    <n v="144.10000000000002"/>
    <x v="9"/>
  </r>
  <r>
    <s v="ORD50251"/>
    <d v="2025-10-18T00:00:00"/>
    <s v="Online"/>
    <s v="P308"/>
    <n v="1"/>
    <n v="229"/>
    <x v="5"/>
    <x v="0"/>
    <s v="Fashion"/>
    <n v="120"/>
    <n v="183.20000000000002"/>
    <n v="120"/>
    <n v="63.200000000000017"/>
    <x v="9"/>
  </r>
  <r>
    <s v="ORD50258"/>
    <d v="2025-10-18T00:00:00"/>
    <s v="City Centre Deira"/>
    <s v="P502"/>
    <n v="1"/>
    <n v="799"/>
    <x v="2"/>
    <x v="19"/>
    <s v="Sports"/>
    <n v="700"/>
    <n v="719.1"/>
    <n v="700"/>
    <n v="19.100000000000023"/>
    <x v="9"/>
  </r>
  <r>
    <s v="ORD50462"/>
    <d v="2025-10-18T00:00:00"/>
    <s v="Online"/>
    <s v="P301"/>
    <n v="1"/>
    <n v="179"/>
    <x v="3"/>
    <x v="2"/>
    <s v="Fashion"/>
    <n v="70"/>
    <n v="179"/>
    <n v="70"/>
    <n v="109"/>
    <x v="9"/>
  </r>
  <r>
    <s v="ORD51415"/>
    <d v="2025-10-18T00:00:00"/>
    <s v="Online"/>
    <s v="P305"/>
    <n v="2"/>
    <n v="429"/>
    <x v="3"/>
    <x v="14"/>
    <s v="Fashion"/>
    <n v="300"/>
    <n v="858"/>
    <n v="600"/>
    <n v="258"/>
    <x v="9"/>
  </r>
  <r>
    <s v="ORD51672"/>
    <d v="2025-10-18T00:00:00"/>
    <s v="Mall of the Emirates"/>
    <s v="P106"/>
    <n v="2"/>
    <n v="149"/>
    <x v="3"/>
    <x v="30"/>
    <s v="Electronics"/>
    <n v="70"/>
    <n v="298"/>
    <n v="140"/>
    <n v="158"/>
    <x v="9"/>
  </r>
  <r>
    <s v="ORD52544"/>
    <d v="2025-10-18T00:00:00"/>
    <s v="Dubai Mall"/>
    <s v="P203"/>
    <n v="2"/>
    <n v="349"/>
    <x v="1"/>
    <x v="21"/>
    <s v="Home &amp; Kitchen"/>
    <n v="170"/>
    <n v="663.1"/>
    <n v="340"/>
    <n v="323.10000000000002"/>
    <x v="9"/>
  </r>
  <r>
    <s v="ORD53035"/>
    <d v="2025-10-18T00:00:00"/>
    <s v="Ibn Battuta Mall"/>
    <s v="P405"/>
    <n v="2"/>
    <n v="89"/>
    <x v="3"/>
    <x v="24"/>
    <s v="Beauty"/>
    <n v="40"/>
    <n v="178"/>
    <n v="80"/>
    <n v="98"/>
    <x v="9"/>
  </r>
  <r>
    <s v="ORD53441"/>
    <d v="2025-10-18T00:00:00"/>
    <s v="Ibn Battuta Mall"/>
    <s v="P308"/>
    <n v="1"/>
    <n v="229"/>
    <x v="5"/>
    <x v="0"/>
    <s v="Fashion"/>
    <n v="120"/>
    <n v="183.20000000000002"/>
    <n v="120"/>
    <n v="63.200000000000017"/>
    <x v="9"/>
  </r>
  <r>
    <s v="ORD53519"/>
    <d v="2025-10-18T00:00:00"/>
    <s v="Mall of the Emirates"/>
    <s v="P502"/>
    <n v="1"/>
    <n v="799"/>
    <x v="0"/>
    <x v="19"/>
    <s v="Sports"/>
    <n v="700"/>
    <n v="679.15"/>
    <n v="700"/>
    <n v="-20.850000000000023"/>
    <x v="9"/>
  </r>
  <r>
    <s v="ORD53611"/>
    <d v="2025-10-18T00:00:00"/>
    <s v="Mall of the Emirates"/>
    <s v="P405"/>
    <n v="1"/>
    <n v="89"/>
    <x v="2"/>
    <x v="24"/>
    <s v="Beauty"/>
    <n v="40"/>
    <n v="80.100000000000009"/>
    <n v="40"/>
    <n v="40.100000000000009"/>
    <x v="9"/>
  </r>
  <r>
    <s v="ORD50104"/>
    <d v="2025-10-19T00:00:00"/>
    <s v="Dubai Mall"/>
    <s v="P106"/>
    <n v="1"/>
    <n v="149"/>
    <x v="1"/>
    <x v="30"/>
    <s v="Electronics"/>
    <n v="70"/>
    <n v="141.54999999999998"/>
    <n v="70"/>
    <n v="71.549999999999983"/>
    <x v="9"/>
  </r>
  <r>
    <s v="ORD50309"/>
    <d v="2025-10-19T00:00:00"/>
    <s v="City Centre Deira"/>
    <s v="P105"/>
    <n v="1"/>
    <n v="899"/>
    <x v="3"/>
    <x v="31"/>
    <s v="Electronics"/>
    <n v="610"/>
    <n v="899"/>
    <n v="610"/>
    <n v="289"/>
    <x v="9"/>
  </r>
  <r>
    <s v="ORD50479"/>
    <d v="2025-10-19T00:00:00"/>
    <s v="Dubai Mall"/>
    <s v="P301"/>
    <n v="1"/>
    <n v="179"/>
    <x v="1"/>
    <x v="2"/>
    <s v="Fashion"/>
    <n v="70"/>
    <n v="170.04999999999998"/>
    <n v="70"/>
    <n v="100.04999999999998"/>
    <x v="9"/>
  </r>
  <r>
    <s v="ORD50492"/>
    <d v="2025-10-19T00:00:00"/>
    <s v="Ibn Battuta Mall"/>
    <s v="P201"/>
    <n v="3"/>
    <n v="499"/>
    <x v="3"/>
    <x v="16"/>
    <s v="Home &amp; Kitchen"/>
    <n v="290"/>
    <n v="1497"/>
    <n v="870"/>
    <n v="627"/>
    <x v="9"/>
  </r>
  <r>
    <s v="ORD50541"/>
    <d v="2025-10-19T00:00:00"/>
    <s v="Ibn Battuta Mall"/>
    <s v="P203"/>
    <n v="1"/>
    <n v="349"/>
    <x v="1"/>
    <x v="21"/>
    <s v="Home &amp; Kitchen"/>
    <n v="170"/>
    <n v="331.55"/>
    <n v="170"/>
    <n v="161.55000000000001"/>
    <x v="9"/>
  </r>
  <r>
    <s v="ORD50646"/>
    <d v="2025-10-19T00:00:00"/>
    <s v="Mall of the Emirates"/>
    <s v="P404"/>
    <n v="1"/>
    <n v="189"/>
    <x v="3"/>
    <x v="6"/>
    <s v="Beauty"/>
    <n v="85"/>
    <n v="189"/>
    <n v="85"/>
    <n v="104"/>
    <x v="9"/>
  </r>
  <r>
    <s v="ORD51016"/>
    <d v="2025-10-19T00:00:00"/>
    <s v="Mall of the Emirates"/>
    <s v="P105"/>
    <n v="1"/>
    <n v="899"/>
    <x v="3"/>
    <x v="31"/>
    <s v="Electronics"/>
    <n v="610"/>
    <n v="899"/>
    <n v="610"/>
    <n v="289"/>
    <x v="9"/>
  </r>
  <r>
    <s v="ORD51407"/>
    <d v="2025-10-19T00:00:00"/>
    <s v="Dubai Mall"/>
    <s v="P306"/>
    <n v="1"/>
    <n v="249"/>
    <x v="3"/>
    <x v="3"/>
    <s v="Fashion"/>
    <n v="95"/>
    <n v="249"/>
    <n v="95"/>
    <n v="154"/>
    <x v="9"/>
  </r>
  <r>
    <s v="ORD51547"/>
    <d v="2025-10-19T00:00:00"/>
    <s v="Ibn Battuta Mall"/>
    <s v="P208"/>
    <n v="1"/>
    <n v="259"/>
    <x v="3"/>
    <x v="22"/>
    <s v="Home &amp; Kitchen"/>
    <n v="115"/>
    <n v="259"/>
    <n v="115"/>
    <n v="144"/>
    <x v="9"/>
  </r>
  <r>
    <s v="ORD51804"/>
    <d v="2025-10-19T00:00:00"/>
    <s v="Ibn Battuta Mall"/>
    <s v="P308"/>
    <n v="1"/>
    <n v="229"/>
    <x v="3"/>
    <x v="0"/>
    <s v="Fashion"/>
    <n v="120"/>
    <n v="229"/>
    <n v="120"/>
    <n v="109"/>
    <x v="9"/>
  </r>
  <r>
    <s v="ORD51845"/>
    <d v="2025-10-19T00:00:00"/>
    <s v="Mall of the Emirates"/>
    <s v="P402"/>
    <n v="1"/>
    <n v="149"/>
    <x v="2"/>
    <x v="17"/>
    <s v="Beauty"/>
    <n v="55"/>
    <n v="134.1"/>
    <n v="55"/>
    <n v="79.099999999999994"/>
    <x v="9"/>
  </r>
  <r>
    <s v="ORD51954"/>
    <d v="2025-10-19T00:00:00"/>
    <s v="Dubai Mall"/>
    <s v="P305"/>
    <n v="4"/>
    <n v="429"/>
    <x v="3"/>
    <x v="14"/>
    <s v="Fashion"/>
    <n v="300"/>
    <n v="1716"/>
    <n v="1200"/>
    <n v="516"/>
    <x v="9"/>
  </r>
  <r>
    <s v="ORD52114"/>
    <d v="2025-10-19T00:00:00"/>
    <s v="Dubai Mall"/>
    <s v="P203"/>
    <n v="1"/>
    <n v="349"/>
    <x v="3"/>
    <x v="21"/>
    <s v="Home &amp; Kitchen"/>
    <n v="170"/>
    <n v="349"/>
    <n v="170"/>
    <n v="179"/>
    <x v="9"/>
  </r>
  <r>
    <s v="ORD53176"/>
    <d v="2025-10-19T00:00:00"/>
    <s v="Mall of the Emirates"/>
    <s v="P406"/>
    <n v="2"/>
    <n v="199"/>
    <x v="0"/>
    <x v="4"/>
    <s v="Beauty"/>
    <n v="90"/>
    <n v="338.3"/>
    <n v="180"/>
    <n v="158.30000000000001"/>
    <x v="9"/>
  </r>
  <r>
    <s v="ORD53545"/>
    <d v="2025-10-19T00:00:00"/>
    <s v="City Centre Deira"/>
    <s v="P402"/>
    <n v="2"/>
    <n v="149"/>
    <x v="2"/>
    <x v="17"/>
    <s v="Beauty"/>
    <n v="55"/>
    <n v="268.2"/>
    <n v="110"/>
    <n v="158.19999999999999"/>
    <x v="9"/>
  </r>
  <r>
    <s v="ORD53627"/>
    <d v="2025-10-19T00:00:00"/>
    <s v="Dubai Mall"/>
    <s v="P406"/>
    <n v="1"/>
    <n v="199"/>
    <x v="0"/>
    <x v="4"/>
    <s v="Beauty"/>
    <n v="90"/>
    <n v="169.15"/>
    <n v="90"/>
    <n v="79.150000000000006"/>
    <x v="9"/>
  </r>
  <r>
    <s v="ORD53792"/>
    <d v="2025-10-19T00:00:00"/>
    <s v="Mall of the Emirates"/>
    <s v="P305"/>
    <n v="1"/>
    <n v="429"/>
    <x v="1"/>
    <x v="14"/>
    <s v="Fashion"/>
    <n v="300"/>
    <n v="407.54999999999995"/>
    <n v="300"/>
    <n v="107.54999999999995"/>
    <x v="9"/>
  </r>
  <r>
    <s v="ORD50432"/>
    <d v="2025-10-20T00:00:00"/>
    <s v="Online"/>
    <s v="P105"/>
    <n v="4"/>
    <n v="899"/>
    <x v="4"/>
    <x v="31"/>
    <s v="Electronics"/>
    <n v="610"/>
    <n v="2517.1999999999998"/>
    <n v="2440"/>
    <n v="77.199999999999818"/>
    <x v="9"/>
  </r>
  <r>
    <s v="ORD51193"/>
    <d v="2025-10-20T00:00:00"/>
    <s v="Mall of the Emirates"/>
    <s v="P104"/>
    <n v="1"/>
    <n v="199"/>
    <x v="2"/>
    <x v="1"/>
    <s v="Electronics"/>
    <n v="175"/>
    <n v="179.1"/>
    <n v="175"/>
    <n v="4.0999999999999943"/>
    <x v="9"/>
  </r>
  <r>
    <s v="ORD51731"/>
    <d v="2025-10-20T00:00:00"/>
    <s v="Dubai Mall"/>
    <s v="P104"/>
    <n v="2"/>
    <n v="199"/>
    <x v="6"/>
    <x v="1"/>
    <s v="Electronics"/>
    <n v="175"/>
    <n v="298.5"/>
    <n v="350"/>
    <n v="-51.5"/>
    <x v="9"/>
  </r>
  <r>
    <s v="ORD51751"/>
    <d v="2025-10-20T00:00:00"/>
    <s v="Mall of the Emirates"/>
    <s v="P301"/>
    <n v="1"/>
    <n v="179"/>
    <x v="1"/>
    <x v="2"/>
    <s v="Fashion"/>
    <n v="70"/>
    <n v="170.04999999999998"/>
    <n v="70"/>
    <n v="100.04999999999998"/>
    <x v="9"/>
  </r>
  <r>
    <s v="ORD52266"/>
    <d v="2025-10-20T00:00:00"/>
    <s v="City Centre Deira"/>
    <s v="P402"/>
    <n v="2"/>
    <n v="149"/>
    <x v="4"/>
    <x v="17"/>
    <s v="Beauty"/>
    <n v="55"/>
    <n v="208.6"/>
    <n v="110"/>
    <n v="98.6"/>
    <x v="9"/>
  </r>
  <r>
    <s v="ORD52958"/>
    <d v="2025-10-20T00:00:00"/>
    <s v="Mall of the Emirates"/>
    <s v="P406"/>
    <n v="2"/>
    <n v="199"/>
    <x v="5"/>
    <x v="4"/>
    <s v="Beauty"/>
    <n v="90"/>
    <n v="318.40000000000003"/>
    <n v="180"/>
    <n v="138.40000000000003"/>
    <x v="9"/>
  </r>
  <r>
    <s v="ORD53216"/>
    <d v="2025-10-20T00:00:00"/>
    <s v="Online"/>
    <s v="P402"/>
    <n v="1"/>
    <n v="149"/>
    <x v="5"/>
    <x v="17"/>
    <s v="Beauty"/>
    <n v="55"/>
    <n v="119.2"/>
    <n v="55"/>
    <n v="64.2"/>
    <x v="9"/>
  </r>
  <r>
    <s v="ORD53587"/>
    <d v="2025-10-20T00:00:00"/>
    <s v="Online"/>
    <s v="P501"/>
    <n v="1"/>
    <n v="129"/>
    <x v="3"/>
    <x v="12"/>
    <s v="Sports"/>
    <n v="60"/>
    <n v="129"/>
    <n v="60"/>
    <n v="69"/>
    <x v="9"/>
  </r>
  <r>
    <s v="ORD53607"/>
    <d v="2025-10-20T00:00:00"/>
    <s v="Mall of the Emirates"/>
    <s v="P204"/>
    <n v="1"/>
    <n v="1199"/>
    <x v="2"/>
    <x v="27"/>
    <s v="Home &amp; Kitchen"/>
    <n v="1080"/>
    <n v="1079.1000000000001"/>
    <n v="1080"/>
    <n v="-0.89999999999986358"/>
    <x v="9"/>
  </r>
  <r>
    <s v="ORD53736"/>
    <d v="2025-10-20T00:00:00"/>
    <s v="Online"/>
    <s v="P106"/>
    <n v="1"/>
    <n v="149"/>
    <x v="3"/>
    <x v="30"/>
    <s v="Electronics"/>
    <n v="70"/>
    <n v="149"/>
    <n v="70"/>
    <n v="79"/>
    <x v="9"/>
  </r>
  <r>
    <s v="ORD50038"/>
    <d v="2025-10-21T00:00:00"/>
    <s v="City Centre Deira"/>
    <s v="P101"/>
    <n v="1"/>
    <n v="399"/>
    <x v="3"/>
    <x v="5"/>
    <s v="Electronics"/>
    <n v="230"/>
    <n v="399"/>
    <n v="230"/>
    <n v="169"/>
    <x v="9"/>
  </r>
  <r>
    <s v="ORD50448"/>
    <d v="2025-10-21T00:00:00"/>
    <s v="Dubai Mall"/>
    <s v="P406"/>
    <n v="1"/>
    <n v="199"/>
    <x v="3"/>
    <x v="4"/>
    <s v="Beauty"/>
    <n v="90"/>
    <n v="199"/>
    <n v="90"/>
    <n v="109"/>
    <x v="9"/>
  </r>
  <r>
    <s v="ORD50842"/>
    <d v="2025-10-21T00:00:00"/>
    <s v="Dubai Mall"/>
    <s v="P306"/>
    <n v="1"/>
    <n v="249"/>
    <x v="3"/>
    <x v="3"/>
    <s v="Fashion"/>
    <n v="95"/>
    <n v="249"/>
    <n v="95"/>
    <n v="154"/>
    <x v="9"/>
  </r>
  <r>
    <s v="ORD51416"/>
    <d v="2025-10-21T00:00:00"/>
    <s v="Dubai Mall"/>
    <s v="P301"/>
    <n v="2"/>
    <n v="179"/>
    <x v="2"/>
    <x v="2"/>
    <s v="Fashion"/>
    <n v="70"/>
    <n v="322.2"/>
    <n v="140"/>
    <n v="182.2"/>
    <x v="9"/>
  </r>
  <r>
    <s v="ORD51670"/>
    <d v="2025-10-21T00:00:00"/>
    <s v="City Centre Deira"/>
    <s v="P401"/>
    <n v="1"/>
    <n v="549"/>
    <x v="2"/>
    <x v="15"/>
    <s v="Beauty"/>
    <n v="250"/>
    <n v="494.1"/>
    <n v="250"/>
    <n v="244.10000000000002"/>
    <x v="9"/>
  </r>
  <r>
    <s v="ORD51818"/>
    <d v="2025-10-21T00:00:00"/>
    <s v="Ibn Battuta Mall"/>
    <s v="P505"/>
    <n v="2"/>
    <n v="99"/>
    <x v="5"/>
    <x v="11"/>
    <s v="Sports"/>
    <n v="45"/>
    <n v="158.4"/>
    <n v="90"/>
    <n v="68.400000000000006"/>
    <x v="9"/>
  </r>
  <r>
    <s v="ORD52239"/>
    <d v="2025-10-21T00:00:00"/>
    <s v="Mall of the Emirates"/>
    <s v="P208"/>
    <n v="1"/>
    <n v="259"/>
    <x v="0"/>
    <x v="22"/>
    <s v="Home &amp; Kitchen"/>
    <n v="115"/>
    <n v="220.15"/>
    <n v="115"/>
    <n v="105.15"/>
    <x v="9"/>
  </r>
  <r>
    <s v="ORD52506"/>
    <d v="2025-10-21T00:00:00"/>
    <s v="Online"/>
    <s v="P207"/>
    <n v="1"/>
    <n v="399"/>
    <x v="5"/>
    <x v="32"/>
    <s v="Home &amp; Kitchen"/>
    <n v="250"/>
    <n v="319.20000000000005"/>
    <n v="250"/>
    <n v="69.200000000000045"/>
    <x v="9"/>
  </r>
  <r>
    <s v="ORD53040"/>
    <d v="2025-10-21T00:00:00"/>
    <s v="Mall of the Emirates"/>
    <s v="P203"/>
    <n v="1"/>
    <n v="349"/>
    <x v="1"/>
    <x v="21"/>
    <s v="Home &amp; Kitchen"/>
    <n v="170"/>
    <n v="331.55"/>
    <n v="170"/>
    <n v="161.55000000000001"/>
    <x v="9"/>
  </r>
  <r>
    <s v="ORD53088"/>
    <d v="2025-10-21T00:00:00"/>
    <s v="Mall of the Emirates"/>
    <s v="P304"/>
    <n v="1"/>
    <n v="699"/>
    <x v="5"/>
    <x v="35"/>
    <s v="Fashion"/>
    <n v="380"/>
    <n v="559.20000000000005"/>
    <n v="380"/>
    <n v="179.20000000000005"/>
    <x v="9"/>
  </r>
  <r>
    <s v="ORD53250"/>
    <d v="2025-10-21T00:00:00"/>
    <s v="Online"/>
    <s v="P405"/>
    <n v="1"/>
    <n v="89"/>
    <x v="3"/>
    <x v="24"/>
    <s v="Beauty"/>
    <n v="40"/>
    <n v="89"/>
    <n v="40"/>
    <n v="49"/>
    <x v="9"/>
  </r>
  <r>
    <s v="ORD53280"/>
    <d v="2025-10-21T00:00:00"/>
    <s v="Online"/>
    <s v="P302"/>
    <n v="1"/>
    <n v="459"/>
    <x v="3"/>
    <x v="10"/>
    <s v="Fashion"/>
    <n v="190"/>
    <n v="459"/>
    <n v="190"/>
    <n v="269"/>
    <x v="9"/>
  </r>
  <r>
    <s v="ORD53295"/>
    <d v="2025-10-21T00:00:00"/>
    <s v="Ibn Battuta Mall"/>
    <s v="P207"/>
    <n v="2"/>
    <n v="399"/>
    <x v="3"/>
    <x v="32"/>
    <s v="Home &amp; Kitchen"/>
    <n v="250"/>
    <n v="798"/>
    <n v="500"/>
    <n v="298"/>
    <x v="9"/>
  </r>
  <r>
    <s v="ORD53676"/>
    <d v="2025-10-21T00:00:00"/>
    <s v="Online"/>
    <s v="P504"/>
    <n v="3"/>
    <n v="2499"/>
    <x v="6"/>
    <x v="33"/>
    <s v="Sports"/>
    <n v="2150"/>
    <n v="5622.75"/>
    <n v="6450"/>
    <n v="-827.25"/>
    <x v="9"/>
  </r>
  <r>
    <s v="ORD53733"/>
    <d v="2025-10-21T00:00:00"/>
    <s v="Mall of the Emirates"/>
    <s v="P308"/>
    <n v="1"/>
    <n v="229"/>
    <x v="0"/>
    <x v="0"/>
    <s v="Fashion"/>
    <n v="120"/>
    <n v="194.65"/>
    <n v="120"/>
    <n v="74.650000000000006"/>
    <x v="9"/>
  </r>
  <r>
    <s v="ORD51067"/>
    <d v="2025-10-22T00:00:00"/>
    <s v="Online"/>
    <s v="P206"/>
    <n v="2"/>
    <n v="129"/>
    <x v="3"/>
    <x v="28"/>
    <s v="Home &amp; Kitchen"/>
    <n v="60"/>
    <n v="258"/>
    <n v="120"/>
    <n v="138"/>
    <x v="9"/>
  </r>
  <r>
    <s v="ORD51084"/>
    <d v="2025-10-22T00:00:00"/>
    <s v="Online"/>
    <s v="P105"/>
    <n v="1"/>
    <n v="899"/>
    <x v="0"/>
    <x v="31"/>
    <s v="Electronics"/>
    <n v="610"/>
    <n v="764.15"/>
    <n v="610"/>
    <n v="154.14999999999998"/>
    <x v="9"/>
  </r>
  <r>
    <s v="ORD51100"/>
    <d v="2025-10-22T00:00:00"/>
    <s v="Mall of the Emirates"/>
    <s v="P405"/>
    <n v="2"/>
    <n v="89"/>
    <x v="3"/>
    <x v="24"/>
    <s v="Beauty"/>
    <n v="40"/>
    <n v="178"/>
    <n v="80"/>
    <n v="98"/>
    <x v="9"/>
  </r>
  <r>
    <s v="ORD51467"/>
    <d v="2025-10-22T00:00:00"/>
    <s v="Mall of the Emirates"/>
    <s v="P108"/>
    <n v="1"/>
    <n v="459"/>
    <x v="3"/>
    <x v="23"/>
    <s v="Electronics"/>
    <n v="300"/>
    <n v="459"/>
    <n v="300"/>
    <n v="159"/>
    <x v="9"/>
  </r>
  <r>
    <s v="ORD51481"/>
    <d v="2025-10-22T00:00:00"/>
    <s v="Online"/>
    <s v="P305"/>
    <n v="1"/>
    <n v="429"/>
    <x v="2"/>
    <x v="14"/>
    <s v="Fashion"/>
    <n v="300"/>
    <n v="386.1"/>
    <n v="300"/>
    <n v="86.100000000000023"/>
    <x v="9"/>
  </r>
  <r>
    <s v="ORD51597"/>
    <d v="2025-10-22T00:00:00"/>
    <s v="Ibn Battuta Mall"/>
    <s v="P105"/>
    <n v="1"/>
    <n v="899"/>
    <x v="3"/>
    <x v="31"/>
    <s v="Electronics"/>
    <n v="610"/>
    <n v="899"/>
    <n v="610"/>
    <n v="289"/>
    <x v="9"/>
  </r>
  <r>
    <s v="ORD51609"/>
    <d v="2025-10-22T00:00:00"/>
    <s v="City Centre Deira"/>
    <s v="P108"/>
    <n v="2"/>
    <n v="459"/>
    <x v="5"/>
    <x v="23"/>
    <s v="Electronics"/>
    <n v="300"/>
    <n v="734.40000000000009"/>
    <n v="600"/>
    <n v="134.40000000000009"/>
    <x v="9"/>
  </r>
  <r>
    <s v="ORD51683"/>
    <d v="2025-10-22T00:00:00"/>
    <s v="Dubai Mall"/>
    <s v="P107"/>
    <n v="1"/>
    <n v="89"/>
    <x v="1"/>
    <x v="29"/>
    <s v="Electronics"/>
    <n v="35"/>
    <n v="84.55"/>
    <n v="35"/>
    <n v="49.55"/>
    <x v="9"/>
  </r>
  <r>
    <s v="ORD51882"/>
    <d v="2025-10-22T00:00:00"/>
    <s v="Dubai Mall"/>
    <s v="P204"/>
    <n v="1"/>
    <n v="1199"/>
    <x v="0"/>
    <x v="27"/>
    <s v="Home &amp; Kitchen"/>
    <n v="1080"/>
    <n v="1019.15"/>
    <n v="1080"/>
    <n v="-60.850000000000023"/>
    <x v="9"/>
  </r>
  <r>
    <s v="ORD52617"/>
    <d v="2025-10-22T00:00:00"/>
    <s v="Dubai Mall"/>
    <s v="P403"/>
    <n v="1"/>
    <n v="299"/>
    <x v="2"/>
    <x v="8"/>
    <s v="Beauty"/>
    <n v="240"/>
    <n v="269.10000000000002"/>
    <n v="240"/>
    <n v="29.100000000000023"/>
    <x v="9"/>
  </r>
  <r>
    <s v="ORD53372"/>
    <d v="2025-10-22T00:00:00"/>
    <s v="City Centre Deira"/>
    <s v="P108"/>
    <n v="2"/>
    <n v="459"/>
    <x v="2"/>
    <x v="23"/>
    <s v="Electronics"/>
    <n v="300"/>
    <n v="826.2"/>
    <n v="600"/>
    <n v="226.20000000000005"/>
    <x v="9"/>
  </r>
  <r>
    <s v="ORD53384"/>
    <d v="2025-10-22T00:00:00"/>
    <s v="City Centre Deira"/>
    <s v="P103"/>
    <n v="1"/>
    <n v="1299"/>
    <x v="5"/>
    <x v="25"/>
    <s v="Electronics"/>
    <n v="820"/>
    <n v="1039.2"/>
    <n v="820"/>
    <n v="219.20000000000005"/>
    <x v="9"/>
  </r>
  <r>
    <s v="ORD53502"/>
    <d v="2025-10-22T00:00:00"/>
    <s v="Mall of the Emirates"/>
    <s v="P403"/>
    <n v="2"/>
    <n v="299"/>
    <x v="0"/>
    <x v="8"/>
    <s v="Beauty"/>
    <n v="240"/>
    <n v="508.3"/>
    <n v="480"/>
    <n v="28.300000000000011"/>
    <x v="9"/>
  </r>
  <r>
    <s v="ORD53784"/>
    <d v="2025-10-22T00:00:00"/>
    <s v="Dubai Mall"/>
    <s v="P201"/>
    <n v="4"/>
    <n v="499"/>
    <x v="3"/>
    <x v="16"/>
    <s v="Home &amp; Kitchen"/>
    <n v="290"/>
    <n v="1996"/>
    <n v="1160"/>
    <n v="836"/>
    <x v="9"/>
  </r>
  <r>
    <s v="ORD53827"/>
    <d v="2025-10-22T00:00:00"/>
    <s v="City Centre Deira"/>
    <s v="P405"/>
    <n v="1"/>
    <n v="89"/>
    <x v="3"/>
    <x v="24"/>
    <s v="Beauty"/>
    <n v="40"/>
    <n v="89"/>
    <n v="40"/>
    <n v="49"/>
    <x v="9"/>
  </r>
  <r>
    <s v="ORD53888"/>
    <d v="2025-10-22T00:00:00"/>
    <s v="Mall of the Emirates"/>
    <s v="P406"/>
    <n v="1"/>
    <n v="199"/>
    <x v="1"/>
    <x v="4"/>
    <s v="Beauty"/>
    <n v="90"/>
    <n v="189.04999999999998"/>
    <n v="90"/>
    <n v="99.049999999999983"/>
    <x v="9"/>
  </r>
  <r>
    <s v="ORD53988"/>
    <d v="2025-10-22T00:00:00"/>
    <s v="Ibn Battuta Mall"/>
    <s v="P205"/>
    <n v="2"/>
    <n v="289"/>
    <x v="3"/>
    <x v="9"/>
    <s v="Home &amp; Kitchen"/>
    <n v="140"/>
    <n v="578"/>
    <n v="280"/>
    <n v="298"/>
    <x v="9"/>
  </r>
  <r>
    <s v="ORD50306"/>
    <d v="2025-10-23T00:00:00"/>
    <s v="City Centre Deira"/>
    <s v="P207"/>
    <n v="1"/>
    <n v="399"/>
    <x v="0"/>
    <x v="32"/>
    <s v="Home &amp; Kitchen"/>
    <n v="250"/>
    <n v="339.15"/>
    <n v="250"/>
    <n v="89.149999999999977"/>
    <x v="9"/>
  </r>
  <r>
    <s v="ORD50596"/>
    <d v="2025-10-23T00:00:00"/>
    <s v="Ibn Battuta Mall"/>
    <s v="P501"/>
    <n v="3"/>
    <n v="129"/>
    <x v="4"/>
    <x v="12"/>
    <s v="Sports"/>
    <n v="60"/>
    <n v="270.89999999999998"/>
    <n v="180"/>
    <n v="90.899999999999977"/>
    <x v="9"/>
  </r>
  <r>
    <s v="ORD51109"/>
    <d v="2025-10-23T00:00:00"/>
    <s v="Dubai Mall"/>
    <s v="P502"/>
    <n v="1"/>
    <n v="799"/>
    <x v="5"/>
    <x v="19"/>
    <s v="Sports"/>
    <n v="700"/>
    <n v="639.20000000000005"/>
    <n v="700"/>
    <n v="-60.799999999999955"/>
    <x v="9"/>
  </r>
  <r>
    <s v="ORD51329"/>
    <d v="2025-10-23T00:00:00"/>
    <s v="Online"/>
    <s v="P401"/>
    <n v="1"/>
    <n v="549"/>
    <x v="4"/>
    <x v="15"/>
    <s v="Beauty"/>
    <n v="250"/>
    <n v="384.29999999999995"/>
    <n v="250"/>
    <n v="134.29999999999995"/>
    <x v="9"/>
  </r>
  <r>
    <s v="ORD51700"/>
    <d v="2025-10-23T00:00:00"/>
    <s v="Mall of the Emirates"/>
    <s v="P503"/>
    <n v="2"/>
    <n v="229"/>
    <x v="3"/>
    <x v="18"/>
    <s v="Sports"/>
    <n v="120"/>
    <n v="458"/>
    <n v="240"/>
    <n v="218"/>
    <x v="9"/>
  </r>
  <r>
    <s v="ORD52133"/>
    <d v="2025-10-23T00:00:00"/>
    <s v="Ibn Battuta Mall"/>
    <s v="P303"/>
    <n v="2"/>
    <n v="149"/>
    <x v="0"/>
    <x v="7"/>
    <s v="Fashion"/>
    <n v="80"/>
    <n v="253.29999999999998"/>
    <n v="160"/>
    <n v="93.299999999999983"/>
    <x v="9"/>
  </r>
  <r>
    <s v="ORD52492"/>
    <d v="2025-10-23T00:00:00"/>
    <s v="Dubai Mall"/>
    <s v="P404"/>
    <n v="3"/>
    <n v="189"/>
    <x v="3"/>
    <x v="6"/>
    <s v="Beauty"/>
    <n v="85"/>
    <n v="567"/>
    <n v="255"/>
    <n v="312"/>
    <x v="9"/>
  </r>
  <r>
    <s v="ORD52558"/>
    <d v="2025-10-23T00:00:00"/>
    <s v="City Centre Deira"/>
    <s v="P401"/>
    <n v="1"/>
    <n v="549"/>
    <x v="3"/>
    <x v="15"/>
    <s v="Beauty"/>
    <n v="250"/>
    <n v="549"/>
    <n v="250"/>
    <n v="299"/>
    <x v="9"/>
  </r>
  <r>
    <s v="ORD53034"/>
    <d v="2025-10-23T00:00:00"/>
    <s v="Ibn Battuta Mall"/>
    <s v="P403"/>
    <n v="1"/>
    <n v="299"/>
    <x v="2"/>
    <x v="8"/>
    <s v="Beauty"/>
    <n v="240"/>
    <n v="269.10000000000002"/>
    <n v="240"/>
    <n v="29.100000000000023"/>
    <x v="9"/>
  </r>
  <r>
    <s v="ORD53232"/>
    <d v="2025-10-23T00:00:00"/>
    <s v="City Centre Deira"/>
    <s v="P201"/>
    <n v="1"/>
    <n v="499"/>
    <x v="3"/>
    <x v="16"/>
    <s v="Home &amp; Kitchen"/>
    <n v="290"/>
    <n v="499"/>
    <n v="290"/>
    <n v="209"/>
    <x v="9"/>
  </r>
  <r>
    <s v="ORD53543"/>
    <d v="2025-10-23T00:00:00"/>
    <s v="Online"/>
    <s v="P102"/>
    <n v="2"/>
    <n v="249"/>
    <x v="3"/>
    <x v="13"/>
    <s v="Electronics"/>
    <n v="150"/>
    <n v="498"/>
    <n v="300"/>
    <n v="198"/>
    <x v="9"/>
  </r>
  <r>
    <s v="ORD54025"/>
    <d v="2025-10-23T00:00:00"/>
    <s v="Online"/>
    <s v="P308"/>
    <n v="2"/>
    <n v="229"/>
    <x v="2"/>
    <x v="0"/>
    <s v="Fashion"/>
    <n v="120"/>
    <n v="412.2"/>
    <n v="240"/>
    <n v="172.2"/>
    <x v="9"/>
  </r>
  <r>
    <s v="ORD52007"/>
    <d v="2025-10-24T00:00:00"/>
    <s v="Dubai Mall"/>
    <s v="P302"/>
    <n v="3"/>
    <n v="459"/>
    <x v="3"/>
    <x v="10"/>
    <s v="Fashion"/>
    <n v="190"/>
    <n v="1377"/>
    <n v="570"/>
    <n v="807"/>
    <x v="9"/>
  </r>
  <r>
    <s v="ORD52048"/>
    <d v="2025-10-24T00:00:00"/>
    <s v="Dubai Mall"/>
    <s v="P207"/>
    <n v="1"/>
    <n v="399"/>
    <x v="3"/>
    <x v="32"/>
    <s v="Home &amp; Kitchen"/>
    <n v="250"/>
    <n v="399"/>
    <n v="250"/>
    <n v="149"/>
    <x v="9"/>
  </r>
  <r>
    <s v="ORD52165"/>
    <d v="2025-10-24T00:00:00"/>
    <s v="Online"/>
    <s v="P302"/>
    <n v="3"/>
    <n v="459"/>
    <x v="3"/>
    <x v="10"/>
    <s v="Fashion"/>
    <n v="190"/>
    <n v="1377"/>
    <n v="570"/>
    <n v="807"/>
    <x v="9"/>
  </r>
  <r>
    <s v="ORD52262"/>
    <d v="2025-10-24T00:00:00"/>
    <s v="Dubai Mall"/>
    <s v="P304"/>
    <n v="1"/>
    <n v="699"/>
    <x v="0"/>
    <x v="35"/>
    <s v="Fashion"/>
    <n v="380"/>
    <n v="594.15"/>
    <n v="380"/>
    <n v="214.14999999999998"/>
    <x v="9"/>
  </r>
  <r>
    <s v="ORD52623"/>
    <d v="2025-10-24T00:00:00"/>
    <s v="Dubai Mall"/>
    <s v="P502"/>
    <n v="1"/>
    <n v="799"/>
    <x v="2"/>
    <x v="19"/>
    <s v="Sports"/>
    <n v="700"/>
    <n v="719.1"/>
    <n v="700"/>
    <n v="19.100000000000023"/>
    <x v="9"/>
  </r>
  <r>
    <s v="ORD52632"/>
    <d v="2025-10-24T00:00:00"/>
    <s v="Mall of the Emirates"/>
    <s v="P303"/>
    <n v="3"/>
    <n v="149"/>
    <x v="3"/>
    <x v="7"/>
    <s v="Fashion"/>
    <n v="80"/>
    <n v="447"/>
    <n v="240"/>
    <n v="207"/>
    <x v="9"/>
  </r>
  <r>
    <s v="ORD52754"/>
    <d v="2025-10-24T00:00:00"/>
    <s v="Online"/>
    <s v="P303"/>
    <n v="1"/>
    <n v="149"/>
    <x v="4"/>
    <x v="7"/>
    <s v="Fashion"/>
    <n v="80"/>
    <n v="104.3"/>
    <n v="80"/>
    <n v="24.299999999999997"/>
    <x v="9"/>
  </r>
  <r>
    <s v="ORD53887"/>
    <d v="2025-10-24T00:00:00"/>
    <s v="Online"/>
    <s v="P301"/>
    <n v="2"/>
    <n v="179"/>
    <x v="0"/>
    <x v="2"/>
    <s v="Fashion"/>
    <n v="70"/>
    <n v="304.3"/>
    <n v="140"/>
    <n v="164.3"/>
    <x v="9"/>
  </r>
  <r>
    <s v="ORD54022"/>
    <d v="2025-10-24T00:00:00"/>
    <s v="Ibn Battuta Mall"/>
    <s v="P504"/>
    <n v="1"/>
    <n v="2499"/>
    <x v="5"/>
    <x v="33"/>
    <s v="Sports"/>
    <n v="2150"/>
    <n v="1999.2"/>
    <n v="2150"/>
    <n v="-150.79999999999995"/>
    <x v="9"/>
  </r>
  <r>
    <s v="ORD54109"/>
    <d v="2025-10-24T00:00:00"/>
    <s v="Ibn Battuta Mall"/>
    <s v="P108"/>
    <n v="2"/>
    <n v="459"/>
    <x v="3"/>
    <x v="23"/>
    <s v="Electronics"/>
    <n v="300"/>
    <n v="918"/>
    <n v="600"/>
    <n v="318"/>
    <x v="9"/>
  </r>
  <r>
    <s v="ORD50472"/>
    <d v="2025-10-25T00:00:00"/>
    <s v="Mall of the Emirates"/>
    <s v="P306"/>
    <n v="1"/>
    <n v="249"/>
    <x v="3"/>
    <x v="3"/>
    <s v="Fashion"/>
    <n v="95"/>
    <n v="249"/>
    <n v="95"/>
    <n v="154"/>
    <x v="9"/>
  </r>
  <r>
    <s v="ORD50868"/>
    <d v="2025-10-25T00:00:00"/>
    <s v="City Centre Deira"/>
    <s v="P208"/>
    <n v="1"/>
    <n v="259"/>
    <x v="3"/>
    <x v="22"/>
    <s v="Home &amp; Kitchen"/>
    <n v="115"/>
    <n v="259"/>
    <n v="115"/>
    <n v="144"/>
    <x v="9"/>
  </r>
  <r>
    <s v="ORD51331"/>
    <d v="2025-10-25T00:00:00"/>
    <s v="Dubai Mall"/>
    <s v="P406"/>
    <n v="1"/>
    <n v="199"/>
    <x v="3"/>
    <x v="4"/>
    <s v="Beauty"/>
    <n v="90"/>
    <n v="199"/>
    <n v="90"/>
    <n v="109"/>
    <x v="9"/>
  </r>
  <r>
    <s v="ORD51471"/>
    <d v="2025-10-25T00:00:00"/>
    <s v="Dubai Mall"/>
    <s v="P503"/>
    <n v="1"/>
    <n v="229"/>
    <x v="3"/>
    <x v="18"/>
    <s v="Sports"/>
    <n v="120"/>
    <n v="229"/>
    <n v="120"/>
    <n v="109"/>
    <x v="9"/>
  </r>
  <r>
    <s v="ORD51863"/>
    <d v="2025-10-25T00:00:00"/>
    <s v="City Centre Deira"/>
    <s v="P405"/>
    <n v="1"/>
    <n v="89"/>
    <x v="1"/>
    <x v="24"/>
    <s v="Beauty"/>
    <n v="40"/>
    <n v="84.55"/>
    <n v="40"/>
    <n v="44.55"/>
    <x v="9"/>
  </r>
  <r>
    <s v="ORD51908"/>
    <d v="2025-10-25T00:00:00"/>
    <s v="Dubai Mall"/>
    <s v="P205"/>
    <n v="2"/>
    <n v="289"/>
    <x v="1"/>
    <x v="9"/>
    <s v="Home &amp; Kitchen"/>
    <n v="140"/>
    <n v="549.1"/>
    <n v="280"/>
    <n v="269.10000000000002"/>
    <x v="9"/>
  </r>
  <r>
    <s v="ORD52233"/>
    <d v="2025-10-25T00:00:00"/>
    <s v="City Centre Deira"/>
    <s v="P303"/>
    <n v="2"/>
    <n v="149"/>
    <x v="5"/>
    <x v="7"/>
    <s v="Fashion"/>
    <n v="80"/>
    <n v="238.4"/>
    <n v="160"/>
    <n v="78.400000000000006"/>
    <x v="9"/>
  </r>
  <r>
    <s v="ORD53417"/>
    <d v="2025-10-25T00:00:00"/>
    <s v="Ibn Battuta Mall"/>
    <s v="P101"/>
    <n v="1"/>
    <n v="399"/>
    <x v="1"/>
    <x v="5"/>
    <s v="Electronics"/>
    <n v="230"/>
    <n v="379.04999999999995"/>
    <n v="230"/>
    <n v="149.04999999999995"/>
    <x v="9"/>
  </r>
  <r>
    <s v="ORD53524"/>
    <d v="2025-10-25T00:00:00"/>
    <s v="Mall of the Emirates"/>
    <s v="P307"/>
    <n v="1"/>
    <n v="399"/>
    <x v="1"/>
    <x v="20"/>
    <s v="Fashion"/>
    <n v="210"/>
    <n v="379.04999999999995"/>
    <n v="210"/>
    <n v="169.04999999999995"/>
    <x v="9"/>
  </r>
  <r>
    <s v="ORD51080"/>
    <d v="2025-10-26T00:00:00"/>
    <s v="City Centre Deira"/>
    <s v="P105"/>
    <n v="1"/>
    <n v="899"/>
    <x v="2"/>
    <x v="31"/>
    <s v="Electronics"/>
    <n v="610"/>
    <n v="809.1"/>
    <n v="610"/>
    <n v="199.10000000000002"/>
    <x v="9"/>
  </r>
  <r>
    <s v="ORD51186"/>
    <d v="2025-10-26T00:00:00"/>
    <s v="Mall of the Emirates"/>
    <s v="P105"/>
    <n v="1"/>
    <n v="899"/>
    <x v="1"/>
    <x v="31"/>
    <s v="Electronics"/>
    <n v="610"/>
    <n v="854.05"/>
    <n v="610"/>
    <n v="244.04999999999995"/>
    <x v="9"/>
  </r>
  <r>
    <s v="ORD51371"/>
    <d v="2025-10-26T00:00:00"/>
    <s v="City Centre Deira"/>
    <s v="P105"/>
    <n v="3"/>
    <n v="899"/>
    <x v="2"/>
    <x v="31"/>
    <s v="Electronics"/>
    <n v="610"/>
    <n v="2427.3000000000002"/>
    <n v="1830"/>
    <n v="597.30000000000018"/>
    <x v="9"/>
  </r>
  <r>
    <s v="ORD51411"/>
    <d v="2025-10-26T00:00:00"/>
    <s v="Online"/>
    <s v="P503"/>
    <n v="3"/>
    <n v="229"/>
    <x v="0"/>
    <x v="18"/>
    <s v="Sports"/>
    <n v="120"/>
    <n v="583.94999999999993"/>
    <n v="360"/>
    <n v="223.94999999999993"/>
    <x v="9"/>
  </r>
  <r>
    <s v="ORD51592"/>
    <d v="2025-10-26T00:00:00"/>
    <s v="City Centre Deira"/>
    <s v="P307"/>
    <n v="1"/>
    <n v="399"/>
    <x v="1"/>
    <x v="20"/>
    <s v="Fashion"/>
    <n v="210"/>
    <n v="379.04999999999995"/>
    <n v="210"/>
    <n v="169.04999999999995"/>
    <x v="9"/>
  </r>
  <r>
    <s v="ORD52008"/>
    <d v="2025-10-26T00:00:00"/>
    <s v="Mall of the Emirates"/>
    <s v="P203"/>
    <n v="1"/>
    <n v="349"/>
    <x v="0"/>
    <x v="21"/>
    <s v="Home &amp; Kitchen"/>
    <n v="170"/>
    <n v="296.64999999999998"/>
    <n v="170"/>
    <n v="126.64999999999998"/>
    <x v="9"/>
  </r>
  <r>
    <s v="ORD53085"/>
    <d v="2025-10-26T00:00:00"/>
    <s v="Mall of the Emirates"/>
    <s v="P105"/>
    <n v="1"/>
    <n v="899"/>
    <x v="5"/>
    <x v="31"/>
    <s v="Electronics"/>
    <n v="610"/>
    <n v="719.2"/>
    <n v="610"/>
    <n v="109.20000000000005"/>
    <x v="9"/>
  </r>
  <r>
    <s v="ORD54084"/>
    <d v="2025-10-26T00:00:00"/>
    <s v="Mall of the Emirates"/>
    <s v="P205"/>
    <n v="2"/>
    <n v="289"/>
    <x v="2"/>
    <x v="9"/>
    <s v="Home &amp; Kitchen"/>
    <n v="140"/>
    <n v="520.20000000000005"/>
    <n v="280"/>
    <n v="240.20000000000005"/>
    <x v="9"/>
  </r>
  <r>
    <s v="ORD50506"/>
    <d v="2025-10-27T00:00:00"/>
    <s v="Mall of the Emirates"/>
    <s v="P401"/>
    <n v="2"/>
    <n v="549"/>
    <x v="2"/>
    <x v="15"/>
    <s v="Beauty"/>
    <n v="250"/>
    <n v="988.2"/>
    <n v="500"/>
    <n v="488.20000000000005"/>
    <x v="9"/>
  </r>
  <r>
    <s v="ORD50776"/>
    <d v="2025-10-27T00:00:00"/>
    <s v="Ibn Battuta Mall"/>
    <s v="P503"/>
    <n v="1"/>
    <n v="229"/>
    <x v="3"/>
    <x v="18"/>
    <s v="Sports"/>
    <n v="120"/>
    <n v="229"/>
    <n v="120"/>
    <n v="109"/>
    <x v="9"/>
  </r>
  <r>
    <s v="ORD50980"/>
    <d v="2025-10-27T00:00:00"/>
    <s v="City Centre Deira"/>
    <s v="P205"/>
    <n v="3"/>
    <n v="289"/>
    <x v="3"/>
    <x v="9"/>
    <s v="Home &amp; Kitchen"/>
    <n v="140"/>
    <n v="867"/>
    <n v="420"/>
    <n v="447"/>
    <x v="9"/>
  </r>
  <r>
    <s v="ORD51563"/>
    <d v="2025-10-27T00:00:00"/>
    <s v="City Centre Deira"/>
    <s v="P102"/>
    <n v="2"/>
    <n v="249"/>
    <x v="3"/>
    <x v="13"/>
    <s v="Electronics"/>
    <n v="150"/>
    <n v="498"/>
    <n v="300"/>
    <n v="198"/>
    <x v="9"/>
  </r>
  <r>
    <s v="ORD52370"/>
    <d v="2025-10-27T00:00:00"/>
    <s v="Online"/>
    <s v="P202"/>
    <n v="3"/>
    <n v="1499"/>
    <x v="3"/>
    <x v="26"/>
    <s v="Home &amp; Kitchen"/>
    <n v="1050"/>
    <n v="4497"/>
    <n v="3150"/>
    <n v="1347"/>
    <x v="9"/>
  </r>
  <r>
    <s v="ORD52377"/>
    <d v="2025-10-27T00:00:00"/>
    <s v="City Centre Deira"/>
    <s v="P307"/>
    <n v="1"/>
    <n v="399"/>
    <x v="0"/>
    <x v="20"/>
    <s v="Fashion"/>
    <n v="210"/>
    <n v="339.15"/>
    <n v="210"/>
    <n v="129.14999999999998"/>
    <x v="9"/>
  </r>
  <r>
    <s v="ORD52465"/>
    <d v="2025-10-27T00:00:00"/>
    <s v="Dubai Mall"/>
    <s v="P406"/>
    <n v="1"/>
    <n v="199"/>
    <x v="5"/>
    <x v="4"/>
    <s v="Beauty"/>
    <n v="90"/>
    <n v="159.20000000000002"/>
    <n v="90"/>
    <n v="69.200000000000017"/>
    <x v="9"/>
  </r>
  <r>
    <s v="ORD53134"/>
    <d v="2025-10-27T00:00:00"/>
    <s v="Mall of the Emirates"/>
    <s v="P303"/>
    <n v="3"/>
    <n v="149"/>
    <x v="4"/>
    <x v="7"/>
    <s v="Fashion"/>
    <n v="80"/>
    <n v="312.89999999999998"/>
    <n v="240"/>
    <n v="72.899999999999977"/>
    <x v="9"/>
  </r>
  <r>
    <s v="ORD53782"/>
    <d v="2025-10-27T00:00:00"/>
    <s v="Online"/>
    <s v="P506"/>
    <n v="1"/>
    <n v="69"/>
    <x v="0"/>
    <x v="34"/>
    <s v="Sports"/>
    <n v="25"/>
    <n v="58.65"/>
    <n v="25"/>
    <n v="33.65"/>
    <x v="9"/>
  </r>
  <r>
    <s v="ORD54124"/>
    <d v="2025-10-27T00:00:00"/>
    <s v="Mall of the Emirates"/>
    <s v="P502"/>
    <n v="1"/>
    <n v="799"/>
    <x v="2"/>
    <x v="19"/>
    <s v="Sports"/>
    <n v="700"/>
    <n v="719.1"/>
    <n v="700"/>
    <n v="19.100000000000023"/>
    <x v="9"/>
  </r>
  <r>
    <s v="ORD50002"/>
    <d v="2025-10-28T00:00:00"/>
    <s v="Online"/>
    <s v="P107"/>
    <n v="1"/>
    <n v="89"/>
    <x v="2"/>
    <x v="29"/>
    <s v="Electronics"/>
    <n v="35"/>
    <n v="80.100000000000009"/>
    <n v="35"/>
    <n v="45.100000000000009"/>
    <x v="9"/>
  </r>
  <r>
    <s v="ORD50022"/>
    <d v="2025-10-28T00:00:00"/>
    <s v="Ibn Battuta Mall"/>
    <s v="P302"/>
    <n v="3"/>
    <n v="459"/>
    <x v="3"/>
    <x v="10"/>
    <s v="Fashion"/>
    <n v="190"/>
    <n v="1377"/>
    <n v="570"/>
    <n v="807"/>
    <x v="9"/>
  </r>
  <r>
    <s v="ORD50504"/>
    <d v="2025-10-28T00:00:00"/>
    <s v="Online"/>
    <s v="P304"/>
    <n v="1"/>
    <n v="699"/>
    <x v="3"/>
    <x v="35"/>
    <s v="Fashion"/>
    <n v="380"/>
    <n v="699"/>
    <n v="380"/>
    <n v="319"/>
    <x v="9"/>
  </r>
  <r>
    <s v="ORD50522"/>
    <d v="2025-10-28T00:00:00"/>
    <s v="Mall of the Emirates"/>
    <s v="P506"/>
    <n v="2"/>
    <n v="69"/>
    <x v="3"/>
    <x v="34"/>
    <s v="Sports"/>
    <n v="25"/>
    <n v="138"/>
    <n v="50"/>
    <n v="88"/>
    <x v="9"/>
  </r>
  <r>
    <s v="ORD50827"/>
    <d v="2025-10-28T00:00:00"/>
    <s v="Online"/>
    <s v="P201"/>
    <n v="1"/>
    <n v="499"/>
    <x v="3"/>
    <x v="16"/>
    <s v="Home &amp; Kitchen"/>
    <n v="290"/>
    <n v="499"/>
    <n v="290"/>
    <n v="209"/>
    <x v="9"/>
  </r>
  <r>
    <s v="ORD51013"/>
    <d v="2025-10-28T00:00:00"/>
    <s v="Dubai Mall"/>
    <s v="P406"/>
    <n v="3"/>
    <n v="199"/>
    <x v="4"/>
    <x v="4"/>
    <s v="Beauty"/>
    <n v="90"/>
    <n v="417.9"/>
    <n v="270"/>
    <n v="147.89999999999998"/>
    <x v="9"/>
  </r>
  <r>
    <s v="ORD51154"/>
    <d v="2025-10-28T00:00:00"/>
    <s v="Mall of the Emirates"/>
    <s v="P307"/>
    <n v="2"/>
    <n v="399"/>
    <x v="3"/>
    <x v="20"/>
    <s v="Fashion"/>
    <n v="210"/>
    <n v="798"/>
    <n v="420"/>
    <n v="378"/>
    <x v="9"/>
  </r>
  <r>
    <s v="ORD52040"/>
    <d v="2025-10-28T00:00:00"/>
    <s v="Dubai Mall"/>
    <s v="P107"/>
    <n v="2"/>
    <n v="89"/>
    <x v="3"/>
    <x v="29"/>
    <s v="Electronics"/>
    <n v="35"/>
    <n v="178"/>
    <n v="70"/>
    <n v="108"/>
    <x v="9"/>
  </r>
  <r>
    <s v="ORD52050"/>
    <d v="2025-10-28T00:00:00"/>
    <s v="Online"/>
    <s v="P301"/>
    <n v="1"/>
    <n v="179"/>
    <x v="3"/>
    <x v="2"/>
    <s v="Fashion"/>
    <n v="70"/>
    <n v="179"/>
    <n v="70"/>
    <n v="109"/>
    <x v="9"/>
  </r>
  <r>
    <s v="ORD52251"/>
    <d v="2025-10-28T00:00:00"/>
    <s v="Online"/>
    <s v="P504"/>
    <n v="1"/>
    <n v="2499"/>
    <x v="5"/>
    <x v="33"/>
    <s v="Sports"/>
    <n v="2150"/>
    <n v="1999.2"/>
    <n v="2150"/>
    <n v="-150.79999999999995"/>
    <x v="9"/>
  </r>
  <r>
    <s v="ORD52289"/>
    <d v="2025-10-28T00:00:00"/>
    <s v="Ibn Battuta Mall"/>
    <s v="P303"/>
    <n v="1"/>
    <n v="149"/>
    <x v="2"/>
    <x v="7"/>
    <s v="Fashion"/>
    <n v="80"/>
    <n v="134.1"/>
    <n v="80"/>
    <n v="54.099999999999994"/>
    <x v="9"/>
  </r>
  <r>
    <s v="ORD52758"/>
    <d v="2025-10-28T00:00:00"/>
    <s v="Dubai Mall"/>
    <s v="P308"/>
    <n v="1"/>
    <n v="229"/>
    <x v="3"/>
    <x v="0"/>
    <s v="Fashion"/>
    <n v="120"/>
    <n v="229"/>
    <n v="120"/>
    <n v="109"/>
    <x v="9"/>
  </r>
  <r>
    <s v="ORD53218"/>
    <d v="2025-10-28T00:00:00"/>
    <s v="Online"/>
    <s v="P404"/>
    <n v="1"/>
    <n v="189"/>
    <x v="1"/>
    <x v="6"/>
    <s v="Beauty"/>
    <n v="85"/>
    <n v="179.54999999999998"/>
    <n v="85"/>
    <n v="94.549999999999983"/>
    <x v="9"/>
  </r>
  <r>
    <s v="ORD53521"/>
    <d v="2025-10-28T00:00:00"/>
    <s v="Mall of the Emirates"/>
    <s v="P104"/>
    <n v="2"/>
    <n v="199"/>
    <x v="5"/>
    <x v="1"/>
    <s v="Electronics"/>
    <n v="175"/>
    <n v="318.40000000000003"/>
    <n v="350"/>
    <n v="-31.599999999999966"/>
    <x v="9"/>
  </r>
  <r>
    <s v="ORD53682"/>
    <d v="2025-10-28T00:00:00"/>
    <s v="Ibn Battuta Mall"/>
    <s v="P404"/>
    <n v="1"/>
    <n v="189"/>
    <x v="3"/>
    <x v="6"/>
    <s v="Beauty"/>
    <n v="85"/>
    <n v="189"/>
    <n v="85"/>
    <n v="104"/>
    <x v="9"/>
  </r>
  <r>
    <s v="ORD53726"/>
    <d v="2025-10-28T00:00:00"/>
    <s v="Dubai Mall"/>
    <s v="P101"/>
    <n v="3"/>
    <n v="399"/>
    <x v="3"/>
    <x v="5"/>
    <s v="Electronics"/>
    <n v="230"/>
    <n v="1197"/>
    <n v="690"/>
    <n v="507"/>
    <x v="9"/>
  </r>
  <r>
    <s v="ORD53793"/>
    <d v="2025-10-28T00:00:00"/>
    <s v="Online"/>
    <s v="P207"/>
    <n v="1"/>
    <n v="399"/>
    <x v="3"/>
    <x v="32"/>
    <s v="Home &amp; Kitchen"/>
    <n v="250"/>
    <n v="399"/>
    <n v="250"/>
    <n v="149"/>
    <x v="9"/>
  </r>
  <r>
    <s v="ORD50744"/>
    <d v="2025-10-29T00:00:00"/>
    <s v="Mall of the Emirates"/>
    <s v="P302"/>
    <n v="3"/>
    <n v="459"/>
    <x v="2"/>
    <x v="10"/>
    <s v="Fashion"/>
    <n v="190"/>
    <n v="1239.3"/>
    <n v="570"/>
    <n v="669.3"/>
    <x v="9"/>
  </r>
  <r>
    <s v="ORD51550"/>
    <d v="2025-10-29T00:00:00"/>
    <s v="Ibn Battuta Mall"/>
    <s v="P304"/>
    <n v="2"/>
    <n v="699"/>
    <x v="0"/>
    <x v="35"/>
    <s v="Fashion"/>
    <n v="380"/>
    <n v="1188.3"/>
    <n v="760"/>
    <n v="428.29999999999995"/>
    <x v="9"/>
  </r>
  <r>
    <s v="ORD51653"/>
    <d v="2025-10-29T00:00:00"/>
    <s v="Dubai Mall"/>
    <s v="P404"/>
    <n v="1"/>
    <n v="189"/>
    <x v="1"/>
    <x v="6"/>
    <s v="Beauty"/>
    <n v="85"/>
    <n v="179.54999999999998"/>
    <n v="85"/>
    <n v="94.549999999999983"/>
    <x v="9"/>
  </r>
  <r>
    <s v="ORD52179"/>
    <d v="2025-10-29T00:00:00"/>
    <s v="City Centre Deira"/>
    <s v="P404"/>
    <n v="1"/>
    <n v="189"/>
    <x v="0"/>
    <x v="6"/>
    <s v="Beauty"/>
    <n v="85"/>
    <n v="160.65"/>
    <n v="85"/>
    <n v="75.650000000000006"/>
    <x v="9"/>
  </r>
  <r>
    <s v="ORD53056"/>
    <d v="2025-10-29T00:00:00"/>
    <s v="Dubai Mall"/>
    <s v="P104"/>
    <n v="1"/>
    <n v="199"/>
    <x v="5"/>
    <x v="1"/>
    <s v="Electronics"/>
    <n v="175"/>
    <n v="159.20000000000002"/>
    <n v="175"/>
    <n v="-15.799999999999983"/>
    <x v="9"/>
  </r>
  <r>
    <s v="ORD53338"/>
    <d v="2025-10-29T00:00:00"/>
    <s v="Mall of the Emirates"/>
    <s v="P405"/>
    <n v="1"/>
    <n v="89"/>
    <x v="0"/>
    <x v="24"/>
    <s v="Beauty"/>
    <n v="40"/>
    <n v="75.649999999999991"/>
    <n v="40"/>
    <n v="35.649999999999991"/>
    <x v="9"/>
  </r>
  <r>
    <s v="ORD53341"/>
    <d v="2025-10-29T00:00:00"/>
    <s v="Ibn Battuta Mall"/>
    <s v="P301"/>
    <n v="1"/>
    <n v="179"/>
    <x v="0"/>
    <x v="2"/>
    <s v="Fashion"/>
    <n v="70"/>
    <n v="152.15"/>
    <n v="70"/>
    <n v="82.15"/>
    <x v="9"/>
  </r>
  <r>
    <s v="ORD53410"/>
    <d v="2025-10-29T00:00:00"/>
    <s v="Mall of the Emirates"/>
    <s v="P302"/>
    <n v="1"/>
    <n v="459"/>
    <x v="3"/>
    <x v="10"/>
    <s v="Fashion"/>
    <n v="190"/>
    <n v="459"/>
    <n v="190"/>
    <n v="269"/>
    <x v="9"/>
  </r>
  <r>
    <s v="ORD53585"/>
    <d v="2025-10-29T00:00:00"/>
    <s v="Online"/>
    <s v="P304"/>
    <n v="1"/>
    <n v="699"/>
    <x v="3"/>
    <x v="35"/>
    <s v="Fashion"/>
    <n v="380"/>
    <n v="699"/>
    <n v="380"/>
    <n v="319"/>
    <x v="9"/>
  </r>
  <r>
    <s v="ORD50363"/>
    <d v="2025-10-30T00:00:00"/>
    <s v="City Centre Deira"/>
    <s v="P104"/>
    <n v="1"/>
    <n v="199"/>
    <x v="6"/>
    <x v="1"/>
    <s v="Electronics"/>
    <n v="175"/>
    <n v="149.25"/>
    <n v="175"/>
    <n v="-25.75"/>
    <x v="9"/>
  </r>
  <r>
    <s v="ORD50376"/>
    <d v="2025-10-30T00:00:00"/>
    <s v="Dubai Mall"/>
    <s v="P208"/>
    <n v="1"/>
    <n v="259"/>
    <x v="1"/>
    <x v="22"/>
    <s v="Home &amp; Kitchen"/>
    <n v="115"/>
    <n v="246.04999999999998"/>
    <n v="115"/>
    <n v="131.04999999999998"/>
    <x v="9"/>
  </r>
  <r>
    <s v="ORD50526"/>
    <d v="2025-10-30T00:00:00"/>
    <s v="City Centre Deira"/>
    <s v="P505"/>
    <n v="1"/>
    <n v="99"/>
    <x v="3"/>
    <x v="11"/>
    <s v="Sports"/>
    <n v="45"/>
    <n v="99"/>
    <n v="45"/>
    <n v="54"/>
    <x v="9"/>
  </r>
  <r>
    <s v="ORD51262"/>
    <d v="2025-10-30T00:00:00"/>
    <s v="Dubai Mall"/>
    <s v="P405"/>
    <n v="1"/>
    <n v="89"/>
    <x v="0"/>
    <x v="24"/>
    <s v="Beauty"/>
    <n v="40"/>
    <n v="75.649999999999991"/>
    <n v="40"/>
    <n v="35.649999999999991"/>
    <x v="9"/>
  </r>
  <r>
    <s v="ORD51576"/>
    <d v="2025-10-30T00:00:00"/>
    <s v="Mall of the Emirates"/>
    <s v="P406"/>
    <n v="2"/>
    <n v="199"/>
    <x v="1"/>
    <x v="4"/>
    <s v="Beauty"/>
    <n v="90"/>
    <n v="378.09999999999997"/>
    <n v="180"/>
    <n v="198.09999999999997"/>
    <x v="9"/>
  </r>
  <r>
    <s v="ORD52020"/>
    <d v="2025-10-30T00:00:00"/>
    <s v="Mall of the Emirates"/>
    <s v="P306"/>
    <n v="1"/>
    <n v="249"/>
    <x v="3"/>
    <x v="3"/>
    <s v="Fashion"/>
    <n v="95"/>
    <n v="249"/>
    <n v="95"/>
    <n v="154"/>
    <x v="9"/>
  </r>
  <r>
    <s v="ORD52733"/>
    <d v="2025-10-30T00:00:00"/>
    <s v="Online"/>
    <s v="P301"/>
    <n v="4"/>
    <n v="179"/>
    <x v="2"/>
    <x v="2"/>
    <s v="Fashion"/>
    <n v="70"/>
    <n v="644.4"/>
    <n v="280"/>
    <n v="364.4"/>
    <x v="9"/>
  </r>
  <r>
    <s v="ORD53053"/>
    <d v="2025-10-30T00:00:00"/>
    <s v="City Centre Deira"/>
    <s v="P205"/>
    <n v="1"/>
    <n v="289"/>
    <x v="2"/>
    <x v="9"/>
    <s v="Home &amp; Kitchen"/>
    <n v="140"/>
    <n v="260.10000000000002"/>
    <n v="140"/>
    <n v="120.10000000000002"/>
    <x v="9"/>
  </r>
  <r>
    <s v="ORD53159"/>
    <d v="2025-10-30T00:00:00"/>
    <s v="Mall of the Emirates"/>
    <s v="P308"/>
    <n v="2"/>
    <n v="229"/>
    <x v="0"/>
    <x v="0"/>
    <s v="Fashion"/>
    <n v="120"/>
    <n v="389.3"/>
    <n v="240"/>
    <n v="149.30000000000001"/>
    <x v="9"/>
  </r>
  <r>
    <s v="ORD53198"/>
    <d v="2025-10-30T00:00:00"/>
    <s v="Dubai Mall"/>
    <s v="P302"/>
    <n v="1"/>
    <n v="459"/>
    <x v="0"/>
    <x v="10"/>
    <s v="Fashion"/>
    <n v="190"/>
    <n v="390.15"/>
    <n v="190"/>
    <n v="200.14999999999998"/>
    <x v="9"/>
  </r>
  <r>
    <s v="ORD53724"/>
    <d v="2025-10-30T00:00:00"/>
    <s v="Online"/>
    <s v="P106"/>
    <n v="1"/>
    <n v="149"/>
    <x v="4"/>
    <x v="30"/>
    <s v="Electronics"/>
    <n v="70"/>
    <n v="104.3"/>
    <n v="70"/>
    <n v="34.299999999999997"/>
    <x v="9"/>
  </r>
  <r>
    <s v="ORD53749"/>
    <d v="2025-10-30T00:00:00"/>
    <s v="Online"/>
    <s v="P404"/>
    <n v="1"/>
    <n v="189"/>
    <x v="1"/>
    <x v="6"/>
    <s v="Beauty"/>
    <n v="85"/>
    <n v="179.54999999999998"/>
    <n v="85"/>
    <n v="94.549999999999983"/>
    <x v="9"/>
  </r>
  <r>
    <s v="ORD50018"/>
    <d v="2025-10-31T00:00:00"/>
    <s v="Online"/>
    <s v="P204"/>
    <n v="1"/>
    <n v="1199"/>
    <x v="6"/>
    <x v="27"/>
    <s v="Home &amp; Kitchen"/>
    <n v="1080"/>
    <n v="899.25"/>
    <n v="1080"/>
    <n v="-180.75"/>
    <x v="9"/>
  </r>
  <r>
    <s v="ORD50454"/>
    <d v="2025-10-31T00:00:00"/>
    <s v="Dubai Mall"/>
    <s v="P503"/>
    <n v="4"/>
    <n v="229"/>
    <x v="5"/>
    <x v="18"/>
    <s v="Sports"/>
    <n v="120"/>
    <n v="732.80000000000007"/>
    <n v="480"/>
    <n v="252.80000000000007"/>
    <x v="9"/>
  </r>
  <r>
    <s v="ORD50580"/>
    <d v="2025-10-31T00:00:00"/>
    <s v="City Centre Deira"/>
    <s v="P307"/>
    <n v="1"/>
    <n v="399"/>
    <x v="3"/>
    <x v="20"/>
    <s v="Fashion"/>
    <n v="210"/>
    <n v="399"/>
    <n v="210"/>
    <n v="189"/>
    <x v="9"/>
  </r>
  <r>
    <s v="ORD51138"/>
    <d v="2025-10-31T00:00:00"/>
    <s v="Mall of the Emirates"/>
    <s v="P501"/>
    <n v="1"/>
    <n v="129"/>
    <x v="1"/>
    <x v="12"/>
    <s v="Sports"/>
    <n v="60"/>
    <n v="122.55"/>
    <n v="60"/>
    <n v="62.55"/>
    <x v="9"/>
  </r>
  <r>
    <s v="ORD52342"/>
    <d v="2025-10-31T00:00:00"/>
    <s v="Dubai Mall"/>
    <s v="P405"/>
    <n v="3"/>
    <n v="89"/>
    <x v="2"/>
    <x v="24"/>
    <s v="Beauty"/>
    <n v="40"/>
    <n v="240.3"/>
    <n v="120"/>
    <n v="120.30000000000001"/>
    <x v="9"/>
  </r>
  <r>
    <s v="ORD52384"/>
    <d v="2025-10-31T00:00:00"/>
    <s v="Dubai Mall"/>
    <s v="P106"/>
    <n v="1"/>
    <n v="149"/>
    <x v="0"/>
    <x v="30"/>
    <s v="Electronics"/>
    <n v="70"/>
    <n v="126.64999999999999"/>
    <n v="70"/>
    <n v="56.649999999999991"/>
    <x v="9"/>
  </r>
  <r>
    <s v="ORD52396"/>
    <d v="2025-10-31T00:00:00"/>
    <s v="Online"/>
    <s v="P403"/>
    <n v="1"/>
    <n v="299"/>
    <x v="6"/>
    <x v="8"/>
    <s v="Beauty"/>
    <n v="240"/>
    <n v="224.25"/>
    <n v="240"/>
    <n v="-15.75"/>
    <x v="9"/>
  </r>
  <r>
    <s v="ORD52819"/>
    <d v="2025-10-31T00:00:00"/>
    <s v="City Centre Deira"/>
    <s v="P108"/>
    <n v="1"/>
    <n v="459"/>
    <x v="2"/>
    <x v="23"/>
    <s v="Electronics"/>
    <n v="300"/>
    <n v="413.1"/>
    <n v="300"/>
    <n v="113.10000000000002"/>
    <x v="9"/>
  </r>
  <r>
    <s v="ORD52864"/>
    <d v="2025-10-31T00:00:00"/>
    <s v="Dubai Mall"/>
    <s v="P101"/>
    <n v="1"/>
    <n v="399"/>
    <x v="3"/>
    <x v="5"/>
    <s v="Electronics"/>
    <n v="230"/>
    <n v="399"/>
    <n v="230"/>
    <n v="169"/>
    <x v="9"/>
  </r>
  <r>
    <s v="ORD53312"/>
    <d v="2025-10-31T00:00:00"/>
    <s v="Dubai Mall"/>
    <s v="P104"/>
    <n v="1"/>
    <n v="199"/>
    <x v="5"/>
    <x v="1"/>
    <s v="Electronics"/>
    <n v="175"/>
    <n v="159.20000000000002"/>
    <n v="175"/>
    <n v="-15.799999999999983"/>
    <x v="9"/>
  </r>
  <r>
    <s v="ORD53541"/>
    <d v="2025-10-31T00:00:00"/>
    <s v="Online"/>
    <s v="P103"/>
    <n v="2"/>
    <n v="1299"/>
    <x v="0"/>
    <x v="25"/>
    <s v="Electronics"/>
    <n v="820"/>
    <n v="2208.2999999999997"/>
    <n v="1640"/>
    <n v="568.29999999999973"/>
    <x v="9"/>
  </r>
  <r>
    <s v="ORD54096"/>
    <d v="2025-10-31T00:00:00"/>
    <s v="Dubai Mall"/>
    <s v="P102"/>
    <n v="3"/>
    <n v="249"/>
    <x v="3"/>
    <x v="13"/>
    <s v="Electronics"/>
    <n v="150"/>
    <n v="747"/>
    <n v="450"/>
    <n v="297"/>
    <x v="9"/>
  </r>
  <r>
    <s v="ORD50679"/>
    <d v="2025-11-01T00:00:00"/>
    <s v="Mall of the Emirates"/>
    <s v="P405"/>
    <n v="1"/>
    <n v="89"/>
    <x v="3"/>
    <x v="24"/>
    <s v="Beauty"/>
    <n v="40"/>
    <n v="89"/>
    <n v="40"/>
    <n v="49"/>
    <x v="10"/>
  </r>
  <r>
    <s v="ORD51254"/>
    <d v="2025-11-01T00:00:00"/>
    <s v="Dubai Mall"/>
    <s v="P205"/>
    <n v="1"/>
    <n v="289"/>
    <x v="4"/>
    <x v="9"/>
    <s v="Home &amp; Kitchen"/>
    <n v="140"/>
    <n v="202.29999999999998"/>
    <n v="140"/>
    <n v="62.299999999999983"/>
    <x v="10"/>
  </r>
  <r>
    <s v="ORD52065"/>
    <d v="2025-11-01T00:00:00"/>
    <s v="Mall of the Emirates"/>
    <s v="P404"/>
    <n v="1"/>
    <n v="189"/>
    <x v="3"/>
    <x v="6"/>
    <s v="Beauty"/>
    <n v="85"/>
    <n v="189"/>
    <n v="85"/>
    <n v="104"/>
    <x v="10"/>
  </r>
  <r>
    <s v="ORD53060"/>
    <d v="2025-11-01T00:00:00"/>
    <s v="Dubai Mall"/>
    <s v="P203"/>
    <n v="1"/>
    <n v="349"/>
    <x v="3"/>
    <x v="21"/>
    <s v="Home &amp; Kitchen"/>
    <n v="170"/>
    <n v="349"/>
    <n v="170"/>
    <n v="179"/>
    <x v="10"/>
  </r>
  <r>
    <s v="ORD53648"/>
    <d v="2025-11-01T00:00:00"/>
    <s v="City Centre Deira"/>
    <s v="P106"/>
    <n v="1"/>
    <n v="149"/>
    <x v="3"/>
    <x v="30"/>
    <s v="Electronics"/>
    <n v="70"/>
    <n v="149"/>
    <n v="70"/>
    <n v="79"/>
    <x v="10"/>
  </r>
  <r>
    <s v="ORD50027"/>
    <d v="2025-11-02T00:00:00"/>
    <s v="Ibn Battuta Mall"/>
    <s v="P302"/>
    <n v="3"/>
    <n v="459"/>
    <x v="4"/>
    <x v="10"/>
    <s v="Fashion"/>
    <n v="190"/>
    <n v="963.9"/>
    <n v="570"/>
    <n v="393.9"/>
    <x v="10"/>
  </r>
  <r>
    <s v="ORD50111"/>
    <d v="2025-11-02T00:00:00"/>
    <s v="Online"/>
    <s v="P102"/>
    <n v="1"/>
    <n v="249"/>
    <x v="1"/>
    <x v="13"/>
    <s v="Electronics"/>
    <n v="150"/>
    <n v="236.54999999999998"/>
    <n v="150"/>
    <n v="86.549999999999983"/>
    <x v="10"/>
  </r>
  <r>
    <s v="ORD50132"/>
    <d v="2025-11-02T00:00:00"/>
    <s v="Ibn Battuta Mall"/>
    <s v="P205"/>
    <n v="2"/>
    <n v="289"/>
    <x v="5"/>
    <x v="9"/>
    <s v="Home &amp; Kitchen"/>
    <n v="140"/>
    <n v="462.40000000000003"/>
    <n v="280"/>
    <n v="182.40000000000003"/>
    <x v="10"/>
  </r>
  <r>
    <s v="ORD51049"/>
    <d v="2025-11-02T00:00:00"/>
    <s v="City Centre Deira"/>
    <s v="P403"/>
    <n v="1"/>
    <n v="299"/>
    <x v="6"/>
    <x v="8"/>
    <s v="Beauty"/>
    <n v="240"/>
    <n v="224.25"/>
    <n v="240"/>
    <n v="-15.75"/>
    <x v="10"/>
  </r>
  <r>
    <s v="ORD51781"/>
    <d v="2025-11-02T00:00:00"/>
    <s v="Dubai Mall"/>
    <s v="P406"/>
    <n v="1"/>
    <n v="199"/>
    <x v="3"/>
    <x v="4"/>
    <s v="Beauty"/>
    <n v="90"/>
    <n v="199"/>
    <n v="90"/>
    <n v="109"/>
    <x v="10"/>
  </r>
  <r>
    <s v="ORD51786"/>
    <d v="2025-11-02T00:00:00"/>
    <s v="Dubai Mall"/>
    <s v="P505"/>
    <n v="1"/>
    <n v="99"/>
    <x v="4"/>
    <x v="11"/>
    <s v="Sports"/>
    <n v="45"/>
    <n v="69.3"/>
    <n v="45"/>
    <n v="24.299999999999997"/>
    <x v="10"/>
  </r>
  <r>
    <s v="ORD52019"/>
    <d v="2025-11-02T00:00:00"/>
    <s v="Online"/>
    <s v="P506"/>
    <n v="3"/>
    <n v="69"/>
    <x v="5"/>
    <x v="34"/>
    <s v="Sports"/>
    <n v="25"/>
    <n v="165.60000000000002"/>
    <n v="75"/>
    <n v="90.600000000000023"/>
    <x v="10"/>
  </r>
  <r>
    <s v="ORD52253"/>
    <d v="2025-11-02T00:00:00"/>
    <s v="Ibn Battuta Mall"/>
    <s v="P306"/>
    <n v="1"/>
    <n v="249"/>
    <x v="5"/>
    <x v="3"/>
    <s v="Fashion"/>
    <n v="95"/>
    <n v="199.20000000000002"/>
    <n v="95"/>
    <n v="104.20000000000002"/>
    <x v="10"/>
  </r>
  <r>
    <s v="ORD52279"/>
    <d v="2025-11-02T00:00:00"/>
    <s v="Dubai Mall"/>
    <s v="P501"/>
    <n v="1"/>
    <n v="129"/>
    <x v="3"/>
    <x v="12"/>
    <s v="Sports"/>
    <n v="60"/>
    <n v="129"/>
    <n v="60"/>
    <n v="69"/>
    <x v="10"/>
  </r>
  <r>
    <s v="ORD52513"/>
    <d v="2025-11-02T00:00:00"/>
    <s v="Dubai Mall"/>
    <s v="P108"/>
    <n v="1"/>
    <n v="459"/>
    <x v="0"/>
    <x v="23"/>
    <s v="Electronics"/>
    <n v="300"/>
    <n v="390.15"/>
    <n v="300"/>
    <n v="90.149999999999977"/>
    <x v="10"/>
  </r>
  <r>
    <s v="ORD52875"/>
    <d v="2025-11-02T00:00:00"/>
    <s v="City Centre Deira"/>
    <s v="P107"/>
    <n v="2"/>
    <n v="89"/>
    <x v="5"/>
    <x v="29"/>
    <s v="Electronics"/>
    <n v="35"/>
    <n v="142.4"/>
    <n v="70"/>
    <n v="72.400000000000006"/>
    <x v="10"/>
  </r>
  <r>
    <s v="ORD52983"/>
    <d v="2025-11-02T00:00:00"/>
    <s v="Ibn Battuta Mall"/>
    <s v="P308"/>
    <n v="1"/>
    <n v="229"/>
    <x v="0"/>
    <x v="0"/>
    <s v="Fashion"/>
    <n v="120"/>
    <n v="194.65"/>
    <n v="120"/>
    <n v="74.650000000000006"/>
    <x v="10"/>
  </r>
  <r>
    <s v="ORD53047"/>
    <d v="2025-11-02T00:00:00"/>
    <s v="Online"/>
    <s v="P207"/>
    <n v="1"/>
    <n v="399"/>
    <x v="5"/>
    <x v="32"/>
    <s v="Home &amp; Kitchen"/>
    <n v="250"/>
    <n v="319.20000000000005"/>
    <n v="250"/>
    <n v="69.200000000000045"/>
    <x v="10"/>
  </r>
  <r>
    <s v="ORD53346"/>
    <d v="2025-11-02T00:00:00"/>
    <s v="City Centre Deira"/>
    <s v="P205"/>
    <n v="1"/>
    <n v="289"/>
    <x v="5"/>
    <x v="9"/>
    <s v="Home &amp; Kitchen"/>
    <n v="140"/>
    <n v="231.20000000000002"/>
    <n v="140"/>
    <n v="91.200000000000017"/>
    <x v="10"/>
  </r>
  <r>
    <s v="ORD53999"/>
    <d v="2025-11-02T00:00:00"/>
    <s v="Online"/>
    <s v="P403"/>
    <n v="1"/>
    <n v="299"/>
    <x v="5"/>
    <x v="8"/>
    <s v="Beauty"/>
    <n v="240"/>
    <n v="239.20000000000002"/>
    <n v="240"/>
    <n v="-0.79999999999998295"/>
    <x v="10"/>
  </r>
  <r>
    <s v="ORD50391"/>
    <d v="2025-11-03T00:00:00"/>
    <s v="Online"/>
    <s v="P308"/>
    <n v="1"/>
    <n v="229"/>
    <x v="5"/>
    <x v="0"/>
    <s v="Fashion"/>
    <n v="120"/>
    <n v="183.20000000000002"/>
    <n v="120"/>
    <n v="63.200000000000017"/>
    <x v="10"/>
  </r>
  <r>
    <s v="ORD51599"/>
    <d v="2025-11-03T00:00:00"/>
    <s v="Online"/>
    <s v="P106"/>
    <n v="1"/>
    <n v="149"/>
    <x v="0"/>
    <x v="30"/>
    <s v="Electronics"/>
    <n v="70"/>
    <n v="126.64999999999999"/>
    <n v="70"/>
    <n v="56.649999999999991"/>
    <x v="10"/>
  </r>
  <r>
    <s v="ORD51699"/>
    <d v="2025-11-03T00:00:00"/>
    <s v="Dubai Mall"/>
    <s v="P106"/>
    <n v="3"/>
    <n v="149"/>
    <x v="5"/>
    <x v="30"/>
    <s v="Electronics"/>
    <n v="70"/>
    <n v="357.6"/>
    <n v="210"/>
    <n v="147.60000000000002"/>
    <x v="10"/>
  </r>
  <r>
    <s v="ORD51926"/>
    <d v="2025-11-03T00:00:00"/>
    <s v="Online"/>
    <s v="P106"/>
    <n v="3"/>
    <n v="149"/>
    <x v="5"/>
    <x v="30"/>
    <s v="Electronics"/>
    <n v="70"/>
    <n v="357.6"/>
    <n v="210"/>
    <n v="147.60000000000002"/>
    <x v="10"/>
  </r>
  <r>
    <s v="ORD52055"/>
    <d v="2025-11-03T00:00:00"/>
    <s v="City Centre Deira"/>
    <s v="P107"/>
    <n v="1"/>
    <n v="89"/>
    <x v="5"/>
    <x v="29"/>
    <s v="Electronics"/>
    <n v="35"/>
    <n v="71.2"/>
    <n v="35"/>
    <n v="36.200000000000003"/>
    <x v="10"/>
  </r>
  <r>
    <s v="ORD52155"/>
    <d v="2025-11-03T00:00:00"/>
    <s v="Online"/>
    <s v="P307"/>
    <n v="1"/>
    <n v="399"/>
    <x v="1"/>
    <x v="20"/>
    <s v="Fashion"/>
    <n v="210"/>
    <n v="379.04999999999995"/>
    <n v="210"/>
    <n v="169.04999999999995"/>
    <x v="10"/>
  </r>
  <r>
    <s v="ORD52521"/>
    <d v="2025-11-03T00:00:00"/>
    <s v="Online"/>
    <s v="P302"/>
    <n v="2"/>
    <n v="459"/>
    <x v="5"/>
    <x v="10"/>
    <s v="Fashion"/>
    <n v="190"/>
    <n v="734.40000000000009"/>
    <n v="380"/>
    <n v="354.40000000000009"/>
    <x v="10"/>
  </r>
  <r>
    <s v="ORD52644"/>
    <d v="2025-11-03T00:00:00"/>
    <s v="Mall of the Emirates"/>
    <s v="P107"/>
    <n v="1"/>
    <n v="89"/>
    <x v="5"/>
    <x v="29"/>
    <s v="Electronics"/>
    <n v="35"/>
    <n v="71.2"/>
    <n v="35"/>
    <n v="36.200000000000003"/>
    <x v="10"/>
  </r>
  <r>
    <s v="ORD53031"/>
    <d v="2025-11-03T00:00:00"/>
    <s v="City Centre Deira"/>
    <s v="P105"/>
    <n v="1"/>
    <n v="899"/>
    <x v="5"/>
    <x v="31"/>
    <s v="Electronics"/>
    <n v="610"/>
    <n v="719.2"/>
    <n v="610"/>
    <n v="109.20000000000005"/>
    <x v="10"/>
  </r>
  <r>
    <s v="ORD53125"/>
    <d v="2025-11-03T00:00:00"/>
    <s v="Dubai Mall"/>
    <s v="P305"/>
    <n v="1"/>
    <n v="429"/>
    <x v="3"/>
    <x v="14"/>
    <s v="Fashion"/>
    <n v="300"/>
    <n v="429"/>
    <n v="300"/>
    <n v="129"/>
    <x v="10"/>
  </r>
  <r>
    <s v="ORD53274"/>
    <d v="2025-11-03T00:00:00"/>
    <s v="Online"/>
    <s v="P103"/>
    <n v="1"/>
    <n v="1299"/>
    <x v="3"/>
    <x v="25"/>
    <s v="Electronics"/>
    <n v="820"/>
    <n v="1299"/>
    <n v="820"/>
    <n v="479"/>
    <x v="10"/>
  </r>
  <r>
    <s v="ORD53911"/>
    <d v="2025-11-03T00:00:00"/>
    <s v="Ibn Battuta Mall"/>
    <s v="P406"/>
    <n v="1"/>
    <n v="199"/>
    <x v="3"/>
    <x v="4"/>
    <s v="Beauty"/>
    <n v="90"/>
    <n v="199"/>
    <n v="90"/>
    <n v="109"/>
    <x v="10"/>
  </r>
  <r>
    <s v="ORD54051"/>
    <d v="2025-11-03T00:00:00"/>
    <s v="Online"/>
    <s v="P105"/>
    <n v="1"/>
    <n v="899"/>
    <x v="4"/>
    <x v="31"/>
    <s v="Electronics"/>
    <n v="610"/>
    <n v="629.29999999999995"/>
    <n v="610"/>
    <n v="19.299999999999955"/>
    <x v="10"/>
  </r>
  <r>
    <s v="ORD50095"/>
    <d v="2025-11-04T00:00:00"/>
    <s v="City Centre Deira"/>
    <s v="P207"/>
    <n v="1"/>
    <n v="399"/>
    <x v="3"/>
    <x v="32"/>
    <s v="Home &amp; Kitchen"/>
    <n v="250"/>
    <n v="399"/>
    <n v="250"/>
    <n v="149"/>
    <x v="10"/>
  </r>
  <r>
    <s v="ORD50158"/>
    <d v="2025-11-04T00:00:00"/>
    <s v="Ibn Battuta Mall"/>
    <s v="P401"/>
    <n v="1"/>
    <n v="549"/>
    <x v="5"/>
    <x v="15"/>
    <s v="Beauty"/>
    <n v="250"/>
    <n v="439.20000000000005"/>
    <n v="250"/>
    <n v="189.20000000000005"/>
    <x v="10"/>
  </r>
  <r>
    <s v="ORD50228"/>
    <d v="2025-11-04T00:00:00"/>
    <s v="Ibn Battuta Mall"/>
    <s v="P305"/>
    <n v="1"/>
    <n v="429"/>
    <x v="5"/>
    <x v="14"/>
    <s v="Fashion"/>
    <n v="300"/>
    <n v="343.20000000000005"/>
    <n v="300"/>
    <n v="43.200000000000045"/>
    <x v="10"/>
  </r>
  <r>
    <s v="ORD50908"/>
    <d v="2025-11-04T00:00:00"/>
    <s v="Dubai Mall"/>
    <s v="P102"/>
    <n v="1"/>
    <n v="249"/>
    <x v="3"/>
    <x v="13"/>
    <s v="Electronics"/>
    <n v="150"/>
    <n v="249"/>
    <n v="150"/>
    <n v="99"/>
    <x v="10"/>
  </r>
  <r>
    <s v="ORD51566"/>
    <d v="2025-11-04T00:00:00"/>
    <s v="Online"/>
    <s v="P501"/>
    <n v="1"/>
    <n v="129"/>
    <x v="1"/>
    <x v="12"/>
    <s v="Sports"/>
    <n v="60"/>
    <n v="122.55"/>
    <n v="60"/>
    <n v="62.55"/>
    <x v="10"/>
  </r>
  <r>
    <s v="ORD51758"/>
    <d v="2025-11-04T00:00:00"/>
    <s v="City Centre Deira"/>
    <s v="P401"/>
    <n v="1"/>
    <n v="549"/>
    <x v="5"/>
    <x v="15"/>
    <s v="Beauty"/>
    <n v="250"/>
    <n v="439.20000000000005"/>
    <n v="250"/>
    <n v="189.20000000000005"/>
    <x v="10"/>
  </r>
  <r>
    <s v="ORD52510"/>
    <d v="2025-11-04T00:00:00"/>
    <s v="Dubai Mall"/>
    <s v="P102"/>
    <n v="3"/>
    <n v="249"/>
    <x v="2"/>
    <x v="13"/>
    <s v="Electronics"/>
    <n v="150"/>
    <n v="672.30000000000007"/>
    <n v="450"/>
    <n v="222.30000000000007"/>
    <x v="10"/>
  </r>
  <r>
    <s v="ORD52718"/>
    <d v="2025-11-04T00:00:00"/>
    <s v="Online"/>
    <s v="P502"/>
    <n v="2"/>
    <n v="799"/>
    <x v="2"/>
    <x v="19"/>
    <s v="Sports"/>
    <n v="700"/>
    <n v="1438.2"/>
    <n v="1400"/>
    <n v="38.200000000000045"/>
    <x v="10"/>
  </r>
  <r>
    <s v="ORD53161"/>
    <d v="2025-11-04T00:00:00"/>
    <s v="Online"/>
    <s v="P108"/>
    <n v="1"/>
    <n v="459"/>
    <x v="5"/>
    <x v="23"/>
    <s v="Electronics"/>
    <n v="300"/>
    <n v="367.20000000000005"/>
    <n v="300"/>
    <n v="67.200000000000045"/>
    <x v="10"/>
  </r>
  <r>
    <s v="ORD53330"/>
    <d v="2025-11-04T00:00:00"/>
    <s v="Online"/>
    <s v="P406"/>
    <n v="1"/>
    <n v="199"/>
    <x v="5"/>
    <x v="4"/>
    <s v="Beauty"/>
    <n v="90"/>
    <n v="159.20000000000002"/>
    <n v="90"/>
    <n v="69.200000000000017"/>
    <x v="10"/>
  </r>
  <r>
    <s v="ORD50085"/>
    <d v="2025-11-05T00:00:00"/>
    <s v="Online"/>
    <s v="P205"/>
    <n v="1"/>
    <n v="289"/>
    <x v="4"/>
    <x v="9"/>
    <s v="Home &amp; Kitchen"/>
    <n v="140"/>
    <n v="202.29999999999998"/>
    <n v="140"/>
    <n v="62.299999999999983"/>
    <x v="10"/>
  </r>
  <r>
    <s v="ORD50542"/>
    <d v="2025-11-05T00:00:00"/>
    <s v="Dubai Mall"/>
    <s v="P306"/>
    <n v="4"/>
    <n v="249"/>
    <x v="3"/>
    <x v="3"/>
    <s v="Fashion"/>
    <n v="95"/>
    <n v="996"/>
    <n v="380"/>
    <n v="616"/>
    <x v="10"/>
  </r>
  <r>
    <s v="ORD51324"/>
    <d v="2025-11-05T00:00:00"/>
    <s v="Dubai Mall"/>
    <s v="P101"/>
    <n v="1"/>
    <n v="399"/>
    <x v="5"/>
    <x v="5"/>
    <s v="Electronics"/>
    <n v="230"/>
    <n v="319.20000000000005"/>
    <n v="230"/>
    <n v="89.200000000000045"/>
    <x v="10"/>
  </r>
  <r>
    <s v="ORD51647"/>
    <d v="2025-11-05T00:00:00"/>
    <s v="Dubai Mall"/>
    <s v="P406"/>
    <n v="2"/>
    <n v="199"/>
    <x v="1"/>
    <x v="4"/>
    <s v="Beauty"/>
    <n v="90"/>
    <n v="378.09999999999997"/>
    <n v="180"/>
    <n v="198.09999999999997"/>
    <x v="10"/>
  </r>
  <r>
    <s v="ORD51662"/>
    <d v="2025-11-05T00:00:00"/>
    <s v="Ibn Battuta Mall"/>
    <s v="P308"/>
    <n v="1"/>
    <n v="229"/>
    <x v="1"/>
    <x v="0"/>
    <s v="Fashion"/>
    <n v="120"/>
    <n v="217.54999999999998"/>
    <n v="120"/>
    <n v="97.549999999999983"/>
    <x v="10"/>
  </r>
  <r>
    <s v="ORD52010"/>
    <d v="2025-11-05T00:00:00"/>
    <s v="Online"/>
    <s v="P402"/>
    <n v="1"/>
    <n v="149"/>
    <x v="2"/>
    <x v="17"/>
    <s v="Beauty"/>
    <n v="55"/>
    <n v="134.1"/>
    <n v="55"/>
    <n v="79.099999999999994"/>
    <x v="10"/>
  </r>
  <r>
    <s v="ORD52466"/>
    <d v="2025-11-05T00:00:00"/>
    <s v="Mall of the Emirates"/>
    <s v="P207"/>
    <n v="1"/>
    <n v="399"/>
    <x v="5"/>
    <x v="32"/>
    <s v="Home &amp; Kitchen"/>
    <n v="250"/>
    <n v="319.20000000000005"/>
    <n v="250"/>
    <n v="69.200000000000045"/>
    <x v="10"/>
  </r>
  <r>
    <s v="ORD52625"/>
    <d v="2025-11-05T00:00:00"/>
    <s v="Dubai Mall"/>
    <s v="P108"/>
    <n v="1"/>
    <n v="459"/>
    <x v="3"/>
    <x v="23"/>
    <s v="Electronics"/>
    <n v="300"/>
    <n v="459"/>
    <n v="300"/>
    <n v="159"/>
    <x v="10"/>
  </r>
  <r>
    <s v="ORD53448"/>
    <d v="2025-11-05T00:00:00"/>
    <s v="Mall of the Emirates"/>
    <s v="P306"/>
    <n v="2"/>
    <n v="249"/>
    <x v="5"/>
    <x v="3"/>
    <s v="Fashion"/>
    <n v="95"/>
    <n v="398.40000000000003"/>
    <n v="190"/>
    <n v="208.40000000000003"/>
    <x v="10"/>
  </r>
  <r>
    <s v="ORD53501"/>
    <d v="2025-11-05T00:00:00"/>
    <s v="Dubai Mall"/>
    <s v="P102"/>
    <n v="1"/>
    <n v="249"/>
    <x v="3"/>
    <x v="13"/>
    <s v="Electronics"/>
    <n v="150"/>
    <n v="249"/>
    <n v="150"/>
    <n v="99"/>
    <x v="10"/>
  </r>
  <r>
    <s v="ORD51071"/>
    <d v="2025-11-06T00:00:00"/>
    <s v="Online"/>
    <s v="P406"/>
    <n v="2"/>
    <n v="199"/>
    <x v="3"/>
    <x v="4"/>
    <s v="Beauty"/>
    <n v="90"/>
    <n v="398"/>
    <n v="180"/>
    <n v="218"/>
    <x v="10"/>
  </r>
  <r>
    <s v="ORD51815"/>
    <d v="2025-11-06T00:00:00"/>
    <s v="Mall of the Emirates"/>
    <s v="P106"/>
    <n v="1"/>
    <n v="149"/>
    <x v="5"/>
    <x v="30"/>
    <s v="Electronics"/>
    <n v="70"/>
    <n v="119.2"/>
    <n v="70"/>
    <n v="49.2"/>
    <x v="10"/>
  </r>
  <r>
    <s v="ORD51909"/>
    <d v="2025-11-06T00:00:00"/>
    <s v="Dubai Mall"/>
    <s v="P208"/>
    <n v="1"/>
    <n v="259"/>
    <x v="5"/>
    <x v="22"/>
    <s v="Home &amp; Kitchen"/>
    <n v="115"/>
    <n v="207.20000000000002"/>
    <n v="115"/>
    <n v="92.200000000000017"/>
    <x v="10"/>
  </r>
  <r>
    <s v="ORD51916"/>
    <d v="2025-11-06T00:00:00"/>
    <s v="Dubai Mall"/>
    <s v="P404"/>
    <n v="4"/>
    <n v="189"/>
    <x v="5"/>
    <x v="6"/>
    <s v="Beauty"/>
    <n v="85"/>
    <n v="604.80000000000007"/>
    <n v="340"/>
    <n v="264.80000000000007"/>
    <x v="10"/>
  </r>
  <r>
    <s v="ORD52087"/>
    <d v="2025-11-06T00:00:00"/>
    <s v="Dubai Mall"/>
    <s v="P101"/>
    <n v="1"/>
    <n v="399"/>
    <x v="5"/>
    <x v="5"/>
    <s v="Electronics"/>
    <n v="230"/>
    <n v="319.20000000000005"/>
    <n v="230"/>
    <n v="89.200000000000045"/>
    <x v="10"/>
  </r>
  <r>
    <s v="ORD52098"/>
    <d v="2025-11-06T00:00:00"/>
    <s v="Ibn Battuta Mall"/>
    <s v="P102"/>
    <n v="1"/>
    <n v="249"/>
    <x v="5"/>
    <x v="13"/>
    <s v="Electronics"/>
    <n v="150"/>
    <n v="199.20000000000002"/>
    <n v="150"/>
    <n v="49.200000000000017"/>
    <x v="10"/>
  </r>
  <r>
    <s v="ORD53458"/>
    <d v="2025-11-06T00:00:00"/>
    <s v="Online"/>
    <s v="P403"/>
    <n v="1"/>
    <n v="299"/>
    <x v="5"/>
    <x v="8"/>
    <s v="Beauty"/>
    <n v="240"/>
    <n v="239.20000000000002"/>
    <n v="240"/>
    <n v="-0.79999999999998295"/>
    <x v="10"/>
  </r>
  <r>
    <s v="ORD50700"/>
    <d v="2025-11-07T00:00:00"/>
    <s v="City Centre Deira"/>
    <s v="P308"/>
    <n v="1"/>
    <n v="229"/>
    <x v="5"/>
    <x v="0"/>
    <s v="Fashion"/>
    <n v="120"/>
    <n v="183.20000000000002"/>
    <n v="120"/>
    <n v="63.200000000000017"/>
    <x v="10"/>
  </r>
  <r>
    <s v="ORD50762"/>
    <d v="2025-11-07T00:00:00"/>
    <s v="Mall of the Emirates"/>
    <s v="P405"/>
    <n v="4"/>
    <n v="89"/>
    <x v="5"/>
    <x v="24"/>
    <s v="Beauty"/>
    <n v="40"/>
    <n v="284.8"/>
    <n v="160"/>
    <n v="124.80000000000001"/>
    <x v="10"/>
  </r>
  <r>
    <s v="ORD51286"/>
    <d v="2025-11-07T00:00:00"/>
    <s v="Online"/>
    <s v="P406"/>
    <n v="1"/>
    <n v="199"/>
    <x v="3"/>
    <x v="4"/>
    <s v="Beauty"/>
    <n v="90"/>
    <n v="199"/>
    <n v="90"/>
    <n v="109"/>
    <x v="10"/>
  </r>
  <r>
    <s v="ORD51572"/>
    <d v="2025-11-07T00:00:00"/>
    <s v="Dubai Mall"/>
    <s v="P306"/>
    <n v="2"/>
    <n v="249"/>
    <x v="5"/>
    <x v="3"/>
    <s v="Fashion"/>
    <n v="95"/>
    <n v="398.40000000000003"/>
    <n v="190"/>
    <n v="208.40000000000003"/>
    <x v="10"/>
  </r>
  <r>
    <s v="ORD51963"/>
    <d v="2025-11-07T00:00:00"/>
    <s v="Dubai Mall"/>
    <s v="P404"/>
    <n v="1"/>
    <n v="189"/>
    <x v="2"/>
    <x v="6"/>
    <s v="Beauty"/>
    <n v="85"/>
    <n v="170.1"/>
    <n v="85"/>
    <n v="85.1"/>
    <x v="10"/>
  </r>
  <r>
    <s v="ORD52225"/>
    <d v="2025-11-07T00:00:00"/>
    <s v="Online"/>
    <s v="P204"/>
    <n v="1"/>
    <n v="1199"/>
    <x v="6"/>
    <x v="27"/>
    <s v="Home &amp; Kitchen"/>
    <n v="1080"/>
    <n v="899.25"/>
    <n v="1080"/>
    <n v="-180.75"/>
    <x v="10"/>
  </r>
  <r>
    <s v="ORD52399"/>
    <d v="2025-11-07T00:00:00"/>
    <s v="Mall of the Emirates"/>
    <s v="P104"/>
    <n v="1"/>
    <n v="199"/>
    <x v="5"/>
    <x v="1"/>
    <s v="Electronics"/>
    <n v="175"/>
    <n v="159.20000000000002"/>
    <n v="175"/>
    <n v="-15.799999999999983"/>
    <x v="10"/>
  </r>
  <r>
    <s v="ORD52524"/>
    <d v="2025-11-07T00:00:00"/>
    <s v="City Centre Deira"/>
    <s v="P404"/>
    <n v="1"/>
    <n v="189"/>
    <x v="3"/>
    <x v="6"/>
    <s v="Beauty"/>
    <n v="85"/>
    <n v="189"/>
    <n v="85"/>
    <n v="104"/>
    <x v="10"/>
  </r>
  <r>
    <s v="ORD52772"/>
    <d v="2025-11-07T00:00:00"/>
    <s v="City Centre Deira"/>
    <s v="P303"/>
    <n v="1"/>
    <n v="149"/>
    <x v="5"/>
    <x v="7"/>
    <s v="Fashion"/>
    <n v="80"/>
    <n v="119.2"/>
    <n v="80"/>
    <n v="39.200000000000003"/>
    <x v="10"/>
  </r>
  <r>
    <s v="ORD52800"/>
    <d v="2025-11-07T00:00:00"/>
    <s v="City Centre Deira"/>
    <s v="P205"/>
    <n v="3"/>
    <n v="289"/>
    <x v="5"/>
    <x v="9"/>
    <s v="Home &amp; Kitchen"/>
    <n v="140"/>
    <n v="693.6"/>
    <n v="420"/>
    <n v="273.60000000000002"/>
    <x v="10"/>
  </r>
  <r>
    <s v="ORD53822"/>
    <d v="2025-11-07T00:00:00"/>
    <s v="Dubai Mall"/>
    <s v="P301"/>
    <n v="3"/>
    <n v="179"/>
    <x v="3"/>
    <x v="2"/>
    <s v="Fashion"/>
    <n v="70"/>
    <n v="537"/>
    <n v="210"/>
    <n v="327"/>
    <x v="10"/>
  </r>
  <r>
    <s v="ORD50638"/>
    <d v="2025-11-08T00:00:00"/>
    <s v="Online"/>
    <s v="P403"/>
    <n v="1"/>
    <n v="299"/>
    <x v="6"/>
    <x v="8"/>
    <s v="Beauty"/>
    <n v="240"/>
    <n v="224.25"/>
    <n v="240"/>
    <n v="-15.75"/>
    <x v="10"/>
  </r>
  <r>
    <s v="ORD51413"/>
    <d v="2025-11-08T00:00:00"/>
    <s v="Ibn Battuta Mall"/>
    <s v="P205"/>
    <n v="1"/>
    <n v="289"/>
    <x v="5"/>
    <x v="9"/>
    <s v="Home &amp; Kitchen"/>
    <n v="140"/>
    <n v="231.20000000000002"/>
    <n v="140"/>
    <n v="91.200000000000017"/>
    <x v="10"/>
  </r>
  <r>
    <s v="ORD51602"/>
    <d v="2025-11-08T00:00:00"/>
    <s v="Online"/>
    <s v="P306"/>
    <n v="1"/>
    <n v="249"/>
    <x v="5"/>
    <x v="3"/>
    <s v="Fashion"/>
    <n v="95"/>
    <n v="199.20000000000002"/>
    <n v="95"/>
    <n v="104.20000000000002"/>
    <x v="10"/>
  </r>
  <r>
    <s v="ORD52547"/>
    <d v="2025-11-08T00:00:00"/>
    <s v="Online"/>
    <s v="P102"/>
    <n v="2"/>
    <n v="249"/>
    <x v="5"/>
    <x v="13"/>
    <s v="Electronics"/>
    <n v="150"/>
    <n v="398.40000000000003"/>
    <n v="300"/>
    <n v="98.400000000000034"/>
    <x v="10"/>
  </r>
  <r>
    <s v="ORD53578"/>
    <d v="2025-11-08T00:00:00"/>
    <s v="Online"/>
    <s v="P308"/>
    <n v="3"/>
    <n v="229"/>
    <x v="5"/>
    <x v="0"/>
    <s v="Fashion"/>
    <n v="120"/>
    <n v="549.6"/>
    <n v="360"/>
    <n v="189.60000000000002"/>
    <x v="10"/>
  </r>
  <r>
    <s v="ORD50020"/>
    <d v="2025-11-09T00:00:00"/>
    <s v="Mall of the Emirates"/>
    <s v="P205"/>
    <n v="1"/>
    <n v="289"/>
    <x v="3"/>
    <x v="9"/>
    <s v="Home &amp; Kitchen"/>
    <n v="140"/>
    <n v="289"/>
    <n v="140"/>
    <n v="149"/>
    <x v="10"/>
  </r>
  <r>
    <s v="ORD50071"/>
    <d v="2025-11-09T00:00:00"/>
    <s v="Online"/>
    <s v="P107"/>
    <n v="4"/>
    <n v="89"/>
    <x v="1"/>
    <x v="29"/>
    <s v="Electronics"/>
    <n v="35"/>
    <n v="338.2"/>
    <n v="140"/>
    <n v="198.2"/>
    <x v="10"/>
  </r>
  <r>
    <s v="ORD50418"/>
    <d v="2025-11-09T00:00:00"/>
    <s v="Dubai Mall"/>
    <s v="P206"/>
    <n v="1"/>
    <n v="129"/>
    <x v="3"/>
    <x v="28"/>
    <s v="Home &amp; Kitchen"/>
    <n v="60"/>
    <n v="129"/>
    <n v="60"/>
    <n v="69"/>
    <x v="10"/>
  </r>
  <r>
    <s v="ORD50490"/>
    <d v="2025-11-09T00:00:00"/>
    <s v="Online"/>
    <s v="P308"/>
    <n v="4"/>
    <n v="229"/>
    <x v="5"/>
    <x v="0"/>
    <s v="Fashion"/>
    <n v="120"/>
    <n v="732.80000000000007"/>
    <n v="480"/>
    <n v="252.80000000000007"/>
    <x v="10"/>
  </r>
  <r>
    <s v="ORD51802"/>
    <d v="2025-11-09T00:00:00"/>
    <s v="Online"/>
    <s v="P205"/>
    <n v="2"/>
    <n v="289"/>
    <x v="5"/>
    <x v="9"/>
    <s v="Home &amp; Kitchen"/>
    <n v="140"/>
    <n v="462.40000000000003"/>
    <n v="280"/>
    <n v="182.40000000000003"/>
    <x v="10"/>
  </r>
  <r>
    <s v="ORD51942"/>
    <d v="2025-11-09T00:00:00"/>
    <s v="Online"/>
    <s v="P106"/>
    <n v="4"/>
    <n v="149"/>
    <x v="3"/>
    <x v="30"/>
    <s v="Electronics"/>
    <n v="70"/>
    <n v="596"/>
    <n v="280"/>
    <n v="316"/>
    <x v="10"/>
  </r>
  <r>
    <s v="ORD52183"/>
    <d v="2025-11-09T00:00:00"/>
    <s v="Mall of the Emirates"/>
    <s v="P104"/>
    <n v="2"/>
    <n v="199"/>
    <x v="5"/>
    <x v="1"/>
    <s v="Electronics"/>
    <n v="175"/>
    <n v="318.40000000000003"/>
    <n v="350"/>
    <n v="-31.599999999999966"/>
    <x v="10"/>
  </r>
  <r>
    <s v="ORD52321"/>
    <d v="2025-11-09T00:00:00"/>
    <s v="City Centre Deira"/>
    <s v="P208"/>
    <n v="2"/>
    <n v="259"/>
    <x v="5"/>
    <x v="22"/>
    <s v="Home &amp; Kitchen"/>
    <n v="115"/>
    <n v="414.40000000000003"/>
    <n v="230"/>
    <n v="184.40000000000003"/>
    <x v="10"/>
  </r>
  <r>
    <s v="ORD52999"/>
    <d v="2025-11-09T00:00:00"/>
    <s v="Dubai Mall"/>
    <s v="P504"/>
    <n v="1"/>
    <n v="2499"/>
    <x v="2"/>
    <x v="33"/>
    <s v="Sports"/>
    <n v="2150"/>
    <n v="2249.1"/>
    <n v="2150"/>
    <n v="99.099999999999909"/>
    <x v="10"/>
  </r>
  <r>
    <s v="ORD53167"/>
    <d v="2025-11-09T00:00:00"/>
    <s v="Ibn Battuta Mall"/>
    <s v="P406"/>
    <n v="2"/>
    <n v="199"/>
    <x v="5"/>
    <x v="4"/>
    <s v="Beauty"/>
    <n v="90"/>
    <n v="318.40000000000003"/>
    <n v="180"/>
    <n v="138.40000000000003"/>
    <x v="10"/>
  </r>
  <r>
    <s v="ORD53488"/>
    <d v="2025-11-09T00:00:00"/>
    <s v="Online"/>
    <s v="P406"/>
    <n v="1"/>
    <n v="199"/>
    <x v="5"/>
    <x v="4"/>
    <s v="Beauty"/>
    <n v="90"/>
    <n v="159.20000000000002"/>
    <n v="90"/>
    <n v="69.200000000000017"/>
    <x v="10"/>
  </r>
  <r>
    <s v="ORD54120"/>
    <d v="2025-11-09T00:00:00"/>
    <s v="Dubai Mall"/>
    <s v="P103"/>
    <n v="2"/>
    <n v="1299"/>
    <x v="3"/>
    <x v="25"/>
    <s v="Electronics"/>
    <n v="820"/>
    <n v="2598"/>
    <n v="1640"/>
    <n v="958"/>
    <x v="10"/>
  </r>
  <r>
    <s v="ORD50189"/>
    <d v="2025-11-10T00:00:00"/>
    <s v="Dubai Mall"/>
    <s v="P303"/>
    <n v="2"/>
    <n v="149"/>
    <x v="4"/>
    <x v="7"/>
    <s v="Fashion"/>
    <n v="80"/>
    <n v="208.6"/>
    <n v="160"/>
    <n v="48.599999999999994"/>
    <x v="10"/>
  </r>
  <r>
    <s v="ORD50248"/>
    <d v="2025-11-10T00:00:00"/>
    <s v="Dubai Mall"/>
    <s v="P108"/>
    <n v="1"/>
    <n v="459"/>
    <x v="3"/>
    <x v="23"/>
    <s v="Electronics"/>
    <n v="300"/>
    <n v="459"/>
    <n v="300"/>
    <n v="159"/>
    <x v="10"/>
  </r>
  <r>
    <s v="ORD50439"/>
    <d v="2025-11-10T00:00:00"/>
    <s v="Dubai Mall"/>
    <s v="P205"/>
    <n v="2"/>
    <n v="289"/>
    <x v="3"/>
    <x v="9"/>
    <s v="Home &amp; Kitchen"/>
    <n v="140"/>
    <n v="578"/>
    <n v="280"/>
    <n v="298"/>
    <x v="10"/>
  </r>
  <r>
    <s v="ORD50469"/>
    <d v="2025-11-10T00:00:00"/>
    <s v="Mall of the Emirates"/>
    <s v="P307"/>
    <n v="1"/>
    <n v="399"/>
    <x v="5"/>
    <x v="20"/>
    <s v="Fashion"/>
    <n v="210"/>
    <n v="319.20000000000005"/>
    <n v="210"/>
    <n v="109.20000000000005"/>
    <x v="10"/>
  </r>
  <r>
    <s v="ORD50794"/>
    <d v="2025-11-10T00:00:00"/>
    <s v="Dubai Mall"/>
    <s v="P104"/>
    <n v="1"/>
    <n v="199"/>
    <x v="5"/>
    <x v="1"/>
    <s v="Electronics"/>
    <n v="175"/>
    <n v="159.20000000000002"/>
    <n v="175"/>
    <n v="-15.799999999999983"/>
    <x v="10"/>
  </r>
  <r>
    <s v="ORD50948"/>
    <d v="2025-11-10T00:00:00"/>
    <s v="Dubai Mall"/>
    <s v="P107"/>
    <n v="1"/>
    <n v="89"/>
    <x v="5"/>
    <x v="29"/>
    <s v="Electronics"/>
    <n v="35"/>
    <n v="71.2"/>
    <n v="35"/>
    <n v="36.200000000000003"/>
    <x v="10"/>
  </r>
  <r>
    <s v="ORD51004"/>
    <d v="2025-11-10T00:00:00"/>
    <s v="Online"/>
    <s v="P104"/>
    <n v="2"/>
    <n v="199"/>
    <x v="5"/>
    <x v="1"/>
    <s v="Electronics"/>
    <n v="175"/>
    <n v="318.40000000000003"/>
    <n v="350"/>
    <n v="-31.599999999999966"/>
    <x v="10"/>
  </r>
  <r>
    <s v="ORD51087"/>
    <d v="2025-11-10T00:00:00"/>
    <s v="City Centre Deira"/>
    <s v="P404"/>
    <n v="1"/>
    <n v="189"/>
    <x v="5"/>
    <x v="6"/>
    <s v="Beauty"/>
    <n v="85"/>
    <n v="151.20000000000002"/>
    <n v="85"/>
    <n v="66.200000000000017"/>
    <x v="10"/>
  </r>
  <r>
    <s v="ORD51826"/>
    <d v="2025-11-10T00:00:00"/>
    <s v="Dubai Mall"/>
    <s v="P101"/>
    <n v="1"/>
    <n v="399"/>
    <x v="5"/>
    <x v="5"/>
    <s v="Electronics"/>
    <n v="230"/>
    <n v="319.20000000000005"/>
    <n v="230"/>
    <n v="89.200000000000045"/>
    <x v="10"/>
  </r>
  <r>
    <s v="ORD52409"/>
    <d v="2025-11-10T00:00:00"/>
    <s v="Online"/>
    <s v="P301"/>
    <n v="1"/>
    <n v="179"/>
    <x v="5"/>
    <x v="2"/>
    <s v="Fashion"/>
    <n v="70"/>
    <n v="143.20000000000002"/>
    <n v="70"/>
    <n v="73.200000000000017"/>
    <x v="10"/>
  </r>
  <r>
    <s v="ORD52587"/>
    <d v="2025-11-10T00:00:00"/>
    <s v="Mall of the Emirates"/>
    <s v="P402"/>
    <n v="2"/>
    <n v="149"/>
    <x v="5"/>
    <x v="17"/>
    <s v="Beauty"/>
    <n v="55"/>
    <n v="238.4"/>
    <n v="110"/>
    <n v="128.4"/>
    <x v="10"/>
  </r>
  <r>
    <s v="ORD53442"/>
    <d v="2025-11-10T00:00:00"/>
    <s v="Ibn Battuta Mall"/>
    <s v="P401"/>
    <n v="1"/>
    <n v="549"/>
    <x v="3"/>
    <x v="15"/>
    <s v="Beauty"/>
    <n v="250"/>
    <n v="549"/>
    <n v="250"/>
    <n v="299"/>
    <x v="10"/>
  </r>
  <r>
    <s v="ORD53764"/>
    <d v="2025-11-10T00:00:00"/>
    <s v="City Centre Deira"/>
    <s v="P406"/>
    <n v="2"/>
    <n v="199"/>
    <x v="5"/>
    <x v="4"/>
    <s v="Beauty"/>
    <n v="90"/>
    <n v="318.40000000000003"/>
    <n v="180"/>
    <n v="138.40000000000003"/>
    <x v="10"/>
  </r>
  <r>
    <s v="ORD54048"/>
    <d v="2025-11-10T00:00:00"/>
    <s v="Online"/>
    <s v="P301"/>
    <n v="2"/>
    <n v="179"/>
    <x v="5"/>
    <x v="2"/>
    <s v="Fashion"/>
    <n v="70"/>
    <n v="286.40000000000003"/>
    <n v="140"/>
    <n v="146.40000000000003"/>
    <x v="10"/>
  </r>
  <r>
    <s v="ORD50348"/>
    <d v="2025-11-11T00:00:00"/>
    <s v="Online"/>
    <s v="P207"/>
    <n v="2"/>
    <n v="399"/>
    <x v="5"/>
    <x v="32"/>
    <s v="Home &amp; Kitchen"/>
    <n v="250"/>
    <n v="638.40000000000009"/>
    <n v="500"/>
    <n v="138.40000000000009"/>
    <x v="10"/>
  </r>
  <r>
    <s v="ORD50781"/>
    <d v="2025-11-11T00:00:00"/>
    <s v="Online"/>
    <s v="P107"/>
    <n v="1"/>
    <n v="89"/>
    <x v="2"/>
    <x v="29"/>
    <s v="Electronics"/>
    <n v="35"/>
    <n v="80.100000000000009"/>
    <n v="35"/>
    <n v="45.100000000000009"/>
    <x v="10"/>
  </r>
  <r>
    <s v="ORD50903"/>
    <d v="2025-11-11T00:00:00"/>
    <s v="Mall of the Emirates"/>
    <s v="P401"/>
    <n v="3"/>
    <n v="549"/>
    <x v="5"/>
    <x v="15"/>
    <s v="Beauty"/>
    <n v="250"/>
    <n v="1317.6000000000001"/>
    <n v="750"/>
    <n v="567.60000000000014"/>
    <x v="10"/>
  </r>
  <r>
    <s v="ORD51200"/>
    <d v="2025-11-11T00:00:00"/>
    <s v="Dubai Mall"/>
    <s v="P206"/>
    <n v="1"/>
    <n v="129"/>
    <x v="3"/>
    <x v="28"/>
    <s v="Home &amp; Kitchen"/>
    <n v="60"/>
    <n v="129"/>
    <n v="60"/>
    <n v="69"/>
    <x v="10"/>
  </r>
  <r>
    <s v="ORD51989"/>
    <d v="2025-11-11T00:00:00"/>
    <s v="Ibn Battuta Mall"/>
    <s v="P402"/>
    <n v="1"/>
    <n v="149"/>
    <x v="3"/>
    <x v="17"/>
    <s v="Beauty"/>
    <n v="55"/>
    <n v="149"/>
    <n v="55"/>
    <n v="94"/>
    <x v="10"/>
  </r>
  <r>
    <s v="ORD52193"/>
    <d v="2025-11-11T00:00:00"/>
    <s v="Online"/>
    <s v="P308"/>
    <n v="2"/>
    <n v="229"/>
    <x v="1"/>
    <x v="0"/>
    <s v="Fashion"/>
    <n v="120"/>
    <n v="435.09999999999997"/>
    <n v="240"/>
    <n v="195.09999999999997"/>
    <x v="10"/>
  </r>
  <r>
    <s v="ORD52479"/>
    <d v="2025-11-11T00:00:00"/>
    <s v="Online"/>
    <s v="P106"/>
    <n v="2"/>
    <n v="149"/>
    <x v="5"/>
    <x v="30"/>
    <s v="Electronics"/>
    <n v="70"/>
    <n v="238.4"/>
    <n v="140"/>
    <n v="98.4"/>
    <x v="10"/>
  </r>
  <r>
    <s v="ORD52570"/>
    <d v="2025-11-11T00:00:00"/>
    <s v="Mall of the Emirates"/>
    <s v="P503"/>
    <n v="1"/>
    <n v="229"/>
    <x v="1"/>
    <x v="18"/>
    <s v="Sports"/>
    <n v="120"/>
    <n v="217.54999999999998"/>
    <n v="120"/>
    <n v="97.549999999999983"/>
    <x v="10"/>
  </r>
  <r>
    <s v="ORD53257"/>
    <d v="2025-11-11T00:00:00"/>
    <s v="Mall of the Emirates"/>
    <s v="P405"/>
    <n v="1"/>
    <n v="89"/>
    <x v="5"/>
    <x v="24"/>
    <s v="Beauty"/>
    <n v="40"/>
    <n v="71.2"/>
    <n v="40"/>
    <n v="31.200000000000003"/>
    <x v="10"/>
  </r>
  <r>
    <s v="ORD53313"/>
    <d v="2025-11-11T00:00:00"/>
    <s v="Mall of the Emirates"/>
    <s v="P205"/>
    <n v="4"/>
    <n v="289"/>
    <x v="1"/>
    <x v="9"/>
    <s v="Home &amp; Kitchen"/>
    <n v="140"/>
    <n v="1098.2"/>
    <n v="560"/>
    <n v="538.20000000000005"/>
    <x v="10"/>
  </r>
  <r>
    <s v="ORD53639"/>
    <d v="2025-11-11T00:00:00"/>
    <s v="Mall of the Emirates"/>
    <s v="P107"/>
    <n v="1"/>
    <n v="89"/>
    <x v="2"/>
    <x v="29"/>
    <s v="Electronics"/>
    <n v="35"/>
    <n v="80.100000000000009"/>
    <n v="35"/>
    <n v="45.100000000000009"/>
    <x v="10"/>
  </r>
  <r>
    <s v="ORD53855"/>
    <d v="2025-11-11T00:00:00"/>
    <s v="Mall of the Emirates"/>
    <s v="P106"/>
    <n v="2"/>
    <n v="149"/>
    <x v="5"/>
    <x v="30"/>
    <s v="Electronics"/>
    <n v="70"/>
    <n v="238.4"/>
    <n v="140"/>
    <n v="98.4"/>
    <x v="10"/>
  </r>
  <r>
    <s v="ORD54117"/>
    <d v="2025-11-11T00:00:00"/>
    <s v="Dubai Mall"/>
    <s v="P506"/>
    <n v="2"/>
    <n v="69"/>
    <x v="5"/>
    <x v="34"/>
    <s v="Sports"/>
    <n v="25"/>
    <n v="110.4"/>
    <n v="50"/>
    <n v="60.400000000000006"/>
    <x v="10"/>
  </r>
  <r>
    <s v="ORD54165"/>
    <d v="2025-11-11T00:00:00"/>
    <s v="City Centre Deira"/>
    <s v="P303"/>
    <n v="1"/>
    <n v="149"/>
    <x v="5"/>
    <x v="7"/>
    <s v="Fashion"/>
    <n v="80"/>
    <n v="119.2"/>
    <n v="80"/>
    <n v="39.200000000000003"/>
    <x v="10"/>
  </r>
  <r>
    <s v="ORD54175"/>
    <d v="2025-11-11T00:00:00"/>
    <s v="Mall of the Emirates"/>
    <s v="P501"/>
    <n v="3"/>
    <n v="129"/>
    <x v="3"/>
    <x v="12"/>
    <s v="Sports"/>
    <n v="60"/>
    <n v="387"/>
    <n v="180"/>
    <n v="207"/>
    <x v="10"/>
  </r>
  <r>
    <s v="ORD50106"/>
    <d v="2025-11-12T00:00:00"/>
    <s v="Dubai Mall"/>
    <s v="P104"/>
    <n v="1"/>
    <n v="199"/>
    <x v="6"/>
    <x v="1"/>
    <s v="Electronics"/>
    <n v="175"/>
    <n v="149.25"/>
    <n v="175"/>
    <n v="-25.75"/>
    <x v="10"/>
  </r>
  <r>
    <s v="ORD50279"/>
    <d v="2025-11-12T00:00:00"/>
    <s v="Online"/>
    <s v="P206"/>
    <n v="1"/>
    <n v="129"/>
    <x v="5"/>
    <x v="28"/>
    <s v="Home &amp; Kitchen"/>
    <n v="60"/>
    <n v="103.2"/>
    <n v="60"/>
    <n v="43.2"/>
    <x v="10"/>
  </r>
  <r>
    <s v="ORD50690"/>
    <d v="2025-11-12T00:00:00"/>
    <s v="Ibn Battuta Mall"/>
    <s v="P304"/>
    <n v="3"/>
    <n v="699"/>
    <x v="5"/>
    <x v="35"/>
    <s v="Fashion"/>
    <n v="380"/>
    <n v="1677.6000000000001"/>
    <n v="1140"/>
    <n v="537.60000000000014"/>
    <x v="10"/>
  </r>
  <r>
    <s v="ORD50798"/>
    <d v="2025-11-12T00:00:00"/>
    <s v="Online"/>
    <s v="P201"/>
    <n v="1"/>
    <n v="499"/>
    <x v="3"/>
    <x v="16"/>
    <s v="Home &amp; Kitchen"/>
    <n v="290"/>
    <n v="499"/>
    <n v="290"/>
    <n v="209"/>
    <x v="10"/>
  </r>
  <r>
    <s v="ORD50822"/>
    <d v="2025-11-12T00:00:00"/>
    <s v="Online"/>
    <s v="P307"/>
    <n v="1"/>
    <n v="399"/>
    <x v="5"/>
    <x v="20"/>
    <s v="Fashion"/>
    <n v="210"/>
    <n v="319.20000000000005"/>
    <n v="210"/>
    <n v="109.20000000000005"/>
    <x v="10"/>
  </r>
  <r>
    <s v="ORD50939"/>
    <d v="2025-11-12T00:00:00"/>
    <s v="Online"/>
    <s v="P102"/>
    <n v="1"/>
    <n v="249"/>
    <x v="3"/>
    <x v="13"/>
    <s v="Electronics"/>
    <n v="150"/>
    <n v="249"/>
    <n v="150"/>
    <n v="99"/>
    <x v="10"/>
  </r>
  <r>
    <s v="ORD51673"/>
    <d v="2025-11-12T00:00:00"/>
    <s v="Ibn Battuta Mall"/>
    <s v="P201"/>
    <n v="1"/>
    <n v="499"/>
    <x v="5"/>
    <x v="16"/>
    <s v="Home &amp; Kitchen"/>
    <n v="290"/>
    <n v="399.20000000000005"/>
    <n v="290"/>
    <n v="109.20000000000005"/>
    <x v="10"/>
  </r>
  <r>
    <s v="ORD52549"/>
    <d v="2025-11-12T00:00:00"/>
    <s v="Online"/>
    <s v="P307"/>
    <n v="3"/>
    <n v="399"/>
    <x v="0"/>
    <x v="20"/>
    <s v="Fashion"/>
    <n v="210"/>
    <n v="1017.4499999999999"/>
    <n v="630"/>
    <n v="387.44999999999993"/>
    <x v="10"/>
  </r>
  <r>
    <s v="ORD53638"/>
    <d v="2025-11-12T00:00:00"/>
    <s v="Mall of the Emirates"/>
    <s v="P104"/>
    <n v="1"/>
    <n v="199"/>
    <x v="2"/>
    <x v="1"/>
    <s v="Electronics"/>
    <n v="175"/>
    <n v="179.1"/>
    <n v="175"/>
    <n v="4.0999999999999943"/>
    <x v="10"/>
  </r>
  <r>
    <s v="ORD53683"/>
    <d v="2025-11-12T00:00:00"/>
    <s v="City Centre Deira"/>
    <s v="P403"/>
    <n v="1"/>
    <n v="299"/>
    <x v="5"/>
    <x v="8"/>
    <s v="Beauty"/>
    <n v="240"/>
    <n v="239.20000000000002"/>
    <n v="240"/>
    <n v="-0.79999999999998295"/>
    <x v="10"/>
  </r>
  <r>
    <s v="ORD53788"/>
    <d v="2025-11-12T00:00:00"/>
    <s v="Mall of the Emirates"/>
    <s v="P305"/>
    <n v="1"/>
    <n v="429"/>
    <x v="5"/>
    <x v="14"/>
    <s v="Fashion"/>
    <n v="300"/>
    <n v="343.20000000000005"/>
    <n v="300"/>
    <n v="43.200000000000045"/>
    <x v="10"/>
  </r>
  <r>
    <s v="ORD53800"/>
    <d v="2025-11-12T00:00:00"/>
    <s v="City Centre Deira"/>
    <s v="P207"/>
    <n v="1"/>
    <n v="399"/>
    <x v="5"/>
    <x v="32"/>
    <s v="Home &amp; Kitchen"/>
    <n v="250"/>
    <n v="319.20000000000005"/>
    <n v="250"/>
    <n v="69.200000000000045"/>
    <x v="10"/>
  </r>
  <r>
    <s v="ORD53840"/>
    <d v="2025-11-12T00:00:00"/>
    <s v="Dubai Mall"/>
    <s v="P107"/>
    <n v="1"/>
    <n v="89"/>
    <x v="5"/>
    <x v="29"/>
    <s v="Electronics"/>
    <n v="35"/>
    <n v="71.2"/>
    <n v="35"/>
    <n v="36.200000000000003"/>
    <x v="10"/>
  </r>
  <r>
    <s v="ORD54055"/>
    <d v="2025-11-12T00:00:00"/>
    <s v="Online"/>
    <s v="P306"/>
    <n v="2"/>
    <n v="249"/>
    <x v="3"/>
    <x v="3"/>
    <s v="Fashion"/>
    <n v="95"/>
    <n v="498"/>
    <n v="190"/>
    <n v="308"/>
    <x v="10"/>
  </r>
  <r>
    <s v="ORD51062"/>
    <d v="2025-11-13T00:00:00"/>
    <s v="Dubai Mall"/>
    <s v="P501"/>
    <n v="3"/>
    <n v="129"/>
    <x v="3"/>
    <x v="12"/>
    <s v="Sports"/>
    <n v="60"/>
    <n v="387"/>
    <n v="180"/>
    <n v="207"/>
    <x v="10"/>
  </r>
  <r>
    <s v="ORD51102"/>
    <d v="2025-11-13T00:00:00"/>
    <s v="Ibn Battuta Mall"/>
    <s v="P203"/>
    <n v="1"/>
    <n v="349"/>
    <x v="4"/>
    <x v="21"/>
    <s v="Home &amp; Kitchen"/>
    <n v="170"/>
    <n v="244.29999999999998"/>
    <n v="170"/>
    <n v="74.299999999999983"/>
    <x v="10"/>
  </r>
  <r>
    <s v="ORD51534"/>
    <d v="2025-11-13T00:00:00"/>
    <s v="Dubai Mall"/>
    <s v="P304"/>
    <n v="1"/>
    <n v="699"/>
    <x v="3"/>
    <x v="35"/>
    <s v="Fashion"/>
    <n v="380"/>
    <n v="699"/>
    <n v="380"/>
    <n v="319"/>
    <x v="10"/>
  </r>
  <r>
    <s v="ORD51694"/>
    <d v="2025-11-13T00:00:00"/>
    <s v="Online"/>
    <s v="P208"/>
    <n v="2"/>
    <n v="259"/>
    <x v="5"/>
    <x v="22"/>
    <s v="Home &amp; Kitchen"/>
    <n v="115"/>
    <n v="414.40000000000003"/>
    <n v="230"/>
    <n v="184.40000000000003"/>
    <x v="10"/>
  </r>
  <r>
    <s v="ORD51970"/>
    <d v="2025-11-13T00:00:00"/>
    <s v="Mall of the Emirates"/>
    <s v="P204"/>
    <n v="1"/>
    <n v="1199"/>
    <x v="6"/>
    <x v="27"/>
    <s v="Home &amp; Kitchen"/>
    <n v="1080"/>
    <n v="899.25"/>
    <n v="1080"/>
    <n v="-180.75"/>
    <x v="10"/>
  </r>
  <r>
    <s v="ORD52364"/>
    <d v="2025-11-13T00:00:00"/>
    <s v="Mall of the Emirates"/>
    <s v="P201"/>
    <n v="1"/>
    <n v="499"/>
    <x v="2"/>
    <x v="16"/>
    <s v="Home &amp; Kitchen"/>
    <n v="290"/>
    <n v="449.1"/>
    <n v="290"/>
    <n v="159.10000000000002"/>
    <x v="10"/>
  </r>
  <r>
    <s v="ORD52541"/>
    <d v="2025-11-13T00:00:00"/>
    <s v="Ibn Battuta Mall"/>
    <s v="P106"/>
    <n v="1"/>
    <n v="149"/>
    <x v="3"/>
    <x v="30"/>
    <s v="Electronics"/>
    <n v="70"/>
    <n v="149"/>
    <n v="70"/>
    <n v="79"/>
    <x v="10"/>
  </r>
  <r>
    <s v="ORD52588"/>
    <d v="2025-11-13T00:00:00"/>
    <s v="Dubai Mall"/>
    <s v="P402"/>
    <n v="1"/>
    <n v="149"/>
    <x v="3"/>
    <x v="17"/>
    <s v="Beauty"/>
    <n v="55"/>
    <n v="149"/>
    <n v="55"/>
    <n v="94"/>
    <x v="10"/>
  </r>
  <r>
    <s v="ORD52664"/>
    <d v="2025-11-13T00:00:00"/>
    <s v="Dubai Mall"/>
    <s v="P208"/>
    <n v="1"/>
    <n v="259"/>
    <x v="5"/>
    <x v="22"/>
    <s v="Home &amp; Kitchen"/>
    <n v="115"/>
    <n v="207.20000000000002"/>
    <n v="115"/>
    <n v="92.200000000000017"/>
    <x v="10"/>
  </r>
  <r>
    <s v="ORD53260"/>
    <d v="2025-11-13T00:00:00"/>
    <s v="Ibn Battuta Mall"/>
    <s v="P302"/>
    <n v="1"/>
    <n v="459"/>
    <x v="3"/>
    <x v="10"/>
    <s v="Fashion"/>
    <n v="190"/>
    <n v="459"/>
    <n v="190"/>
    <n v="269"/>
    <x v="10"/>
  </r>
  <r>
    <s v="ORD53435"/>
    <d v="2025-11-13T00:00:00"/>
    <s v="Online"/>
    <s v="P104"/>
    <n v="1"/>
    <n v="199"/>
    <x v="0"/>
    <x v="1"/>
    <s v="Electronics"/>
    <n v="175"/>
    <n v="169.15"/>
    <n v="175"/>
    <n v="-5.8499999999999943"/>
    <x v="10"/>
  </r>
  <r>
    <s v="ORD53758"/>
    <d v="2025-11-13T00:00:00"/>
    <s v="Ibn Battuta Mall"/>
    <s v="P401"/>
    <n v="4"/>
    <n v="549"/>
    <x v="1"/>
    <x v="15"/>
    <s v="Beauty"/>
    <n v="250"/>
    <n v="2086.1999999999998"/>
    <n v="1000"/>
    <n v="1086.1999999999998"/>
    <x v="10"/>
  </r>
  <r>
    <s v="ORD53869"/>
    <d v="2025-11-13T00:00:00"/>
    <s v="Dubai Mall"/>
    <s v="P103"/>
    <n v="1"/>
    <n v="1299"/>
    <x v="3"/>
    <x v="25"/>
    <s v="Electronics"/>
    <n v="820"/>
    <n v="1299"/>
    <n v="820"/>
    <n v="479"/>
    <x v="10"/>
  </r>
  <r>
    <s v="ORD54013"/>
    <d v="2025-11-13T00:00:00"/>
    <s v="Mall of the Emirates"/>
    <s v="P301"/>
    <n v="1"/>
    <n v="179"/>
    <x v="5"/>
    <x v="2"/>
    <s v="Fashion"/>
    <n v="70"/>
    <n v="143.20000000000002"/>
    <n v="70"/>
    <n v="73.200000000000017"/>
    <x v="10"/>
  </r>
  <r>
    <s v="ORD50167"/>
    <d v="2025-11-14T00:00:00"/>
    <s v="Ibn Battuta Mall"/>
    <s v="P201"/>
    <n v="1"/>
    <n v="499"/>
    <x v="5"/>
    <x v="16"/>
    <s v="Home &amp; Kitchen"/>
    <n v="290"/>
    <n v="399.20000000000005"/>
    <n v="290"/>
    <n v="109.20000000000005"/>
    <x v="10"/>
  </r>
  <r>
    <s v="ORD50770"/>
    <d v="2025-11-14T00:00:00"/>
    <s v="Ibn Battuta Mall"/>
    <s v="P106"/>
    <n v="1"/>
    <n v="149"/>
    <x v="5"/>
    <x v="30"/>
    <s v="Electronics"/>
    <n v="70"/>
    <n v="119.2"/>
    <n v="70"/>
    <n v="49.2"/>
    <x v="10"/>
  </r>
  <r>
    <s v="ORD50814"/>
    <d v="2025-11-14T00:00:00"/>
    <s v="City Centre Deira"/>
    <s v="P307"/>
    <n v="3"/>
    <n v="399"/>
    <x v="3"/>
    <x v="20"/>
    <s v="Fashion"/>
    <n v="210"/>
    <n v="1197"/>
    <n v="630"/>
    <n v="567"/>
    <x v="10"/>
  </r>
  <r>
    <s v="ORD50919"/>
    <d v="2025-11-14T00:00:00"/>
    <s v="City Centre Deira"/>
    <s v="P502"/>
    <n v="3"/>
    <n v="799"/>
    <x v="2"/>
    <x v="19"/>
    <s v="Sports"/>
    <n v="700"/>
    <n v="2157.3000000000002"/>
    <n v="2100"/>
    <n v="57.300000000000182"/>
    <x v="10"/>
  </r>
  <r>
    <s v="ORD51294"/>
    <d v="2025-11-14T00:00:00"/>
    <s v="Online"/>
    <s v="P102"/>
    <n v="1"/>
    <n v="249"/>
    <x v="5"/>
    <x v="13"/>
    <s v="Electronics"/>
    <n v="150"/>
    <n v="199.20000000000002"/>
    <n v="150"/>
    <n v="49.200000000000017"/>
    <x v="10"/>
  </r>
  <r>
    <s v="ORD51784"/>
    <d v="2025-11-14T00:00:00"/>
    <s v="Mall of the Emirates"/>
    <s v="P206"/>
    <n v="2"/>
    <n v="129"/>
    <x v="3"/>
    <x v="28"/>
    <s v="Home &amp; Kitchen"/>
    <n v="60"/>
    <n v="258"/>
    <n v="120"/>
    <n v="138"/>
    <x v="10"/>
  </r>
  <r>
    <s v="ORD52130"/>
    <d v="2025-11-14T00:00:00"/>
    <s v="Dubai Mall"/>
    <s v="P405"/>
    <n v="1"/>
    <n v="89"/>
    <x v="5"/>
    <x v="24"/>
    <s v="Beauty"/>
    <n v="40"/>
    <n v="71.2"/>
    <n v="40"/>
    <n v="31.200000000000003"/>
    <x v="10"/>
  </r>
  <r>
    <s v="ORD52374"/>
    <d v="2025-11-14T00:00:00"/>
    <s v="Dubai Mall"/>
    <s v="P308"/>
    <n v="3"/>
    <n v="229"/>
    <x v="0"/>
    <x v="0"/>
    <s v="Fashion"/>
    <n v="120"/>
    <n v="583.94999999999993"/>
    <n v="360"/>
    <n v="223.94999999999993"/>
    <x v="10"/>
  </r>
  <r>
    <s v="ORD53221"/>
    <d v="2025-11-14T00:00:00"/>
    <s v="Online"/>
    <s v="P106"/>
    <n v="1"/>
    <n v="149"/>
    <x v="5"/>
    <x v="30"/>
    <s v="Electronics"/>
    <n v="70"/>
    <n v="119.2"/>
    <n v="70"/>
    <n v="49.2"/>
    <x v="10"/>
  </r>
  <r>
    <s v="ORD53485"/>
    <d v="2025-11-14T00:00:00"/>
    <s v="Ibn Battuta Mall"/>
    <s v="P203"/>
    <n v="2"/>
    <n v="349"/>
    <x v="5"/>
    <x v="21"/>
    <s v="Home &amp; Kitchen"/>
    <n v="170"/>
    <n v="558.4"/>
    <n v="340"/>
    <n v="218.39999999999998"/>
    <x v="10"/>
  </r>
  <r>
    <s v="ORD53694"/>
    <d v="2025-11-14T00:00:00"/>
    <s v="Online"/>
    <s v="P306"/>
    <n v="1"/>
    <n v="249"/>
    <x v="3"/>
    <x v="3"/>
    <s v="Fashion"/>
    <n v="95"/>
    <n v="249"/>
    <n v="95"/>
    <n v="154"/>
    <x v="10"/>
  </r>
  <r>
    <s v="ORD50518"/>
    <d v="2025-11-15T00:00:00"/>
    <s v="Mall of the Emirates"/>
    <s v="P403"/>
    <n v="1"/>
    <n v="299"/>
    <x v="5"/>
    <x v="8"/>
    <s v="Beauty"/>
    <n v="240"/>
    <n v="239.20000000000002"/>
    <n v="240"/>
    <n v="-0.79999999999998295"/>
    <x v="10"/>
  </r>
  <r>
    <s v="ORD50554"/>
    <d v="2025-11-15T00:00:00"/>
    <s v="Mall of the Emirates"/>
    <s v="P404"/>
    <n v="2"/>
    <n v="189"/>
    <x v="3"/>
    <x v="6"/>
    <s v="Beauty"/>
    <n v="85"/>
    <n v="378"/>
    <n v="170"/>
    <n v="208"/>
    <x v="10"/>
  </r>
  <r>
    <s v="ORD51182"/>
    <d v="2025-11-15T00:00:00"/>
    <s v="City Centre Deira"/>
    <s v="P102"/>
    <n v="1"/>
    <n v="249"/>
    <x v="5"/>
    <x v="13"/>
    <s v="Electronics"/>
    <n v="150"/>
    <n v="199.20000000000002"/>
    <n v="150"/>
    <n v="49.200000000000017"/>
    <x v="10"/>
  </r>
  <r>
    <s v="ORD51607"/>
    <d v="2025-11-15T00:00:00"/>
    <s v="Dubai Mall"/>
    <s v="P305"/>
    <n v="1"/>
    <n v="429"/>
    <x v="5"/>
    <x v="14"/>
    <s v="Fashion"/>
    <n v="300"/>
    <n v="343.20000000000005"/>
    <n v="300"/>
    <n v="43.200000000000045"/>
    <x v="10"/>
  </r>
  <r>
    <s v="ORD53345"/>
    <d v="2025-11-15T00:00:00"/>
    <s v="Dubai Mall"/>
    <s v="P106"/>
    <n v="1"/>
    <n v="149"/>
    <x v="3"/>
    <x v="30"/>
    <s v="Electronics"/>
    <n v="70"/>
    <n v="149"/>
    <n v="70"/>
    <n v="79"/>
    <x v="10"/>
  </r>
  <r>
    <s v="ORD53573"/>
    <d v="2025-11-15T00:00:00"/>
    <s v="City Centre Deira"/>
    <s v="P402"/>
    <n v="1"/>
    <n v="149"/>
    <x v="5"/>
    <x v="17"/>
    <s v="Beauty"/>
    <n v="55"/>
    <n v="119.2"/>
    <n v="55"/>
    <n v="64.2"/>
    <x v="10"/>
  </r>
  <r>
    <s v="ORD53781"/>
    <d v="2025-11-15T00:00:00"/>
    <s v="City Centre Deira"/>
    <s v="P208"/>
    <n v="3"/>
    <n v="259"/>
    <x v="3"/>
    <x v="22"/>
    <s v="Home &amp; Kitchen"/>
    <n v="115"/>
    <n v="777"/>
    <n v="345"/>
    <n v="432"/>
    <x v="10"/>
  </r>
  <r>
    <s v="ORD53797"/>
    <d v="2025-11-15T00:00:00"/>
    <s v="Ibn Battuta Mall"/>
    <s v="P503"/>
    <n v="2"/>
    <n v="229"/>
    <x v="5"/>
    <x v="18"/>
    <s v="Sports"/>
    <n v="120"/>
    <n v="366.40000000000003"/>
    <n v="240"/>
    <n v="126.40000000000003"/>
    <x v="10"/>
  </r>
  <r>
    <s v="ORD50050"/>
    <d v="2025-11-16T00:00:00"/>
    <s v="Dubai Mall"/>
    <s v="P301"/>
    <n v="1"/>
    <n v="179"/>
    <x v="5"/>
    <x v="2"/>
    <s v="Fashion"/>
    <n v="70"/>
    <n v="143.20000000000002"/>
    <n v="70"/>
    <n v="73.200000000000017"/>
    <x v="10"/>
  </r>
  <r>
    <s v="ORD50203"/>
    <d v="2025-11-16T00:00:00"/>
    <s v="Ibn Battuta Mall"/>
    <s v="P501"/>
    <n v="1"/>
    <n v="129"/>
    <x v="3"/>
    <x v="12"/>
    <s v="Sports"/>
    <n v="60"/>
    <n v="129"/>
    <n v="60"/>
    <n v="69"/>
    <x v="10"/>
  </r>
  <r>
    <s v="ORD50322"/>
    <d v="2025-11-16T00:00:00"/>
    <s v="Ibn Battuta Mall"/>
    <s v="P101"/>
    <n v="1"/>
    <n v="399"/>
    <x v="5"/>
    <x v="5"/>
    <s v="Electronics"/>
    <n v="230"/>
    <n v="319.20000000000005"/>
    <n v="230"/>
    <n v="89.200000000000045"/>
    <x v="10"/>
  </r>
  <r>
    <s v="ORD50397"/>
    <d v="2025-11-16T00:00:00"/>
    <s v="Dubai Mall"/>
    <s v="P104"/>
    <n v="1"/>
    <n v="199"/>
    <x v="5"/>
    <x v="1"/>
    <s v="Electronics"/>
    <n v="175"/>
    <n v="159.20000000000002"/>
    <n v="175"/>
    <n v="-15.799999999999983"/>
    <x v="10"/>
  </r>
  <r>
    <s v="ORD50897"/>
    <d v="2025-11-16T00:00:00"/>
    <s v="Mall of the Emirates"/>
    <s v="P106"/>
    <n v="4"/>
    <n v="149"/>
    <x v="2"/>
    <x v="30"/>
    <s v="Electronics"/>
    <n v="70"/>
    <n v="536.4"/>
    <n v="280"/>
    <n v="256.39999999999998"/>
    <x v="10"/>
  </r>
  <r>
    <s v="ORD50954"/>
    <d v="2025-11-16T00:00:00"/>
    <s v="Mall of the Emirates"/>
    <s v="P305"/>
    <n v="1"/>
    <n v="429"/>
    <x v="3"/>
    <x v="14"/>
    <s v="Fashion"/>
    <n v="300"/>
    <n v="429"/>
    <n v="300"/>
    <n v="129"/>
    <x v="10"/>
  </r>
  <r>
    <s v="ORD51033"/>
    <d v="2025-11-16T00:00:00"/>
    <s v="Mall of the Emirates"/>
    <s v="P308"/>
    <n v="1"/>
    <n v="229"/>
    <x v="2"/>
    <x v="0"/>
    <s v="Fashion"/>
    <n v="120"/>
    <n v="206.1"/>
    <n v="120"/>
    <n v="86.1"/>
    <x v="10"/>
  </r>
  <r>
    <s v="ORD51041"/>
    <d v="2025-11-16T00:00:00"/>
    <s v="Dubai Mall"/>
    <s v="P207"/>
    <n v="2"/>
    <n v="399"/>
    <x v="5"/>
    <x v="32"/>
    <s v="Home &amp; Kitchen"/>
    <n v="250"/>
    <n v="638.40000000000009"/>
    <n v="500"/>
    <n v="138.40000000000009"/>
    <x v="10"/>
  </r>
  <r>
    <s v="ORD51551"/>
    <d v="2025-11-16T00:00:00"/>
    <s v="City Centre Deira"/>
    <s v="P302"/>
    <n v="1"/>
    <n v="459"/>
    <x v="3"/>
    <x v="10"/>
    <s v="Fashion"/>
    <n v="190"/>
    <n v="459"/>
    <n v="190"/>
    <n v="269"/>
    <x v="10"/>
  </r>
  <r>
    <s v="ORD51869"/>
    <d v="2025-11-16T00:00:00"/>
    <s v="Ibn Battuta Mall"/>
    <s v="P404"/>
    <n v="1"/>
    <n v="189"/>
    <x v="4"/>
    <x v="6"/>
    <s v="Beauty"/>
    <n v="85"/>
    <n v="132.29999999999998"/>
    <n v="85"/>
    <n v="47.299999999999983"/>
    <x v="10"/>
  </r>
  <r>
    <s v="ORD52720"/>
    <d v="2025-11-16T00:00:00"/>
    <s v="Dubai Mall"/>
    <s v="P106"/>
    <n v="2"/>
    <n v="149"/>
    <x v="5"/>
    <x v="30"/>
    <s v="Electronics"/>
    <n v="70"/>
    <n v="238.4"/>
    <n v="140"/>
    <n v="98.4"/>
    <x v="10"/>
  </r>
  <r>
    <s v="ORD52722"/>
    <d v="2025-11-16T00:00:00"/>
    <s v="Ibn Battuta Mall"/>
    <s v="P303"/>
    <n v="1"/>
    <n v="149"/>
    <x v="4"/>
    <x v="7"/>
    <s v="Fashion"/>
    <n v="80"/>
    <n v="104.3"/>
    <n v="80"/>
    <n v="24.299999999999997"/>
    <x v="10"/>
  </r>
  <r>
    <s v="ORD52947"/>
    <d v="2025-11-16T00:00:00"/>
    <s v="Online"/>
    <s v="P103"/>
    <n v="1"/>
    <n v="1299"/>
    <x v="4"/>
    <x v="25"/>
    <s v="Electronics"/>
    <n v="820"/>
    <n v="909.3"/>
    <n v="820"/>
    <n v="89.299999999999955"/>
    <x v="10"/>
  </r>
  <r>
    <s v="ORD53069"/>
    <d v="2025-11-16T00:00:00"/>
    <s v="Online"/>
    <s v="P504"/>
    <n v="1"/>
    <n v="2499"/>
    <x v="5"/>
    <x v="33"/>
    <s v="Sports"/>
    <n v="2150"/>
    <n v="1999.2"/>
    <n v="2150"/>
    <n v="-150.79999999999995"/>
    <x v="10"/>
  </r>
  <r>
    <s v="ORD53136"/>
    <d v="2025-11-16T00:00:00"/>
    <s v="City Centre Deira"/>
    <s v="P102"/>
    <n v="1"/>
    <n v="249"/>
    <x v="3"/>
    <x v="13"/>
    <s v="Electronics"/>
    <n v="150"/>
    <n v="249"/>
    <n v="150"/>
    <n v="99"/>
    <x v="10"/>
  </r>
  <r>
    <s v="ORD54061"/>
    <d v="2025-11-16T00:00:00"/>
    <s v="Online"/>
    <s v="P102"/>
    <n v="1"/>
    <n v="249"/>
    <x v="5"/>
    <x v="13"/>
    <s v="Electronics"/>
    <n v="150"/>
    <n v="199.20000000000002"/>
    <n v="150"/>
    <n v="49.200000000000017"/>
    <x v="10"/>
  </r>
  <r>
    <s v="ORD50536"/>
    <d v="2025-11-17T00:00:00"/>
    <s v="Online"/>
    <s v="P406"/>
    <n v="1"/>
    <n v="199"/>
    <x v="5"/>
    <x v="4"/>
    <s v="Beauty"/>
    <n v="90"/>
    <n v="159.20000000000002"/>
    <n v="90"/>
    <n v="69.200000000000017"/>
    <x v="10"/>
  </r>
  <r>
    <s v="ORD51536"/>
    <d v="2025-11-17T00:00:00"/>
    <s v="Online"/>
    <s v="P301"/>
    <n v="2"/>
    <n v="179"/>
    <x v="5"/>
    <x v="2"/>
    <s v="Fashion"/>
    <n v="70"/>
    <n v="286.40000000000003"/>
    <n v="140"/>
    <n v="146.40000000000003"/>
    <x v="10"/>
  </r>
  <r>
    <s v="ORD51932"/>
    <d v="2025-11-17T00:00:00"/>
    <s v="Dubai Mall"/>
    <s v="P108"/>
    <n v="2"/>
    <n v="459"/>
    <x v="3"/>
    <x v="23"/>
    <s v="Electronics"/>
    <n v="300"/>
    <n v="918"/>
    <n v="600"/>
    <n v="318"/>
    <x v="10"/>
  </r>
  <r>
    <s v="ORD52689"/>
    <d v="2025-11-17T00:00:00"/>
    <s v="Online"/>
    <s v="P101"/>
    <n v="1"/>
    <n v="399"/>
    <x v="3"/>
    <x v="5"/>
    <s v="Electronics"/>
    <n v="230"/>
    <n v="399"/>
    <n v="230"/>
    <n v="169"/>
    <x v="10"/>
  </r>
  <r>
    <s v="ORD52732"/>
    <d v="2025-11-17T00:00:00"/>
    <s v="Online"/>
    <s v="P308"/>
    <n v="1"/>
    <n v="229"/>
    <x v="5"/>
    <x v="0"/>
    <s v="Fashion"/>
    <n v="120"/>
    <n v="183.20000000000002"/>
    <n v="120"/>
    <n v="63.200000000000017"/>
    <x v="10"/>
  </r>
  <r>
    <s v="ORD52735"/>
    <d v="2025-11-17T00:00:00"/>
    <s v="Mall of the Emirates"/>
    <s v="P308"/>
    <n v="2"/>
    <n v="229"/>
    <x v="5"/>
    <x v="0"/>
    <s v="Fashion"/>
    <n v="120"/>
    <n v="366.40000000000003"/>
    <n v="240"/>
    <n v="126.40000000000003"/>
    <x v="10"/>
  </r>
  <r>
    <s v="ORD53934"/>
    <d v="2025-11-17T00:00:00"/>
    <s v="Online"/>
    <s v="P505"/>
    <n v="1"/>
    <n v="99"/>
    <x v="3"/>
    <x v="11"/>
    <s v="Sports"/>
    <n v="45"/>
    <n v="99"/>
    <n v="45"/>
    <n v="54"/>
    <x v="10"/>
  </r>
  <r>
    <s v="ORD50126"/>
    <d v="2025-11-18T00:00:00"/>
    <s v="Mall of the Emirates"/>
    <s v="P102"/>
    <n v="1"/>
    <n v="249"/>
    <x v="5"/>
    <x v="13"/>
    <s v="Electronics"/>
    <n v="150"/>
    <n v="199.20000000000002"/>
    <n v="150"/>
    <n v="49.200000000000017"/>
    <x v="10"/>
  </r>
  <r>
    <s v="ORD50337"/>
    <d v="2025-11-18T00:00:00"/>
    <s v="Mall of the Emirates"/>
    <s v="P301"/>
    <n v="1"/>
    <n v="179"/>
    <x v="5"/>
    <x v="2"/>
    <s v="Fashion"/>
    <n v="70"/>
    <n v="143.20000000000002"/>
    <n v="70"/>
    <n v="73.200000000000017"/>
    <x v="10"/>
  </r>
  <r>
    <s v="ORD50895"/>
    <d v="2025-11-18T00:00:00"/>
    <s v="City Centre Deira"/>
    <s v="P208"/>
    <n v="1"/>
    <n v="259"/>
    <x v="5"/>
    <x v="22"/>
    <s v="Home &amp; Kitchen"/>
    <n v="115"/>
    <n v="207.20000000000002"/>
    <n v="115"/>
    <n v="92.200000000000017"/>
    <x v="10"/>
  </r>
  <r>
    <s v="ORD51227"/>
    <d v="2025-11-18T00:00:00"/>
    <s v="Dubai Mall"/>
    <s v="P402"/>
    <n v="2"/>
    <n v="149"/>
    <x v="2"/>
    <x v="17"/>
    <s v="Beauty"/>
    <n v="55"/>
    <n v="268.2"/>
    <n v="110"/>
    <n v="158.19999999999999"/>
    <x v="10"/>
  </r>
  <r>
    <s v="ORD51921"/>
    <d v="2025-11-18T00:00:00"/>
    <s v="Ibn Battuta Mall"/>
    <s v="P201"/>
    <n v="1"/>
    <n v="499"/>
    <x v="5"/>
    <x v="16"/>
    <s v="Home &amp; Kitchen"/>
    <n v="290"/>
    <n v="399.20000000000005"/>
    <n v="290"/>
    <n v="109.20000000000005"/>
    <x v="10"/>
  </r>
  <r>
    <s v="ORD52945"/>
    <d v="2025-11-18T00:00:00"/>
    <s v="Dubai Mall"/>
    <s v="P304"/>
    <n v="1"/>
    <n v="699"/>
    <x v="4"/>
    <x v="35"/>
    <s v="Fashion"/>
    <n v="380"/>
    <n v="489.29999999999995"/>
    <n v="380"/>
    <n v="109.29999999999995"/>
    <x v="10"/>
  </r>
  <r>
    <s v="ORD53042"/>
    <d v="2025-11-18T00:00:00"/>
    <s v="Dubai Mall"/>
    <s v="P406"/>
    <n v="1"/>
    <n v="199"/>
    <x v="5"/>
    <x v="4"/>
    <s v="Beauty"/>
    <n v="90"/>
    <n v="159.20000000000002"/>
    <n v="90"/>
    <n v="69.200000000000017"/>
    <x v="10"/>
  </r>
  <r>
    <s v="ORD53068"/>
    <d v="2025-11-18T00:00:00"/>
    <s v="Online"/>
    <s v="P304"/>
    <n v="1"/>
    <n v="699"/>
    <x v="5"/>
    <x v="35"/>
    <s v="Fashion"/>
    <n v="380"/>
    <n v="559.20000000000005"/>
    <n v="380"/>
    <n v="179.20000000000005"/>
    <x v="10"/>
  </r>
  <r>
    <s v="ORD50013"/>
    <d v="2025-11-19T00:00:00"/>
    <s v="City Centre Deira"/>
    <s v="P107"/>
    <n v="1"/>
    <n v="89"/>
    <x v="5"/>
    <x v="29"/>
    <s v="Electronics"/>
    <n v="35"/>
    <n v="71.2"/>
    <n v="35"/>
    <n v="36.200000000000003"/>
    <x v="10"/>
  </r>
  <r>
    <s v="ORD50098"/>
    <d v="2025-11-19T00:00:00"/>
    <s v="Ibn Battuta Mall"/>
    <s v="P503"/>
    <n v="1"/>
    <n v="229"/>
    <x v="5"/>
    <x v="18"/>
    <s v="Sports"/>
    <n v="120"/>
    <n v="183.20000000000002"/>
    <n v="120"/>
    <n v="63.200000000000017"/>
    <x v="10"/>
  </r>
  <r>
    <s v="ORD51035"/>
    <d v="2025-11-19T00:00:00"/>
    <s v="Online"/>
    <s v="P405"/>
    <n v="4"/>
    <n v="89"/>
    <x v="3"/>
    <x v="24"/>
    <s v="Beauty"/>
    <n v="40"/>
    <n v="356"/>
    <n v="160"/>
    <n v="196"/>
    <x v="10"/>
  </r>
  <r>
    <s v="ORD51073"/>
    <d v="2025-11-19T00:00:00"/>
    <s v="Online"/>
    <s v="P405"/>
    <n v="1"/>
    <n v="89"/>
    <x v="1"/>
    <x v="24"/>
    <s v="Beauty"/>
    <n v="40"/>
    <n v="84.55"/>
    <n v="40"/>
    <n v="44.55"/>
    <x v="10"/>
  </r>
  <r>
    <s v="ORD51208"/>
    <d v="2025-11-19T00:00:00"/>
    <s v="Online"/>
    <s v="P107"/>
    <n v="1"/>
    <n v="89"/>
    <x v="5"/>
    <x v="29"/>
    <s v="Electronics"/>
    <n v="35"/>
    <n v="71.2"/>
    <n v="35"/>
    <n v="36.200000000000003"/>
    <x v="10"/>
  </r>
  <r>
    <s v="ORD51258"/>
    <d v="2025-11-19T00:00:00"/>
    <s v="Online"/>
    <s v="P301"/>
    <n v="1"/>
    <n v="179"/>
    <x v="1"/>
    <x v="2"/>
    <s v="Fashion"/>
    <n v="70"/>
    <n v="170.04999999999998"/>
    <n v="70"/>
    <n v="100.04999999999998"/>
    <x v="10"/>
  </r>
  <r>
    <s v="ORD51382"/>
    <d v="2025-11-19T00:00:00"/>
    <s v="Mall of the Emirates"/>
    <s v="P201"/>
    <n v="2"/>
    <n v="499"/>
    <x v="5"/>
    <x v="16"/>
    <s v="Home &amp; Kitchen"/>
    <n v="290"/>
    <n v="798.40000000000009"/>
    <n v="580"/>
    <n v="218.40000000000009"/>
    <x v="10"/>
  </r>
  <r>
    <s v="ORD51529"/>
    <d v="2025-11-19T00:00:00"/>
    <s v="Dubai Mall"/>
    <s v="P307"/>
    <n v="3"/>
    <n v="399"/>
    <x v="5"/>
    <x v="20"/>
    <s v="Fashion"/>
    <n v="210"/>
    <n v="957.6"/>
    <n v="630"/>
    <n v="327.60000000000002"/>
    <x v="10"/>
  </r>
  <r>
    <s v="ORD52380"/>
    <d v="2025-11-19T00:00:00"/>
    <s v="Online"/>
    <s v="P405"/>
    <n v="1"/>
    <n v="89"/>
    <x v="3"/>
    <x v="24"/>
    <s v="Beauty"/>
    <n v="40"/>
    <n v="89"/>
    <n v="40"/>
    <n v="49"/>
    <x v="10"/>
  </r>
  <r>
    <s v="ORD52895"/>
    <d v="2025-11-19T00:00:00"/>
    <s v="Ibn Battuta Mall"/>
    <s v="P503"/>
    <n v="1"/>
    <n v="229"/>
    <x v="3"/>
    <x v="18"/>
    <s v="Sports"/>
    <n v="120"/>
    <n v="229"/>
    <n v="120"/>
    <n v="109"/>
    <x v="10"/>
  </r>
  <r>
    <s v="ORD53126"/>
    <d v="2025-11-19T00:00:00"/>
    <s v="Mall of the Emirates"/>
    <s v="P106"/>
    <n v="4"/>
    <n v="149"/>
    <x v="1"/>
    <x v="30"/>
    <s v="Electronics"/>
    <n v="70"/>
    <n v="566.19999999999993"/>
    <n v="280"/>
    <n v="286.19999999999993"/>
    <x v="10"/>
  </r>
  <r>
    <s v="ORD53142"/>
    <d v="2025-11-19T00:00:00"/>
    <s v="Dubai Mall"/>
    <s v="P108"/>
    <n v="1"/>
    <n v="459"/>
    <x v="5"/>
    <x v="23"/>
    <s v="Electronics"/>
    <n v="300"/>
    <n v="367.20000000000005"/>
    <n v="300"/>
    <n v="67.200000000000045"/>
    <x v="10"/>
  </r>
  <r>
    <s v="ORD53701"/>
    <d v="2025-11-19T00:00:00"/>
    <s v="Online"/>
    <s v="P102"/>
    <n v="2"/>
    <n v="249"/>
    <x v="1"/>
    <x v="13"/>
    <s v="Electronics"/>
    <n v="150"/>
    <n v="473.09999999999997"/>
    <n v="300"/>
    <n v="173.09999999999997"/>
    <x v="10"/>
  </r>
  <r>
    <s v="ORD54041"/>
    <d v="2025-11-19T00:00:00"/>
    <s v="Mall of the Emirates"/>
    <s v="P405"/>
    <n v="2"/>
    <n v="89"/>
    <x v="1"/>
    <x v="24"/>
    <s v="Beauty"/>
    <n v="40"/>
    <n v="169.1"/>
    <n v="80"/>
    <n v="89.1"/>
    <x v="10"/>
  </r>
  <r>
    <s v="ORD50270"/>
    <d v="2025-11-20T00:00:00"/>
    <s v="Online"/>
    <s v="P201"/>
    <n v="1"/>
    <n v="499"/>
    <x v="1"/>
    <x v="16"/>
    <s v="Home &amp; Kitchen"/>
    <n v="290"/>
    <n v="474.04999999999995"/>
    <n v="290"/>
    <n v="184.04999999999995"/>
    <x v="10"/>
  </r>
  <r>
    <s v="ORD50411"/>
    <d v="2025-11-20T00:00:00"/>
    <s v="City Centre Deira"/>
    <s v="P201"/>
    <n v="1"/>
    <n v="499"/>
    <x v="5"/>
    <x v="16"/>
    <s v="Home &amp; Kitchen"/>
    <n v="290"/>
    <n v="399.20000000000005"/>
    <n v="290"/>
    <n v="109.20000000000005"/>
    <x v="10"/>
  </r>
  <r>
    <s v="ORD50765"/>
    <d v="2025-11-20T00:00:00"/>
    <s v="City Centre Deira"/>
    <s v="P406"/>
    <n v="2"/>
    <n v="199"/>
    <x v="1"/>
    <x v="4"/>
    <s v="Beauty"/>
    <n v="90"/>
    <n v="378.09999999999997"/>
    <n v="180"/>
    <n v="198.09999999999997"/>
    <x v="10"/>
  </r>
  <r>
    <s v="ORD50878"/>
    <d v="2025-11-20T00:00:00"/>
    <s v="Online"/>
    <s v="P104"/>
    <n v="1"/>
    <n v="199"/>
    <x v="2"/>
    <x v="1"/>
    <s v="Electronics"/>
    <n v="175"/>
    <n v="179.1"/>
    <n v="175"/>
    <n v="4.0999999999999943"/>
    <x v="10"/>
  </r>
  <r>
    <s v="ORD51678"/>
    <d v="2025-11-20T00:00:00"/>
    <s v="Online"/>
    <s v="P104"/>
    <n v="3"/>
    <n v="199"/>
    <x v="6"/>
    <x v="1"/>
    <s v="Electronics"/>
    <n v="175"/>
    <n v="447.75"/>
    <n v="525"/>
    <n v="-77.25"/>
    <x v="10"/>
  </r>
  <r>
    <s v="ORD51797"/>
    <d v="2025-11-20T00:00:00"/>
    <s v="City Centre Deira"/>
    <s v="P108"/>
    <n v="1"/>
    <n v="459"/>
    <x v="5"/>
    <x v="23"/>
    <s v="Electronics"/>
    <n v="300"/>
    <n v="367.20000000000005"/>
    <n v="300"/>
    <n v="67.200000000000045"/>
    <x v="10"/>
  </r>
  <r>
    <s v="ORD52200"/>
    <d v="2025-11-20T00:00:00"/>
    <s v="Mall of the Emirates"/>
    <s v="P306"/>
    <n v="1"/>
    <n v="249"/>
    <x v="2"/>
    <x v="3"/>
    <s v="Fashion"/>
    <n v="95"/>
    <n v="224.1"/>
    <n v="95"/>
    <n v="129.1"/>
    <x v="10"/>
  </r>
  <r>
    <s v="ORD52213"/>
    <d v="2025-11-20T00:00:00"/>
    <s v="Mall of the Emirates"/>
    <s v="P502"/>
    <n v="3"/>
    <n v="799"/>
    <x v="5"/>
    <x v="19"/>
    <s v="Sports"/>
    <n v="700"/>
    <n v="1917.6000000000001"/>
    <n v="2100"/>
    <n v="-182.39999999999986"/>
    <x v="10"/>
  </r>
  <r>
    <s v="ORD52388"/>
    <d v="2025-11-20T00:00:00"/>
    <s v="City Centre Deira"/>
    <s v="P402"/>
    <n v="1"/>
    <n v="149"/>
    <x v="3"/>
    <x v="17"/>
    <s v="Beauty"/>
    <n v="55"/>
    <n v="149"/>
    <n v="55"/>
    <n v="94"/>
    <x v="10"/>
  </r>
  <r>
    <s v="ORD52436"/>
    <d v="2025-11-20T00:00:00"/>
    <s v="Mall of the Emirates"/>
    <s v="P404"/>
    <n v="1"/>
    <n v="189"/>
    <x v="3"/>
    <x v="6"/>
    <s v="Beauty"/>
    <n v="85"/>
    <n v="189"/>
    <n v="85"/>
    <n v="104"/>
    <x v="10"/>
  </r>
  <r>
    <s v="ORD52442"/>
    <d v="2025-11-20T00:00:00"/>
    <s v="Online"/>
    <s v="P308"/>
    <n v="2"/>
    <n v="229"/>
    <x v="3"/>
    <x v="0"/>
    <s v="Fashion"/>
    <n v="120"/>
    <n v="458"/>
    <n v="240"/>
    <n v="218"/>
    <x v="10"/>
  </r>
  <r>
    <s v="ORD52802"/>
    <d v="2025-11-20T00:00:00"/>
    <s v="Ibn Battuta Mall"/>
    <s v="P406"/>
    <n v="1"/>
    <n v="199"/>
    <x v="5"/>
    <x v="4"/>
    <s v="Beauty"/>
    <n v="90"/>
    <n v="159.20000000000002"/>
    <n v="90"/>
    <n v="69.200000000000017"/>
    <x v="10"/>
  </r>
  <r>
    <s v="ORD50233"/>
    <d v="2025-11-21T00:00:00"/>
    <s v="Ibn Battuta Mall"/>
    <s v="P308"/>
    <n v="4"/>
    <n v="229"/>
    <x v="3"/>
    <x v="0"/>
    <s v="Fashion"/>
    <n v="120"/>
    <n v="916"/>
    <n v="480"/>
    <n v="436"/>
    <x v="10"/>
  </r>
  <r>
    <s v="ORD50482"/>
    <d v="2025-11-21T00:00:00"/>
    <s v="Mall of the Emirates"/>
    <s v="P303"/>
    <n v="1"/>
    <n v="149"/>
    <x v="5"/>
    <x v="7"/>
    <s v="Fashion"/>
    <n v="80"/>
    <n v="119.2"/>
    <n v="80"/>
    <n v="39.200000000000003"/>
    <x v="10"/>
  </r>
  <r>
    <s v="ORD51922"/>
    <d v="2025-11-21T00:00:00"/>
    <s v="City Centre Deira"/>
    <s v="P406"/>
    <n v="2"/>
    <n v="199"/>
    <x v="5"/>
    <x v="4"/>
    <s v="Beauty"/>
    <n v="90"/>
    <n v="318.40000000000003"/>
    <n v="180"/>
    <n v="138.40000000000003"/>
    <x v="10"/>
  </r>
  <r>
    <s v="ORD51979"/>
    <d v="2025-11-21T00:00:00"/>
    <s v="Online"/>
    <s v="P304"/>
    <n v="1"/>
    <n v="699"/>
    <x v="5"/>
    <x v="35"/>
    <s v="Fashion"/>
    <n v="380"/>
    <n v="559.20000000000005"/>
    <n v="380"/>
    <n v="179.20000000000005"/>
    <x v="10"/>
  </r>
  <r>
    <s v="ORD52113"/>
    <d v="2025-11-21T00:00:00"/>
    <s v="Online"/>
    <s v="P403"/>
    <n v="1"/>
    <n v="299"/>
    <x v="5"/>
    <x v="8"/>
    <s v="Beauty"/>
    <n v="240"/>
    <n v="239.20000000000002"/>
    <n v="240"/>
    <n v="-0.79999999999998295"/>
    <x v="10"/>
  </r>
  <r>
    <s v="ORD52161"/>
    <d v="2025-11-21T00:00:00"/>
    <s v="Mall of the Emirates"/>
    <s v="P308"/>
    <n v="1"/>
    <n v="229"/>
    <x v="2"/>
    <x v="0"/>
    <s v="Fashion"/>
    <n v="120"/>
    <n v="206.1"/>
    <n v="120"/>
    <n v="86.1"/>
    <x v="10"/>
  </r>
  <r>
    <s v="ORD52662"/>
    <d v="2025-11-21T00:00:00"/>
    <s v="Dubai Mall"/>
    <s v="P308"/>
    <n v="1"/>
    <n v="229"/>
    <x v="2"/>
    <x v="0"/>
    <s v="Fashion"/>
    <n v="120"/>
    <n v="206.1"/>
    <n v="120"/>
    <n v="86.1"/>
    <x v="10"/>
  </r>
  <r>
    <s v="ORD52700"/>
    <d v="2025-11-21T00:00:00"/>
    <s v="Online"/>
    <s v="P306"/>
    <n v="1"/>
    <n v="249"/>
    <x v="5"/>
    <x v="3"/>
    <s v="Fashion"/>
    <n v="95"/>
    <n v="199.20000000000002"/>
    <n v="95"/>
    <n v="104.20000000000002"/>
    <x v="10"/>
  </r>
  <r>
    <s v="ORD52935"/>
    <d v="2025-11-21T00:00:00"/>
    <s v="Mall of the Emirates"/>
    <s v="P102"/>
    <n v="2"/>
    <n v="249"/>
    <x v="5"/>
    <x v="13"/>
    <s v="Electronics"/>
    <n v="150"/>
    <n v="398.40000000000003"/>
    <n v="300"/>
    <n v="98.400000000000034"/>
    <x v="10"/>
  </r>
  <r>
    <s v="ORD53853"/>
    <d v="2025-11-21T00:00:00"/>
    <s v="Dubai Mall"/>
    <s v="P105"/>
    <n v="2"/>
    <n v="899"/>
    <x v="5"/>
    <x v="31"/>
    <s v="Electronics"/>
    <n v="610"/>
    <n v="1438.4"/>
    <n v="1220"/>
    <n v="218.40000000000009"/>
    <x v="10"/>
  </r>
  <r>
    <s v="ORD50848"/>
    <d v="2025-11-22T00:00:00"/>
    <s v="City Centre Deira"/>
    <s v="P305"/>
    <n v="1"/>
    <n v="429"/>
    <x v="0"/>
    <x v="14"/>
    <s v="Fashion"/>
    <n v="300"/>
    <n v="364.65"/>
    <n v="300"/>
    <n v="64.649999999999977"/>
    <x v="10"/>
  </r>
  <r>
    <s v="ORD50851"/>
    <d v="2025-11-22T00:00:00"/>
    <s v="Ibn Battuta Mall"/>
    <s v="P306"/>
    <n v="2"/>
    <n v="249"/>
    <x v="5"/>
    <x v="3"/>
    <s v="Fashion"/>
    <n v="95"/>
    <n v="398.40000000000003"/>
    <n v="190"/>
    <n v="208.40000000000003"/>
    <x v="10"/>
  </r>
  <r>
    <s v="ORD51002"/>
    <d v="2025-11-22T00:00:00"/>
    <s v="Ibn Battuta Mall"/>
    <s v="P402"/>
    <n v="1"/>
    <n v="149"/>
    <x v="5"/>
    <x v="17"/>
    <s v="Beauty"/>
    <n v="55"/>
    <n v="119.2"/>
    <n v="55"/>
    <n v="64.2"/>
    <x v="10"/>
  </r>
  <r>
    <s v="ORD51106"/>
    <d v="2025-11-22T00:00:00"/>
    <s v="Dubai Mall"/>
    <s v="P405"/>
    <n v="1"/>
    <n v="89"/>
    <x v="4"/>
    <x v="24"/>
    <s v="Beauty"/>
    <n v="40"/>
    <n v="62.3"/>
    <n v="40"/>
    <n v="22.299999999999997"/>
    <x v="10"/>
  </r>
  <r>
    <s v="ORD51188"/>
    <d v="2025-11-22T00:00:00"/>
    <s v="Mall of the Emirates"/>
    <s v="P307"/>
    <n v="1"/>
    <n v="399"/>
    <x v="2"/>
    <x v="20"/>
    <s v="Fashion"/>
    <n v="210"/>
    <n v="359.1"/>
    <n v="210"/>
    <n v="149.10000000000002"/>
    <x v="10"/>
  </r>
  <r>
    <s v="ORD51997"/>
    <d v="2025-11-22T00:00:00"/>
    <s v="Online"/>
    <s v="P203"/>
    <n v="1"/>
    <n v="349"/>
    <x v="3"/>
    <x v="21"/>
    <s v="Home &amp; Kitchen"/>
    <n v="170"/>
    <n v="349"/>
    <n v="170"/>
    <n v="179"/>
    <x v="10"/>
  </r>
  <r>
    <s v="ORD52135"/>
    <d v="2025-11-22T00:00:00"/>
    <s v="Dubai Mall"/>
    <s v="P303"/>
    <n v="1"/>
    <n v="149"/>
    <x v="3"/>
    <x v="7"/>
    <s v="Fashion"/>
    <n v="80"/>
    <n v="149"/>
    <n v="80"/>
    <n v="69"/>
    <x v="10"/>
  </r>
  <r>
    <s v="ORD52583"/>
    <d v="2025-11-22T00:00:00"/>
    <s v="Dubai Mall"/>
    <s v="P203"/>
    <n v="2"/>
    <n v="349"/>
    <x v="1"/>
    <x v="21"/>
    <s v="Home &amp; Kitchen"/>
    <n v="170"/>
    <n v="663.1"/>
    <n v="340"/>
    <n v="323.10000000000002"/>
    <x v="10"/>
  </r>
  <r>
    <s v="ORD52591"/>
    <d v="2025-11-22T00:00:00"/>
    <s v="Dubai Mall"/>
    <s v="P501"/>
    <n v="3"/>
    <n v="129"/>
    <x v="3"/>
    <x v="12"/>
    <s v="Sports"/>
    <n v="60"/>
    <n v="387"/>
    <n v="180"/>
    <n v="207"/>
    <x v="10"/>
  </r>
  <r>
    <s v="ORD53166"/>
    <d v="2025-11-22T00:00:00"/>
    <s v="Online"/>
    <s v="P305"/>
    <n v="3"/>
    <n v="429"/>
    <x v="5"/>
    <x v="14"/>
    <s v="Fashion"/>
    <n v="300"/>
    <n v="1029.6000000000001"/>
    <n v="900"/>
    <n v="129.60000000000014"/>
    <x v="10"/>
  </r>
  <r>
    <s v="ORD53248"/>
    <d v="2025-11-22T00:00:00"/>
    <s v="Online"/>
    <s v="P106"/>
    <n v="1"/>
    <n v="149"/>
    <x v="2"/>
    <x v="30"/>
    <s v="Electronics"/>
    <n v="70"/>
    <n v="134.1"/>
    <n v="70"/>
    <n v="64.099999999999994"/>
    <x v="10"/>
  </r>
  <r>
    <s v="ORD53418"/>
    <d v="2025-11-22T00:00:00"/>
    <s v="Mall of the Emirates"/>
    <s v="P405"/>
    <n v="2"/>
    <n v="89"/>
    <x v="5"/>
    <x v="24"/>
    <s v="Beauty"/>
    <n v="40"/>
    <n v="142.4"/>
    <n v="80"/>
    <n v="62.400000000000006"/>
    <x v="10"/>
  </r>
  <r>
    <s v="ORD53610"/>
    <d v="2025-11-22T00:00:00"/>
    <s v="Online"/>
    <s v="P205"/>
    <n v="3"/>
    <n v="289"/>
    <x v="3"/>
    <x v="9"/>
    <s v="Home &amp; Kitchen"/>
    <n v="140"/>
    <n v="867"/>
    <n v="420"/>
    <n v="447"/>
    <x v="10"/>
  </r>
  <r>
    <s v="ORD53739"/>
    <d v="2025-11-22T00:00:00"/>
    <s v="Mall of the Emirates"/>
    <s v="P105"/>
    <n v="1"/>
    <n v="899"/>
    <x v="5"/>
    <x v="31"/>
    <s v="Electronics"/>
    <n v="610"/>
    <n v="719.2"/>
    <n v="610"/>
    <n v="109.20000000000005"/>
    <x v="10"/>
  </r>
  <r>
    <s v="ORD53895"/>
    <d v="2025-11-22T00:00:00"/>
    <s v="Ibn Battuta Mall"/>
    <s v="P205"/>
    <n v="1"/>
    <n v="289"/>
    <x v="1"/>
    <x v="9"/>
    <s v="Home &amp; Kitchen"/>
    <n v="140"/>
    <n v="274.55"/>
    <n v="140"/>
    <n v="134.55000000000001"/>
    <x v="10"/>
  </r>
  <r>
    <s v="ORD54098"/>
    <d v="2025-11-22T00:00:00"/>
    <s v="Dubai Mall"/>
    <s v="P106"/>
    <n v="2"/>
    <n v="149"/>
    <x v="3"/>
    <x v="30"/>
    <s v="Electronics"/>
    <n v="70"/>
    <n v="298"/>
    <n v="140"/>
    <n v="158"/>
    <x v="10"/>
  </r>
  <r>
    <s v="ORD50514"/>
    <d v="2025-11-23T00:00:00"/>
    <s v="Mall of the Emirates"/>
    <s v="P105"/>
    <n v="1"/>
    <n v="899"/>
    <x v="5"/>
    <x v="31"/>
    <s v="Electronics"/>
    <n v="610"/>
    <n v="719.2"/>
    <n v="610"/>
    <n v="109.20000000000005"/>
    <x v="10"/>
  </r>
  <r>
    <s v="ORD50614"/>
    <d v="2025-11-23T00:00:00"/>
    <s v="Online"/>
    <s v="P305"/>
    <n v="2"/>
    <n v="429"/>
    <x v="4"/>
    <x v="14"/>
    <s v="Fashion"/>
    <n v="300"/>
    <n v="600.59999999999991"/>
    <n v="600"/>
    <n v="0.59999999999990905"/>
    <x v="10"/>
  </r>
  <r>
    <s v="ORD50917"/>
    <d v="2025-11-23T00:00:00"/>
    <s v="Mall of the Emirates"/>
    <s v="P505"/>
    <n v="1"/>
    <n v="99"/>
    <x v="3"/>
    <x v="11"/>
    <s v="Sports"/>
    <n v="45"/>
    <n v="99"/>
    <n v="45"/>
    <n v="54"/>
    <x v="10"/>
  </r>
  <r>
    <s v="ORD51384"/>
    <d v="2025-11-23T00:00:00"/>
    <s v="Online"/>
    <s v="P302"/>
    <n v="2"/>
    <n v="459"/>
    <x v="2"/>
    <x v="10"/>
    <s v="Fashion"/>
    <n v="190"/>
    <n v="826.2"/>
    <n v="380"/>
    <n v="446.20000000000005"/>
    <x v="10"/>
  </r>
  <r>
    <s v="ORD51477"/>
    <d v="2025-11-23T00:00:00"/>
    <s v="Mall of the Emirates"/>
    <s v="P505"/>
    <n v="1"/>
    <n v="99"/>
    <x v="1"/>
    <x v="11"/>
    <s v="Sports"/>
    <n v="45"/>
    <n v="94.05"/>
    <n v="45"/>
    <n v="49.05"/>
    <x v="10"/>
  </r>
  <r>
    <s v="ORD51890"/>
    <d v="2025-11-23T00:00:00"/>
    <s v="Ibn Battuta Mall"/>
    <s v="P402"/>
    <n v="3"/>
    <n v="149"/>
    <x v="5"/>
    <x v="17"/>
    <s v="Beauty"/>
    <n v="55"/>
    <n v="357.6"/>
    <n v="165"/>
    <n v="192.60000000000002"/>
    <x v="10"/>
  </r>
  <r>
    <s v="ORD52189"/>
    <d v="2025-11-23T00:00:00"/>
    <s v="Ibn Battuta Mall"/>
    <s v="P105"/>
    <n v="1"/>
    <n v="899"/>
    <x v="0"/>
    <x v="31"/>
    <s v="Electronics"/>
    <n v="610"/>
    <n v="764.15"/>
    <n v="610"/>
    <n v="154.14999999999998"/>
    <x v="10"/>
  </r>
  <r>
    <s v="ORD52369"/>
    <d v="2025-11-23T00:00:00"/>
    <s v="City Centre Deira"/>
    <s v="P402"/>
    <n v="2"/>
    <n v="149"/>
    <x v="5"/>
    <x v="17"/>
    <s v="Beauty"/>
    <n v="55"/>
    <n v="238.4"/>
    <n v="110"/>
    <n v="128.4"/>
    <x v="10"/>
  </r>
  <r>
    <s v="ORD52430"/>
    <d v="2025-11-23T00:00:00"/>
    <s v="Ibn Battuta Mall"/>
    <s v="P303"/>
    <n v="2"/>
    <n v="149"/>
    <x v="5"/>
    <x v="7"/>
    <s v="Fashion"/>
    <n v="80"/>
    <n v="238.4"/>
    <n v="160"/>
    <n v="78.400000000000006"/>
    <x v="10"/>
  </r>
  <r>
    <s v="ORD52745"/>
    <d v="2025-11-23T00:00:00"/>
    <s v="Online"/>
    <s v="P208"/>
    <n v="1"/>
    <n v="259"/>
    <x v="3"/>
    <x v="22"/>
    <s v="Home &amp; Kitchen"/>
    <n v="115"/>
    <n v="259"/>
    <n v="115"/>
    <n v="144"/>
    <x v="10"/>
  </r>
  <r>
    <s v="ORD53328"/>
    <d v="2025-11-23T00:00:00"/>
    <s v="Mall of the Emirates"/>
    <s v="P205"/>
    <n v="1"/>
    <n v="289"/>
    <x v="5"/>
    <x v="9"/>
    <s v="Home &amp; Kitchen"/>
    <n v="140"/>
    <n v="231.20000000000002"/>
    <n v="140"/>
    <n v="91.200000000000017"/>
    <x v="10"/>
  </r>
  <r>
    <s v="ORD53449"/>
    <d v="2025-11-23T00:00:00"/>
    <s v="Mall of the Emirates"/>
    <s v="P108"/>
    <n v="1"/>
    <n v="459"/>
    <x v="2"/>
    <x v="23"/>
    <s v="Electronics"/>
    <n v="300"/>
    <n v="413.1"/>
    <n v="300"/>
    <n v="113.10000000000002"/>
    <x v="10"/>
  </r>
  <r>
    <s v="ORD54001"/>
    <d v="2025-11-23T00:00:00"/>
    <s v="Dubai Mall"/>
    <s v="P405"/>
    <n v="1"/>
    <n v="89"/>
    <x v="1"/>
    <x v="24"/>
    <s v="Beauty"/>
    <n v="40"/>
    <n v="84.55"/>
    <n v="40"/>
    <n v="44.55"/>
    <x v="10"/>
  </r>
  <r>
    <s v="ORD54062"/>
    <d v="2025-11-23T00:00:00"/>
    <s v="City Centre Deira"/>
    <s v="P106"/>
    <n v="2"/>
    <n v="149"/>
    <x v="0"/>
    <x v="30"/>
    <s v="Electronics"/>
    <n v="70"/>
    <n v="253.29999999999998"/>
    <n v="140"/>
    <n v="113.29999999999998"/>
    <x v="10"/>
  </r>
  <r>
    <s v="ORD50152"/>
    <d v="2025-11-24T00:00:00"/>
    <s v="Mall of the Emirates"/>
    <s v="P101"/>
    <n v="1"/>
    <n v="399"/>
    <x v="3"/>
    <x v="5"/>
    <s v="Electronics"/>
    <n v="230"/>
    <n v="399"/>
    <n v="230"/>
    <n v="169"/>
    <x v="10"/>
  </r>
  <r>
    <s v="ORD50180"/>
    <d v="2025-11-24T00:00:00"/>
    <s v="Online"/>
    <s v="P205"/>
    <n v="1"/>
    <n v="289"/>
    <x v="5"/>
    <x v="9"/>
    <s v="Home &amp; Kitchen"/>
    <n v="140"/>
    <n v="231.20000000000002"/>
    <n v="140"/>
    <n v="91.200000000000017"/>
    <x v="10"/>
  </r>
  <r>
    <s v="ORD50199"/>
    <d v="2025-11-24T00:00:00"/>
    <s v="Dubai Mall"/>
    <s v="P404"/>
    <n v="1"/>
    <n v="189"/>
    <x v="5"/>
    <x v="6"/>
    <s v="Beauty"/>
    <n v="85"/>
    <n v="151.20000000000002"/>
    <n v="85"/>
    <n v="66.200000000000017"/>
    <x v="10"/>
  </r>
  <r>
    <s v="ORD50428"/>
    <d v="2025-11-24T00:00:00"/>
    <s v="Ibn Battuta Mall"/>
    <s v="P303"/>
    <n v="1"/>
    <n v="149"/>
    <x v="3"/>
    <x v="7"/>
    <s v="Fashion"/>
    <n v="80"/>
    <n v="149"/>
    <n v="80"/>
    <n v="69"/>
    <x v="10"/>
  </r>
  <r>
    <s v="ORD50501"/>
    <d v="2025-11-24T00:00:00"/>
    <s v="Dubai Mall"/>
    <s v="P303"/>
    <n v="3"/>
    <n v="149"/>
    <x v="0"/>
    <x v="7"/>
    <s v="Fashion"/>
    <n v="80"/>
    <n v="379.95"/>
    <n v="240"/>
    <n v="139.94999999999999"/>
    <x v="10"/>
  </r>
  <r>
    <s v="ORD50563"/>
    <d v="2025-11-24T00:00:00"/>
    <s v="Mall of the Emirates"/>
    <s v="P402"/>
    <n v="4"/>
    <n v="149"/>
    <x v="5"/>
    <x v="17"/>
    <s v="Beauty"/>
    <n v="55"/>
    <n v="476.8"/>
    <n v="220"/>
    <n v="256.8"/>
    <x v="10"/>
  </r>
  <r>
    <s v="ORD50711"/>
    <d v="2025-11-24T00:00:00"/>
    <s v="Online"/>
    <s v="P506"/>
    <n v="1"/>
    <n v="69"/>
    <x v="2"/>
    <x v="34"/>
    <s v="Sports"/>
    <n v="25"/>
    <n v="62.1"/>
    <n v="25"/>
    <n v="37.1"/>
    <x v="10"/>
  </r>
  <r>
    <s v="ORD50869"/>
    <d v="2025-11-24T00:00:00"/>
    <s v="City Centre Deira"/>
    <s v="P303"/>
    <n v="1"/>
    <n v="149"/>
    <x v="5"/>
    <x v="7"/>
    <s v="Fashion"/>
    <n v="80"/>
    <n v="119.2"/>
    <n v="80"/>
    <n v="39.200000000000003"/>
    <x v="10"/>
  </r>
  <r>
    <s v="ORD50978"/>
    <d v="2025-11-24T00:00:00"/>
    <s v="Online"/>
    <s v="P503"/>
    <n v="1"/>
    <n v="229"/>
    <x v="4"/>
    <x v="18"/>
    <s v="Sports"/>
    <n v="120"/>
    <n v="160.29999999999998"/>
    <n v="120"/>
    <n v="40.299999999999983"/>
    <x v="10"/>
  </r>
  <r>
    <s v="ORD51367"/>
    <d v="2025-11-24T00:00:00"/>
    <s v="Dubai Mall"/>
    <s v="P104"/>
    <n v="1"/>
    <n v="199"/>
    <x v="0"/>
    <x v="1"/>
    <s v="Electronics"/>
    <n v="175"/>
    <n v="169.15"/>
    <n v="175"/>
    <n v="-5.8499999999999943"/>
    <x v="10"/>
  </r>
  <r>
    <s v="ORD51374"/>
    <d v="2025-11-24T00:00:00"/>
    <s v="City Centre Deira"/>
    <s v="P303"/>
    <n v="3"/>
    <n v="149"/>
    <x v="0"/>
    <x v="7"/>
    <s v="Fashion"/>
    <n v="80"/>
    <n v="379.95"/>
    <n v="240"/>
    <n v="139.94999999999999"/>
    <x v="10"/>
  </r>
  <r>
    <s v="ORD51421"/>
    <d v="2025-11-24T00:00:00"/>
    <s v="Dubai Mall"/>
    <s v="P305"/>
    <n v="1"/>
    <n v="429"/>
    <x v="5"/>
    <x v="14"/>
    <s v="Fashion"/>
    <n v="300"/>
    <n v="343.20000000000005"/>
    <n v="300"/>
    <n v="43.200000000000045"/>
    <x v="10"/>
  </r>
  <r>
    <s v="ORD51782"/>
    <d v="2025-11-24T00:00:00"/>
    <s v="Mall of the Emirates"/>
    <s v="P207"/>
    <n v="1"/>
    <n v="399"/>
    <x v="4"/>
    <x v="32"/>
    <s v="Home &amp; Kitchen"/>
    <n v="250"/>
    <n v="279.29999999999995"/>
    <n v="250"/>
    <n v="29.299999999999955"/>
    <x v="10"/>
  </r>
  <r>
    <s v="ORD52042"/>
    <d v="2025-11-24T00:00:00"/>
    <s v="Dubai Mall"/>
    <s v="P104"/>
    <n v="2"/>
    <n v="199"/>
    <x v="6"/>
    <x v="1"/>
    <s v="Electronics"/>
    <n v="175"/>
    <n v="298.5"/>
    <n v="350"/>
    <n v="-51.5"/>
    <x v="10"/>
  </r>
  <r>
    <s v="ORD52823"/>
    <d v="2025-11-24T00:00:00"/>
    <s v="Dubai Mall"/>
    <s v="P501"/>
    <n v="2"/>
    <n v="129"/>
    <x v="2"/>
    <x v="12"/>
    <s v="Sports"/>
    <n v="60"/>
    <n v="232.20000000000002"/>
    <n v="120"/>
    <n v="112.20000000000002"/>
    <x v="10"/>
  </r>
  <r>
    <s v="ORD52842"/>
    <d v="2025-11-24T00:00:00"/>
    <s v="Mall of the Emirates"/>
    <s v="P303"/>
    <n v="3"/>
    <n v="149"/>
    <x v="2"/>
    <x v="7"/>
    <s v="Fashion"/>
    <n v="80"/>
    <n v="402.3"/>
    <n v="240"/>
    <n v="162.30000000000001"/>
    <x v="10"/>
  </r>
  <r>
    <s v="ORD53558"/>
    <d v="2025-11-24T00:00:00"/>
    <s v="Ibn Battuta Mall"/>
    <s v="P301"/>
    <n v="1"/>
    <n v="179"/>
    <x v="2"/>
    <x v="2"/>
    <s v="Fashion"/>
    <n v="70"/>
    <n v="161.1"/>
    <n v="70"/>
    <n v="91.1"/>
    <x v="10"/>
  </r>
  <r>
    <s v="ORD54008"/>
    <d v="2025-11-24T00:00:00"/>
    <s v="Mall of the Emirates"/>
    <s v="P402"/>
    <n v="1"/>
    <n v="149"/>
    <x v="4"/>
    <x v="17"/>
    <s v="Beauty"/>
    <n v="55"/>
    <n v="104.3"/>
    <n v="55"/>
    <n v="49.3"/>
    <x v="10"/>
  </r>
  <r>
    <s v="ORD50019"/>
    <d v="2025-11-25T00:00:00"/>
    <s v="Dubai Mall"/>
    <s v="P305"/>
    <n v="1"/>
    <n v="429"/>
    <x v="5"/>
    <x v="14"/>
    <s v="Fashion"/>
    <n v="300"/>
    <n v="343.20000000000005"/>
    <n v="300"/>
    <n v="43.200000000000045"/>
    <x v="10"/>
  </r>
  <r>
    <s v="ORD50480"/>
    <d v="2025-11-25T00:00:00"/>
    <s v="Dubai Mall"/>
    <s v="P105"/>
    <n v="1"/>
    <n v="899"/>
    <x v="5"/>
    <x v="31"/>
    <s v="Electronics"/>
    <n v="610"/>
    <n v="719.2"/>
    <n v="610"/>
    <n v="109.20000000000005"/>
    <x v="10"/>
  </r>
  <r>
    <s v="ORD50991"/>
    <d v="2025-11-25T00:00:00"/>
    <s v="Online"/>
    <s v="P301"/>
    <n v="1"/>
    <n v="179"/>
    <x v="5"/>
    <x v="2"/>
    <s v="Fashion"/>
    <n v="70"/>
    <n v="143.20000000000002"/>
    <n v="70"/>
    <n v="73.200000000000017"/>
    <x v="10"/>
  </r>
  <r>
    <s v="ORD51046"/>
    <d v="2025-11-25T00:00:00"/>
    <s v="Dubai Mall"/>
    <s v="P501"/>
    <n v="1"/>
    <n v="129"/>
    <x v="5"/>
    <x v="12"/>
    <s v="Sports"/>
    <n v="60"/>
    <n v="103.2"/>
    <n v="60"/>
    <n v="43.2"/>
    <x v="10"/>
  </r>
  <r>
    <s v="ORD51684"/>
    <d v="2025-11-25T00:00:00"/>
    <s v="Online"/>
    <s v="P204"/>
    <n v="1"/>
    <n v="1199"/>
    <x v="5"/>
    <x v="27"/>
    <s v="Home &amp; Kitchen"/>
    <n v="1080"/>
    <n v="959.2"/>
    <n v="1080"/>
    <n v="-120.79999999999995"/>
    <x v="10"/>
  </r>
  <r>
    <s v="ORD51900"/>
    <d v="2025-11-25T00:00:00"/>
    <s v="Ibn Battuta Mall"/>
    <s v="P105"/>
    <n v="1"/>
    <n v="899"/>
    <x v="2"/>
    <x v="31"/>
    <s v="Electronics"/>
    <n v="610"/>
    <n v="809.1"/>
    <n v="610"/>
    <n v="199.10000000000002"/>
    <x v="10"/>
  </r>
  <r>
    <s v="ORD53075"/>
    <d v="2025-11-25T00:00:00"/>
    <s v="Mall of the Emirates"/>
    <s v="P302"/>
    <n v="1"/>
    <n v="459"/>
    <x v="2"/>
    <x v="10"/>
    <s v="Fashion"/>
    <n v="190"/>
    <n v="413.1"/>
    <n v="190"/>
    <n v="223.10000000000002"/>
    <x v="10"/>
  </r>
  <r>
    <s v="ORD53551"/>
    <d v="2025-11-25T00:00:00"/>
    <s v="Online"/>
    <s v="P102"/>
    <n v="4"/>
    <n v="249"/>
    <x v="3"/>
    <x v="13"/>
    <s v="Electronics"/>
    <n v="150"/>
    <n v="996"/>
    <n v="600"/>
    <n v="396"/>
    <x v="10"/>
  </r>
  <r>
    <s v="ORD53566"/>
    <d v="2025-11-25T00:00:00"/>
    <s v="Online"/>
    <s v="P501"/>
    <n v="1"/>
    <n v="129"/>
    <x v="5"/>
    <x v="12"/>
    <s v="Sports"/>
    <n v="60"/>
    <n v="103.2"/>
    <n v="60"/>
    <n v="43.2"/>
    <x v="10"/>
  </r>
  <r>
    <s v="ORD53628"/>
    <d v="2025-11-25T00:00:00"/>
    <s v="Mall of the Emirates"/>
    <s v="P404"/>
    <n v="1"/>
    <n v="189"/>
    <x v="3"/>
    <x v="6"/>
    <s v="Beauty"/>
    <n v="85"/>
    <n v="189"/>
    <n v="85"/>
    <n v="104"/>
    <x v="10"/>
  </r>
  <r>
    <s v="ORD54024"/>
    <d v="2025-11-25T00:00:00"/>
    <s v="Mall of the Emirates"/>
    <s v="P405"/>
    <n v="4"/>
    <n v="89"/>
    <x v="2"/>
    <x v="24"/>
    <s v="Beauty"/>
    <n v="40"/>
    <n v="320.40000000000003"/>
    <n v="160"/>
    <n v="160.40000000000003"/>
    <x v="10"/>
  </r>
  <r>
    <s v="ORD54086"/>
    <d v="2025-11-25T00:00:00"/>
    <s v="Mall of the Emirates"/>
    <s v="P301"/>
    <n v="1"/>
    <n v="179"/>
    <x v="5"/>
    <x v="2"/>
    <s v="Fashion"/>
    <n v="70"/>
    <n v="143.20000000000002"/>
    <n v="70"/>
    <n v="73.200000000000017"/>
    <x v="10"/>
  </r>
  <r>
    <s v="ORD50333"/>
    <d v="2025-11-26T00:00:00"/>
    <s v="City Centre Deira"/>
    <s v="P102"/>
    <n v="1"/>
    <n v="249"/>
    <x v="3"/>
    <x v="13"/>
    <s v="Electronics"/>
    <n v="150"/>
    <n v="249"/>
    <n v="150"/>
    <n v="99"/>
    <x v="10"/>
  </r>
  <r>
    <s v="ORD50594"/>
    <d v="2025-11-26T00:00:00"/>
    <s v="Mall of the Emirates"/>
    <s v="P107"/>
    <n v="3"/>
    <n v="89"/>
    <x v="5"/>
    <x v="29"/>
    <s v="Electronics"/>
    <n v="35"/>
    <n v="213.60000000000002"/>
    <n v="105"/>
    <n v="108.60000000000002"/>
    <x v="10"/>
  </r>
  <r>
    <s v="ORD50641"/>
    <d v="2025-11-26T00:00:00"/>
    <s v="Mall of the Emirates"/>
    <s v="P102"/>
    <n v="1"/>
    <n v="249"/>
    <x v="4"/>
    <x v="13"/>
    <s v="Electronics"/>
    <n v="150"/>
    <n v="174.29999999999998"/>
    <n v="150"/>
    <n v="24.299999999999983"/>
    <x v="10"/>
  </r>
  <r>
    <s v="ORD51141"/>
    <d v="2025-11-26T00:00:00"/>
    <s v="Ibn Battuta Mall"/>
    <s v="P403"/>
    <n v="1"/>
    <n v="299"/>
    <x v="5"/>
    <x v="8"/>
    <s v="Beauty"/>
    <n v="240"/>
    <n v="239.20000000000002"/>
    <n v="240"/>
    <n v="-0.79999999999998295"/>
    <x v="10"/>
  </r>
  <r>
    <s v="ORD51582"/>
    <d v="2025-11-26T00:00:00"/>
    <s v="Dubai Mall"/>
    <s v="P302"/>
    <n v="1"/>
    <n v="459"/>
    <x v="5"/>
    <x v="10"/>
    <s v="Fashion"/>
    <n v="190"/>
    <n v="367.20000000000005"/>
    <n v="190"/>
    <n v="177.20000000000005"/>
    <x v="10"/>
  </r>
  <r>
    <s v="ORD51800"/>
    <d v="2025-11-26T00:00:00"/>
    <s v="Mall of the Emirates"/>
    <s v="P302"/>
    <n v="1"/>
    <n v="459"/>
    <x v="1"/>
    <x v="10"/>
    <s v="Fashion"/>
    <n v="190"/>
    <n v="436.04999999999995"/>
    <n v="190"/>
    <n v="246.04999999999995"/>
    <x v="10"/>
  </r>
  <r>
    <s v="ORD51848"/>
    <d v="2025-11-26T00:00:00"/>
    <s v="Ibn Battuta Mall"/>
    <s v="P306"/>
    <n v="1"/>
    <n v="249"/>
    <x v="5"/>
    <x v="3"/>
    <s v="Fashion"/>
    <n v="95"/>
    <n v="199.20000000000002"/>
    <n v="95"/>
    <n v="104.20000000000002"/>
    <x v="10"/>
  </r>
  <r>
    <s v="ORD52077"/>
    <d v="2025-11-26T00:00:00"/>
    <s v="Mall of the Emirates"/>
    <s v="P406"/>
    <n v="1"/>
    <n v="199"/>
    <x v="2"/>
    <x v="4"/>
    <s v="Beauty"/>
    <n v="90"/>
    <n v="179.1"/>
    <n v="90"/>
    <n v="89.1"/>
    <x v="10"/>
  </r>
  <r>
    <s v="ORD52575"/>
    <d v="2025-11-26T00:00:00"/>
    <s v="Dubai Mall"/>
    <s v="P106"/>
    <n v="1"/>
    <n v="149"/>
    <x v="5"/>
    <x v="30"/>
    <s v="Electronics"/>
    <n v="70"/>
    <n v="119.2"/>
    <n v="70"/>
    <n v="49.2"/>
    <x v="10"/>
  </r>
  <r>
    <s v="ORD52610"/>
    <d v="2025-11-26T00:00:00"/>
    <s v="Dubai Mall"/>
    <s v="P405"/>
    <n v="1"/>
    <n v="89"/>
    <x v="3"/>
    <x v="24"/>
    <s v="Beauty"/>
    <n v="40"/>
    <n v="89"/>
    <n v="40"/>
    <n v="49"/>
    <x v="10"/>
  </r>
  <r>
    <s v="ORD53016"/>
    <d v="2025-11-26T00:00:00"/>
    <s v="Mall of the Emirates"/>
    <s v="P307"/>
    <n v="1"/>
    <n v="399"/>
    <x v="5"/>
    <x v="20"/>
    <s v="Fashion"/>
    <n v="210"/>
    <n v="319.20000000000005"/>
    <n v="210"/>
    <n v="109.20000000000005"/>
    <x v="10"/>
  </r>
  <r>
    <s v="ORD53690"/>
    <d v="2025-11-26T00:00:00"/>
    <s v="Mall of the Emirates"/>
    <s v="P505"/>
    <n v="2"/>
    <n v="99"/>
    <x v="5"/>
    <x v="11"/>
    <s v="Sports"/>
    <n v="45"/>
    <n v="158.4"/>
    <n v="90"/>
    <n v="68.400000000000006"/>
    <x v="10"/>
  </r>
  <r>
    <s v="ORD53913"/>
    <d v="2025-11-26T00:00:00"/>
    <s v="Online"/>
    <s v="P304"/>
    <n v="2"/>
    <n v="699"/>
    <x v="2"/>
    <x v="35"/>
    <s v="Fashion"/>
    <n v="380"/>
    <n v="1258.2"/>
    <n v="760"/>
    <n v="498.20000000000005"/>
    <x v="10"/>
  </r>
  <r>
    <s v="ORD53971"/>
    <d v="2025-11-26T00:00:00"/>
    <s v="Ibn Battuta Mall"/>
    <s v="P406"/>
    <n v="2"/>
    <n v="199"/>
    <x v="3"/>
    <x v="4"/>
    <s v="Beauty"/>
    <n v="90"/>
    <n v="398"/>
    <n v="180"/>
    <n v="218"/>
    <x v="10"/>
  </r>
  <r>
    <s v="ORD50232"/>
    <d v="2025-11-27T00:00:00"/>
    <s v="Mall of the Emirates"/>
    <s v="P501"/>
    <n v="1"/>
    <n v="129"/>
    <x v="5"/>
    <x v="12"/>
    <s v="Sports"/>
    <n v="60"/>
    <n v="103.2"/>
    <n v="60"/>
    <n v="43.2"/>
    <x v="10"/>
  </r>
  <r>
    <s v="ORD50609"/>
    <d v="2025-11-27T00:00:00"/>
    <s v="Dubai Mall"/>
    <s v="P102"/>
    <n v="1"/>
    <n v="249"/>
    <x v="1"/>
    <x v="13"/>
    <s v="Electronics"/>
    <n v="150"/>
    <n v="236.54999999999998"/>
    <n v="150"/>
    <n v="86.549999999999983"/>
    <x v="10"/>
  </r>
  <r>
    <s v="ORD50829"/>
    <d v="2025-11-27T00:00:00"/>
    <s v="Online"/>
    <s v="P506"/>
    <n v="1"/>
    <n v="69"/>
    <x v="5"/>
    <x v="34"/>
    <s v="Sports"/>
    <n v="25"/>
    <n v="55.2"/>
    <n v="25"/>
    <n v="30.200000000000003"/>
    <x v="10"/>
  </r>
  <r>
    <s v="ORD50982"/>
    <d v="2025-11-27T00:00:00"/>
    <s v="Online"/>
    <s v="P103"/>
    <n v="2"/>
    <n v="1299"/>
    <x v="4"/>
    <x v="25"/>
    <s v="Electronics"/>
    <n v="820"/>
    <n v="1818.6"/>
    <n v="1640"/>
    <n v="178.59999999999991"/>
    <x v="10"/>
  </r>
  <r>
    <s v="ORD51964"/>
    <d v="2025-11-27T00:00:00"/>
    <s v="Dubai Mall"/>
    <s v="P402"/>
    <n v="1"/>
    <n v="149"/>
    <x v="5"/>
    <x v="17"/>
    <s v="Beauty"/>
    <n v="55"/>
    <n v="119.2"/>
    <n v="55"/>
    <n v="64.2"/>
    <x v="10"/>
  </r>
  <r>
    <s v="ORD52675"/>
    <d v="2025-11-27T00:00:00"/>
    <s v="City Centre Deira"/>
    <s v="P208"/>
    <n v="1"/>
    <n v="259"/>
    <x v="1"/>
    <x v="22"/>
    <s v="Home &amp; Kitchen"/>
    <n v="115"/>
    <n v="246.04999999999998"/>
    <n v="115"/>
    <n v="131.04999999999998"/>
    <x v="10"/>
  </r>
  <r>
    <s v="ORD52808"/>
    <d v="2025-11-27T00:00:00"/>
    <s v="Ibn Battuta Mall"/>
    <s v="P308"/>
    <n v="2"/>
    <n v="229"/>
    <x v="3"/>
    <x v="0"/>
    <s v="Fashion"/>
    <n v="120"/>
    <n v="458"/>
    <n v="240"/>
    <n v="218"/>
    <x v="10"/>
  </r>
  <r>
    <s v="ORD52908"/>
    <d v="2025-11-27T00:00:00"/>
    <s v="Online"/>
    <s v="P304"/>
    <n v="1"/>
    <n v="699"/>
    <x v="5"/>
    <x v="35"/>
    <s v="Fashion"/>
    <n v="380"/>
    <n v="559.20000000000005"/>
    <n v="380"/>
    <n v="179.20000000000005"/>
    <x v="10"/>
  </r>
  <r>
    <s v="ORD50394"/>
    <d v="2025-11-28T00:00:00"/>
    <s v="Mall of the Emirates"/>
    <s v="P405"/>
    <n v="1"/>
    <n v="89"/>
    <x v="5"/>
    <x v="24"/>
    <s v="Beauty"/>
    <n v="40"/>
    <n v="71.2"/>
    <n v="40"/>
    <n v="31.200000000000003"/>
    <x v="10"/>
  </r>
  <r>
    <s v="ORD50585"/>
    <d v="2025-11-28T00:00:00"/>
    <s v="Dubai Mall"/>
    <s v="P207"/>
    <n v="1"/>
    <n v="399"/>
    <x v="0"/>
    <x v="32"/>
    <s v="Home &amp; Kitchen"/>
    <n v="250"/>
    <n v="339.15"/>
    <n v="250"/>
    <n v="89.149999999999977"/>
    <x v="10"/>
  </r>
  <r>
    <s v="ORD50611"/>
    <d v="2025-11-28T00:00:00"/>
    <s v="Dubai Mall"/>
    <s v="P101"/>
    <n v="1"/>
    <n v="399"/>
    <x v="5"/>
    <x v="5"/>
    <s v="Electronics"/>
    <n v="230"/>
    <n v="319.20000000000005"/>
    <n v="230"/>
    <n v="89.200000000000045"/>
    <x v="10"/>
  </r>
  <r>
    <s v="ORD50784"/>
    <d v="2025-11-28T00:00:00"/>
    <s v="City Centre Deira"/>
    <s v="P102"/>
    <n v="2"/>
    <n v="249"/>
    <x v="5"/>
    <x v="13"/>
    <s v="Electronics"/>
    <n v="150"/>
    <n v="398.40000000000003"/>
    <n v="300"/>
    <n v="98.400000000000034"/>
    <x v="10"/>
  </r>
  <r>
    <s v="ORD50924"/>
    <d v="2025-11-28T00:00:00"/>
    <s v="City Centre Deira"/>
    <s v="P306"/>
    <n v="1"/>
    <n v="249"/>
    <x v="3"/>
    <x v="3"/>
    <s v="Fashion"/>
    <n v="95"/>
    <n v="249"/>
    <n v="95"/>
    <n v="154"/>
    <x v="10"/>
  </r>
  <r>
    <s v="ORD51366"/>
    <d v="2025-11-28T00:00:00"/>
    <s v="Mall of the Emirates"/>
    <s v="P303"/>
    <n v="2"/>
    <n v="149"/>
    <x v="2"/>
    <x v="7"/>
    <s v="Fashion"/>
    <n v="80"/>
    <n v="268.2"/>
    <n v="160"/>
    <n v="108.19999999999999"/>
    <x v="10"/>
  </r>
  <r>
    <s v="ORD51747"/>
    <d v="2025-11-28T00:00:00"/>
    <s v="Ibn Battuta Mall"/>
    <s v="P502"/>
    <n v="2"/>
    <n v="799"/>
    <x v="2"/>
    <x v="19"/>
    <s v="Sports"/>
    <n v="700"/>
    <n v="1438.2"/>
    <n v="1400"/>
    <n v="38.200000000000045"/>
    <x v="10"/>
  </r>
  <r>
    <s v="ORD52287"/>
    <d v="2025-11-28T00:00:00"/>
    <s v="Online"/>
    <s v="P405"/>
    <n v="3"/>
    <n v="89"/>
    <x v="2"/>
    <x v="24"/>
    <s v="Beauty"/>
    <n v="40"/>
    <n v="240.3"/>
    <n v="120"/>
    <n v="120.30000000000001"/>
    <x v="10"/>
  </r>
  <r>
    <s v="ORD52299"/>
    <d v="2025-11-28T00:00:00"/>
    <s v="Online"/>
    <s v="P308"/>
    <n v="1"/>
    <n v="229"/>
    <x v="5"/>
    <x v="0"/>
    <s v="Fashion"/>
    <n v="120"/>
    <n v="183.20000000000002"/>
    <n v="120"/>
    <n v="63.200000000000017"/>
    <x v="10"/>
  </r>
  <r>
    <s v="ORD53422"/>
    <d v="2025-11-28T00:00:00"/>
    <s v="Online"/>
    <s v="P208"/>
    <n v="1"/>
    <n v="259"/>
    <x v="1"/>
    <x v="22"/>
    <s v="Home &amp; Kitchen"/>
    <n v="115"/>
    <n v="246.04999999999998"/>
    <n v="115"/>
    <n v="131.04999999999998"/>
    <x v="10"/>
  </r>
  <r>
    <s v="ORD53658"/>
    <d v="2025-11-28T00:00:00"/>
    <s v="Online"/>
    <s v="P102"/>
    <n v="3"/>
    <n v="249"/>
    <x v="5"/>
    <x v="13"/>
    <s v="Electronics"/>
    <n v="150"/>
    <n v="597.6"/>
    <n v="450"/>
    <n v="147.60000000000002"/>
    <x v="10"/>
  </r>
  <r>
    <s v="ORD53760"/>
    <d v="2025-11-28T00:00:00"/>
    <s v="Dubai Mall"/>
    <s v="P306"/>
    <n v="2"/>
    <n v="249"/>
    <x v="5"/>
    <x v="3"/>
    <s v="Fashion"/>
    <n v="95"/>
    <n v="398.40000000000003"/>
    <n v="190"/>
    <n v="208.40000000000003"/>
    <x v="10"/>
  </r>
  <r>
    <s v="ORD50005"/>
    <d v="2025-11-29T00:00:00"/>
    <s v="Dubai Mall"/>
    <s v="P106"/>
    <n v="1"/>
    <n v="149"/>
    <x v="5"/>
    <x v="30"/>
    <s v="Electronics"/>
    <n v="70"/>
    <n v="119.2"/>
    <n v="70"/>
    <n v="49.2"/>
    <x v="10"/>
  </r>
  <r>
    <s v="ORD50349"/>
    <d v="2025-11-29T00:00:00"/>
    <s v="City Centre Deira"/>
    <s v="P107"/>
    <n v="3"/>
    <n v="89"/>
    <x v="5"/>
    <x v="29"/>
    <s v="Electronics"/>
    <n v="35"/>
    <n v="213.60000000000002"/>
    <n v="105"/>
    <n v="108.60000000000002"/>
    <x v="10"/>
  </r>
  <r>
    <s v="ORD51054"/>
    <d v="2025-11-29T00:00:00"/>
    <s v="City Centre Deira"/>
    <s v="P102"/>
    <n v="2"/>
    <n v="249"/>
    <x v="5"/>
    <x v="13"/>
    <s v="Electronics"/>
    <n v="150"/>
    <n v="398.40000000000003"/>
    <n v="300"/>
    <n v="98.400000000000034"/>
    <x v="10"/>
  </r>
  <r>
    <s v="ORD51144"/>
    <d v="2025-11-29T00:00:00"/>
    <s v="Ibn Battuta Mall"/>
    <s v="P505"/>
    <n v="1"/>
    <n v="99"/>
    <x v="0"/>
    <x v="11"/>
    <s v="Sports"/>
    <n v="45"/>
    <n v="84.149999999999991"/>
    <n v="45"/>
    <n v="39.149999999999991"/>
    <x v="10"/>
  </r>
  <r>
    <s v="ORD51313"/>
    <d v="2025-11-29T00:00:00"/>
    <s v="Dubai Mall"/>
    <s v="P206"/>
    <n v="1"/>
    <n v="129"/>
    <x v="5"/>
    <x v="28"/>
    <s v="Home &amp; Kitchen"/>
    <n v="60"/>
    <n v="103.2"/>
    <n v="60"/>
    <n v="43.2"/>
    <x v="10"/>
  </r>
  <r>
    <s v="ORD51457"/>
    <d v="2025-11-29T00:00:00"/>
    <s v="Online"/>
    <s v="P301"/>
    <n v="1"/>
    <n v="179"/>
    <x v="2"/>
    <x v="2"/>
    <s v="Fashion"/>
    <n v="70"/>
    <n v="161.1"/>
    <n v="70"/>
    <n v="91.1"/>
    <x v="10"/>
  </r>
  <r>
    <s v="ORD51573"/>
    <d v="2025-11-29T00:00:00"/>
    <s v="Ibn Battuta Mall"/>
    <s v="P206"/>
    <n v="2"/>
    <n v="129"/>
    <x v="5"/>
    <x v="28"/>
    <s v="Home &amp; Kitchen"/>
    <n v="60"/>
    <n v="206.4"/>
    <n v="120"/>
    <n v="86.4"/>
    <x v="10"/>
  </r>
  <r>
    <s v="ORD51646"/>
    <d v="2025-11-29T00:00:00"/>
    <s v="Online"/>
    <s v="P104"/>
    <n v="1"/>
    <n v="199"/>
    <x v="2"/>
    <x v="1"/>
    <s v="Electronics"/>
    <n v="175"/>
    <n v="179.1"/>
    <n v="175"/>
    <n v="4.0999999999999943"/>
    <x v="10"/>
  </r>
  <r>
    <s v="ORD51937"/>
    <d v="2025-11-29T00:00:00"/>
    <s v="Ibn Battuta Mall"/>
    <s v="P102"/>
    <n v="1"/>
    <n v="249"/>
    <x v="3"/>
    <x v="13"/>
    <s v="Electronics"/>
    <n v="150"/>
    <n v="249"/>
    <n v="150"/>
    <n v="99"/>
    <x v="10"/>
  </r>
  <r>
    <s v="ORD52734"/>
    <d v="2025-11-29T00:00:00"/>
    <s v="Online"/>
    <s v="P304"/>
    <n v="2"/>
    <n v="699"/>
    <x v="5"/>
    <x v="35"/>
    <s v="Fashion"/>
    <n v="380"/>
    <n v="1118.4000000000001"/>
    <n v="760"/>
    <n v="358.40000000000009"/>
    <x v="10"/>
  </r>
  <r>
    <s v="ORD53173"/>
    <d v="2025-11-29T00:00:00"/>
    <s v="Online"/>
    <s v="P505"/>
    <n v="1"/>
    <n v="99"/>
    <x v="0"/>
    <x v="11"/>
    <s v="Sports"/>
    <n v="45"/>
    <n v="84.149999999999991"/>
    <n v="45"/>
    <n v="39.149999999999991"/>
    <x v="10"/>
  </r>
  <r>
    <s v="ORD53347"/>
    <d v="2025-11-29T00:00:00"/>
    <s v="Mall of the Emirates"/>
    <s v="P503"/>
    <n v="2"/>
    <n v="229"/>
    <x v="3"/>
    <x v="18"/>
    <s v="Sports"/>
    <n v="120"/>
    <n v="458"/>
    <n v="240"/>
    <n v="218"/>
    <x v="10"/>
  </r>
  <r>
    <s v="ORD53471"/>
    <d v="2025-11-29T00:00:00"/>
    <s v="Mall of the Emirates"/>
    <s v="P405"/>
    <n v="1"/>
    <n v="89"/>
    <x v="5"/>
    <x v="24"/>
    <s v="Beauty"/>
    <n v="40"/>
    <n v="71.2"/>
    <n v="40"/>
    <n v="31.200000000000003"/>
    <x v="10"/>
  </r>
  <r>
    <s v="ORD53834"/>
    <d v="2025-11-29T00:00:00"/>
    <s v="City Centre Deira"/>
    <s v="P401"/>
    <n v="1"/>
    <n v="549"/>
    <x v="5"/>
    <x v="15"/>
    <s v="Beauty"/>
    <n v="250"/>
    <n v="439.20000000000005"/>
    <n v="250"/>
    <n v="189.20000000000005"/>
    <x v="10"/>
  </r>
  <r>
    <s v="ORD54170"/>
    <d v="2025-11-29T00:00:00"/>
    <s v="Dubai Mall"/>
    <s v="P101"/>
    <n v="2"/>
    <n v="399"/>
    <x v="1"/>
    <x v="5"/>
    <s v="Electronics"/>
    <n v="230"/>
    <n v="758.09999999999991"/>
    <n v="460"/>
    <n v="298.09999999999991"/>
    <x v="10"/>
  </r>
  <r>
    <s v="ORD50577"/>
    <d v="2025-11-30T00:00:00"/>
    <s v="Mall of the Emirates"/>
    <s v="P306"/>
    <n v="2"/>
    <n v="249"/>
    <x v="5"/>
    <x v="3"/>
    <s v="Fashion"/>
    <n v="95"/>
    <n v="398.40000000000003"/>
    <n v="190"/>
    <n v="208.40000000000003"/>
    <x v="10"/>
  </r>
  <r>
    <s v="ORD50662"/>
    <d v="2025-11-30T00:00:00"/>
    <s v="Dubai Mall"/>
    <s v="P207"/>
    <n v="2"/>
    <n v="399"/>
    <x v="4"/>
    <x v="32"/>
    <s v="Home &amp; Kitchen"/>
    <n v="250"/>
    <n v="558.59999999999991"/>
    <n v="500"/>
    <n v="58.599999999999909"/>
    <x v="10"/>
  </r>
  <r>
    <s v="ORD51292"/>
    <d v="2025-11-30T00:00:00"/>
    <s v="City Centre Deira"/>
    <s v="P303"/>
    <n v="1"/>
    <n v="149"/>
    <x v="1"/>
    <x v="7"/>
    <s v="Fashion"/>
    <n v="80"/>
    <n v="141.54999999999998"/>
    <n v="80"/>
    <n v="61.549999999999983"/>
    <x v="10"/>
  </r>
  <r>
    <s v="ORD52061"/>
    <d v="2025-11-30T00:00:00"/>
    <s v="Mall of the Emirates"/>
    <s v="P104"/>
    <n v="1"/>
    <n v="199"/>
    <x v="5"/>
    <x v="1"/>
    <s v="Electronics"/>
    <n v="175"/>
    <n v="159.20000000000002"/>
    <n v="175"/>
    <n v="-15.799999999999983"/>
    <x v="10"/>
  </r>
  <r>
    <s v="ORD53264"/>
    <d v="2025-11-30T00:00:00"/>
    <s v="Mall of the Emirates"/>
    <s v="P206"/>
    <n v="1"/>
    <n v="129"/>
    <x v="3"/>
    <x v="28"/>
    <s v="Home &amp; Kitchen"/>
    <n v="60"/>
    <n v="129"/>
    <n v="60"/>
    <n v="69"/>
    <x v="10"/>
  </r>
  <r>
    <s v="ORD53265"/>
    <d v="2025-11-30T00:00:00"/>
    <s v="Dubai Mall"/>
    <s v="P402"/>
    <n v="1"/>
    <n v="149"/>
    <x v="5"/>
    <x v="17"/>
    <s v="Beauty"/>
    <n v="55"/>
    <n v="119.2"/>
    <n v="55"/>
    <n v="64.2"/>
    <x v="10"/>
  </r>
  <r>
    <s v="ORD53287"/>
    <d v="2025-11-30T00:00:00"/>
    <s v="Dubai Mall"/>
    <s v="P104"/>
    <n v="2"/>
    <n v="199"/>
    <x v="5"/>
    <x v="1"/>
    <s v="Electronics"/>
    <n v="175"/>
    <n v="318.40000000000003"/>
    <n v="350"/>
    <n v="-31.599999999999966"/>
    <x v="10"/>
  </r>
  <r>
    <s v="ORD53651"/>
    <d v="2025-11-30T00:00:00"/>
    <s v="City Centre Deira"/>
    <s v="P305"/>
    <n v="2"/>
    <n v="429"/>
    <x v="4"/>
    <x v="14"/>
    <s v="Fashion"/>
    <n v="300"/>
    <n v="600.59999999999991"/>
    <n v="600"/>
    <n v="0.59999999999990905"/>
    <x v="10"/>
  </r>
  <r>
    <s v="ORD53893"/>
    <d v="2025-11-30T00:00:00"/>
    <s v="Online"/>
    <s v="P402"/>
    <n v="2"/>
    <n v="149"/>
    <x v="1"/>
    <x v="17"/>
    <s v="Beauty"/>
    <n v="55"/>
    <n v="283.09999999999997"/>
    <n v="110"/>
    <n v="173.09999999999997"/>
    <x v="10"/>
  </r>
  <r>
    <s v="ORD54132"/>
    <d v="2025-11-30T00:00:00"/>
    <s v="Dubai Mall"/>
    <s v="P506"/>
    <n v="2"/>
    <n v="69"/>
    <x v="0"/>
    <x v="34"/>
    <s v="Sports"/>
    <n v="25"/>
    <n v="117.3"/>
    <n v="50"/>
    <n v="67.3"/>
    <x v="10"/>
  </r>
  <r>
    <s v="ORD50060"/>
    <d v="2025-12-01T00:00:00"/>
    <s v="Online"/>
    <s v="P406"/>
    <n v="3"/>
    <n v="199"/>
    <x v="1"/>
    <x v="4"/>
    <s v="Beauty"/>
    <n v="90"/>
    <n v="567.15"/>
    <n v="270"/>
    <n v="297.14999999999998"/>
    <x v="11"/>
  </r>
  <r>
    <s v="ORD50147"/>
    <d v="2025-12-01T00:00:00"/>
    <s v="City Centre Deira"/>
    <s v="P105"/>
    <n v="2"/>
    <n v="899"/>
    <x v="5"/>
    <x v="31"/>
    <s v="Electronics"/>
    <n v="610"/>
    <n v="1438.4"/>
    <n v="1220"/>
    <n v="218.40000000000009"/>
    <x v="11"/>
  </r>
  <r>
    <s v="ORD50463"/>
    <d v="2025-12-01T00:00:00"/>
    <s v="Dubai Mall"/>
    <s v="P107"/>
    <n v="1"/>
    <n v="89"/>
    <x v="0"/>
    <x v="29"/>
    <s v="Electronics"/>
    <n v="35"/>
    <n v="75.649999999999991"/>
    <n v="35"/>
    <n v="40.649999999999991"/>
    <x v="11"/>
  </r>
  <r>
    <s v="ORD50494"/>
    <d v="2025-12-01T00:00:00"/>
    <s v="Dubai Mall"/>
    <s v="P306"/>
    <n v="1"/>
    <n v="249"/>
    <x v="3"/>
    <x v="3"/>
    <s v="Fashion"/>
    <n v="95"/>
    <n v="249"/>
    <n v="95"/>
    <n v="154"/>
    <x v="11"/>
  </r>
  <r>
    <s v="ORD51410"/>
    <d v="2025-12-01T00:00:00"/>
    <s v="City Centre Deira"/>
    <s v="P505"/>
    <n v="1"/>
    <n v="99"/>
    <x v="5"/>
    <x v="11"/>
    <s v="Sports"/>
    <n v="45"/>
    <n v="79.2"/>
    <n v="45"/>
    <n v="34.200000000000003"/>
    <x v="11"/>
  </r>
  <r>
    <s v="ORD51565"/>
    <d v="2025-12-01T00:00:00"/>
    <s v="Dubai Mall"/>
    <s v="P303"/>
    <n v="1"/>
    <n v="149"/>
    <x v="0"/>
    <x v="7"/>
    <s v="Fashion"/>
    <n v="80"/>
    <n v="126.64999999999999"/>
    <n v="80"/>
    <n v="46.649999999999991"/>
    <x v="11"/>
  </r>
  <r>
    <s v="ORD52038"/>
    <d v="2025-12-01T00:00:00"/>
    <s v="Dubai Mall"/>
    <s v="P106"/>
    <n v="1"/>
    <n v="149"/>
    <x v="5"/>
    <x v="30"/>
    <s v="Electronics"/>
    <n v="70"/>
    <n v="119.2"/>
    <n v="70"/>
    <n v="49.2"/>
    <x v="11"/>
  </r>
  <r>
    <s v="ORD52966"/>
    <d v="2025-12-01T00:00:00"/>
    <s v="Online"/>
    <s v="P101"/>
    <n v="1"/>
    <n v="399"/>
    <x v="5"/>
    <x v="5"/>
    <s v="Electronics"/>
    <n v="230"/>
    <n v="319.20000000000005"/>
    <n v="230"/>
    <n v="89.200000000000045"/>
    <x v="11"/>
  </r>
  <r>
    <s v="ORD53698"/>
    <d v="2025-12-01T00:00:00"/>
    <s v="Ibn Battuta Mall"/>
    <s v="P505"/>
    <n v="1"/>
    <n v="99"/>
    <x v="3"/>
    <x v="11"/>
    <s v="Sports"/>
    <n v="45"/>
    <n v="99"/>
    <n v="45"/>
    <n v="54"/>
    <x v="11"/>
  </r>
  <r>
    <s v="ORD53750"/>
    <d v="2025-12-01T00:00:00"/>
    <s v="Dubai Mall"/>
    <s v="P402"/>
    <n v="1"/>
    <n v="149"/>
    <x v="5"/>
    <x v="17"/>
    <s v="Beauty"/>
    <n v="55"/>
    <n v="119.2"/>
    <n v="55"/>
    <n v="64.2"/>
    <x v="11"/>
  </r>
  <r>
    <s v="ORD53849"/>
    <d v="2025-12-01T00:00:00"/>
    <s v="Online"/>
    <s v="P505"/>
    <n v="1"/>
    <n v="99"/>
    <x v="0"/>
    <x v="11"/>
    <s v="Sports"/>
    <n v="45"/>
    <n v="84.149999999999991"/>
    <n v="45"/>
    <n v="39.149999999999991"/>
    <x v="11"/>
  </r>
  <r>
    <s v="ORD53941"/>
    <d v="2025-12-01T00:00:00"/>
    <s v="Online"/>
    <s v="P308"/>
    <n v="1"/>
    <n v="229"/>
    <x v="5"/>
    <x v="0"/>
    <s v="Fashion"/>
    <n v="120"/>
    <n v="183.20000000000002"/>
    <n v="120"/>
    <n v="63.200000000000017"/>
    <x v="11"/>
  </r>
  <r>
    <s v="ORD51036"/>
    <d v="2025-12-02T00:00:00"/>
    <s v="Dubai Mall"/>
    <s v="P206"/>
    <n v="2"/>
    <n v="129"/>
    <x v="3"/>
    <x v="28"/>
    <s v="Home &amp; Kitchen"/>
    <n v="60"/>
    <n v="258"/>
    <n v="120"/>
    <n v="138"/>
    <x v="11"/>
  </r>
  <r>
    <s v="ORD51039"/>
    <d v="2025-12-02T00:00:00"/>
    <s v="City Centre Deira"/>
    <s v="P101"/>
    <n v="1"/>
    <n v="399"/>
    <x v="1"/>
    <x v="5"/>
    <s v="Electronics"/>
    <n v="230"/>
    <n v="379.04999999999995"/>
    <n v="230"/>
    <n v="149.04999999999995"/>
    <x v="11"/>
  </r>
  <r>
    <s v="ORD51126"/>
    <d v="2025-12-02T00:00:00"/>
    <s v="Online"/>
    <s v="P204"/>
    <n v="2"/>
    <n v="1199"/>
    <x v="5"/>
    <x v="27"/>
    <s v="Home &amp; Kitchen"/>
    <n v="1080"/>
    <n v="1918.4"/>
    <n v="2160"/>
    <n v="-241.59999999999991"/>
    <x v="11"/>
  </r>
  <r>
    <s v="ORD51841"/>
    <d v="2025-12-02T00:00:00"/>
    <s v="Ibn Battuta Mall"/>
    <s v="P404"/>
    <n v="1"/>
    <n v="189"/>
    <x v="5"/>
    <x v="6"/>
    <s v="Beauty"/>
    <n v="85"/>
    <n v="151.20000000000002"/>
    <n v="85"/>
    <n v="66.200000000000017"/>
    <x v="11"/>
  </r>
  <r>
    <s v="ORD52109"/>
    <d v="2025-12-02T00:00:00"/>
    <s v="Online"/>
    <s v="P106"/>
    <n v="1"/>
    <n v="149"/>
    <x v="3"/>
    <x v="30"/>
    <s v="Electronics"/>
    <n v="70"/>
    <n v="149"/>
    <n v="70"/>
    <n v="79"/>
    <x v="11"/>
  </r>
  <r>
    <s v="ORD52255"/>
    <d v="2025-12-02T00:00:00"/>
    <s v="Ibn Battuta Mall"/>
    <s v="P107"/>
    <n v="1"/>
    <n v="89"/>
    <x v="3"/>
    <x v="29"/>
    <s v="Electronics"/>
    <n v="35"/>
    <n v="89"/>
    <n v="35"/>
    <n v="54"/>
    <x v="11"/>
  </r>
  <r>
    <s v="ORD52694"/>
    <d v="2025-12-02T00:00:00"/>
    <s v="Mall of the Emirates"/>
    <s v="P402"/>
    <n v="2"/>
    <n v="149"/>
    <x v="3"/>
    <x v="17"/>
    <s v="Beauty"/>
    <n v="55"/>
    <n v="298"/>
    <n v="110"/>
    <n v="188"/>
    <x v="11"/>
  </r>
  <r>
    <s v="ORD53074"/>
    <d v="2025-12-02T00:00:00"/>
    <s v="Mall of the Emirates"/>
    <s v="P106"/>
    <n v="1"/>
    <n v="149"/>
    <x v="5"/>
    <x v="30"/>
    <s v="Electronics"/>
    <n v="70"/>
    <n v="119.2"/>
    <n v="70"/>
    <n v="49.2"/>
    <x v="11"/>
  </r>
  <r>
    <s v="ORD53522"/>
    <d v="2025-12-02T00:00:00"/>
    <s v="City Centre Deira"/>
    <s v="P102"/>
    <n v="1"/>
    <n v="249"/>
    <x v="4"/>
    <x v="13"/>
    <s v="Electronics"/>
    <n v="150"/>
    <n v="174.29999999999998"/>
    <n v="150"/>
    <n v="24.299999999999983"/>
    <x v="11"/>
  </r>
  <r>
    <s v="ORD53991"/>
    <d v="2025-12-02T00:00:00"/>
    <s v="Ibn Battuta Mall"/>
    <s v="P108"/>
    <n v="1"/>
    <n v="459"/>
    <x v="3"/>
    <x v="23"/>
    <s v="Electronics"/>
    <n v="300"/>
    <n v="459"/>
    <n v="300"/>
    <n v="159"/>
    <x v="11"/>
  </r>
  <r>
    <s v="ORD50210"/>
    <d v="2025-12-03T00:00:00"/>
    <s v="Dubai Mall"/>
    <s v="P208"/>
    <n v="1"/>
    <n v="259"/>
    <x v="5"/>
    <x v="22"/>
    <s v="Home &amp; Kitchen"/>
    <n v="115"/>
    <n v="207.20000000000002"/>
    <n v="115"/>
    <n v="92.200000000000017"/>
    <x v="11"/>
  </r>
  <r>
    <s v="ORD50323"/>
    <d v="2025-12-03T00:00:00"/>
    <s v="Online"/>
    <s v="P202"/>
    <n v="2"/>
    <n v="1499"/>
    <x v="5"/>
    <x v="26"/>
    <s v="Home &amp; Kitchen"/>
    <n v="1050"/>
    <n v="2398.4"/>
    <n v="2100"/>
    <n v="298.40000000000009"/>
    <x v="11"/>
  </r>
  <r>
    <s v="ORD50567"/>
    <d v="2025-12-03T00:00:00"/>
    <s v="City Centre Deira"/>
    <s v="P502"/>
    <n v="1"/>
    <n v="799"/>
    <x v="2"/>
    <x v="19"/>
    <s v="Sports"/>
    <n v="700"/>
    <n v="719.1"/>
    <n v="700"/>
    <n v="19.100000000000023"/>
    <x v="11"/>
  </r>
  <r>
    <s v="ORD50581"/>
    <d v="2025-12-03T00:00:00"/>
    <s v="Ibn Battuta Mall"/>
    <s v="P403"/>
    <n v="1"/>
    <n v="299"/>
    <x v="5"/>
    <x v="8"/>
    <s v="Beauty"/>
    <n v="240"/>
    <n v="239.20000000000002"/>
    <n v="240"/>
    <n v="-0.79999999999998295"/>
    <x v="11"/>
  </r>
  <r>
    <s v="ORD50754"/>
    <d v="2025-12-03T00:00:00"/>
    <s v="Mall of the Emirates"/>
    <s v="P108"/>
    <n v="1"/>
    <n v="459"/>
    <x v="5"/>
    <x v="23"/>
    <s v="Electronics"/>
    <n v="300"/>
    <n v="367.20000000000005"/>
    <n v="300"/>
    <n v="67.200000000000045"/>
    <x v="11"/>
  </r>
  <r>
    <s v="ORD51250"/>
    <d v="2025-12-03T00:00:00"/>
    <s v="Dubai Mall"/>
    <s v="P308"/>
    <n v="3"/>
    <n v="229"/>
    <x v="5"/>
    <x v="0"/>
    <s v="Fashion"/>
    <n v="120"/>
    <n v="549.6"/>
    <n v="360"/>
    <n v="189.60000000000002"/>
    <x v="11"/>
  </r>
  <r>
    <s v="ORD51759"/>
    <d v="2025-12-03T00:00:00"/>
    <s v="Dubai Mall"/>
    <s v="P506"/>
    <n v="2"/>
    <n v="69"/>
    <x v="5"/>
    <x v="34"/>
    <s v="Sports"/>
    <n v="25"/>
    <n v="110.4"/>
    <n v="50"/>
    <n v="60.400000000000006"/>
    <x v="11"/>
  </r>
  <r>
    <s v="ORD52458"/>
    <d v="2025-12-03T00:00:00"/>
    <s v="Online"/>
    <s v="P401"/>
    <n v="1"/>
    <n v="549"/>
    <x v="5"/>
    <x v="15"/>
    <s v="Beauty"/>
    <n v="250"/>
    <n v="439.20000000000005"/>
    <n v="250"/>
    <n v="189.20000000000005"/>
    <x v="11"/>
  </r>
  <r>
    <s v="ORD52765"/>
    <d v="2025-12-03T00:00:00"/>
    <s v="Mall of the Emirates"/>
    <s v="P405"/>
    <n v="3"/>
    <n v="89"/>
    <x v="4"/>
    <x v="24"/>
    <s v="Beauty"/>
    <n v="40"/>
    <n v="186.89999999999998"/>
    <n v="120"/>
    <n v="66.899999999999977"/>
    <x v="11"/>
  </r>
  <r>
    <s v="ORD53361"/>
    <d v="2025-12-03T00:00:00"/>
    <s v="City Centre Deira"/>
    <s v="P206"/>
    <n v="2"/>
    <n v="129"/>
    <x v="3"/>
    <x v="28"/>
    <s v="Home &amp; Kitchen"/>
    <n v="60"/>
    <n v="258"/>
    <n v="120"/>
    <n v="138"/>
    <x v="11"/>
  </r>
  <r>
    <s v="ORD54017"/>
    <d v="2025-12-03T00:00:00"/>
    <s v="Mall of the Emirates"/>
    <s v="P303"/>
    <n v="1"/>
    <n v="149"/>
    <x v="2"/>
    <x v="7"/>
    <s v="Fashion"/>
    <n v="80"/>
    <n v="134.1"/>
    <n v="80"/>
    <n v="54.099999999999994"/>
    <x v="11"/>
  </r>
  <r>
    <s v="ORD50198"/>
    <d v="2025-12-04T00:00:00"/>
    <s v="Online"/>
    <s v="P105"/>
    <n v="2"/>
    <n v="899"/>
    <x v="5"/>
    <x v="31"/>
    <s v="Electronics"/>
    <n v="610"/>
    <n v="1438.4"/>
    <n v="1220"/>
    <n v="218.40000000000009"/>
    <x v="11"/>
  </r>
  <r>
    <s v="ORD50870"/>
    <d v="2025-12-04T00:00:00"/>
    <s v="City Centre Deira"/>
    <s v="P205"/>
    <n v="4"/>
    <n v="289"/>
    <x v="2"/>
    <x v="9"/>
    <s v="Home &amp; Kitchen"/>
    <n v="140"/>
    <n v="1040.4000000000001"/>
    <n v="560"/>
    <n v="480.40000000000009"/>
    <x v="11"/>
  </r>
  <r>
    <s v="ORD50901"/>
    <d v="2025-12-04T00:00:00"/>
    <s v="Online"/>
    <s v="P102"/>
    <n v="2"/>
    <n v="249"/>
    <x v="5"/>
    <x v="13"/>
    <s v="Electronics"/>
    <n v="150"/>
    <n v="398.40000000000003"/>
    <n v="300"/>
    <n v="98.400000000000034"/>
    <x v="11"/>
  </r>
  <r>
    <s v="ORD51267"/>
    <d v="2025-12-04T00:00:00"/>
    <s v="Dubai Mall"/>
    <s v="P205"/>
    <n v="1"/>
    <n v="289"/>
    <x v="3"/>
    <x v="9"/>
    <s v="Home &amp; Kitchen"/>
    <n v="140"/>
    <n v="289"/>
    <n v="140"/>
    <n v="149"/>
    <x v="11"/>
  </r>
  <r>
    <s v="ORD52035"/>
    <d v="2025-12-04T00:00:00"/>
    <s v="Ibn Battuta Mall"/>
    <s v="P306"/>
    <n v="4"/>
    <n v="249"/>
    <x v="1"/>
    <x v="3"/>
    <s v="Fashion"/>
    <n v="95"/>
    <n v="946.19999999999993"/>
    <n v="380"/>
    <n v="566.19999999999993"/>
    <x v="11"/>
  </r>
  <r>
    <s v="ORD52223"/>
    <d v="2025-12-04T00:00:00"/>
    <s v="Online"/>
    <s v="P205"/>
    <n v="1"/>
    <n v="289"/>
    <x v="2"/>
    <x v="9"/>
    <s v="Home &amp; Kitchen"/>
    <n v="140"/>
    <n v="260.10000000000002"/>
    <n v="140"/>
    <n v="120.10000000000002"/>
    <x v="11"/>
  </r>
  <r>
    <s v="ORD52330"/>
    <d v="2025-12-04T00:00:00"/>
    <s v="Online"/>
    <s v="P208"/>
    <n v="1"/>
    <n v="259"/>
    <x v="1"/>
    <x v="22"/>
    <s v="Home &amp; Kitchen"/>
    <n v="115"/>
    <n v="246.04999999999998"/>
    <n v="115"/>
    <n v="131.04999999999998"/>
    <x v="11"/>
  </r>
  <r>
    <s v="ORD52795"/>
    <d v="2025-12-04T00:00:00"/>
    <s v="Online"/>
    <s v="P402"/>
    <n v="4"/>
    <n v="149"/>
    <x v="2"/>
    <x v="17"/>
    <s v="Beauty"/>
    <n v="55"/>
    <n v="536.4"/>
    <n v="220"/>
    <n v="316.39999999999998"/>
    <x v="11"/>
  </r>
  <r>
    <s v="ORD52810"/>
    <d v="2025-12-04T00:00:00"/>
    <s v="Online"/>
    <s v="P104"/>
    <n v="1"/>
    <n v="199"/>
    <x v="0"/>
    <x v="1"/>
    <s v="Electronics"/>
    <n v="175"/>
    <n v="169.15"/>
    <n v="175"/>
    <n v="-5.8499999999999943"/>
    <x v="11"/>
  </r>
  <r>
    <s v="ORD52940"/>
    <d v="2025-12-04T00:00:00"/>
    <s v="Mall of the Emirates"/>
    <s v="P303"/>
    <n v="1"/>
    <n v="149"/>
    <x v="2"/>
    <x v="7"/>
    <s v="Fashion"/>
    <n v="80"/>
    <n v="134.1"/>
    <n v="80"/>
    <n v="54.099999999999994"/>
    <x v="11"/>
  </r>
  <r>
    <s v="ORD53305"/>
    <d v="2025-12-04T00:00:00"/>
    <s v="City Centre Deira"/>
    <s v="P107"/>
    <n v="2"/>
    <n v="89"/>
    <x v="5"/>
    <x v="29"/>
    <s v="Electronics"/>
    <n v="35"/>
    <n v="142.4"/>
    <n v="70"/>
    <n v="72.400000000000006"/>
    <x v="11"/>
  </r>
  <r>
    <s v="ORD53754"/>
    <d v="2025-12-04T00:00:00"/>
    <s v="Dubai Mall"/>
    <s v="P303"/>
    <n v="2"/>
    <n v="149"/>
    <x v="2"/>
    <x v="7"/>
    <s v="Fashion"/>
    <n v="80"/>
    <n v="268.2"/>
    <n v="160"/>
    <n v="108.19999999999999"/>
    <x v="11"/>
  </r>
  <r>
    <s v="ORD54089"/>
    <d v="2025-12-04T00:00:00"/>
    <s v="Mall of the Emirates"/>
    <s v="P206"/>
    <n v="1"/>
    <n v="129"/>
    <x v="3"/>
    <x v="28"/>
    <s v="Home &amp; Kitchen"/>
    <n v="60"/>
    <n v="129"/>
    <n v="60"/>
    <n v="69"/>
    <x v="11"/>
  </r>
  <r>
    <s v="ORD50361"/>
    <d v="2025-12-05T00:00:00"/>
    <s v="City Centre Deira"/>
    <s v="P308"/>
    <n v="1"/>
    <n v="229"/>
    <x v="5"/>
    <x v="0"/>
    <s v="Fashion"/>
    <n v="120"/>
    <n v="183.20000000000002"/>
    <n v="120"/>
    <n v="63.200000000000017"/>
    <x v="11"/>
  </r>
  <r>
    <s v="ORD50976"/>
    <d v="2025-12-05T00:00:00"/>
    <s v="Dubai Mall"/>
    <s v="P404"/>
    <n v="3"/>
    <n v="189"/>
    <x v="0"/>
    <x v="6"/>
    <s v="Beauty"/>
    <n v="85"/>
    <n v="481.95"/>
    <n v="255"/>
    <n v="226.95"/>
    <x v="11"/>
  </r>
  <r>
    <s v="ORD51081"/>
    <d v="2025-12-05T00:00:00"/>
    <s v="Ibn Battuta Mall"/>
    <s v="P306"/>
    <n v="1"/>
    <n v="249"/>
    <x v="5"/>
    <x v="3"/>
    <s v="Fashion"/>
    <n v="95"/>
    <n v="199.20000000000002"/>
    <n v="95"/>
    <n v="104.20000000000002"/>
    <x v="11"/>
  </r>
  <r>
    <s v="ORD51111"/>
    <d v="2025-12-05T00:00:00"/>
    <s v="Mall of the Emirates"/>
    <s v="P406"/>
    <n v="1"/>
    <n v="199"/>
    <x v="5"/>
    <x v="4"/>
    <s v="Beauty"/>
    <n v="90"/>
    <n v="159.20000000000002"/>
    <n v="90"/>
    <n v="69.200000000000017"/>
    <x v="11"/>
  </r>
  <r>
    <s v="ORD51422"/>
    <d v="2025-12-05T00:00:00"/>
    <s v="Ibn Battuta Mall"/>
    <s v="P501"/>
    <n v="2"/>
    <n v="129"/>
    <x v="5"/>
    <x v="12"/>
    <s v="Sports"/>
    <n v="60"/>
    <n v="206.4"/>
    <n v="120"/>
    <n v="86.4"/>
    <x v="11"/>
  </r>
  <r>
    <s v="ORD51444"/>
    <d v="2025-12-05T00:00:00"/>
    <s v="Mall of the Emirates"/>
    <s v="P203"/>
    <n v="2"/>
    <n v="349"/>
    <x v="5"/>
    <x v="21"/>
    <s v="Home &amp; Kitchen"/>
    <n v="170"/>
    <n v="558.4"/>
    <n v="340"/>
    <n v="218.39999999999998"/>
    <x v="11"/>
  </r>
  <r>
    <s v="ORD51491"/>
    <d v="2025-12-05T00:00:00"/>
    <s v="Mall of the Emirates"/>
    <s v="P406"/>
    <n v="1"/>
    <n v="199"/>
    <x v="5"/>
    <x v="4"/>
    <s v="Beauty"/>
    <n v="90"/>
    <n v="159.20000000000002"/>
    <n v="90"/>
    <n v="69.200000000000017"/>
    <x v="11"/>
  </r>
  <r>
    <s v="ORD52404"/>
    <d v="2025-12-05T00:00:00"/>
    <s v="City Centre Deira"/>
    <s v="P107"/>
    <n v="2"/>
    <n v="89"/>
    <x v="4"/>
    <x v="29"/>
    <s v="Electronics"/>
    <n v="35"/>
    <n v="124.6"/>
    <n v="70"/>
    <n v="54.599999999999994"/>
    <x v="11"/>
  </r>
  <r>
    <s v="ORD52590"/>
    <d v="2025-12-05T00:00:00"/>
    <s v="Online"/>
    <s v="P406"/>
    <n v="1"/>
    <n v="199"/>
    <x v="2"/>
    <x v="4"/>
    <s v="Beauty"/>
    <n v="90"/>
    <n v="179.1"/>
    <n v="90"/>
    <n v="89.1"/>
    <x v="11"/>
  </r>
  <r>
    <s v="ORD52721"/>
    <d v="2025-12-05T00:00:00"/>
    <s v="Online"/>
    <s v="P405"/>
    <n v="1"/>
    <n v="89"/>
    <x v="4"/>
    <x v="24"/>
    <s v="Beauty"/>
    <n v="40"/>
    <n v="62.3"/>
    <n v="40"/>
    <n v="22.299999999999997"/>
    <x v="11"/>
  </r>
  <r>
    <s v="ORD52799"/>
    <d v="2025-12-05T00:00:00"/>
    <s v="Dubai Mall"/>
    <s v="P501"/>
    <n v="1"/>
    <n v="129"/>
    <x v="5"/>
    <x v="12"/>
    <s v="Sports"/>
    <n v="60"/>
    <n v="103.2"/>
    <n v="60"/>
    <n v="43.2"/>
    <x v="11"/>
  </r>
  <r>
    <s v="ORD53267"/>
    <d v="2025-12-05T00:00:00"/>
    <s v="Dubai Mall"/>
    <s v="P505"/>
    <n v="1"/>
    <n v="99"/>
    <x v="5"/>
    <x v="11"/>
    <s v="Sports"/>
    <n v="45"/>
    <n v="79.2"/>
    <n v="45"/>
    <n v="34.200000000000003"/>
    <x v="11"/>
  </r>
  <r>
    <s v="ORD54173"/>
    <d v="2025-12-05T00:00:00"/>
    <s v="Ibn Battuta Mall"/>
    <s v="P308"/>
    <n v="1"/>
    <n v="229"/>
    <x v="1"/>
    <x v="0"/>
    <s v="Fashion"/>
    <n v="120"/>
    <n v="217.54999999999998"/>
    <n v="120"/>
    <n v="97.549999999999983"/>
    <x v="11"/>
  </r>
  <r>
    <s v="ORD50113"/>
    <d v="2025-12-06T00:00:00"/>
    <s v="Mall of the Emirates"/>
    <s v="P401"/>
    <n v="1"/>
    <n v="549"/>
    <x v="5"/>
    <x v="15"/>
    <s v="Beauty"/>
    <n v="250"/>
    <n v="439.20000000000005"/>
    <n v="250"/>
    <n v="189.20000000000005"/>
    <x v="11"/>
  </r>
  <r>
    <s v="ORD52207"/>
    <d v="2025-12-06T00:00:00"/>
    <s v="Dubai Mall"/>
    <s v="P505"/>
    <n v="2"/>
    <n v="99"/>
    <x v="2"/>
    <x v="11"/>
    <s v="Sports"/>
    <n v="45"/>
    <n v="178.20000000000002"/>
    <n v="90"/>
    <n v="88.200000000000017"/>
    <x v="11"/>
  </r>
  <r>
    <s v="ORD53577"/>
    <d v="2025-12-06T00:00:00"/>
    <s v="City Centre Deira"/>
    <s v="P504"/>
    <n v="1"/>
    <n v="2499"/>
    <x v="5"/>
    <x v="33"/>
    <s v="Sports"/>
    <n v="2150"/>
    <n v="1999.2"/>
    <n v="2150"/>
    <n v="-150.79999999999995"/>
    <x v="11"/>
  </r>
  <r>
    <s v="ORD53958"/>
    <d v="2025-12-06T00:00:00"/>
    <s v="Mall of the Emirates"/>
    <s v="P302"/>
    <n v="1"/>
    <n v="459"/>
    <x v="5"/>
    <x v="10"/>
    <s v="Fashion"/>
    <n v="190"/>
    <n v="367.20000000000005"/>
    <n v="190"/>
    <n v="177.20000000000005"/>
    <x v="11"/>
  </r>
  <r>
    <s v="ORD54063"/>
    <d v="2025-12-06T00:00:00"/>
    <s v="Dubai Mall"/>
    <s v="P403"/>
    <n v="2"/>
    <n v="299"/>
    <x v="2"/>
    <x v="8"/>
    <s v="Beauty"/>
    <n v="240"/>
    <n v="538.20000000000005"/>
    <n v="480"/>
    <n v="58.200000000000045"/>
    <x v="11"/>
  </r>
  <r>
    <s v="ORD50045"/>
    <d v="2025-12-07T00:00:00"/>
    <s v="City Centre Deira"/>
    <s v="P201"/>
    <n v="2"/>
    <n v="499"/>
    <x v="5"/>
    <x v="16"/>
    <s v="Home &amp; Kitchen"/>
    <n v="290"/>
    <n v="798.40000000000009"/>
    <n v="580"/>
    <n v="218.40000000000009"/>
    <x v="11"/>
  </r>
  <r>
    <s v="ORD50211"/>
    <d v="2025-12-07T00:00:00"/>
    <s v="Ibn Battuta Mall"/>
    <s v="P206"/>
    <n v="1"/>
    <n v="129"/>
    <x v="3"/>
    <x v="28"/>
    <s v="Home &amp; Kitchen"/>
    <n v="60"/>
    <n v="129"/>
    <n v="60"/>
    <n v="69"/>
    <x v="11"/>
  </r>
  <r>
    <s v="ORD51005"/>
    <d v="2025-12-07T00:00:00"/>
    <s v="Online"/>
    <s v="P101"/>
    <n v="1"/>
    <n v="399"/>
    <x v="0"/>
    <x v="5"/>
    <s v="Electronics"/>
    <n v="230"/>
    <n v="339.15"/>
    <n v="230"/>
    <n v="109.14999999999998"/>
    <x v="11"/>
  </r>
  <r>
    <s v="ORD52132"/>
    <d v="2025-12-07T00:00:00"/>
    <s v="Mall of the Emirates"/>
    <s v="P304"/>
    <n v="1"/>
    <n v="699"/>
    <x v="5"/>
    <x v="35"/>
    <s v="Fashion"/>
    <n v="380"/>
    <n v="559.20000000000005"/>
    <n v="380"/>
    <n v="179.20000000000005"/>
    <x v="11"/>
  </r>
  <r>
    <s v="ORD52432"/>
    <d v="2025-12-07T00:00:00"/>
    <s v="Mall of the Emirates"/>
    <s v="P305"/>
    <n v="1"/>
    <n v="429"/>
    <x v="2"/>
    <x v="14"/>
    <s v="Fashion"/>
    <n v="300"/>
    <n v="386.1"/>
    <n v="300"/>
    <n v="86.100000000000023"/>
    <x v="11"/>
  </r>
  <r>
    <s v="ORD53318"/>
    <d v="2025-12-07T00:00:00"/>
    <s v="Dubai Mall"/>
    <s v="P306"/>
    <n v="1"/>
    <n v="249"/>
    <x v="3"/>
    <x v="3"/>
    <s v="Fashion"/>
    <n v="95"/>
    <n v="249"/>
    <n v="95"/>
    <n v="154"/>
    <x v="11"/>
  </r>
  <r>
    <s v="ORD53514"/>
    <d v="2025-12-07T00:00:00"/>
    <s v="City Centre Deira"/>
    <s v="P308"/>
    <n v="1"/>
    <n v="229"/>
    <x v="1"/>
    <x v="0"/>
    <s v="Fashion"/>
    <n v="120"/>
    <n v="217.54999999999998"/>
    <n v="120"/>
    <n v="97.549999999999983"/>
    <x v="11"/>
  </r>
  <r>
    <s v="ORD53516"/>
    <d v="2025-12-07T00:00:00"/>
    <s v="Mall of the Emirates"/>
    <s v="P403"/>
    <n v="3"/>
    <n v="299"/>
    <x v="5"/>
    <x v="8"/>
    <s v="Beauty"/>
    <n v="240"/>
    <n v="717.6"/>
    <n v="720"/>
    <n v="-2.3999999999999773"/>
    <x v="11"/>
  </r>
  <r>
    <s v="ORD53550"/>
    <d v="2025-12-07T00:00:00"/>
    <s v="Dubai Mall"/>
    <s v="P107"/>
    <n v="2"/>
    <n v="89"/>
    <x v="5"/>
    <x v="29"/>
    <s v="Electronics"/>
    <n v="35"/>
    <n v="142.4"/>
    <n v="70"/>
    <n v="72.400000000000006"/>
    <x v="11"/>
  </r>
  <r>
    <s v="ORD53783"/>
    <d v="2025-12-07T00:00:00"/>
    <s v="Mall of the Emirates"/>
    <s v="P308"/>
    <n v="3"/>
    <n v="229"/>
    <x v="0"/>
    <x v="0"/>
    <s v="Fashion"/>
    <n v="120"/>
    <n v="583.94999999999993"/>
    <n v="360"/>
    <n v="223.94999999999993"/>
    <x v="11"/>
  </r>
  <r>
    <s v="ORD50173"/>
    <d v="2025-12-08T00:00:00"/>
    <s v="Mall of the Emirates"/>
    <s v="P401"/>
    <n v="2"/>
    <n v="549"/>
    <x v="5"/>
    <x v="15"/>
    <s v="Beauty"/>
    <n v="250"/>
    <n v="878.40000000000009"/>
    <n v="500"/>
    <n v="378.40000000000009"/>
    <x v="11"/>
  </r>
  <r>
    <s v="ORD50485"/>
    <d v="2025-12-08T00:00:00"/>
    <s v="City Centre Deira"/>
    <s v="P502"/>
    <n v="2"/>
    <n v="799"/>
    <x v="6"/>
    <x v="19"/>
    <s v="Sports"/>
    <n v="700"/>
    <n v="1198.5"/>
    <n v="1400"/>
    <n v="-201.5"/>
    <x v="11"/>
  </r>
  <r>
    <s v="ORD50659"/>
    <d v="2025-12-08T00:00:00"/>
    <s v="Mall of the Emirates"/>
    <s v="P106"/>
    <n v="2"/>
    <n v="149"/>
    <x v="5"/>
    <x v="30"/>
    <s v="Electronics"/>
    <n v="70"/>
    <n v="238.4"/>
    <n v="140"/>
    <n v="98.4"/>
    <x v="11"/>
  </r>
  <r>
    <s v="ORD50906"/>
    <d v="2025-12-08T00:00:00"/>
    <s v="Mall of the Emirates"/>
    <s v="P301"/>
    <n v="3"/>
    <n v="179"/>
    <x v="2"/>
    <x v="2"/>
    <s v="Fashion"/>
    <n v="70"/>
    <n v="483.3"/>
    <n v="210"/>
    <n v="273.3"/>
    <x v="11"/>
  </r>
  <r>
    <s v="ORD50967"/>
    <d v="2025-12-08T00:00:00"/>
    <s v="Online"/>
    <s v="P302"/>
    <n v="3"/>
    <n v="459"/>
    <x v="4"/>
    <x v="10"/>
    <s v="Fashion"/>
    <n v="190"/>
    <n v="963.9"/>
    <n v="570"/>
    <n v="393.9"/>
    <x v="11"/>
  </r>
  <r>
    <s v="ORD51183"/>
    <d v="2025-12-08T00:00:00"/>
    <s v="Dubai Mall"/>
    <s v="P402"/>
    <n v="3"/>
    <n v="149"/>
    <x v="5"/>
    <x v="17"/>
    <s v="Beauty"/>
    <n v="55"/>
    <n v="357.6"/>
    <n v="165"/>
    <n v="192.60000000000002"/>
    <x v="11"/>
  </r>
  <r>
    <s v="ORD51251"/>
    <d v="2025-12-08T00:00:00"/>
    <s v="City Centre Deira"/>
    <s v="P304"/>
    <n v="1"/>
    <n v="699"/>
    <x v="5"/>
    <x v="35"/>
    <s v="Fashion"/>
    <n v="380"/>
    <n v="559.20000000000005"/>
    <n v="380"/>
    <n v="179.20000000000005"/>
    <x v="11"/>
  </r>
  <r>
    <s v="ORD51514"/>
    <d v="2025-12-08T00:00:00"/>
    <s v="Online"/>
    <s v="P104"/>
    <n v="2"/>
    <n v="199"/>
    <x v="0"/>
    <x v="1"/>
    <s v="Electronics"/>
    <n v="175"/>
    <n v="338.3"/>
    <n v="350"/>
    <n v="-11.699999999999989"/>
    <x v="11"/>
  </r>
  <r>
    <s v="ORD51945"/>
    <d v="2025-12-08T00:00:00"/>
    <s v="Dubai Mall"/>
    <s v="P104"/>
    <n v="2"/>
    <n v="199"/>
    <x v="6"/>
    <x v="1"/>
    <s v="Electronics"/>
    <n v="175"/>
    <n v="298.5"/>
    <n v="350"/>
    <n v="-51.5"/>
    <x v="11"/>
  </r>
  <r>
    <s v="ORD52267"/>
    <d v="2025-12-08T00:00:00"/>
    <s v="Mall of the Emirates"/>
    <s v="P107"/>
    <n v="4"/>
    <n v="89"/>
    <x v="3"/>
    <x v="29"/>
    <s v="Electronics"/>
    <n v="35"/>
    <n v="356"/>
    <n v="140"/>
    <n v="216"/>
    <x v="11"/>
  </r>
  <r>
    <s v="ORD52312"/>
    <d v="2025-12-08T00:00:00"/>
    <s v="Dubai Mall"/>
    <s v="P307"/>
    <n v="1"/>
    <n v="399"/>
    <x v="3"/>
    <x v="20"/>
    <s v="Fashion"/>
    <n v="210"/>
    <n v="399"/>
    <n v="210"/>
    <n v="189"/>
    <x v="11"/>
  </r>
  <r>
    <s v="ORD52898"/>
    <d v="2025-12-08T00:00:00"/>
    <s v="Dubai Mall"/>
    <s v="P302"/>
    <n v="1"/>
    <n v="459"/>
    <x v="3"/>
    <x v="10"/>
    <s v="Fashion"/>
    <n v="190"/>
    <n v="459"/>
    <n v="190"/>
    <n v="269"/>
    <x v="11"/>
  </r>
  <r>
    <s v="ORD52922"/>
    <d v="2025-12-08T00:00:00"/>
    <s v="Mall of the Emirates"/>
    <s v="P107"/>
    <n v="1"/>
    <n v="89"/>
    <x v="3"/>
    <x v="29"/>
    <s v="Electronics"/>
    <n v="35"/>
    <n v="89"/>
    <n v="35"/>
    <n v="54"/>
    <x v="11"/>
  </r>
  <r>
    <s v="ORD53660"/>
    <d v="2025-12-08T00:00:00"/>
    <s v="Dubai Mall"/>
    <s v="P303"/>
    <n v="1"/>
    <n v="149"/>
    <x v="5"/>
    <x v="7"/>
    <s v="Fashion"/>
    <n v="80"/>
    <n v="119.2"/>
    <n v="80"/>
    <n v="39.200000000000003"/>
    <x v="11"/>
  </r>
  <r>
    <s v="ORD50350"/>
    <d v="2025-12-09T00:00:00"/>
    <s v="Mall of the Emirates"/>
    <s v="P506"/>
    <n v="2"/>
    <n v="69"/>
    <x v="2"/>
    <x v="34"/>
    <s v="Sports"/>
    <n v="25"/>
    <n v="124.2"/>
    <n v="50"/>
    <n v="74.2"/>
    <x v="11"/>
  </r>
  <r>
    <s v="ORD50459"/>
    <d v="2025-12-09T00:00:00"/>
    <s v="Mall of the Emirates"/>
    <s v="P301"/>
    <n v="1"/>
    <n v="179"/>
    <x v="3"/>
    <x v="2"/>
    <s v="Fashion"/>
    <n v="70"/>
    <n v="179"/>
    <n v="70"/>
    <n v="109"/>
    <x v="11"/>
  </r>
  <r>
    <s v="ORD50491"/>
    <d v="2025-12-09T00:00:00"/>
    <s v="Online"/>
    <s v="P102"/>
    <n v="2"/>
    <n v="249"/>
    <x v="0"/>
    <x v="13"/>
    <s v="Electronics"/>
    <n v="150"/>
    <n v="423.3"/>
    <n v="300"/>
    <n v="123.30000000000001"/>
    <x v="11"/>
  </r>
  <r>
    <s v="ORD50521"/>
    <d v="2025-12-09T00:00:00"/>
    <s v="Dubai Mall"/>
    <s v="P301"/>
    <n v="1"/>
    <n v="179"/>
    <x v="5"/>
    <x v="2"/>
    <s v="Fashion"/>
    <n v="70"/>
    <n v="143.20000000000002"/>
    <n v="70"/>
    <n v="73.200000000000017"/>
    <x v="11"/>
  </r>
  <r>
    <s v="ORD50653"/>
    <d v="2025-12-09T00:00:00"/>
    <s v="Ibn Battuta Mall"/>
    <s v="P105"/>
    <n v="3"/>
    <n v="899"/>
    <x v="0"/>
    <x v="31"/>
    <s v="Electronics"/>
    <n v="610"/>
    <n v="2292.4499999999998"/>
    <n v="1830"/>
    <n v="462.44999999999982"/>
    <x v="11"/>
  </r>
  <r>
    <s v="ORD51043"/>
    <d v="2025-12-09T00:00:00"/>
    <s v="Mall of the Emirates"/>
    <s v="P107"/>
    <n v="2"/>
    <n v="89"/>
    <x v="3"/>
    <x v="29"/>
    <s v="Electronics"/>
    <n v="35"/>
    <n v="178"/>
    <n v="70"/>
    <n v="108"/>
    <x v="11"/>
  </r>
  <r>
    <s v="ORD51436"/>
    <d v="2025-12-09T00:00:00"/>
    <s v="Ibn Battuta Mall"/>
    <s v="P306"/>
    <n v="3"/>
    <n v="249"/>
    <x v="1"/>
    <x v="3"/>
    <s v="Fashion"/>
    <n v="95"/>
    <n v="709.65"/>
    <n v="285"/>
    <n v="424.65"/>
    <x v="11"/>
  </r>
  <r>
    <s v="ORD52082"/>
    <d v="2025-12-09T00:00:00"/>
    <s v="Online"/>
    <s v="P205"/>
    <n v="2"/>
    <n v="289"/>
    <x v="4"/>
    <x v="9"/>
    <s v="Home &amp; Kitchen"/>
    <n v="140"/>
    <n v="404.59999999999997"/>
    <n v="280"/>
    <n v="124.59999999999997"/>
    <x v="11"/>
  </r>
  <r>
    <s v="ORD52351"/>
    <d v="2025-12-09T00:00:00"/>
    <s v="Dubai Mall"/>
    <s v="P101"/>
    <n v="1"/>
    <n v="399"/>
    <x v="5"/>
    <x v="5"/>
    <s v="Electronics"/>
    <n v="230"/>
    <n v="319.20000000000005"/>
    <n v="230"/>
    <n v="89.200000000000045"/>
    <x v="11"/>
  </r>
  <r>
    <s v="ORD52424"/>
    <d v="2025-12-09T00:00:00"/>
    <s v="Ibn Battuta Mall"/>
    <s v="P406"/>
    <n v="3"/>
    <n v="199"/>
    <x v="2"/>
    <x v="4"/>
    <s v="Beauty"/>
    <n v="90"/>
    <n v="537.30000000000007"/>
    <n v="270"/>
    <n v="267.30000000000007"/>
    <x v="11"/>
  </r>
  <r>
    <s v="ORD52902"/>
    <d v="2025-12-09T00:00:00"/>
    <s v="Dubai Mall"/>
    <s v="P102"/>
    <n v="1"/>
    <n v="249"/>
    <x v="3"/>
    <x v="13"/>
    <s v="Electronics"/>
    <n v="150"/>
    <n v="249"/>
    <n v="150"/>
    <n v="99"/>
    <x v="11"/>
  </r>
  <r>
    <s v="ORD53001"/>
    <d v="2025-12-09T00:00:00"/>
    <s v="City Centre Deira"/>
    <s v="P301"/>
    <n v="2"/>
    <n v="179"/>
    <x v="4"/>
    <x v="2"/>
    <s v="Fashion"/>
    <n v="70"/>
    <n v="250.6"/>
    <n v="140"/>
    <n v="110.6"/>
    <x v="11"/>
  </r>
  <r>
    <s v="ORD53348"/>
    <d v="2025-12-09T00:00:00"/>
    <s v="Dubai Mall"/>
    <s v="P308"/>
    <n v="1"/>
    <n v="229"/>
    <x v="5"/>
    <x v="0"/>
    <s v="Fashion"/>
    <n v="120"/>
    <n v="183.20000000000002"/>
    <n v="120"/>
    <n v="63.200000000000017"/>
    <x v="11"/>
  </r>
  <r>
    <s v="ORD53707"/>
    <d v="2025-12-09T00:00:00"/>
    <s v="Ibn Battuta Mall"/>
    <s v="P304"/>
    <n v="2"/>
    <n v="699"/>
    <x v="5"/>
    <x v="35"/>
    <s v="Fashion"/>
    <n v="380"/>
    <n v="1118.4000000000001"/>
    <n v="760"/>
    <n v="358.40000000000009"/>
    <x v="11"/>
  </r>
  <r>
    <s v="ORD51187"/>
    <d v="2025-12-10T00:00:00"/>
    <s v="Mall of the Emirates"/>
    <s v="P402"/>
    <n v="4"/>
    <n v="149"/>
    <x v="5"/>
    <x v="17"/>
    <s v="Beauty"/>
    <n v="55"/>
    <n v="476.8"/>
    <n v="220"/>
    <n v="256.8"/>
    <x v="11"/>
  </r>
  <r>
    <s v="ORD51674"/>
    <d v="2025-12-10T00:00:00"/>
    <s v="Mall of the Emirates"/>
    <s v="P406"/>
    <n v="1"/>
    <n v="199"/>
    <x v="5"/>
    <x v="4"/>
    <s v="Beauty"/>
    <n v="90"/>
    <n v="159.20000000000002"/>
    <n v="90"/>
    <n v="69.200000000000017"/>
    <x v="11"/>
  </r>
  <r>
    <s v="ORD52315"/>
    <d v="2025-12-10T00:00:00"/>
    <s v="Dubai Mall"/>
    <s v="P401"/>
    <n v="1"/>
    <n v="549"/>
    <x v="5"/>
    <x v="15"/>
    <s v="Beauty"/>
    <n v="250"/>
    <n v="439.20000000000005"/>
    <n v="250"/>
    <n v="189.20000000000005"/>
    <x v="11"/>
  </r>
  <r>
    <s v="ORD52724"/>
    <d v="2025-12-10T00:00:00"/>
    <s v="Online"/>
    <s v="P102"/>
    <n v="3"/>
    <n v="249"/>
    <x v="5"/>
    <x v="13"/>
    <s v="Electronics"/>
    <n v="150"/>
    <n v="597.6"/>
    <n v="450"/>
    <n v="147.60000000000002"/>
    <x v="11"/>
  </r>
  <r>
    <s v="ORD53022"/>
    <d v="2025-12-10T00:00:00"/>
    <s v="Mall of the Emirates"/>
    <s v="P302"/>
    <n v="1"/>
    <n v="459"/>
    <x v="0"/>
    <x v="10"/>
    <s v="Fashion"/>
    <n v="190"/>
    <n v="390.15"/>
    <n v="190"/>
    <n v="200.14999999999998"/>
    <x v="11"/>
  </r>
  <r>
    <s v="ORD53741"/>
    <d v="2025-12-10T00:00:00"/>
    <s v="Mall of the Emirates"/>
    <s v="P308"/>
    <n v="4"/>
    <n v="229"/>
    <x v="5"/>
    <x v="0"/>
    <s v="Fashion"/>
    <n v="120"/>
    <n v="732.80000000000007"/>
    <n v="480"/>
    <n v="252.80000000000007"/>
    <x v="11"/>
  </r>
  <r>
    <s v="ORD54079"/>
    <d v="2025-12-10T00:00:00"/>
    <s v="Mall of the Emirates"/>
    <s v="P301"/>
    <n v="3"/>
    <n v="179"/>
    <x v="5"/>
    <x v="2"/>
    <s v="Fashion"/>
    <n v="70"/>
    <n v="429.6"/>
    <n v="210"/>
    <n v="219.60000000000002"/>
    <x v="11"/>
  </r>
  <r>
    <s v="ORD51104"/>
    <d v="2025-12-11T00:00:00"/>
    <s v="Ibn Battuta Mall"/>
    <s v="P301"/>
    <n v="1"/>
    <n v="179"/>
    <x v="5"/>
    <x v="2"/>
    <s v="Fashion"/>
    <n v="70"/>
    <n v="143.20000000000002"/>
    <n v="70"/>
    <n v="73.200000000000017"/>
    <x v="11"/>
  </r>
  <r>
    <s v="ORD51133"/>
    <d v="2025-12-11T00:00:00"/>
    <s v="Ibn Battuta Mall"/>
    <s v="P103"/>
    <n v="1"/>
    <n v="1299"/>
    <x v="5"/>
    <x v="25"/>
    <s v="Electronics"/>
    <n v="820"/>
    <n v="1039.2"/>
    <n v="820"/>
    <n v="219.20000000000005"/>
    <x v="11"/>
  </r>
  <r>
    <s v="ORD51356"/>
    <d v="2025-12-11T00:00:00"/>
    <s v="City Centre Deira"/>
    <s v="P303"/>
    <n v="2"/>
    <n v="149"/>
    <x v="2"/>
    <x v="7"/>
    <s v="Fashion"/>
    <n v="80"/>
    <n v="268.2"/>
    <n v="160"/>
    <n v="108.19999999999999"/>
    <x v="11"/>
  </r>
  <r>
    <s v="ORD51911"/>
    <d v="2025-12-11T00:00:00"/>
    <s v="Dubai Mall"/>
    <s v="P306"/>
    <n v="3"/>
    <n v="249"/>
    <x v="5"/>
    <x v="3"/>
    <s v="Fashion"/>
    <n v="95"/>
    <n v="597.6"/>
    <n v="285"/>
    <n v="312.60000000000002"/>
    <x v="11"/>
  </r>
  <r>
    <s v="ORD51919"/>
    <d v="2025-12-11T00:00:00"/>
    <s v="Online"/>
    <s v="P303"/>
    <n v="1"/>
    <n v="149"/>
    <x v="3"/>
    <x v="7"/>
    <s v="Fashion"/>
    <n v="80"/>
    <n v="149"/>
    <n v="80"/>
    <n v="69"/>
    <x v="11"/>
  </r>
  <r>
    <s v="ORD52024"/>
    <d v="2025-12-11T00:00:00"/>
    <s v="Dubai Mall"/>
    <s v="P404"/>
    <n v="2"/>
    <n v="189"/>
    <x v="5"/>
    <x v="6"/>
    <s v="Beauty"/>
    <n v="85"/>
    <n v="302.40000000000003"/>
    <n v="170"/>
    <n v="132.40000000000003"/>
    <x v="11"/>
  </r>
  <r>
    <s v="ORD52467"/>
    <d v="2025-12-11T00:00:00"/>
    <s v="City Centre Deira"/>
    <s v="P305"/>
    <n v="1"/>
    <n v="429"/>
    <x v="2"/>
    <x v="14"/>
    <s v="Fashion"/>
    <n v="300"/>
    <n v="386.1"/>
    <n v="300"/>
    <n v="86.100000000000023"/>
    <x v="11"/>
  </r>
  <r>
    <s v="ORD52477"/>
    <d v="2025-12-11T00:00:00"/>
    <s v="City Centre Deira"/>
    <s v="P206"/>
    <n v="1"/>
    <n v="129"/>
    <x v="3"/>
    <x v="28"/>
    <s v="Home &amp; Kitchen"/>
    <n v="60"/>
    <n v="129"/>
    <n v="60"/>
    <n v="69"/>
    <x v="11"/>
  </r>
  <r>
    <s v="ORD52499"/>
    <d v="2025-12-11T00:00:00"/>
    <s v="Mall of the Emirates"/>
    <s v="P402"/>
    <n v="1"/>
    <n v="149"/>
    <x v="5"/>
    <x v="17"/>
    <s v="Beauty"/>
    <n v="55"/>
    <n v="119.2"/>
    <n v="55"/>
    <n v="64.2"/>
    <x v="11"/>
  </r>
  <r>
    <s v="ORD52791"/>
    <d v="2025-12-11T00:00:00"/>
    <s v="Online"/>
    <s v="P405"/>
    <n v="1"/>
    <n v="89"/>
    <x v="2"/>
    <x v="24"/>
    <s v="Beauty"/>
    <n v="40"/>
    <n v="80.100000000000009"/>
    <n v="40"/>
    <n v="40.100000000000009"/>
    <x v="11"/>
  </r>
  <r>
    <s v="ORD52911"/>
    <d v="2025-12-11T00:00:00"/>
    <s v="Dubai Mall"/>
    <s v="P207"/>
    <n v="2"/>
    <n v="399"/>
    <x v="1"/>
    <x v="32"/>
    <s v="Home &amp; Kitchen"/>
    <n v="250"/>
    <n v="758.09999999999991"/>
    <n v="500"/>
    <n v="258.09999999999991"/>
    <x v="11"/>
  </r>
  <r>
    <s v="ORD53353"/>
    <d v="2025-12-11T00:00:00"/>
    <s v="Dubai Mall"/>
    <s v="P305"/>
    <n v="1"/>
    <n v="429"/>
    <x v="1"/>
    <x v="14"/>
    <s v="Fashion"/>
    <n v="300"/>
    <n v="407.54999999999995"/>
    <n v="300"/>
    <n v="107.54999999999995"/>
    <x v="11"/>
  </r>
  <r>
    <s v="ORD53443"/>
    <d v="2025-12-11T00:00:00"/>
    <s v="Online"/>
    <s v="P506"/>
    <n v="4"/>
    <n v="69"/>
    <x v="5"/>
    <x v="34"/>
    <s v="Sports"/>
    <n v="25"/>
    <n v="220.8"/>
    <n v="100"/>
    <n v="120.80000000000001"/>
    <x v="11"/>
  </r>
  <r>
    <s v="ORD53936"/>
    <d v="2025-12-11T00:00:00"/>
    <s v="City Centre Deira"/>
    <s v="P205"/>
    <n v="4"/>
    <n v="289"/>
    <x v="3"/>
    <x v="9"/>
    <s v="Home &amp; Kitchen"/>
    <n v="140"/>
    <n v="1156"/>
    <n v="560"/>
    <n v="596"/>
    <x v="11"/>
  </r>
  <r>
    <s v="ORD54174"/>
    <d v="2025-12-11T00:00:00"/>
    <s v="Dubai Mall"/>
    <s v="P301"/>
    <n v="1"/>
    <n v="179"/>
    <x v="2"/>
    <x v="2"/>
    <s v="Fashion"/>
    <n v="70"/>
    <n v="161.1"/>
    <n v="70"/>
    <n v="91.1"/>
    <x v="11"/>
  </r>
  <r>
    <s v="ORD50406"/>
    <d v="2025-12-12T00:00:00"/>
    <s v="Ibn Battuta Mall"/>
    <s v="P308"/>
    <n v="1"/>
    <n v="229"/>
    <x v="0"/>
    <x v="0"/>
    <s v="Fashion"/>
    <n v="120"/>
    <n v="194.65"/>
    <n v="120"/>
    <n v="74.650000000000006"/>
    <x v="11"/>
  </r>
  <r>
    <s v="ORD50445"/>
    <d v="2025-12-12T00:00:00"/>
    <s v="City Centre Deira"/>
    <s v="P206"/>
    <n v="3"/>
    <n v="129"/>
    <x v="5"/>
    <x v="28"/>
    <s v="Home &amp; Kitchen"/>
    <n v="60"/>
    <n v="309.60000000000002"/>
    <n v="180"/>
    <n v="129.60000000000002"/>
    <x v="11"/>
  </r>
  <r>
    <s v="ORD50882"/>
    <d v="2025-12-12T00:00:00"/>
    <s v="City Centre Deira"/>
    <s v="P405"/>
    <n v="2"/>
    <n v="89"/>
    <x v="5"/>
    <x v="24"/>
    <s v="Beauty"/>
    <n v="40"/>
    <n v="142.4"/>
    <n v="80"/>
    <n v="62.400000000000006"/>
    <x v="11"/>
  </r>
  <r>
    <s v="ORD51447"/>
    <d v="2025-12-12T00:00:00"/>
    <s v="Dubai Mall"/>
    <s v="P404"/>
    <n v="2"/>
    <n v="189"/>
    <x v="5"/>
    <x v="6"/>
    <s v="Beauty"/>
    <n v="85"/>
    <n v="302.40000000000003"/>
    <n v="170"/>
    <n v="132.40000000000003"/>
    <x v="11"/>
  </r>
  <r>
    <s v="ORD51877"/>
    <d v="2025-12-12T00:00:00"/>
    <s v="Dubai Mall"/>
    <s v="P105"/>
    <n v="1"/>
    <n v="899"/>
    <x v="2"/>
    <x v="31"/>
    <s v="Electronics"/>
    <n v="610"/>
    <n v="809.1"/>
    <n v="610"/>
    <n v="199.10000000000002"/>
    <x v="11"/>
  </r>
  <r>
    <s v="ORD51976"/>
    <d v="2025-12-12T00:00:00"/>
    <s v="City Centre Deira"/>
    <s v="P403"/>
    <n v="1"/>
    <n v="299"/>
    <x v="6"/>
    <x v="8"/>
    <s v="Beauty"/>
    <n v="240"/>
    <n v="224.25"/>
    <n v="240"/>
    <n v="-15.75"/>
    <x v="11"/>
  </r>
  <r>
    <s v="ORD52088"/>
    <d v="2025-12-12T00:00:00"/>
    <s v="Dubai Mall"/>
    <s v="P302"/>
    <n v="1"/>
    <n v="459"/>
    <x v="5"/>
    <x v="10"/>
    <s v="Fashion"/>
    <n v="190"/>
    <n v="367.20000000000005"/>
    <n v="190"/>
    <n v="177.20000000000005"/>
    <x v="11"/>
  </r>
  <r>
    <s v="ORD52518"/>
    <d v="2025-12-12T00:00:00"/>
    <s v="City Centre Deira"/>
    <s v="P308"/>
    <n v="1"/>
    <n v="229"/>
    <x v="4"/>
    <x v="0"/>
    <s v="Fashion"/>
    <n v="120"/>
    <n v="160.29999999999998"/>
    <n v="120"/>
    <n v="40.299999999999983"/>
    <x v="11"/>
  </r>
  <r>
    <s v="ORD52897"/>
    <d v="2025-12-12T00:00:00"/>
    <s v="Online"/>
    <s v="P107"/>
    <n v="1"/>
    <n v="89"/>
    <x v="5"/>
    <x v="29"/>
    <s v="Electronics"/>
    <n v="35"/>
    <n v="71.2"/>
    <n v="35"/>
    <n v="36.200000000000003"/>
    <x v="11"/>
  </r>
  <r>
    <s v="ORD52961"/>
    <d v="2025-12-12T00:00:00"/>
    <s v="Online"/>
    <s v="P205"/>
    <n v="1"/>
    <n v="289"/>
    <x v="5"/>
    <x v="9"/>
    <s v="Home &amp; Kitchen"/>
    <n v="140"/>
    <n v="231.20000000000002"/>
    <n v="140"/>
    <n v="91.200000000000017"/>
    <x v="11"/>
  </r>
  <r>
    <s v="ORD53421"/>
    <d v="2025-12-12T00:00:00"/>
    <s v="Mall of the Emirates"/>
    <s v="P402"/>
    <n v="1"/>
    <n v="149"/>
    <x v="1"/>
    <x v="17"/>
    <s v="Beauty"/>
    <n v="55"/>
    <n v="141.54999999999998"/>
    <n v="55"/>
    <n v="86.549999999999983"/>
    <x v="11"/>
  </r>
  <r>
    <s v="ORD54016"/>
    <d v="2025-12-12T00:00:00"/>
    <s v="Ibn Battuta Mall"/>
    <s v="P306"/>
    <n v="2"/>
    <n v="249"/>
    <x v="5"/>
    <x v="3"/>
    <s v="Fashion"/>
    <n v="95"/>
    <n v="398.40000000000003"/>
    <n v="190"/>
    <n v="208.40000000000003"/>
    <x v="11"/>
  </r>
  <r>
    <s v="ORD50181"/>
    <d v="2025-12-13T00:00:00"/>
    <s v="Dubai Mall"/>
    <s v="P306"/>
    <n v="1"/>
    <n v="249"/>
    <x v="3"/>
    <x v="3"/>
    <s v="Fashion"/>
    <n v="95"/>
    <n v="249"/>
    <n v="95"/>
    <n v="154"/>
    <x v="11"/>
  </r>
  <r>
    <s v="ORD50885"/>
    <d v="2025-12-13T00:00:00"/>
    <s v="Mall of the Emirates"/>
    <s v="P302"/>
    <n v="2"/>
    <n v="459"/>
    <x v="1"/>
    <x v="10"/>
    <s v="Fashion"/>
    <n v="190"/>
    <n v="872.09999999999991"/>
    <n v="380"/>
    <n v="492.09999999999991"/>
    <x v="11"/>
  </r>
  <r>
    <s v="ORD51728"/>
    <d v="2025-12-13T00:00:00"/>
    <s v="Online"/>
    <s v="P303"/>
    <n v="2"/>
    <n v="149"/>
    <x v="0"/>
    <x v="7"/>
    <s v="Fashion"/>
    <n v="80"/>
    <n v="253.29999999999998"/>
    <n v="160"/>
    <n v="93.299999999999983"/>
    <x v="11"/>
  </r>
  <r>
    <s v="ORD51948"/>
    <d v="2025-12-13T00:00:00"/>
    <s v="City Centre Deira"/>
    <s v="P201"/>
    <n v="1"/>
    <n v="499"/>
    <x v="5"/>
    <x v="16"/>
    <s v="Home &amp; Kitchen"/>
    <n v="290"/>
    <n v="399.20000000000005"/>
    <n v="290"/>
    <n v="109.20000000000005"/>
    <x v="11"/>
  </r>
  <r>
    <s v="ORD52012"/>
    <d v="2025-12-13T00:00:00"/>
    <s v="Online"/>
    <s v="P502"/>
    <n v="3"/>
    <n v="799"/>
    <x v="0"/>
    <x v="19"/>
    <s v="Sports"/>
    <n v="700"/>
    <n v="2037.45"/>
    <n v="2100"/>
    <n v="-62.549999999999955"/>
    <x v="11"/>
  </r>
  <r>
    <s v="ORD52429"/>
    <d v="2025-12-13T00:00:00"/>
    <s v="Online"/>
    <s v="P305"/>
    <n v="1"/>
    <n v="429"/>
    <x v="4"/>
    <x v="14"/>
    <s v="Fashion"/>
    <n v="300"/>
    <n v="300.29999999999995"/>
    <n v="300"/>
    <n v="0.29999999999995453"/>
    <x v="11"/>
  </r>
  <r>
    <s v="ORD53499"/>
    <d v="2025-12-13T00:00:00"/>
    <s v="Ibn Battuta Mall"/>
    <s v="P406"/>
    <n v="1"/>
    <n v="199"/>
    <x v="1"/>
    <x v="4"/>
    <s v="Beauty"/>
    <n v="90"/>
    <n v="189.04999999999998"/>
    <n v="90"/>
    <n v="99.049999999999983"/>
    <x v="11"/>
  </r>
  <r>
    <s v="ORD53795"/>
    <d v="2025-12-13T00:00:00"/>
    <s v="Online"/>
    <s v="P305"/>
    <n v="1"/>
    <n v="429"/>
    <x v="3"/>
    <x v="14"/>
    <s v="Fashion"/>
    <n v="300"/>
    <n v="429"/>
    <n v="300"/>
    <n v="129"/>
    <x v="11"/>
  </r>
  <r>
    <s v="ORD53815"/>
    <d v="2025-12-13T00:00:00"/>
    <s v="Dubai Mall"/>
    <s v="P303"/>
    <n v="2"/>
    <n v="149"/>
    <x v="5"/>
    <x v="7"/>
    <s v="Fashion"/>
    <n v="80"/>
    <n v="238.4"/>
    <n v="160"/>
    <n v="78.400000000000006"/>
    <x v="11"/>
  </r>
  <r>
    <s v="ORD53870"/>
    <d v="2025-12-13T00:00:00"/>
    <s v="Dubai Mall"/>
    <s v="P303"/>
    <n v="1"/>
    <n v="149"/>
    <x v="3"/>
    <x v="7"/>
    <s v="Fashion"/>
    <n v="80"/>
    <n v="149"/>
    <n v="80"/>
    <n v="69"/>
    <x v="11"/>
  </r>
  <r>
    <s v="ORD54141"/>
    <d v="2025-12-13T00:00:00"/>
    <s v="Mall of the Emirates"/>
    <s v="P503"/>
    <n v="1"/>
    <n v="229"/>
    <x v="3"/>
    <x v="18"/>
    <s v="Sports"/>
    <n v="120"/>
    <n v="229"/>
    <n v="120"/>
    <n v="109"/>
    <x v="11"/>
  </r>
  <r>
    <s v="ORD54147"/>
    <d v="2025-12-13T00:00:00"/>
    <s v="City Centre Deira"/>
    <s v="P301"/>
    <n v="2"/>
    <n v="179"/>
    <x v="3"/>
    <x v="2"/>
    <s v="Fashion"/>
    <n v="70"/>
    <n v="358"/>
    <n v="140"/>
    <n v="218"/>
    <x v="11"/>
  </r>
  <r>
    <s v="ORD54169"/>
    <d v="2025-12-13T00:00:00"/>
    <s v="Ibn Battuta Mall"/>
    <s v="P206"/>
    <n v="2"/>
    <n v="129"/>
    <x v="5"/>
    <x v="28"/>
    <s v="Home &amp; Kitchen"/>
    <n v="60"/>
    <n v="206.4"/>
    <n v="120"/>
    <n v="86.4"/>
    <x v="11"/>
  </r>
  <r>
    <s v="ORD50399"/>
    <d v="2025-12-14T00:00:00"/>
    <s v="Online"/>
    <s v="P306"/>
    <n v="2"/>
    <n v="249"/>
    <x v="5"/>
    <x v="3"/>
    <s v="Fashion"/>
    <n v="95"/>
    <n v="398.40000000000003"/>
    <n v="190"/>
    <n v="208.40000000000003"/>
    <x v="11"/>
  </r>
  <r>
    <s v="ORD50984"/>
    <d v="2025-12-14T00:00:00"/>
    <s v="Mall of the Emirates"/>
    <s v="P105"/>
    <n v="1"/>
    <n v="899"/>
    <x v="5"/>
    <x v="31"/>
    <s v="Electronics"/>
    <n v="610"/>
    <n v="719.2"/>
    <n v="610"/>
    <n v="109.20000000000005"/>
    <x v="11"/>
  </r>
  <r>
    <s v="ORD51195"/>
    <d v="2025-12-14T00:00:00"/>
    <s v="Dubai Mall"/>
    <s v="P304"/>
    <n v="1"/>
    <n v="699"/>
    <x v="3"/>
    <x v="35"/>
    <s v="Fashion"/>
    <n v="380"/>
    <n v="699"/>
    <n v="380"/>
    <n v="319"/>
    <x v="11"/>
  </r>
  <r>
    <s v="ORD51263"/>
    <d v="2025-12-14T00:00:00"/>
    <s v="City Centre Deira"/>
    <s v="P106"/>
    <n v="1"/>
    <n v="149"/>
    <x v="0"/>
    <x v="30"/>
    <s v="Electronics"/>
    <n v="70"/>
    <n v="126.64999999999999"/>
    <n v="70"/>
    <n v="56.649999999999991"/>
    <x v="11"/>
  </r>
  <r>
    <s v="ORD51575"/>
    <d v="2025-12-14T00:00:00"/>
    <s v="City Centre Deira"/>
    <s v="P201"/>
    <n v="2"/>
    <n v="499"/>
    <x v="5"/>
    <x v="16"/>
    <s v="Home &amp; Kitchen"/>
    <n v="290"/>
    <n v="798.40000000000009"/>
    <n v="580"/>
    <n v="218.40000000000009"/>
    <x v="11"/>
  </r>
  <r>
    <s v="ORD51887"/>
    <d v="2025-12-14T00:00:00"/>
    <s v="Dubai Mall"/>
    <s v="P108"/>
    <n v="1"/>
    <n v="459"/>
    <x v="3"/>
    <x v="23"/>
    <s v="Electronics"/>
    <n v="300"/>
    <n v="459"/>
    <n v="300"/>
    <n v="159"/>
    <x v="11"/>
  </r>
  <r>
    <s v="ORD52397"/>
    <d v="2025-12-14T00:00:00"/>
    <s v="Mall of the Emirates"/>
    <s v="P203"/>
    <n v="2"/>
    <n v="349"/>
    <x v="3"/>
    <x v="21"/>
    <s v="Home &amp; Kitchen"/>
    <n v="170"/>
    <n v="698"/>
    <n v="340"/>
    <n v="358"/>
    <x v="11"/>
  </r>
  <r>
    <s v="ORD52464"/>
    <d v="2025-12-14T00:00:00"/>
    <s v="City Centre Deira"/>
    <s v="P104"/>
    <n v="1"/>
    <n v="199"/>
    <x v="2"/>
    <x v="1"/>
    <s v="Electronics"/>
    <n v="175"/>
    <n v="179.1"/>
    <n v="175"/>
    <n v="4.0999999999999943"/>
    <x v="11"/>
  </r>
  <r>
    <s v="ORD52500"/>
    <d v="2025-12-14T00:00:00"/>
    <s v="Mall of the Emirates"/>
    <s v="P307"/>
    <n v="1"/>
    <n v="399"/>
    <x v="0"/>
    <x v="20"/>
    <s v="Fashion"/>
    <n v="210"/>
    <n v="339.15"/>
    <n v="210"/>
    <n v="129.14999999999998"/>
    <x v="11"/>
  </r>
  <r>
    <s v="ORD52753"/>
    <d v="2025-12-14T00:00:00"/>
    <s v="Mall of the Emirates"/>
    <s v="P208"/>
    <n v="3"/>
    <n v="259"/>
    <x v="3"/>
    <x v="22"/>
    <s v="Home &amp; Kitchen"/>
    <n v="115"/>
    <n v="777"/>
    <n v="345"/>
    <n v="432"/>
    <x v="11"/>
  </r>
  <r>
    <s v="ORD53201"/>
    <d v="2025-12-14T00:00:00"/>
    <s v="Ibn Battuta Mall"/>
    <s v="P106"/>
    <n v="1"/>
    <n v="149"/>
    <x v="0"/>
    <x v="30"/>
    <s v="Electronics"/>
    <n v="70"/>
    <n v="126.64999999999999"/>
    <n v="70"/>
    <n v="56.649999999999991"/>
    <x v="11"/>
  </r>
  <r>
    <s v="ORD53620"/>
    <d v="2025-12-14T00:00:00"/>
    <s v="Online"/>
    <s v="P201"/>
    <n v="4"/>
    <n v="499"/>
    <x v="5"/>
    <x v="16"/>
    <s v="Home &amp; Kitchen"/>
    <n v="290"/>
    <n v="1596.8000000000002"/>
    <n v="1160"/>
    <n v="436.80000000000018"/>
    <x v="11"/>
  </r>
  <r>
    <s v="ORD53997"/>
    <d v="2025-12-14T00:00:00"/>
    <s v="Mall of the Emirates"/>
    <s v="P101"/>
    <n v="1"/>
    <n v="399"/>
    <x v="2"/>
    <x v="5"/>
    <s v="Electronics"/>
    <n v="230"/>
    <n v="359.1"/>
    <n v="230"/>
    <n v="129.10000000000002"/>
    <x v="11"/>
  </r>
  <r>
    <s v="ORD50677"/>
    <d v="2025-12-15T00:00:00"/>
    <s v="Dubai Mall"/>
    <s v="P205"/>
    <n v="1"/>
    <n v="289"/>
    <x v="5"/>
    <x v="9"/>
    <s v="Home &amp; Kitchen"/>
    <n v="140"/>
    <n v="231.20000000000002"/>
    <n v="140"/>
    <n v="91.200000000000017"/>
    <x v="11"/>
  </r>
  <r>
    <s v="ORD50815"/>
    <d v="2025-12-15T00:00:00"/>
    <s v="Mall of the Emirates"/>
    <s v="P304"/>
    <n v="1"/>
    <n v="699"/>
    <x v="2"/>
    <x v="35"/>
    <s v="Fashion"/>
    <n v="380"/>
    <n v="629.1"/>
    <n v="380"/>
    <n v="249.10000000000002"/>
    <x v="11"/>
  </r>
  <r>
    <s v="ORD51078"/>
    <d v="2025-12-15T00:00:00"/>
    <s v="Online"/>
    <s v="P307"/>
    <n v="2"/>
    <n v="399"/>
    <x v="5"/>
    <x v="20"/>
    <s v="Fashion"/>
    <n v="210"/>
    <n v="638.40000000000009"/>
    <n v="420"/>
    <n v="218.40000000000009"/>
    <x v="11"/>
  </r>
  <r>
    <s v="ORD51181"/>
    <d v="2025-12-15T00:00:00"/>
    <s v="Online"/>
    <s v="P108"/>
    <n v="1"/>
    <n v="459"/>
    <x v="5"/>
    <x v="23"/>
    <s v="Electronics"/>
    <n v="300"/>
    <n v="367.20000000000005"/>
    <n v="300"/>
    <n v="67.200000000000045"/>
    <x v="11"/>
  </r>
  <r>
    <s v="ORD51233"/>
    <d v="2025-12-15T00:00:00"/>
    <s v="City Centre Deira"/>
    <s v="P302"/>
    <n v="1"/>
    <n v="459"/>
    <x v="3"/>
    <x v="10"/>
    <s v="Fashion"/>
    <n v="190"/>
    <n v="459"/>
    <n v="190"/>
    <n v="269"/>
    <x v="11"/>
  </r>
  <r>
    <s v="ORD51543"/>
    <d v="2025-12-15T00:00:00"/>
    <s v="Mall of the Emirates"/>
    <s v="P304"/>
    <n v="2"/>
    <n v="699"/>
    <x v="2"/>
    <x v="35"/>
    <s v="Fashion"/>
    <n v="380"/>
    <n v="1258.2"/>
    <n v="760"/>
    <n v="498.20000000000005"/>
    <x v="11"/>
  </r>
  <r>
    <s v="ORD52416"/>
    <d v="2025-12-15T00:00:00"/>
    <s v="City Centre Deira"/>
    <s v="P301"/>
    <n v="2"/>
    <n v="179"/>
    <x v="5"/>
    <x v="2"/>
    <s v="Fashion"/>
    <n v="70"/>
    <n v="286.40000000000003"/>
    <n v="140"/>
    <n v="146.40000000000003"/>
    <x v="11"/>
  </r>
  <r>
    <s v="ORD53325"/>
    <d v="2025-12-15T00:00:00"/>
    <s v="Online"/>
    <s v="P104"/>
    <n v="2"/>
    <n v="199"/>
    <x v="5"/>
    <x v="1"/>
    <s v="Electronics"/>
    <n v="175"/>
    <n v="318.40000000000003"/>
    <n v="350"/>
    <n v="-31.599999999999966"/>
    <x v="11"/>
  </r>
  <r>
    <s v="ORD50171"/>
    <d v="2025-12-16T00:00:00"/>
    <s v="Online"/>
    <s v="P104"/>
    <n v="1"/>
    <n v="199"/>
    <x v="5"/>
    <x v="1"/>
    <s v="Electronics"/>
    <n v="175"/>
    <n v="159.20000000000002"/>
    <n v="175"/>
    <n v="-15.799999999999983"/>
    <x v="11"/>
  </r>
  <r>
    <s v="ORD51611"/>
    <d v="2025-12-16T00:00:00"/>
    <s v="City Centre Deira"/>
    <s v="P106"/>
    <n v="1"/>
    <n v="149"/>
    <x v="5"/>
    <x v="30"/>
    <s v="Electronics"/>
    <n v="70"/>
    <n v="119.2"/>
    <n v="70"/>
    <n v="49.2"/>
    <x v="11"/>
  </r>
  <r>
    <s v="ORD51693"/>
    <d v="2025-12-16T00:00:00"/>
    <s v="Online"/>
    <s v="P403"/>
    <n v="3"/>
    <n v="299"/>
    <x v="2"/>
    <x v="8"/>
    <s v="Beauty"/>
    <n v="240"/>
    <n v="807.30000000000007"/>
    <n v="720"/>
    <n v="87.300000000000068"/>
    <x v="11"/>
  </r>
  <r>
    <s v="ORD51999"/>
    <d v="2025-12-16T00:00:00"/>
    <s v="Dubai Mall"/>
    <s v="P406"/>
    <n v="2"/>
    <n v="199"/>
    <x v="5"/>
    <x v="4"/>
    <s v="Beauty"/>
    <n v="90"/>
    <n v="318.40000000000003"/>
    <n v="180"/>
    <n v="138.40000000000003"/>
    <x v="11"/>
  </r>
  <r>
    <s v="ORD52173"/>
    <d v="2025-12-16T00:00:00"/>
    <s v="City Centre Deira"/>
    <s v="P406"/>
    <n v="1"/>
    <n v="199"/>
    <x v="3"/>
    <x v="4"/>
    <s v="Beauty"/>
    <n v="90"/>
    <n v="199"/>
    <n v="90"/>
    <n v="109"/>
    <x v="11"/>
  </r>
  <r>
    <s v="ORD52182"/>
    <d v="2025-12-16T00:00:00"/>
    <s v="City Centre Deira"/>
    <s v="P301"/>
    <n v="1"/>
    <n v="179"/>
    <x v="5"/>
    <x v="2"/>
    <s v="Fashion"/>
    <n v="70"/>
    <n v="143.20000000000002"/>
    <n v="70"/>
    <n v="73.200000000000017"/>
    <x v="11"/>
  </r>
  <r>
    <s v="ORD52227"/>
    <d v="2025-12-16T00:00:00"/>
    <s v="Mall of the Emirates"/>
    <s v="P406"/>
    <n v="1"/>
    <n v="199"/>
    <x v="3"/>
    <x v="4"/>
    <s v="Beauty"/>
    <n v="90"/>
    <n v="199"/>
    <n v="90"/>
    <n v="109"/>
    <x v="11"/>
  </r>
  <r>
    <s v="ORD52670"/>
    <d v="2025-12-16T00:00:00"/>
    <s v="Dubai Mall"/>
    <s v="P505"/>
    <n v="2"/>
    <n v="99"/>
    <x v="3"/>
    <x v="11"/>
    <s v="Sports"/>
    <n v="45"/>
    <n v="198"/>
    <n v="90"/>
    <n v="108"/>
    <x v="11"/>
  </r>
  <r>
    <s v="ORD52730"/>
    <d v="2025-12-16T00:00:00"/>
    <s v="Online"/>
    <s v="P102"/>
    <n v="2"/>
    <n v="249"/>
    <x v="4"/>
    <x v="13"/>
    <s v="Electronics"/>
    <n v="150"/>
    <n v="348.59999999999997"/>
    <n v="300"/>
    <n v="48.599999999999966"/>
    <x v="11"/>
  </r>
  <r>
    <s v="ORD52871"/>
    <d v="2025-12-16T00:00:00"/>
    <s v="Dubai Mall"/>
    <s v="P406"/>
    <n v="2"/>
    <n v="199"/>
    <x v="2"/>
    <x v="4"/>
    <s v="Beauty"/>
    <n v="90"/>
    <n v="358.2"/>
    <n v="180"/>
    <n v="178.2"/>
    <x v="11"/>
  </r>
  <r>
    <s v="ORD50400"/>
    <d v="2025-12-17T00:00:00"/>
    <s v="Mall of the Emirates"/>
    <s v="P402"/>
    <n v="1"/>
    <n v="149"/>
    <x v="5"/>
    <x v="17"/>
    <s v="Beauty"/>
    <n v="55"/>
    <n v="119.2"/>
    <n v="55"/>
    <n v="64.2"/>
    <x v="11"/>
  </r>
  <r>
    <s v="ORD50409"/>
    <d v="2025-12-17T00:00:00"/>
    <s v="Ibn Battuta Mall"/>
    <s v="P207"/>
    <n v="2"/>
    <n v="399"/>
    <x v="3"/>
    <x v="32"/>
    <s v="Home &amp; Kitchen"/>
    <n v="250"/>
    <n v="798"/>
    <n v="500"/>
    <n v="298"/>
    <x v="11"/>
  </r>
  <r>
    <s v="ORD50610"/>
    <d v="2025-12-17T00:00:00"/>
    <s v="Mall of the Emirates"/>
    <s v="P201"/>
    <n v="2"/>
    <n v="499"/>
    <x v="5"/>
    <x v="16"/>
    <s v="Home &amp; Kitchen"/>
    <n v="290"/>
    <n v="798.40000000000009"/>
    <n v="580"/>
    <n v="218.40000000000009"/>
    <x v="11"/>
  </r>
  <r>
    <s v="ORD50619"/>
    <d v="2025-12-17T00:00:00"/>
    <s v="Mall of the Emirates"/>
    <s v="P302"/>
    <n v="1"/>
    <n v="459"/>
    <x v="3"/>
    <x v="10"/>
    <s v="Fashion"/>
    <n v="190"/>
    <n v="459"/>
    <n v="190"/>
    <n v="269"/>
    <x v="11"/>
  </r>
  <r>
    <s v="ORD50816"/>
    <d v="2025-12-17T00:00:00"/>
    <s v="City Centre Deira"/>
    <s v="P506"/>
    <n v="2"/>
    <n v="69"/>
    <x v="3"/>
    <x v="34"/>
    <s v="Sports"/>
    <n v="25"/>
    <n v="138"/>
    <n v="50"/>
    <n v="88"/>
    <x v="11"/>
  </r>
  <r>
    <s v="ORD51157"/>
    <d v="2025-12-17T00:00:00"/>
    <s v="Mall of the Emirates"/>
    <s v="P403"/>
    <n v="1"/>
    <n v="299"/>
    <x v="5"/>
    <x v="8"/>
    <s v="Beauty"/>
    <n v="240"/>
    <n v="239.20000000000002"/>
    <n v="240"/>
    <n v="-0.79999999999998295"/>
    <x v="11"/>
  </r>
  <r>
    <s v="ORD51846"/>
    <d v="2025-12-17T00:00:00"/>
    <s v="Ibn Battuta Mall"/>
    <s v="P101"/>
    <n v="1"/>
    <n v="399"/>
    <x v="5"/>
    <x v="5"/>
    <s v="Electronics"/>
    <n v="230"/>
    <n v="319.20000000000005"/>
    <n v="230"/>
    <n v="89.200000000000045"/>
    <x v="11"/>
  </r>
  <r>
    <s v="ORD52559"/>
    <d v="2025-12-17T00:00:00"/>
    <s v="Dubai Mall"/>
    <s v="P404"/>
    <n v="2"/>
    <n v="189"/>
    <x v="0"/>
    <x v="6"/>
    <s v="Beauty"/>
    <n v="85"/>
    <n v="321.3"/>
    <n v="170"/>
    <n v="151.30000000000001"/>
    <x v="11"/>
  </r>
  <r>
    <s v="ORD53597"/>
    <d v="2025-12-17T00:00:00"/>
    <s v="Ibn Battuta Mall"/>
    <s v="P105"/>
    <n v="2"/>
    <n v="899"/>
    <x v="5"/>
    <x v="31"/>
    <s v="Electronics"/>
    <n v="610"/>
    <n v="1438.4"/>
    <n v="1220"/>
    <n v="218.40000000000009"/>
    <x v="11"/>
  </r>
  <r>
    <s v="ORD50710"/>
    <d v="2025-12-18T00:00:00"/>
    <s v="City Centre Deira"/>
    <s v="P301"/>
    <n v="2"/>
    <n v="179"/>
    <x v="5"/>
    <x v="2"/>
    <s v="Fashion"/>
    <n v="70"/>
    <n v="286.40000000000003"/>
    <n v="140"/>
    <n v="146.40000000000003"/>
    <x v="11"/>
  </r>
  <r>
    <s v="ORD51468"/>
    <d v="2025-12-18T00:00:00"/>
    <s v="Mall of the Emirates"/>
    <s v="P101"/>
    <n v="4"/>
    <n v="399"/>
    <x v="3"/>
    <x v="5"/>
    <s v="Electronics"/>
    <n v="230"/>
    <n v="1596"/>
    <n v="920"/>
    <n v="676"/>
    <x v="11"/>
  </r>
  <r>
    <s v="ORD51516"/>
    <d v="2025-12-18T00:00:00"/>
    <s v="Mall of the Emirates"/>
    <s v="P306"/>
    <n v="1"/>
    <n v="249"/>
    <x v="3"/>
    <x v="3"/>
    <s v="Fashion"/>
    <n v="95"/>
    <n v="249"/>
    <n v="95"/>
    <n v="154"/>
    <x v="11"/>
  </r>
  <r>
    <s v="ORD52711"/>
    <d v="2025-12-18T00:00:00"/>
    <s v="City Centre Deira"/>
    <s v="P107"/>
    <n v="1"/>
    <n v="89"/>
    <x v="3"/>
    <x v="29"/>
    <s v="Electronics"/>
    <n v="35"/>
    <n v="89"/>
    <n v="35"/>
    <n v="54"/>
    <x v="11"/>
  </r>
  <r>
    <s v="ORD53389"/>
    <d v="2025-12-18T00:00:00"/>
    <s v="Online"/>
    <s v="P101"/>
    <n v="1"/>
    <n v="399"/>
    <x v="5"/>
    <x v="5"/>
    <s v="Electronics"/>
    <n v="230"/>
    <n v="319.20000000000005"/>
    <n v="230"/>
    <n v="89.200000000000045"/>
    <x v="11"/>
  </r>
  <r>
    <s v="ORD54092"/>
    <d v="2025-12-18T00:00:00"/>
    <s v="Mall of the Emirates"/>
    <s v="P206"/>
    <n v="1"/>
    <n v="129"/>
    <x v="3"/>
    <x v="28"/>
    <s v="Home &amp; Kitchen"/>
    <n v="60"/>
    <n v="129"/>
    <n v="60"/>
    <n v="69"/>
    <x v="11"/>
  </r>
  <r>
    <s v="ORD54159"/>
    <d v="2025-12-18T00:00:00"/>
    <s v="Mall of the Emirates"/>
    <s v="P404"/>
    <n v="3"/>
    <n v="189"/>
    <x v="5"/>
    <x v="6"/>
    <s v="Beauty"/>
    <n v="85"/>
    <n v="453.6"/>
    <n v="255"/>
    <n v="198.60000000000002"/>
    <x v="11"/>
  </r>
  <r>
    <s v="ORD50654"/>
    <d v="2025-12-19T00:00:00"/>
    <s v="Online"/>
    <s v="P306"/>
    <n v="2"/>
    <n v="249"/>
    <x v="3"/>
    <x v="3"/>
    <s v="Fashion"/>
    <n v="95"/>
    <n v="498"/>
    <n v="190"/>
    <n v="308"/>
    <x v="11"/>
  </r>
  <r>
    <s v="ORD50737"/>
    <d v="2025-12-19T00:00:00"/>
    <s v="City Centre Deira"/>
    <s v="P105"/>
    <n v="1"/>
    <n v="899"/>
    <x v="3"/>
    <x v="31"/>
    <s v="Electronics"/>
    <n v="610"/>
    <n v="899"/>
    <n v="610"/>
    <n v="289"/>
    <x v="11"/>
  </r>
  <r>
    <s v="ORD51015"/>
    <d v="2025-12-19T00:00:00"/>
    <s v="Online"/>
    <s v="P205"/>
    <n v="2"/>
    <n v="289"/>
    <x v="5"/>
    <x v="9"/>
    <s v="Home &amp; Kitchen"/>
    <n v="140"/>
    <n v="462.40000000000003"/>
    <n v="280"/>
    <n v="182.40000000000003"/>
    <x v="11"/>
  </r>
  <r>
    <s v="ORD51136"/>
    <d v="2025-12-19T00:00:00"/>
    <s v="Mall of the Emirates"/>
    <s v="P303"/>
    <n v="1"/>
    <n v="149"/>
    <x v="3"/>
    <x v="7"/>
    <s v="Fashion"/>
    <n v="80"/>
    <n v="149"/>
    <n v="80"/>
    <n v="69"/>
    <x v="11"/>
  </r>
  <r>
    <s v="ORD51857"/>
    <d v="2025-12-19T00:00:00"/>
    <s v="Ibn Battuta Mall"/>
    <s v="P305"/>
    <n v="1"/>
    <n v="429"/>
    <x v="2"/>
    <x v="14"/>
    <s v="Fashion"/>
    <n v="300"/>
    <n v="386.1"/>
    <n v="300"/>
    <n v="86.100000000000023"/>
    <x v="11"/>
  </r>
  <r>
    <s v="ORD51891"/>
    <d v="2025-12-19T00:00:00"/>
    <s v="Dubai Mall"/>
    <s v="P201"/>
    <n v="2"/>
    <n v="499"/>
    <x v="5"/>
    <x v="16"/>
    <s v="Home &amp; Kitchen"/>
    <n v="290"/>
    <n v="798.40000000000009"/>
    <n v="580"/>
    <n v="218.40000000000009"/>
    <x v="11"/>
  </r>
  <r>
    <s v="ORD52160"/>
    <d v="2025-12-19T00:00:00"/>
    <s v="City Centre Deira"/>
    <s v="P207"/>
    <n v="3"/>
    <n v="399"/>
    <x v="5"/>
    <x v="32"/>
    <s v="Home &amp; Kitchen"/>
    <n v="250"/>
    <n v="957.6"/>
    <n v="750"/>
    <n v="207.60000000000002"/>
    <x v="11"/>
  </r>
  <r>
    <s v="ORD52539"/>
    <d v="2025-12-19T00:00:00"/>
    <s v="Online"/>
    <s v="P406"/>
    <n v="4"/>
    <n v="199"/>
    <x v="5"/>
    <x v="4"/>
    <s v="Beauty"/>
    <n v="90"/>
    <n v="636.80000000000007"/>
    <n v="360"/>
    <n v="276.80000000000007"/>
    <x v="11"/>
  </r>
  <r>
    <s v="ORD52727"/>
    <d v="2025-12-19T00:00:00"/>
    <s v="Online"/>
    <s v="P406"/>
    <n v="2"/>
    <n v="199"/>
    <x v="2"/>
    <x v="4"/>
    <s v="Beauty"/>
    <n v="90"/>
    <n v="358.2"/>
    <n v="180"/>
    <n v="178.2"/>
    <x v="11"/>
  </r>
  <r>
    <s v="ORD53055"/>
    <d v="2025-12-19T00:00:00"/>
    <s v="City Centre Deira"/>
    <s v="P406"/>
    <n v="1"/>
    <n v="199"/>
    <x v="3"/>
    <x v="4"/>
    <s v="Beauty"/>
    <n v="90"/>
    <n v="199"/>
    <n v="90"/>
    <n v="109"/>
    <x v="11"/>
  </r>
  <r>
    <s v="ORD54150"/>
    <d v="2025-12-19T00:00:00"/>
    <s v="City Centre Deira"/>
    <s v="P303"/>
    <n v="2"/>
    <n v="149"/>
    <x v="4"/>
    <x v="7"/>
    <s v="Fashion"/>
    <n v="80"/>
    <n v="208.6"/>
    <n v="160"/>
    <n v="48.599999999999994"/>
    <x v="11"/>
  </r>
  <r>
    <s v="ORD50335"/>
    <d v="2025-12-20T00:00:00"/>
    <s v="Mall of the Emirates"/>
    <s v="P402"/>
    <n v="1"/>
    <n v="149"/>
    <x v="0"/>
    <x v="17"/>
    <s v="Beauty"/>
    <n v="55"/>
    <n v="126.64999999999999"/>
    <n v="55"/>
    <n v="71.649999999999991"/>
    <x v="11"/>
  </r>
  <r>
    <s v="ORD50495"/>
    <d v="2025-12-20T00:00:00"/>
    <s v="City Centre Deira"/>
    <s v="P107"/>
    <n v="2"/>
    <n v="89"/>
    <x v="5"/>
    <x v="29"/>
    <s v="Electronics"/>
    <n v="35"/>
    <n v="142.4"/>
    <n v="70"/>
    <n v="72.400000000000006"/>
    <x v="11"/>
  </r>
  <r>
    <s v="ORD51012"/>
    <d v="2025-12-20T00:00:00"/>
    <s v="Dubai Mall"/>
    <s v="P402"/>
    <n v="3"/>
    <n v="149"/>
    <x v="5"/>
    <x v="17"/>
    <s v="Beauty"/>
    <n v="55"/>
    <n v="357.6"/>
    <n v="165"/>
    <n v="192.60000000000002"/>
    <x v="11"/>
  </r>
  <r>
    <s v="ORD52025"/>
    <d v="2025-12-20T00:00:00"/>
    <s v="Online"/>
    <s v="P301"/>
    <n v="1"/>
    <n v="179"/>
    <x v="2"/>
    <x v="2"/>
    <s v="Fashion"/>
    <n v="70"/>
    <n v="161.1"/>
    <n v="70"/>
    <n v="91.1"/>
    <x v="11"/>
  </r>
  <r>
    <s v="ORD52199"/>
    <d v="2025-12-20T00:00:00"/>
    <s v="Ibn Battuta Mall"/>
    <s v="P107"/>
    <n v="4"/>
    <n v="89"/>
    <x v="5"/>
    <x v="29"/>
    <s v="Electronics"/>
    <n v="35"/>
    <n v="284.8"/>
    <n v="140"/>
    <n v="144.80000000000001"/>
    <x v="11"/>
  </r>
  <r>
    <s v="ORD52973"/>
    <d v="2025-12-20T00:00:00"/>
    <s v="Online"/>
    <s v="P105"/>
    <n v="1"/>
    <n v="899"/>
    <x v="3"/>
    <x v="31"/>
    <s v="Electronics"/>
    <n v="610"/>
    <n v="899"/>
    <n v="610"/>
    <n v="289"/>
    <x v="11"/>
  </r>
  <r>
    <s v="ORD53723"/>
    <d v="2025-12-20T00:00:00"/>
    <s v="Online"/>
    <s v="P402"/>
    <n v="2"/>
    <n v="149"/>
    <x v="5"/>
    <x v="17"/>
    <s v="Beauty"/>
    <n v="55"/>
    <n v="238.4"/>
    <n v="110"/>
    <n v="128.4"/>
    <x v="11"/>
  </r>
  <r>
    <s v="ORD53868"/>
    <d v="2025-12-20T00:00:00"/>
    <s v="City Centre Deira"/>
    <s v="P104"/>
    <n v="4"/>
    <n v="199"/>
    <x v="6"/>
    <x v="1"/>
    <s v="Electronics"/>
    <n v="175"/>
    <n v="597"/>
    <n v="700"/>
    <n v="-103"/>
    <x v="11"/>
  </r>
  <r>
    <s v="ORD54073"/>
    <d v="2025-12-20T00:00:00"/>
    <s v="Mall of the Emirates"/>
    <s v="P402"/>
    <n v="2"/>
    <n v="149"/>
    <x v="3"/>
    <x v="17"/>
    <s v="Beauty"/>
    <n v="55"/>
    <n v="298"/>
    <n v="110"/>
    <n v="188"/>
    <x v="11"/>
  </r>
  <r>
    <s v="ORD50354"/>
    <d v="2025-12-21T00:00:00"/>
    <s v="City Centre Deira"/>
    <s v="P107"/>
    <n v="3"/>
    <n v="89"/>
    <x v="5"/>
    <x v="29"/>
    <s v="Electronics"/>
    <n v="35"/>
    <n v="213.60000000000002"/>
    <n v="105"/>
    <n v="108.60000000000002"/>
    <x v="11"/>
  </r>
  <r>
    <s v="ORD52149"/>
    <d v="2025-12-21T00:00:00"/>
    <s v="Mall of the Emirates"/>
    <s v="P304"/>
    <n v="2"/>
    <n v="699"/>
    <x v="5"/>
    <x v="35"/>
    <s v="Fashion"/>
    <n v="380"/>
    <n v="1118.4000000000001"/>
    <n v="760"/>
    <n v="358.40000000000009"/>
    <x v="11"/>
  </r>
  <r>
    <s v="ORD52261"/>
    <d v="2025-12-21T00:00:00"/>
    <s v="Online"/>
    <s v="P101"/>
    <n v="1"/>
    <n v="399"/>
    <x v="3"/>
    <x v="5"/>
    <s v="Electronics"/>
    <n v="230"/>
    <n v="399"/>
    <n v="230"/>
    <n v="169"/>
    <x v="11"/>
  </r>
  <r>
    <s v="ORD52608"/>
    <d v="2025-12-21T00:00:00"/>
    <s v="Dubai Mall"/>
    <s v="P208"/>
    <n v="1"/>
    <n v="259"/>
    <x v="5"/>
    <x v="22"/>
    <s v="Home &amp; Kitchen"/>
    <n v="115"/>
    <n v="207.20000000000002"/>
    <n v="115"/>
    <n v="92.200000000000017"/>
    <x v="11"/>
  </r>
  <r>
    <s v="ORD52921"/>
    <d v="2025-12-21T00:00:00"/>
    <s v="Ibn Battuta Mall"/>
    <s v="P202"/>
    <n v="1"/>
    <n v="1499"/>
    <x v="5"/>
    <x v="26"/>
    <s v="Home &amp; Kitchen"/>
    <n v="1050"/>
    <n v="1199.2"/>
    <n v="1050"/>
    <n v="149.20000000000005"/>
    <x v="11"/>
  </r>
  <r>
    <s v="ORD53439"/>
    <d v="2025-12-21T00:00:00"/>
    <s v="City Centre Deira"/>
    <s v="P306"/>
    <n v="2"/>
    <n v="249"/>
    <x v="1"/>
    <x v="3"/>
    <s v="Fashion"/>
    <n v="95"/>
    <n v="473.09999999999997"/>
    <n v="190"/>
    <n v="283.09999999999997"/>
    <x v="11"/>
  </r>
  <r>
    <s v="ORD53456"/>
    <d v="2025-12-21T00:00:00"/>
    <s v="Online"/>
    <s v="P301"/>
    <n v="3"/>
    <n v="179"/>
    <x v="1"/>
    <x v="2"/>
    <s v="Fashion"/>
    <n v="70"/>
    <n v="510.15"/>
    <n v="210"/>
    <n v="300.14999999999998"/>
    <x v="11"/>
  </r>
  <r>
    <s v="ORD53810"/>
    <d v="2025-12-21T00:00:00"/>
    <s v="City Centre Deira"/>
    <s v="P403"/>
    <n v="3"/>
    <n v="299"/>
    <x v="6"/>
    <x v="8"/>
    <s v="Beauty"/>
    <n v="240"/>
    <n v="672.75"/>
    <n v="720"/>
    <n v="-47.25"/>
    <x v="11"/>
  </r>
  <r>
    <s v="ORD53901"/>
    <d v="2025-12-21T00:00:00"/>
    <s v="Online"/>
    <s v="P406"/>
    <n v="1"/>
    <n v="199"/>
    <x v="5"/>
    <x v="4"/>
    <s v="Beauty"/>
    <n v="90"/>
    <n v="159.20000000000002"/>
    <n v="90"/>
    <n v="69.200000000000017"/>
    <x v="11"/>
  </r>
  <r>
    <s v="ORD54157"/>
    <d v="2025-12-21T00:00:00"/>
    <s v="City Centre Deira"/>
    <s v="P208"/>
    <n v="1"/>
    <n v="259"/>
    <x v="2"/>
    <x v="22"/>
    <s v="Home &amp; Kitchen"/>
    <n v="115"/>
    <n v="233.1"/>
    <n v="115"/>
    <n v="118.1"/>
    <x v="11"/>
  </r>
  <r>
    <s v="ORD50295"/>
    <d v="2025-12-22T00:00:00"/>
    <s v="City Centre Deira"/>
    <s v="P208"/>
    <n v="1"/>
    <n v="259"/>
    <x v="5"/>
    <x v="22"/>
    <s v="Home &amp; Kitchen"/>
    <n v="115"/>
    <n v="207.20000000000002"/>
    <n v="115"/>
    <n v="92.200000000000017"/>
    <x v="11"/>
  </r>
  <r>
    <s v="ORD50434"/>
    <d v="2025-12-22T00:00:00"/>
    <s v="Ibn Battuta Mall"/>
    <s v="P206"/>
    <n v="1"/>
    <n v="129"/>
    <x v="2"/>
    <x v="28"/>
    <s v="Home &amp; Kitchen"/>
    <n v="60"/>
    <n v="116.10000000000001"/>
    <n v="60"/>
    <n v="56.100000000000009"/>
    <x v="11"/>
  </r>
  <r>
    <s v="ORD50509"/>
    <d v="2025-12-22T00:00:00"/>
    <s v="Online"/>
    <s v="P306"/>
    <n v="4"/>
    <n v="249"/>
    <x v="1"/>
    <x v="3"/>
    <s v="Fashion"/>
    <n v="95"/>
    <n v="946.19999999999993"/>
    <n v="380"/>
    <n v="566.19999999999993"/>
    <x v="11"/>
  </r>
  <r>
    <s v="ORD51776"/>
    <d v="2025-12-22T00:00:00"/>
    <s v="Dubai Mall"/>
    <s v="P301"/>
    <n v="1"/>
    <n v="179"/>
    <x v="2"/>
    <x v="2"/>
    <s v="Fashion"/>
    <n v="70"/>
    <n v="161.1"/>
    <n v="70"/>
    <n v="91.1"/>
    <x v="11"/>
  </r>
  <r>
    <s v="ORD52150"/>
    <d v="2025-12-22T00:00:00"/>
    <s v="City Centre Deira"/>
    <s v="P101"/>
    <n v="1"/>
    <n v="399"/>
    <x v="5"/>
    <x v="5"/>
    <s v="Electronics"/>
    <n v="230"/>
    <n v="319.20000000000005"/>
    <n v="230"/>
    <n v="89.200000000000045"/>
    <x v="11"/>
  </r>
  <r>
    <s v="ORD52553"/>
    <d v="2025-12-22T00:00:00"/>
    <s v="Ibn Battuta Mall"/>
    <s v="P303"/>
    <n v="2"/>
    <n v="149"/>
    <x v="5"/>
    <x v="7"/>
    <s v="Fashion"/>
    <n v="80"/>
    <n v="238.4"/>
    <n v="160"/>
    <n v="78.400000000000006"/>
    <x v="11"/>
  </r>
  <r>
    <s v="ORD52803"/>
    <d v="2025-12-22T00:00:00"/>
    <s v="Ibn Battuta Mall"/>
    <s v="P108"/>
    <n v="1"/>
    <n v="459"/>
    <x v="3"/>
    <x v="23"/>
    <s v="Electronics"/>
    <n v="300"/>
    <n v="459"/>
    <n v="300"/>
    <n v="159"/>
    <x v="11"/>
  </r>
  <r>
    <s v="ORD52886"/>
    <d v="2025-12-22T00:00:00"/>
    <s v="Dubai Mall"/>
    <s v="P405"/>
    <n v="2"/>
    <n v="89"/>
    <x v="3"/>
    <x v="24"/>
    <s v="Beauty"/>
    <n v="40"/>
    <n v="178"/>
    <n v="80"/>
    <n v="98"/>
    <x v="11"/>
  </r>
  <r>
    <s v="ORD53349"/>
    <d v="2025-12-22T00:00:00"/>
    <s v="Dubai Mall"/>
    <s v="P404"/>
    <n v="1"/>
    <n v="189"/>
    <x v="5"/>
    <x v="6"/>
    <s v="Beauty"/>
    <n v="85"/>
    <n v="151.20000000000002"/>
    <n v="85"/>
    <n v="66.200000000000017"/>
    <x v="11"/>
  </r>
  <r>
    <s v="ORD53362"/>
    <d v="2025-12-22T00:00:00"/>
    <s v="Mall of the Emirates"/>
    <s v="P307"/>
    <n v="3"/>
    <n v="399"/>
    <x v="1"/>
    <x v="20"/>
    <s v="Fashion"/>
    <n v="210"/>
    <n v="1137.1499999999999"/>
    <n v="630"/>
    <n v="507.14999999999986"/>
    <x v="11"/>
  </r>
  <r>
    <s v="ORD53655"/>
    <d v="2025-12-22T00:00:00"/>
    <s v="Mall of the Emirates"/>
    <s v="P503"/>
    <n v="4"/>
    <n v="229"/>
    <x v="5"/>
    <x v="18"/>
    <s v="Sports"/>
    <n v="120"/>
    <n v="732.80000000000007"/>
    <n v="480"/>
    <n v="252.80000000000007"/>
    <x v="11"/>
  </r>
  <r>
    <s v="ORD53817"/>
    <d v="2025-12-22T00:00:00"/>
    <s v="Online"/>
    <s v="P401"/>
    <n v="3"/>
    <n v="549"/>
    <x v="0"/>
    <x v="15"/>
    <s v="Beauty"/>
    <n v="250"/>
    <n v="1399.95"/>
    <n v="750"/>
    <n v="649.95000000000005"/>
    <x v="11"/>
  </r>
  <r>
    <s v="ORD50546"/>
    <d v="2025-12-23T00:00:00"/>
    <s v="Online"/>
    <s v="P402"/>
    <n v="2"/>
    <n v="149"/>
    <x v="5"/>
    <x v="17"/>
    <s v="Beauty"/>
    <n v="55"/>
    <n v="238.4"/>
    <n v="110"/>
    <n v="128.4"/>
    <x v="11"/>
  </r>
  <r>
    <s v="ORD50634"/>
    <d v="2025-12-23T00:00:00"/>
    <s v="Dubai Mall"/>
    <s v="P503"/>
    <n v="1"/>
    <n v="229"/>
    <x v="5"/>
    <x v="18"/>
    <s v="Sports"/>
    <n v="120"/>
    <n v="183.20000000000002"/>
    <n v="120"/>
    <n v="63.200000000000017"/>
    <x v="11"/>
  </r>
  <r>
    <s v="ORD51034"/>
    <d v="2025-12-23T00:00:00"/>
    <s v="Mall of the Emirates"/>
    <s v="P201"/>
    <n v="4"/>
    <n v="499"/>
    <x v="5"/>
    <x v="16"/>
    <s v="Home &amp; Kitchen"/>
    <n v="290"/>
    <n v="1596.8000000000002"/>
    <n v="1160"/>
    <n v="436.80000000000018"/>
    <x v="11"/>
  </r>
  <r>
    <s v="ORD51115"/>
    <d v="2025-12-23T00:00:00"/>
    <s v="Dubai Mall"/>
    <s v="P107"/>
    <n v="2"/>
    <n v="89"/>
    <x v="5"/>
    <x v="29"/>
    <s v="Electronics"/>
    <n v="35"/>
    <n v="142.4"/>
    <n v="70"/>
    <n v="72.400000000000006"/>
    <x v="11"/>
  </r>
  <r>
    <s v="ORD51170"/>
    <d v="2025-12-23T00:00:00"/>
    <s v="City Centre Deira"/>
    <s v="P402"/>
    <n v="1"/>
    <n v="149"/>
    <x v="0"/>
    <x v="17"/>
    <s v="Beauty"/>
    <n v="55"/>
    <n v="126.64999999999999"/>
    <n v="55"/>
    <n v="71.649999999999991"/>
    <x v="11"/>
  </r>
  <r>
    <s v="ORD51629"/>
    <d v="2025-12-23T00:00:00"/>
    <s v="City Centre Deira"/>
    <s v="P107"/>
    <n v="1"/>
    <n v="89"/>
    <x v="4"/>
    <x v="29"/>
    <s v="Electronics"/>
    <n v="35"/>
    <n v="62.3"/>
    <n v="35"/>
    <n v="27.299999999999997"/>
    <x v="11"/>
  </r>
  <r>
    <s v="ORD52295"/>
    <d v="2025-12-23T00:00:00"/>
    <s v="Online"/>
    <s v="P205"/>
    <n v="2"/>
    <n v="289"/>
    <x v="3"/>
    <x v="9"/>
    <s v="Home &amp; Kitchen"/>
    <n v="140"/>
    <n v="578"/>
    <n v="280"/>
    <n v="298"/>
    <x v="11"/>
  </r>
  <r>
    <s v="ORD52381"/>
    <d v="2025-12-23T00:00:00"/>
    <s v="Ibn Battuta Mall"/>
    <s v="P202"/>
    <n v="3"/>
    <n v="1499"/>
    <x v="2"/>
    <x v="26"/>
    <s v="Home &amp; Kitchen"/>
    <n v="1050"/>
    <n v="4047.3"/>
    <n v="3150"/>
    <n v="897.30000000000018"/>
    <x v="11"/>
  </r>
  <r>
    <s v="ORD52863"/>
    <d v="2025-12-23T00:00:00"/>
    <s v="Mall of the Emirates"/>
    <s v="P306"/>
    <n v="1"/>
    <n v="249"/>
    <x v="2"/>
    <x v="3"/>
    <s v="Fashion"/>
    <n v="95"/>
    <n v="224.1"/>
    <n v="95"/>
    <n v="129.1"/>
    <x v="11"/>
  </r>
  <r>
    <s v="ORD52890"/>
    <d v="2025-12-23T00:00:00"/>
    <s v="Mall of the Emirates"/>
    <s v="P206"/>
    <n v="1"/>
    <n v="129"/>
    <x v="3"/>
    <x v="28"/>
    <s v="Home &amp; Kitchen"/>
    <n v="60"/>
    <n v="129"/>
    <n v="60"/>
    <n v="69"/>
    <x v="11"/>
  </r>
  <r>
    <s v="ORD53657"/>
    <d v="2025-12-23T00:00:00"/>
    <s v="Mall of the Emirates"/>
    <s v="P503"/>
    <n v="1"/>
    <n v="229"/>
    <x v="0"/>
    <x v="18"/>
    <s v="Sports"/>
    <n v="120"/>
    <n v="194.65"/>
    <n v="120"/>
    <n v="74.650000000000006"/>
    <x v="11"/>
  </r>
  <r>
    <s v="ORD54044"/>
    <d v="2025-12-23T00:00:00"/>
    <s v="Online"/>
    <s v="P505"/>
    <n v="2"/>
    <n v="99"/>
    <x v="5"/>
    <x v="11"/>
    <s v="Sports"/>
    <n v="45"/>
    <n v="158.4"/>
    <n v="90"/>
    <n v="68.400000000000006"/>
    <x v="11"/>
  </r>
  <r>
    <s v="ORD50057"/>
    <d v="2025-12-24T00:00:00"/>
    <s v="Ibn Battuta Mall"/>
    <s v="P503"/>
    <n v="4"/>
    <n v="229"/>
    <x v="3"/>
    <x v="18"/>
    <s v="Sports"/>
    <n v="120"/>
    <n v="916"/>
    <n v="480"/>
    <n v="436"/>
    <x v="11"/>
  </r>
  <r>
    <s v="ORD50983"/>
    <d v="2025-12-24T00:00:00"/>
    <s v="Online"/>
    <s v="P206"/>
    <n v="1"/>
    <n v="129"/>
    <x v="2"/>
    <x v="28"/>
    <s v="Home &amp; Kitchen"/>
    <n v="60"/>
    <n v="116.10000000000001"/>
    <n v="60"/>
    <n v="56.100000000000009"/>
    <x v="11"/>
  </r>
  <r>
    <s v="ORD50985"/>
    <d v="2025-12-24T00:00:00"/>
    <s v="City Centre Deira"/>
    <s v="P405"/>
    <n v="1"/>
    <n v="89"/>
    <x v="5"/>
    <x v="24"/>
    <s v="Beauty"/>
    <n v="40"/>
    <n v="71.2"/>
    <n v="40"/>
    <n v="31.200000000000003"/>
    <x v="11"/>
  </r>
  <r>
    <s v="ORD51105"/>
    <d v="2025-12-24T00:00:00"/>
    <s v="Dubai Mall"/>
    <s v="P305"/>
    <n v="1"/>
    <n v="429"/>
    <x v="3"/>
    <x v="14"/>
    <s v="Fashion"/>
    <n v="300"/>
    <n v="429"/>
    <n v="300"/>
    <n v="129"/>
    <x v="11"/>
  </r>
  <r>
    <s v="ORD51199"/>
    <d v="2025-12-24T00:00:00"/>
    <s v="Ibn Battuta Mall"/>
    <s v="P102"/>
    <n v="1"/>
    <n v="249"/>
    <x v="5"/>
    <x v="13"/>
    <s v="Electronics"/>
    <n v="150"/>
    <n v="199.20000000000002"/>
    <n v="150"/>
    <n v="49.200000000000017"/>
    <x v="11"/>
  </r>
  <r>
    <s v="ORD51235"/>
    <d v="2025-12-24T00:00:00"/>
    <s v="City Centre Deira"/>
    <s v="P504"/>
    <n v="1"/>
    <n v="2499"/>
    <x v="5"/>
    <x v="33"/>
    <s v="Sports"/>
    <n v="2150"/>
    <n v="1999.2"/>
    <n v="2150"/>
    <n v="-150.79999999999995"/>
    <x v="11"/>
  </r>
  <r>
    <s v="ORD51508"/>
    <d v="2025-12-24T00:00:00"/>
    <s v="Online"/>
    <s v="P204"/>
    <n v="2"/>
    <n v="1199"/>
    <x v="5"/>
    <x v="27"/>
    <s v="Home &amp; Kitchen"/>
    <n v="1080"/>
    <n v="1918.4"/>
    <n v="2160"/>
    <n v="-241.59999999999991"/>
    <x v="11"/>
  </r>
  <r>
    <s v="ORD52951"/>
    <d v="2025-12-24T00:00:00"/>
    <s v="Online"/>
    <s v="P303"/>
    <n v="1"/>
    <n v="149"/>
    <x v="4"/>
    <x v="7"/>
    <s v="Fashion"/>
    <n v="80"/>
    <n v="104.3"/>
    <n v="80"/>
    <n v="24.299999999999997"/>
    <x v="11"/>
  </r>
  <r>
    <s v="ORD53203"/>
    <d v="2025-12-24T00:00:00"/>
    <s v="Online"/>
    <s v="P206"/>
    <n v="1"/>
    <n v="129"/>
    <x v="5"/>
    <x v="28"/>
    <s v="Home &amp; Kitchen"/>
    <n v="60"/>
    <n v="103.2"/>
    <n v="60"/>
    <n v="43.2"/>
    <x v="11"/>
  </r>
  <r>
    <s v="ORD53454"/>
    <d v="2025-12-24T00:00:00"/>
    <s v="Mall of the Emirates"/>
    <s v="P202"/>
    <n v="1"/>
    <n v="1499"/>
    <x v="3"/>
    <x v="26"/>
    <s v="Home &amp; Kitchen"/>
    <n v="1050"/>
    <n v="1499"/>
    <n v="1050"/>
    <n v="449"/>
    <x v="11"/>
  </r>
  <r>
    <s v="ORD53983"/>
    <d v="2025-12-24T00:00:00"/>
    <s v="Online"/>
    <s v="P308"/>
    <n v="4"/>
    <n v="229"/>
    <x v="2"/>
    <x v="0"/>
    <s v="Fashion"/>
    <n v="120"/>
    <n v="824.4"/>
    <n v="480"/>
    <n v="344.4"/>
    <x v="11"/>
  </r>
  <r>
    <s v="ORD53998"/>
    <d v="2025-12-24T00:00:00"/>
    <s v="Online"/>
    <s v="P107"/>
    <n v="2"/>
    <n v="89"/>
    <x v="3"/>
    <x v="29"/>
    <s v="Electronics"/>
    <n v="35"/>
    <n v="178"/>
    <n v="70"/>
    <n v="108"/>
    <x v="11"/>
  </r>
  <r>
    <s v="ORD54047"/>
    <d v="2025-12-24T00:00:00"/>
    <s v="Dubai Mall"/>
    <s v="P107"/>
    <n v="2"/>
    <n v="89"/>
    <x v="3"/>
    <x v="29"/>
    <s v="Electronics"/>
    <n v="35"/>
    <n v="178"/>
    <n v="70"/>
    <n v="108"/>
    <x v="11"/>
  </r>
  <r>
    <s v="ORD54106"/>
    <d v="2025-12-24T00:00:00"/>
    <s v="Online"/>
    <s v="P101"/>
    <n v="2"/>
    <n v="399"/>
    <x v="5"/>
    <x v="5"/>
    <s v="Electronics"/>
    <n v="230"/>
    <n v="638.40000000000009"/>
    <n v="460"/>
    <n v="178.40000000000009"/>
    <x v="11"/>
  </r>
  <r>
    <s v="ORD50058"/>
    <d v="2025-12-25T00:00:00"/>
    <s v="Dubai Mall"/>
    <s v="P501"/>
    <n v="3"/>
    <n v="129"/>
    <x v="5"/>
    <x v="12"/>
    <s v="Sports"/>
    <n v="60"/>
    <n v="309.60000000000002"/>
    <n v="180"/>
    <n v="129.60000000000002"/>
    <x v="11"/>
  </r>
  <r>
    <s v="ORD50185"/>
    <d v="2025-12-25T00:00:00"/>
    <s v="Online"/>
    <s v="P205"/>
    <n v="1"/>
    <n v="289"/>
    <x v="4"/>
    <x v="9"/>
    <s v="Home &amp; Kitchen"/>
    <n v="140"/>
    <n v="202.29999999999998"/>
    <n v="140"/>
    <n v="62.299999999999983"/>
    <x v="11"/>
  </r>
  <r>
    <s v="ORD50368"/>
    <d v="2025-12-25T00:00:00"/>
    <s v="Dubai Mall"/>
    <s v="P104"/>
    <n v="4"/>
    <n v="199"/>
    <x v="6"/>
    <x v="1"/>
    <s v="Electronics"/>
    <n v="175"/>
    <n v="597"/>
    <n v="700"/>
    <n v="-103"/>
    <x v="11"/>
  </r>
  <r>
    <s v="ORD50729"/>
    <d v="2025-12-25T00:00:00"/>
    <s v="Dubai Mall"/>
    <s v="P506"/>
    <n v="1"/>
    <n v="69"/>
    <x v="5"/>
    <x v="34"/>
    <s v="Sports"/>
    <n v="25"/>
    <n v="55.2"/>
    <n v="25"/>
    <n v="30.200000000000003"/>
    <x v="11"/>
  </r>
  <r>
    <s v="ORD50907"/>
    <d v="2025-12-25T00:00:00"/>
    <s v="Mall of the Emirates"/>
    <s v="P402"/>
    <n v="1"/>
    <n v="149"/>
    <x v="2"/>
    <x v="17"/>
    <s v="Beauty"/>
    <n v="55"/>
    <n v="134.1"/>
    <n v="55"/>
    <n v="79.099999999999994"/>
    <x v="11"/>
  </r>
  <r>
    <s v="ORD50911"/>
    <d v="2025-12-25T00:00:00"/>
    <s v="Dubai Mall"/>
    <s v="P108"/>
    <n v="2"/>
    <n v="459"/>
    <x v="0"/>
    <x v="23"/>
    <s v="Electronics"/>
    <n v="300"/>
    <n v="780.3"/>
    <n v="600"/>
    <n v="180.29999999999995"/>
    <x v="11"/>
  </r>
  <r>
    <s v="ORD52096"/>
    <d v="2025-12-25T00:00:00"/>
    <s v="Online"/>
    <s v="P101"/>
    <n v="1"/>
    <n v="399"/>
    <x v="3"/>
    <x v="5"/>
    <s v="Electronics"/>
    <n v="230"/>
    <n v="399"/>
    <n v="230"/>
    <n v="169"/>
    <x v="11"/>
  </r>
  <r>
    <s v="ORD52276"/>
    <d v="2025-12-25T00:00:00"/>
    <s v="Online"/>
    <s v="P401"/>
    <n v="4"/>
    <n v="549"/>
    <x v="3"/>
    <x v="15"/>
    <s v="Beauty"/>
    <n v="250"/>
    <n v="2196"/>
    <n v="1000"/>
    <n v="1196"/>
    <x v="11"/>
  </r>
  <r>
    <s v="ORD52529"/>
    <d v="2025-12-25T00:00:00"/>
    <s v="Dubai Mall"/>
    <s v="P107"/>
    <n v="1"/>
    <n v="89"/>
    <x v="0"/>
    <x v="29"/>
    <s v="Electronics"/>
    <n v="35"/>
    <n v="75.649999999999991"/>
    <n v="35"/>
    <n v="40.649999999999991"/>
    <x v="11"/>
  </r>
  <r>
    <s v="ORD52647"/>
    <d v="2025-12-25T00:00:00"/>
    <s v="City Centre Deira"/>
    <s v="P206"/>
    <n v="1"/>
    <n v="129"/>
    <x v="3"/>
    <x v="28"/>
    <s v="Home &amp; Kitchen"/>
    <n v="60"/>
    <n v="129"/>
    <n v="60"/>
    <n v="69"/>
    <x v="11"/>
  </r>
  <r>
    <s v="ORD52704"/>
    <d v="2025-12-25T00:00:00"/>
    <s v="Online"/>
    <s v="P405"/>
    <n v="1"/>
    <n v="89"/>
    <x v="5"/>
    <x v="24"/>
    <s v="Beauty"/>
    <n v="40"/>
    <n v="71.2"/>
    <n v="40"/>
    <n v="31.200000000000003"/>
    <x v="11"/>
  </r>
  <r>
    <s v="ORD52971"/>
    <d v="2025-12-25T00:00:00"/>
    <s v="Online"/>
    <s v="P406"/>
    <n v="1"/>
    <n v="199"/>
    <x v="4"/>
    <x v="4"/>
    <s v="Beauty"/>
    <n v="90"/>
    <n v="139.29999999999998"/>
    <n v="90"/>
    <n v="49.299999999999983"/>
    <x v="11"/>
  </r>
  <r>
    <s v="ORD53147"/>
    <d v="2025-12-25T00:00:00"/>
    <s v="Online"/>
    <s v="P402"/>
    <n v="1"/>
    <n v="149"/>
    <x v="1"/>
    <x v="17"/>
    <s v="Beauty"/>
    <n v="55"/>
    <n v="141.54999999999998"/>
    <n v="55"/>
    <n v="86.549999999999983"/>
    <x v="11"/>
  </r>
  <r>
    <s v="ORD53217"/>
    <d v="2025-12-25T00:00:00"/>
    <s v="Online"/>
    <s v="P203"/>
    <n v="1"/>
    <n v="349"/>
    <x v="3"/>
    <x v="21"/>
    <s v="Home &amp; Kitchen"/>
    <n v="170"/>
    <n v="349"/>
    <n v="170"/>
    <n v="179"/>
    <x v="11"/>
  </r>
  <r>
    <s v="ORD53236"/>
    <d v="2025-12-25T00:00:00"/>
    <s v="Online"/>
    <s v="P107"/>
    <n v="1"/>
    <n v="89"/>
    <x v="0"/>
    <x v="29"/>
    <s v="Electronics"/>
    <n v="35"/>
    <n v="75.649999999999991"/>
    <n v="35"/>
    <n v="40.649999999999991"/>
    <x v="11"/>
  </r>
  <r>
    <s v="ORD53308"/>
    <d v="2025-12-25T00:00:00"/>
    <s v="Online"/>
    <s v="P205"/>
    <n v="2"/>
    <n v="289"/>
    <x v="5"/>
    <x v="9"/>
    <s v="Home &amp; Kitchen"/>
    <n v="140"/>
    <n v="462.40000000000003"/>
    <n v="280"/>
    <n v="182.40000000000003"/>
    <x v="11"/>
  </r>
  <r>
    <s v="ORD53438"/>
    <d v="2025-12-25T00:00:00"/>
    <s v="Online"/>
    <s v="P301"/>
    <n v="1"/>
    <n v="179"/>
    <x v="3"/>
    <x v="2"/>
    <s v="Fashion"/>
    <n v="70"/>
    <n v="179"/>
    <n v="70"/>
    <n v="109"/>
    <x v="11"/>
  </r>
  <r>
    <s v="ORD52300"/>
    <d v="2025-12-26T00:00:00"/>
    <s v="Dubai Mall"/>
    <s v="P205"/>
    <n v="2"/>
    <n v="289"/>
    <x v="1"/>
    <x v="9"/>
    <s v="Home &amp; Kitchen"/>
    <n v="140"/>
    <n v="549.1"/>
    <n v="280"/>
    <n v="269.10000000000002"/>
    <x v="11"/>
  </r>
  <r>
    <s v="ORD52302"/>
    <d v="2025-12-26T00:00:00"/>
    <s v="Mall of the Emirates"/>
    <s v="P303"/>
    <n v="2"/>
    <n v="149"/>
    <x v="3"/>
    <x v="7"/>
    <s v="Fashion"/>
    <n v="80"/>
    <n v="298"/>
    <n v="160"/>
    <n v="138"/>
    <x v="11"/>
  </r>
  <r>
    <s v="ORD53996"/>
    <d v="2025-12-26T00:00:00"/>
    <s v="Online"/>
    <s v="P401"/>
    <n v="1"/>
    <n v="549"/>
    <x v="2"/>
    <x v="15"/>
    <s v="Beauty"/>
    <n v="250"/>
    <n v="494.1"/>
    <n v="250"/>
    <n v="244.10000000000002"/>
    <x v="11"/>
  </r>
  <r>
    <s v="ORD50036"/>
    <d v="2025-12-27T00:00:00"/>
    <s v="Online"/>
    <s v="P105"/>
    <n v="1"/>
    <n v="899"/>
    <x v="3"/>
    <x v="31"/>
    <s v="Electronics"/>
    <n v="610"/>
    <n v="899"/>
    <n v="610"/>
    <n v="289"/>
    <x v="11"/>
  </r>
  <r>
    <s v="ORD50182"/>
    <d v="2025-12-27T00:00:00"/>
    <s v="Dubai Mall"/>
    <s v="P104"/>
    <n v="1"/>
    <n v="199"/>
    <x v="5"/>
    <x v="1"/>
    <s v="Electronics"/>
    <n v="175"/>
    <n v="159.20000000000002"/>
    <n v="175"/>
    <n v="-15.799999999999983"/>
    <x v="11"/>
  </r>
  <r>
    <s v="ORD51278"/>
    <d v="2025-12-27T00:00:00"/>
    <s v="Mall of the Emirates"/>
    <s v="P304"/>
    <n v="3"/>
    <n v="699"/>
    <x v="4"/>
    <x v="35"/>
    <s v="Fashion"/>
    <n v="380"/>
    <n v="1467.8999999999999"/>
    <n v="1140"/>
    <n v="327.89999999999986"/>
    <x v="11"/>
  </r>
  <r>
    <s v="ORD51310"/>
    <d v="2025-12-27T00:00:00"/>
    <s v="Mall of the Emirates"/>
    <s v="P107"/>
    <n v="1"/>
    <n v="89"/>
    <x v="5"/>
    <x v="29"/>
    <s v="Electronics"/>
    <n v="35"/>
    <n v="71.2"/>
    <n v="35"/>
    <n v="36.200000000000003"/>
    <x v="11"/>
  </r>
  <r>
    <s v="ORD51486"/>
    <d v="2025-12-27T00:00:00"/>
    <s v="Mall of the Emirates"/>
    <s v="P102"/>
    <n v="2"/>
    <n v="249"/>
    <x v="5"/>
    <x v="13"/>
    <s v="Electronics"/>
    <n v="150"/>
    <n v="398.40000000000003"/>
    <n v="300"/>
    <n v="98.400000000000034"/>
    <x v="11"/>
  </r>
  <r>
    <s v="ORD51501"/>
    <d v="2025-12-27T00:00:00"/>
    <s v="City Centre Deira"/>
    <s v="P107"/>
    <n v="2"/>
    <n v="89"/>
    <x v="5"/>
    <x v="29"/>
    <s v="Electronics"/>
    <n v="35"/>
    <n v="142.4"/>
    <n v="70"/>
    <n v="72.400000000000006"/>
    <x v="11"/>
  </r>
  <r>
    <s v="ORD52622"/>
    <d v="2025-12-27T00:00:00"/>
    <s v="Mall of the Emirates"/>
    <s v="P103"/>
    <n v="1"/>
    <n v="1299"/>
    <x v="5"/>
    <x v="25"/>
    <s v="Electronics"/>
    <n v="820"/>
    <n v="1039.2"/>
    <n v="820"/>
    <n v="219.20000000000005"/>
    <x v="11"/>
  </r>
  <r>
    <s v="ORD52779"/>
    <d v="2025-12-27T00:00:00"/>
    <s v="Mall of the Emirates"/>
    <s v="P106"/>
    <n v="1"/>
    <n v="149"/>
    <x v="5"/>
    <x v="30"/>
    <s v="Electronics"/>
    <n v="70"/>
    <n v="119.2"/>
    <n v="70"/>
    <n v="49.2"/>
    <x v="11"/>
  </r>
  <r>
    <s v="ORD53794"/>
    <d v="2025-12-27T00:00:00"/>
    <s v="Dubai Mall"/>
    <s v="P208"/>
    <n v="1"/>
    <n v="259"/>
    <x v="3"/>
    <x v="22"/>
    <s v="Home &amp; Kitchen"/>
    <n v="115"/>
    <n v="259"/>
    <n v="115"/>
    <n v="144"/>
    <x v="11"/>
  </r>
  <r>
    <s v="ORD50190"/>
    <d v="2025-12-28T00:00:00"/>
    <s v="Dubai Mall"/>
    <s v="P405"/>
    <n v="3"/>
    <n v="89"/>
    <x v="5"/>
    <x v="24"/>
    <s v="Beauty"/>
    <n v="40"/>
    <n v="213.60000000000002"/>
    <n v="120"/>
    <n v="93.600000000000023"/>
    <x v="11"/>
  </r>
  <r>
    <s v="ORD50507"/>
    <d v="2025-12-28T00:00:00"/>
    <s v="Dubai Mall"/>
    <s v="P102"/>
    <n v="4"/>
    <n v="249"/>
    <x v="4"/>
    <x v="13"/>
    <s v="Electronics"/>
    <n v="150"/>
    <n v="697.19999999999993"/>
    <n v="600"/>
    <n v="97.199999999999932"/>
    <x v="11"/>
  </r>
  <r>
    <s v="ORD51555"/>
    <d v="2025-12-28T00:00:00"/>
    <s v="Dubai Mall"/>
    <s v="P307"/>
    <n v="2"/>
    <n v="399"/>
    <x v="3"/>
    <x v="20"/>
    <s v="Fashion"/>
    <n v="210"/>
    <n v="798"/>
    <n v="420"/>
    <n v="378"/>
    <x v="11"/>
  </r>
  <r>
    <s v="ORD51862"/>
    <d v="2025-12-28T00:00:00"/>
    <s v="Dubai Mall"/>
    <s v="P104"/>
    <n v="1"/>
    <n v="199"/>
    <x v="5"/>
    <x v="1"/>
    <s v="Electronics"/>
    <n v="175"/>
    <n v="159.20000000000002"/>
    <n v="175"/>
    <n v="-15.799999999999983"/>
    <x v="11"/>
  </r>
  <r>
    <s v="ORD52532"/>
    <d v="2025-12-28T00:00:00"/>
    <s v="City Centre Deira"/>
    <s v="P104"/>
    <n v="1"/>
    <n v="199"/>
    <x v="5"/>
    <x v="1"/>
    <s v="Electronics"/>
    <n v="175"/>
    <n v="159.20000000000002"/>
    <n v="175"/>
    <n v="-15.799999999999983"/>
    <x v="11"/>
  </r>
  <r>
    <s v="ORD53424"/>
    <d v="2025-12-28T00:00:00"/>
    <s v="Dubai Mall"/>
    <s v="P501"/>
    <n v="4"/>
    <n v="129"/>
    <x v="3"/>
    <x v="12"/>
    <s v="Sports"/>
    <n v="60"/>
    <n v="516"/>
    <n v="240"/>
    <n v="276"/>
    <x v="11"/>
  </r>
  <r>
    <s v="ORD53699"/>
    <d v="2025-12-28T00:00:00"/>
    <s v="Ibn Battuta Mall"/>
    <s v="P402"/>
    <n v="1"/>
    <n v="149"/>
    <x v="4"/>
    <x v="17"/>
    <s v="Beauty"/>
    <n v="55"/>
    <n v="104.3"/>
    <n v="55"/>
    <n v="49.3"/>
    <x v="11"/>
  </r>
  <r>
    <s v="ORD53892"/>
    <d v="2025-12-28T00:00:00"/>
    <s v="City Centre Deira"/>
    <s v="P107"/>
    <n v="1"/>
    <n v="89"/>
    <x v="1"/>
    <x v="29"/>
    <s v="Electronics"/>
    <n v="35"/>
    <n v="84.55"/>
    <n v="35"/>
    <n v="49.55"/>
    <x v="11"/>
  </r>
  <r>
    <s v="ORD53925"/>
    <d v="2025-12-28T00:00:00"/>
    <s v="Dubai Mall"/>
    <s v="P104"/>
    <n v="1"/>
    <n v="199"/>
    <x v="5"/>
    <x v="1"/>
    <s v="Electronics"/>
    <n v="175"/>
    <n v="159.20000000000002"/>
    <n v="175"/>
    <n v="-15.799999999999983"/>
    <x v="11"/>
  </r>
  <r>
    <s v="ORD54131"/>
    <d v="2025-12-28T00:00:00"/>
    <s v="Dubai Mall"/>
    <s v="P208"/>
    <n v="2"/>
    <n v="259"/>
    <x v="2"/>
    <x v="22"/>
    <s v="Home &amp; Kitchen"/>
    <n v="115"/>
    <n v="466.2"/>
    <n v="230"/>
    <n v="236.2"/>
    <x v="11"/>
  </r>
  <r>
    <s v="ORD50051"/>
    <d v="2025-12-29T00:00:00"/>
    <s v="Mall of the Emirates"/>
    <s v="P203"/>
    <n v="2"/>
    <n v="349"/>
    <x v="1"/>
    <x v="21"/>
    <s v="Home &amp; Kitchen"/>
    <n v="170"/>
    <n v="663.1"/>
    <n v="340"/>
    <n v="323.10000000000002"/>
    <x v="11"/>
  </r>
  <r>
    <s v="ORD50150"/>
    <d v="2025-12-29T00:00:00"/>
    <s v="Dubai Mall"/>
    <s v="P306"/>
    <n v="2"/>
    <n v="249"/>
    <x v="4"/>
    <x v="3"/>
    <s v="Fashion"/>
    <n v="95"/>
    <n v="348.59999999999997"/>
    <n v="190"/>
    <n v="158.59999999999997"/>
    <x v="11"/>
  </r>
  <r>
    <s v="ORD50592"/>
    <d v="2025-12-29T00:00:00"/>
    <s v="Online"/>
    <s v="P406"/>
    <n v="1"/>
    <n v="199"/>
    <x v="5"/>
    <x v="4"/>
    <s v="Beauty"/>
    <n v="90"/>
    <n v="159.20000000000002"/>
    <n v="90"/>
    <n v="69.200000000000017"/>
    <x v="11"/>
  </r>
  <r>
    <s v="ORD51657"/>
    <d v="2025-12-29T00:00:00"/>
    <s v="Dubai Mall"/>
    <s v="P405"/>
    <n v="1"/>
    <n v="89"/>
    <x v="5"/>
    <x v="24"/>
    <s v="Beauty"/>
    <n v="40"/>
    <n v="71.2"/>
    <n v="40"/>
    <n v="31.200000000000003"/>
    <x v="11"/>
  </r>
  <r>
    <s v="ORD51798"/>
    <d v="2025-12-29T00:00:00"/>
    <s v="Dubai Mall"/>
    <s v="P104"/>
    <n v="1"/>
    <n v="199"/>
    <x v="2"/>
    <x v="1"/>
    <s v="Electronics"/>
    <n v="175"/>
    <n v="179.1"/>
    <n v="175"/>
    <n v="4.0999999999999943"/>
    <x v="11"/>
  </r>
  <r>
    <s v="ORD51930"/>
    <d v="2025-12-29T00:00:00"/>
    <s v="Online"/>
    <s v="P105"/>
    <n v="1"/>
    <n v="899"/>
    <x v="1"/>
    <x v="31"/>
    <s v="Electronics"/>
    <n v="610"/>
    <n v="854.05"/>
    <n v="610"/>
    <n v="244.04999999999995"/>
    <x v="11"/>
  </r>
  <r>
    <s v="ORD52022"/>
    <d v="2025-12-29T00:00:00"/>
    <s v="Online"/>
    <s v="P104"/>
    <n v="3"/>
    <n v="199"/>
    <x v="5"/>
    <x v="1"/>
    <s v="Electronics"/>
    <n v="175"/>
    <n v="477.6"/>
    <n v="525"/>
    <n v="-47.399999999999977"/>
    <x v="11"/>
  </r>
  <r>
    <s v="ORD52032"/>
    <d v="2025-12-29T00:00:00"/>
    <s v="Online"/>
    <s v="P203"/>
    <n v="1"/>
    <n v="349"/>
    <x v="4"/>
    <x v="21"/>
    <s v="Home &amp; Kitchen"/>
    <n v="170"/>
    <n v="244.29999999999998"/>
    <n v="170"/>
    <n v="74.299999999999983"/>
    <x v="11"/>
  </r>
  <r>
    <s v="ORD52091"/>
    <d v="2025-12-29T00:00:00"/>
    <s v="City Centre Deira"/>
    <s v="P208"/>
    <n v="2"/>
    <n v="259"/>
    <x v="3"/>
    <x v="22"/>
    <s v="Home &amp; Kitchen"/>
    <n v="115"/>
    <n v="518"/>
    <n v="230"/>
    <n v="288"/>
    <x v="11"/>
  </r>
  <r>
    <s v="ORD52260"/>
    <d v="2025-12-29T00:00:00"/>
    <s v="City Centre Deira"/>
    <s v="P501"/>
    <n v="1"/>
    <n v="129"/>
    <x v="0"/>
    <x v="12"/>
    <s v="Sports"/>
    <n v="60"/>
    <n v="109.64999999999999"/>
    <n v="60"/>
    <n v="49.649999999999991"/>
    <x v="11"/>
  </r>
  <r>
    <s v="ORD52453"/>
    <d v="2025-12-29T00:00:00"/>
    <s v="Ibn Battuta Mall"/>
    <s v="P107"/>
    <n v="1"/>
    <n v="89"/>
    <x v="3"/>
    <x v="29"/>
    <s v="Electronics"/>
    <n v="35"/>
    <n v="89"/>
    <n v="35"/>
    <n v="54"/>
    <x v="11"/>
  </r>
  <r>
    <s v="ORD52987"/>
    <d v="2025-12-29T00:00:00"/>
    <s v="City Centre Deira"/>
    <s v="P101"/>
    <n v="1"/>
    <n v="399"/>
    <x v="3"/>
    <x v="5"/>
    <s v="Electronics"/>
    <n v="230"/>
    <n v="399"/>
    <n v="230"/>
    <n v="169"/>
    <x v="11"/>
  </r>
  <r>
    <s v="ORD53080"/>
    <d v="2025-12-29T00:00:00"/>
    <s v="Online"/>
    <s v="P306"/>
    <n v="2"/>
    <n v="249"/>
    <x v="5"/>
    <x v="3"/>
    <s v="Fashion"/>
    <n v="95"/>
    <n v="398.40000000000003"/>
    <n v="190"/>
    <n v="208.40000000000003"/>
    <x v="11"/>
  </r>
  <r>
    <s v="ORD53391"/>
    <d v="2025-12-29T00:00:00"/>
    <s v="City Centre Deira"/>
    <s v="P403"/>
    <n v="3"/>
    <n v="299"/>
    <x v="6"/>
    <x v="8"/>
    <s v="Beauty"/>
    <n v="240"/>
    <n v="672.75"/>
    <n v="720"/>
    <n v="-47.25"/>
    <x v="11"/>
  </r>
  <r>
    <s v="ORD50138"/>
    <d v="2025-12-30T00:00:00"/>
    <s v="Ibn Battuta Mall"/>
    <s v="P301"/>
    <n v="3"/>
    <n v="179"/>
    <x v="5"/>
    <x v="2"/>
    <s v="Fashion"/>
    <n v="70"/>
    <n v="429.6"/>
    <n v="210"/>
    <n v="219.60000000000002"/>
    <x v="11"/>
  </r>
  <r>
    <s v="ORD50694"/>
    <d v="2025-12-30T00:00:00"/>
    <s v="Online"/>
    <s v="P301"/>
    <n v="1"/>
    <n v="179"/>
    <x v="5"/>
    <x v="2"/>
    <s v="Fashion"/>
    <n v="70"/>
    <n v="143.20000000000002"/>
    <n v="70"/>
    <n v="73.200000000000017"/>
    <x v="11"/>
  </r>
  <r>
    <s v="ORD50920"/>
    <d v="2025-12-30T00:00:00"/>
    <s v="Dubai Mall"/>
    <s v="P301"/>
    <n v="1"/>
    <n v="179"/>
    <x v="3"/>
    <x v="2"/>
    <s v="Fashion"/>
    <n v="70"/>
    <n v="179"/>
    <n v="70"/>
    <n v="109"/>
    <x v="11"/>
  </r>
  <r>
    <s v="ORD51169"/>
    <d v="2025-12-30T00:00:00"/>
    <s v="Mall of the Emirates"/>
    <s v="P204"/>
    <n v="3"/>
    <n v="1199"/>
    <x v="2"/>
    <x v="27"/>
    <s v="Home &amp; Kitchen"/>
    <n v="1080"/>
    <n v="3237.3"/>
    <n v="3240"/>
    <n v="-2.6999999999998181"/>
    <x v="11"/>
  </r>
  <r>
    <s v="ORD51879"/>
    <d v="2025-12-30T00:00:00"/>
    <s v="Ibn Battuta Mall"/>
    <s v="P201"/>
    <n v="1"/>
    <n v="499"/>
    <x v="5"/>
    <x v="16"/>
    <s v="Home &amp; Kitchen"/>
    <n v="290"/>
    <n v="399.20000000000005"/>
    <n v="290"/>
    <n v="109.20000000000005"/>
    <x v="11"/>
  </r>
  <r>
    <s v="ORD51918"/>
    <d v="2025-12-30T00:00:00"/>
    <s v="Online"/>
    <s v="P305"/>
    <n v="1"/>
    <n v="429"/>
    <x v="5"/>
    <x v="14"/>
    <s v="Fashion"/>
    <n v="300"/>
    <n v="343.20000000000005"/>
    <n v="300"/>
    <n v="43.200000000000045"/>
    <x v="11"/>
  </r>
  <r>
    <s v="ORD52563"/>
    <d v="2025-12-30T00:00:00"/>
    <s v="Dubai Mall"/>
    <s v="P306"/>
    <n v="1"/>
    <n v="249"/>
    <x v="4"/>
    <x v="3"/>
    <s v="Fashion"/>
    <n v="95"/>
    <n v="174.29999999999998"/>
    <n v="95"/>
    <n v="79.299999999999983"/>
    <x v="11"/>
  </r>
  <r>
    <s v="ORD52565"/>
    <d v="2025-12-30T00:00:00"/>
    <s v="Dubai Mall"/>
    <s v="P405"/>
    <n v="1"/>
    <n v="89"/>
    <x v="5"/>
    <x v="24"/>
    <s v="Beauty"/>
    <n v="40"/>
    <n v="71.2"/>
    <n v="40"/>
    <n v="31.200000000000003"/>
    <x v="11"/>
  </r>
  <r>
    <s v="ORD53710"/>
    <d v="2025-12-30T00:00:00"/>
    <s v="Online"/>
    <s v="P405"/>
    <n v="1"/>
    <n v="89"/>
    <x v="5"/>
    <x v="24"/>
    <s v="Beauty"/>
    <n v="40"/>
    <n v="71.2"/>
    <n v="40"/>
    <n v="31.200000000000003"/>
    <x v="11"/>
  </r>
  <r>
    <s v="ORD54054"/>
    <d v="2025-12-30T00:00:00"/>
    <s v="Dubai Mall"/>
    <s v="P406"/>
    <n v="4"/>
    <n v="199"/>
    <x v="5"/>
    <x v="4"/>
    <s v="Beauty"/>
    <n v="90"/>
    <n v="636.80000000000007"/>
    <n v="360"/>
    <n v="276.80000000000007"/>
    <x v="11"/>
  </r>
  <r>
    <s v="ORD54071"/>
    <d v="2025-12-30T00:00:00"/>
    <s v="Mall of the Emirates"/>
    <s v="P301"/>
    <n v="1"/>
    <n v="179"/>
    <x v="5"/>
    <x v="2"/>
    <s v="Fashion"/>
    <n v="70"/>
    <n v="143.20000000000002"/>
    <n v="70"/>
    <n v="73.200000000000017"/>
    <x v="11"/>
  </r>
  <r>
    <s v="ORD54156"/>
    <d v="2025-12-30T00:00:00"/>
    <s v="Online"/>
    <s v="P205"/>
    <n v="2"/>
    <n v="289"/>
    <x v="5"/>
    <x v="9"/>
    <s v="Home &amp; Kitchen"/>
    <n v="140"/>
    <n v="462.40000000000003"/>
    <n v="280"/>
    <n v="182.40000000000003"/>
    <x v="11"/>
  </r>
  <r>
    <s v="ORD50379"/>
    <d v="2025-12-31T00:00:00"/>
    <s v="Mall of the Emirates"/>
    <s v="P505"/>
    <n v="1"/>
    <n v="99"/>
    <x v="3"/>
    <x v="11"/>
    <s v="Sports"/>
    <n v="45"/>
    <n v="99"/>
    <n v="45"/>
    <n v="54"/>
    <x v="11"/>
  </r>
  <r>
    <s v="ORD50380"/>
    <d v="2025-12-31T00:00:00"/>
    <s v="Mall of the Emirates"/>
    <s v="P207"/>
    <n v="2"/>
    <n v="399"/>
    <x v="3"/>
    <x v="32"/>
    <s v="Home &amp; Kitchen"/>
    <n v="250"/>
    <n v="798"/>
    <n v="500"/>
    <n v="298"/>
    <x v="11"/>
  </r>
  <r>
    <s v="ORD50493"/>
    <d v="2025-12-31T00:00:00"/>
    <s v="Dubai Mall"/>
    <s v="P206"/>
    <n v="1"/>
    <n v="129"/>
    <x v="5"/>
    <x v="28"/>
    <s v="Home &amp; Kitchen"/>
    <n v="60"/>
    <n v="103.2"/>
    <n v="60"/>
    <n v="43.2"/>
    <x v="11"/>
  </r>
  <r>
    <s v="ORD50667"/>
    <d v="2025-12-31T00:00:00"/>
    <s v="Online"/>
    <s v="P406"/>
    <n v="2"/>
    <n v="199"/>
    <x v="3"/>
    <x v="4"/>
    <s v="Beauty"/>
    <n v="90"/>
    <n v="398"/>
    <n v="180"/>
    <n v="218"/>
    <x v="11"/>
  </r>
  <r>
    <s v="ORD50874"/>
    <d v="2025-12-31T00:00:00"/>
    <s v="Online"/>
    <s v="P106"/>
    <n v="1"/>
    <n v="149"/>
    <x v="3"/>
    <x v="30"/>
    <s v="Electronics"/>
    <n v="70"/>
    <n v="149"/>
    <n v="70"/>
    <n v="79"/>
    <x v="11"/>
  </r>
  <r>
    <s v="ORD51205"/>
    <d v="2025-12-31T00:00:00"/>
    <s v="Mall of the Emirates"/>
    <s v="P306"/>
    <n v="2"/>
    <n v="249"/>
    <x v="2"/>
    <x v="3"/>
    <s v="Fashion"/>
    <n v="95"/>
    <n v="448.2"/>
    <n v="190"/>
    <n v="258.2"/>
    <x v="11"/>
  </r>
  <r>
    <s v="ORD51655"/>
    <d v="2025-12-31T00:00:00"/>
    <s v="Online"/>
    <s v="P404"/>
    <n v="1"/>
    <n v="189"/>
    <x v="5"/>
    <x v="6"/>
    <s v="Beauty"/>
    <n v="85"/>
    <n v="151.20000000000002"/>
    <n v="85"/>
    <n v="66.200000000000017"/>
    <x v="11"/>
  </r>
  <r>
    <s v="ORD52089"/>
    <d v="2025-12-31T00:00:00"/>
    <s v="Online"/>
    <s v="P501"/>
    <n v="1"/>
    <n v="129"/>
    <x v="5"/>
    <x v="12"/>
    <s v="Sports"/>
    <n v="60"/>
    <n v="103.2"/>
    <n v="60"/>
    <n v="43.2"/>
    <x v="11"/>
  </r>
  <r>
    <s v="ORD52942"/>
    <d v="2025-12-31T00:00:00"/>
    <s v="Online"/>
    <s v="P204"/>
    <n v="3"/>
    <n v="1199"/>
    <x v="6"/>
    <x v="27"/>
    <s v="Home &amp; Kitchen"/>
    <n v="1080"/>
    <n v="2697.75"/>
    <n v="3240"/>
    <n v="-542.25"/>
    <x v="11"/>
  </r>
  <r>
    <s v="ORD53163"/>
    <d v="2025-12-31T00:00:00"/>
    <s v="Mall of the Emirates"/>
    <s v="P306"/>
    <n v="1"/>
    <n v="249"/>
    <x v="1"/>
    <x v="3"/>
    <s v="Fashion"/>
    <n v="95"/>
    <n v="236.54999999999998"/>
    <n v="95"/>
    <n v="141.54999999999998"/>
    <x v="11"/>
  </r>
  <r>
    <s v="ORD53537"/>
    <d v="2025-12-31T00:00:00"/>
    <s v="Mall of the Emirates"/>
    <s v="P308"/>
    <n v="1"/>
    <n v="229"/>
    <x v="5"/>
    <x v="0"/>
    <s v="Fashion"/>
    <n v="120"/>
    <n v="183.20000000000002"/>
    <n v="120"/>
    <n v="63.200000000000017"/>
    <x v="11"/>
  </r>
  <r>
    <s v="ORD53581"/>
    <d v="2025-12-31T00:00:00"/>
    <s v="Dubai Mall"/>
    <s v="P101"/>
    <n v="1"/>
    <n v="399"/>
    <x v="5"/>
    <x v="5"/>
    <s v="Electronics"/>
    <n v="230"/>
    <n v="319.20000000000005"/>
    <n v="230"/>
    <n v="89.200000000000045"/>
    <x v="11"/>
  </r>
  <r>
    <s v="ORD53591"/>
    <d v="2025-12-31T00:00:00"/>
    <s v="Mall of the Emirates"/>
    <s v="P302"/>
    <n v="3"/>
    <n v="459"/>
    <x v="3"/>
    <x v="10"/>
    <s v="Fashion"/>
    <n v="190"/>
    <n v="1377"/>
    <n v="570"/>
    <n v="807"/>
    <x v="11"/>
  </r>
  <r>
    <s v="ORD53821"/>
    <d v="2025-12-31T00:00:00"/>
    <s v="Dubai Mall"/>
    <s v="P301"/>
    <n v="2"/>
    <n v="179"/>
    <x v="5"/>
    <x v="2"/>
    <s v="Fashion"/>
    <n v="70"/>
    <n v="286.40000000000003"/>
    <n v="140"/>
    <n v="146.40000000000003"/>
    <x v="11"/>
  </r>
  <r>
    <s v="ORD53930"/>
    <d v="2025-12-31T00:00:00"/>
    <s v="Mall of the Emirates"/>
    <s v="P402"/>
    <n v="1"/>
    <n v="149"/>
    <x v="2"/>
    <x v="17"/>
    <s v="Beauty"/>
    <n v="55"/>
    <n v="134.1"/>
    <n v="55"/>
    <n v="79.09999999999999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1" firstHeaderRow="1" firstDataRow="1" firstDataCol="1"/>
  <pivotFields count="15">
    <pivotField showAll="0"/>
    <pivotField numFmtId="164" showAll="0"/>
    <pivotField showAll="0"/>
    <pivotField showAll="0"/>
    <pivotField showAll="0"/>
    <pivotField numFmtId="3" showAll="0"/>
    <pivotField axis="axisRow" numFmtId="9" showAll="0">
      <items count="8">
        <item x="3"/>
        <item x="1"/>
        <item x="2"/>
        <item x="0"/>
        <item x="5"/>
        <item x="6"/>
        <item x="4"/>
        <item t="default"/>
      </items>
    </pivotField>
    <pivotField showAll="0"/>
    <pivotField showAll="0"/>
    <pivotField showAll="0"/>
    <pivotField numFmtId="2" showAll="0"/>
    <pivotField showAll="0"/>
    <pivotField numFmtId="2" showAll="0"/>
    <pivotField showAll="0"/>
    <pivotField dataField="1" dragToRow="0" dragToCol="0" dragToPage="0" showAll="0" defaultSubtota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argin" fld="14" baseField="6" baseItem="6" numFmtId="165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16" firstHeaderRow="0" firstDataRow="1" firstDataCol="1"/>
  <pivotFields count="15">
    <pivotField showAll="0"/>
    <pivotField numFmtId="164" showAll="0"/>
    <pivotField showAll="0"/>
    <pivotField showAll="0"/>
    <pivotField showAll="0"/>
    <pivotField numFmtId="3" showAll="0"/>
    <pivotField numFmtId="9" showAll="0"/>
    <pivotField showAll="0"/>
    <pivotField showAll="0"/>
    <pivotField showAll="0"/>
    <pivotField dataField="1" numFmtId="2" showAll="0"/>
    <pivotField showAll="0"/>
    <pivotField dataField="1" numFmtId="2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ragToRow="0" dragToCol="0" dragToPage="0" showAll="0" defaultSubtota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AED" fld="10" baseField="0" baseItem="0"/>
    <dataField name="Sum of Profit_AED" fld="1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0" firstHeaderRow="0" firstDataRow="1" firstDataCol="1"/>
  <pivotFields count="15">
    <pivotField showAll="0"/>
    <pivotField numFmtId="164" showAll="0"/>
    <pivotField showAll="0"/>
    <pivotField showAll="0"/>
    <pivotField showAll="0"/>
    <pivotField numFmtId="3" showAll="0"/>
    <pivotField numFmtId="9" showAll="0"/>
    <pivotField axis="axisRow" showAll="0" sortType="ascending">
      <items count="37">
        <item x="31"/>
        <item x="19"/>
        <item x="16"/>
        <item x="4"/>
        <item x="22"/>
        <item x="32"/>
        <item x="13"/>
        <item x="9"/>
        <item x="18"/>
        <item x="28"/>
        <item x="26"/>
        <item x="1"/>
        <item x="11"/>
        <item x="23"/>
        <item x="8"/>
        <item x="7"/>
        <item x="35"/>
        <item x="6"/>
        <item x="20"/>
        <item x="2"/>
        <item x="21"/>
        <item x="15"/>
        <item x="30"/>
        <item x="27"/>
        <item x="14"/>
        <item x="25"/>
        <item x="3"/>
        <item x="24"/>
        <item x="34"/>
        <item x="33"/>
        <item x="29"/>
        <item x="17"/>
        <item x="5"/>
        <item x="10"/>
        <item x="0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2" showAll="0"/>
    <pivotField showAll="0"/>
    <pivotField dataField="1" numFmtId="2" showAll="0"/>
    <pivotField showAll="0"/>
    <pivotField dataField="1" dragToRow="0" dragToCol="0" dragToPage="0" showAll="0" defaultSubtotal="0"/>
  </pivotFields>
  <rowFields count="1">
    <field x="7"/>
  </rowFields>
  <rowItems count="37">
    <i>
      <x v="23"/>
    </i>
    <i>
      <x v="29"/>
    </i>
    <i>
      <x v="1"/>
    </i>
    <i>
      <x v="11"/>
    </i>
    <i>
      <x v="14"/>
    </i>
    <i>
      <x v="28"/>
    </i>
    <i>
      <x v="12"/>
    </i>
    <i>
      <x v="35"/>
    </i>
    <i>
      <x v="27"/>
    </i>
    <i>
      <x v="9"/>
    </i>
    <i>
      <x v="30"/>
    </i>
    <i>
      <x v="8"/>
    </i>
    <i>
      <x v="15"/>
    </i>
    <i>
      <x v="24"/>
    </i>
    <i>
      <x v="5"/>
    </i>
    <i>
      <x v="31"/>
    </i>
    <i>
      <x v="22"/>
    </i>
    <i>
      <x v="10"/>
    </i>
    <i>
      <x v="6"/>
    </i>
    <i>
      <x v="13"/>
    </i>
    <i>
      <x v="4"/>
    </i>
    <i>
      <x v="32"/>
    </i>
    <i>
      <x v="17"/>
    </i>
    <i>
      <x v="20"/>
    </i>
    <i>
      <x v="2"/>
    </i>
    <i>
      <x v="3"/>
    </i>
    <i>
      <x v="34"/>
    </i>
    <i>
      <x v="18"/>
    </i>
    <i>
      <x v="7"/>
    </i>
    <i>
      <x v="19"/>
    </i>
    <i>
      <x v="21"/>
    </i>
    <i>
      <x v="25"/>
    </i>
    <i>
      <x/>
    </i>
    <i>
      <x v="16"/>
    </i>
    <i>
      <x v="26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_AED" fld="10" baseField="0" baseItem="0"/>
    <dataField name="Sum of Profit_AED" fld="12" baseField="0" baseItem="0"/>
    <dataField name="Sum of Margin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Sales" displayName="tblSales" ref="A1:N4201" totalsRowShown="0" headerRowDxfId="21">
  <autoFilter ref="A1:N4201"/>
  <tableColumns count="14">
    <tableColumn id="1" name="Order_ID" dataDxfId="20"/>
    <tableColumn id="2" name="Order_Date" dataDxfId="19"/>
    <tableColumn id="3" name="Store" dataDxfId="18"/>
    <tableColumn id="4" name="Product_ID" dataDxfId="17"/>
    <tableColumn id="5" name="Quantity" dataDxfId="16"/>
    <tableColumn id="6" name="Unit_Price_AED" dataDxfId="15"/>
    <tableColumn id="7" name="Discount_Pct" dataDxfId="14"/>
    <tableColumn id="8" name="Product_Name" dataDxfId="13">
      <calculatedColumnFormula>INDEX(Products!$B$2:$B$37, MATCH(D2, Products!$A$2:$A$37, 0))</calculatedColumnFormula>
    </tableColumn>
    <tableColumn id="9" name="Category" dataDxfId="12">
      <calculatedColumnFormula>INDEX(Products!$C$2:$C$37, MATCH(D2, Products!$A$2:$A$37, 0))</calculatedColumnFormula>
    </tableColumn>
    <tableColumn id="10" name="Unit_Cost_AED" dataDxfId="11">
      <calculatedColumnFormula>INDEX(Products!$E$2:$E$37, MATCH(D2, Products!$A$2:$A$37, 0))</calculatedColumnFormula>
    </tableColumn>
    <tableColumn id="11" name="Revenue_AED" dataDxfId="10">
      <calculatedColumnFormula>E2*F2*(1-G2)</calculatedColumnFormula>
    </tableColumn>
    <tableColumn id="12" name="Cost_AED" dataDxfId="9">
      <calculatedColumnFormula>E2*J2</calculatedColumnFormula>
    </tableColumn>
    <tableColumn id="13" name="Profit_AED" dataDxfId="8">
      <calculatedColumnFormula>K2-L2</calculatedColumnFormula>
    </tableColumn>
    <tableColumn id="14" name="Month" dataDxfId="7">
      <calculatedColumnFormula>TEXT(B2,"mmm")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Products" displayName="tblProducts" ref="A1:E37" totalsRowShown="0" headerRowDxfId="6" dataDxfId="5">
  <autoFilter ref="A1:E37"/>
  <tableColumns count="5">
    <tableColumn id="1" name="Product_ID" dataDxfId="4"/>
    <tableColumn id="2" name="Product_Name" dataDxfId="3"/>
    <tableColumn id="3" name="Category" dataDxfId="2"/>
    <tableColumn id="4" name="Sub_Category" dataDxfId="1"/>
    <tableColumn id="5" name="Unit_Cost_A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01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1" customWidth="1"/>
    <col min="2" max="2" width="13" customWidth="1"/>
    <col min="3" max="3" width="21" customWidth="1"/>
    <col min="4" max="4" width="12.6640625" customWidth="1"/>
    <col min="5" max="5" width="10.33203125" customWidth="1"/>
    <col min="6" max="6" width="16.6640625" customWidth="1"/>
    <col min="7" max="7" width="14.5546875" customWidth="1"/>
    <col min="8" max="8" width="26.77734375" customWidth="1"/>
    <col min="9" max="9" width="16" customWidth="1"/>
    <col min="10" max="10" width="16.33203125" customWidth="1"/>
    <col min="11" max="11" width="10.88671875" customWidth="1"/>
    <col min="12" max="12" width="11.77734375" customWidth="1"/>
    <col min="13" max="13" width="12.44140625" customWidth="1"/>
    <col min="14" max="14" width="8.33203125" customWidth="1"/>
  </cols>
  <sheetData>
    <row r="1" spans="1:14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spans="1:14" x14ac:dyDescent="0.3">
      <c r="A2" s="2" t="s">
        <v>27</v>
      </c>
      <c r="B2" s="6">
        <v>45658</v>
      </c>
      <c r="C2" s="2" t="s">
        <v>28</v>
      </c>
      <c r="D2" s="2" t="s">
        <v>29</v>
      </c>
      <c r="E2" s="2">
        <v>1</v>
      </c>
      <c r="F2" s="7">
        <v>229</v>
      </c>
      <c r="G2" s="8">
        <v>0.15</v>
      </c>
      <c r="H2" s="9" t="str">
        <f>INDEX(Products!$B$2:$B$37, MATCH(D2, Products!$A$2:$A$37, 0))</f>
        <v>Women's Summer Dress</v>
      </c>
      <c r="I2" t="str">
        <f>INDEX(Products!$C$2:$C$37, MATCH(D2, Products!$A$2:$A$37, 0))</f>
        <v>Fashion</v>
      </c>
      <c r="J2">
        <f>INDEX(Products!$E$2:$E$37, MATCH(D2, Products!$A$2:$A$37, 0))</f>
        <v>120</v>
      </c>
      <c r="K2" s="9">
        <f t="shared" ref="K2:K65" si="0">E2*F2*(1-G2)</f>
        <v>194.65</v>
      </c>
      <c r="L2">
        <f t="shared" ref="L2:L65" si="1">E2*J2</f>
        <v>120</v>
      </c>
      <c r="M2" s="9">
        <f t="shared" ref="M2:M65" si="2">K2-L2</f>
        <v>74.650000000000006</v>
      </c>
      <c r="N2" t="str">
        <f t="shared" ref="N2:N65" si="3">TEXT(B2,"mmm")</f>
        <v>Jan</v>
      </c>
    </row>
    <row r="3" spans="1:14" x14ac:dyDescent="0.3">
      <c r="A3" s="2" t="s">
        <v>30</v>
      </c>
      <c r="B3" s="6">
        <v>45658</v>
      </c>
      <c r="C3" s="2" t="s">
        <v>31</v>
      </c>
      <c r="D3" s="2" t="s">
        <v>29</v>
      </c>
      <c r="E3" s="2">
        <v>2</v>
      </c>
      <c r="F3" s="7">
        <v>229</v>
      </c>
      <c r="G3" s="8">
        <v>0.05</v>
      </c>
      <c r="H3" s="9" t="str">
        <f>INDEX(Products!$B$2:$B$37, MATCH(D3, Products!$A$2:$A$37, 0))</f>
        <v>Women's Summer Dress</v>
      </c>
      <c r="I3" t="str">
        <f>INDEX(Products!$C$2:$C$37, MATCH(D3, Products!$A$2:$A$37, 0))</f>
        <v>Fashion</v>
      </c>
      <c r="J3">
        <f>INDEX(Products!$E$2:$E$37, MATCH(D3, Products!$A$2:$A$37, 0))</f>
        <v>120</v>
      </c>
      <c r="K3" s="9">
        <f t="shared" si="0"/>
        <v>435.09999999999997</v>
      </c>
      <c r="L3">
        <f t="shared" si="1"/>
        <v>240</v>
      </c>
      <c r="M3" s="9">
        <f t="shared" si="2"/>
        <v>195.09999999999997</v>
      </c>
      <c r="N3" t="str">
        <f t="shared" si="3"/>
        <v>Jan</v>
      </c>
    </row>
    <row r="4" spans="1:14" x14ac:dyDescent="0.3">
      <c r="A4" s="2" t="s">
        <v>32</v>
      </c>
      <c r="B4" s="6">
        <v>45658</v>
      </c>
      <c r="C4" s="2" t="s">
        <v>31</v>
      </c>
      <c r="D4" s="2" t="s">
        <v>33</v>
      </c>
      <c r="E4" s="2">
        <v>1</v>
      </c>
      <c r="F4" s="7">
        <v>199</v>
      </c>
      <c r="G4" s="8">
        <v>0.1</v>
      </c>
      <c r="H4" s="9" t="str">
        <f>INDEX(Products!$B$2:$B$37, MATCH(D4, Products!$A$2:$A$37, 0))</f>
        <v>Fitness Band Lite</v>
      </c>
      <c r="I4" t="str">
        <f>INDEX(Products!$C$2:$C$37, MATCH(D4, Products!$A$2:$A$37, 0))</f>
        <v>Electronics</v>
      </c>
      <c r="J4">
        <f>INDEX(Products!$E$2:$E$37, MATCH(D4, Products!$A$2:$A$37, 0))</f>
        <v>175</v>
      </c>
      <c r="K4" s="9">
        <f t="shared" si="0"/>
        <v>179.1</v>
      </c>
      <c r="L4">
        <f t="shared" si="1"/>
        <v>175</v>
      </c>
      <c r="M4" s="9">
        <f t="shared" si="2"/>
        <v>4.0999999999999943</v>
      </c>
      <c r="N4" t="str">
        <f t="shared" si="3"/>
        <v>Jan</v>
      </c>
    </row>
    <row r="5" spans="1:14" x14ac:dyDescent="0.3">
      <c r="A5" s="2" t="s">
        <v>34</v>
      </c>
      <c r="B5" s="6">
        <v>45658</v>
      </c>
      <c r="C5" s="2" t="s">
        <v>31</v>
      </c>
      <c r="D5" s="2" t="s">
        <v>35</v>
      </c>
      <c r="E5" s="2">
        <v>2</v>
      </c>
      <c r="F5" s="7">
        <v>179</v>
      </c>
      <c r="G5" s="8">
        <v>0</v>
      </c>
      <c r="H5" s="9" t="str">
        <f>INDEX(Products!$B$2:$B$37, MATCH(D5, Products!$A$2:$A$37, 0))</f>
        <v>Men's Linen Shirt</v>
      </c>
      <c r="I5" t="str">
        <f>INDEX(Products!$C$2:$C$37, MATCH(D5, Products!$A$2:$A$37, 0))</f>
        <v>Fashion</v>
      </c>
      <c r="J5">
        <f>INDEX(Products!$E$2:$E$37, MATCH(D5, Products!$A$2:$A$37, 0))</f>
        <v>70</v>
      </c>
      <c r="K5" s="9">
        <f t="shared" si="0"/>
        <v>358</v>
      </c>
      <c r="L5">
        <f t="shared" si="1"/>
        <v>140</v>
      </c>
      <c r="M5" s="9">
        <f t="shared" si="2"/>
        <v>218</v>
      </c>
      <c r="N5" t="str">
        <f t="shared" si="3"/>
        <v>Jan</v>
      </c>
    </row>
    <row r="6" spans="1:14" x14ac:dyDescent="0.3">
      <c r="A6" s="2" t="s">
        <v>36</v>
      </c>
      <c r="B6" s="6">
        <v>45658</v>
      </c>
      <c r="C6" s="2" t="s">
        <v>31</v>
      </c>
      <c r="D6" s="2" t="s">
        <v>37</v>
      </c>
      <c r="E6" s="2">
        <v>1</v>
      </c>
      <c r="F6" s="7">
        <v>249</v>
      </c>
      <c r="G6" s="8">
        <v>0</v>
      </c>
      <c r="H6" s="9" t="str">
        <f>INDEX(Products!$B$2:$B$37, MATCH(D6, Products!$A$2:$A$37, 0))</f>
        <v>Sunglasses Polarised</v>
      </c>
      <c r="I6" t="str">
        <f>INDEX(Products!$C$2:$C$37, MATCH(D6, Products!$A$2:$A$37, 0))</f>
        <v>Fashion</v>
      </c>
      <c r="J6">
        <f>INDEX(Products!$E$2:$E$37, MATCH(D6, Products!$A$2:$A$37, 0))</f>
        <v>95</v>
      </c>
      <c r="K6" s="9">
        <f t="shared" si="0"/>
        <v>249</v>
      </c>
      <c r="L6">
        <f t="shared" si="1"/>
        <v>95</v>
      </c>
      <c r="M6" s="9">
        <f t="shared" si="2"/>
        <v>154</v>
      </c>
      <c r="N6" t="str">
        <f t="shared" si="3"/>
        <v>Jan</v>
      </c>
    </row>
    <row r="7" spans="1:14" x14ac:dyDescent="0.3">
      <c r="A7" s="2" t="s">
        <v>38</v>
      </c>
      <c r="B7" s="6">
        <v>45658</v>
      </c>
      <c r="C7" s="2" t="s">
        <v>31</v>
      </c>
      <c r="D7" s="2" t="s">
        <v>39</v>
      </c>
      <c r="E7" s="2">
        <v>1</v>
      </c>
      <c r="F7" s="7">
        <v>199</v>
      </c>
      <c r="G7" s="8">
        <v>0</v>
      </c>
      <c r="H7" s="9" t="str">
        <f>INDEX(Products!$B$2:$B$37, MATCH(D7, Products!$A$2:$A$37, 0))</f>
        <v>Bakhoor Gift Set</v>
      </c>
      <c r="I7" t="str">
        <f>INDEX(Products!$C$2:$C$37, MATCH(D7, Products!$A$2:$A$37, 0))</f>
        <v>Beauty</v>
      </c>
      <c r="J7">
        <f>INDEX(Products!$E$2:$E$37, MATCH(D7, Products!$A$2:$A$37, 0))</f>
        <v>90</v>
      </c>
      <c r="K7" s="9">
        <f t="shared" si="0"/>
        <v>199</v>
      </c>
      <c r="L7">
        <f t="shared" si="1"/>
        <v>90</v>
      </c>
      <c r="M7" s="9">
        <f t="shared" si="2"/>
        <v>109</v>
      </c>
      <c r="N7" t="str">
        <f t="shared" si="3"/>
        <v>Jan</v>
      </c>
    </row>
    <row r="8" spans="1:14" x14ac:dyDescent="0.3">
      <c r="A8" s="2" t="s">
        <v>40</v>
      </c>
      <c r="B8" s="6">
        <v>45658</v>
      </c>
      <c r="C8" s="2" t="s">
        <v>41</v>
      </c>
      <c r="D8" s="2" t="s">
        <v>42</v>
      </c>
      <c r="E8" s="2">
        <v>1</v>
      </c>
      <c r="F8" s="7">
        <v>399</v>
      </c>
      <c r="G8" s="8">
        <v>0.1</v>
      </c>
      <c r="H8" s="9" t="str">
        <f>INDEX(Products!$B$2:$B$37, MATCH(D8, Products!$A$2:$A$37, 0))</f>
        <v>Wireless Earbuds Pro</v>
      </c>
      <c r="I8" t="str">
        <f>INDEX(Products!$C$2:$C$37, MATCH(D8, Products!$A$2:$A$37, 0))</f>
        <v>Electronics</v>
      </c>
      <c r="J8">
        <f>INDEX(Products!$E$2:$E$37, MATCH(D8, Products!$A$2:$A$37, 0))</f>
        <v>230</v>
      </c>
      <c r="K8" s="9">
        <f t="shared" si="0"/>
        <v>359.1</v>
      </c>
      <c r="L8">
        <f t="shared" si="1"/>
        <v>230</v>
      </c>
      <c r="M8" s="9">
        <f t="shared" si="2"/>
        <v>129.10000000000002</v>
      </c>
      <c r="N8" t="str">
        <f t="shared" si="3"/>
        <v>Jan</v>
      </c>
    </row>
    <row r="9" spans="1:14" x14ac:dyDescent="0.3">
      <c r="A9" s="2" t="s">
        <v>43</v>
      </c>
      <c r="B9" s="6">
        <v>45658</v>
      </c>
      <c r="C9" s="2" t="s">
        <v>44</v>
      </c>
      <c r="D9" s="2" t="s">
        <v>37</v>
      </c>
      <c r="E9" s="2">
        <v>1</v>
      </c>
      <c r="F9" s="7">
        <v>249</v>
      </c>
      <c r="G9" s="8">
        <v>0</v>
      </c>
      <c r="H9" s="9" t="str">
        <f>INDEX(Products!$B$2:$B$37, MATCH(D9, Products!$A$2:$A$37, 0))</f>
        <v>Sunglasses Polarised</v>
      </c>
      <c r="I9" t="str">
        <f>INDEX(Products!$C$2:$C$37, MATCH(D9, Products!$A$2:$A$37, 0))</f>
        <v>Fashion</v>
      </c>
      <c r="J9">
        <f>INDEX(Products!$E$2:$E$37, MATCH(D9, Products!$A$2:$A$37, 0))</f>
        <v>95</v>
      </c>
      <c r="K9" s="9">
        <f t="shared" si="0"/>
        <v>249</v>
      </c>
      <c r="L9">
        <f t="shared" si="1"/>
        <v>95</v>
      </c>
      <c r="M9" s="9">
        <f t="shared" si="2"/>
        <v>154</v>
      </c>
      <c r="N9" t="str">
        <f t="shared" si="3"/>
        <v>Jan</v>
      </c>
    </row>
    <row r="10" spans="1:14" x14ac:dyDescent="0.3">
      <c r="A10" s="2" t="s">
        <v>45</v>
      </c>
      <c r="B10" s="6">
        <v>45658</v>
      </c>
      <c r="C10" s="2" t="s">
        <v>31</v>
      </c>
      <c r="D10" s="2" t="s">
        <v>46</v>
      </c>
      <c r="E10" s="2">
        <v>1</v>
      </c>
      <c r="F10" s="7">
        <v>189</v>
      </c>
      <c r="G10" s="8">
        <v>0.1</v>
      </c>
      <c r="H10" s="9" t="str">
        <f>INDEX(Products!$B$2:$B$37, MATCH(D10, Products!$A$2:$A$37, 0))</f>
        <v>Makeup Palette</v>
      </c>
      <c r="I10" t="str">
        <f>INDEX(Products!$C$2:$C$37, MATCH(D10, Products!$A$2:$A$37, 0))</f>
        <v>Beauty</v>
      </c>
      <c r="J10">
        <f>INDEX(Products!$E$2:$E$37, MATCH(D10, Products!$A$2:$A$37, 0))</f>
        <v>85</v>
      </c>
      <c r="K10" s="9">
        <f t="shared" si="0"/>
        <v>170.1</v>
      </c>
      <c r="L10">
        <f t="shared" si="1"/>
        <v>85</v>
      </c>
      <c r="M10" s="9">
        <f t="shared" si="2"/>
        <v>85.1</v>
      </c>
      <c r="N10" t="str">
        <f t="shared" si="3"/>
        <v>Jan</v>
      </c>
    </row>
    <row r="11" spans="1:14" x14ac:dyDescent="0.3">
      <c r="A11" s="2" t="s">
        <v>47</v>
      </c>
      <c r="B11" s="6">
        <v>45658</v>
      </c>
      <c r="C11" s="2" t="s">
        <v>48</v>
      </c>
      <c r="D11" s="2" t="s">
        <v>49</v>
      </c>
      <c r="E11" s="2">
        <v>2</v>
      </c>
      <c r="F11" s="7">
        <v>149</v>
      </c>
      <c r="G11" s="8">
        <v>0.3</v>
      </c>
      <c r="H11" s="9" t="str">
        <f>INDEX(Products!$B$2:$B$37, MATCH(D11, Products!$A$2:$A$37, 0))</f>
        <v>Kids' Sneakers</v>
      </c>
      <c r="I11" t="str">
        <f>INDEX(Products!$C$2:$C$37, MATCH(D11, Products!$A$2:$A$37, 0))</f>
        <v>Fashion</v>
      </c>
      <c r="J11">
        <f>INDEX(Products!$E$2:$E$37, MATCH(D11, Products!$A$2:$A$37, 0))</f>
        <v>80</v>
      </c>
      <c r="K11" s="9">
        <f t="shared" si="0"/>
        <v>208.6</v>
      </c>
      <c r="L11">
        <f t="shared" si="1"/>
        <v>160</v>
      </c>
      <c r="M11" s="9">
        <f t="shared" si="2"/>
        <v>48.599999999999994</v>
      </c>
      <c r="N11" t="str">
        <f t="shared" si="3"/>
        <v>Jan</v>
      </c>
    </row>
    <row r="12" spans="1:14" x14ac:dyDescent="0.3">
      <c r="A12" s="2" t="s">
        <v>50</v>
      </c>
      <c r="B12" s="6">
        <v>45658</v>
      </c>
      <c r="C12" s="2" t="s">
        <v>44</v>
      </c>
      <c r="D12" s="2" t="s">
        <v>29</v>
      </c>
      <c r="E12" s="2">
        <v>2</v>
      </c>
      <c r="F12" s="7">
        <v>229</v>
      </c>
      <c r="G12" s="8">
        <v>0.05</v>
      </c>
      <c r="H12" s="9" t="str">
        <f>INDEX(Products!$B$2:$B$37, MATCH(D12, Products!$A$2:$A$37, 0))</f>
        <v>Women's Summer Dress</v>
      </c>
      <c r="I12" t="str">
        <f>INDEX(Products!$C$2:$C$37, MATCH(D12, Products!$A$2:$A$37, 0))</f>
        <v>Fashion</v>
      </c>
      <c r="J12">
        <f>INDEX(Products!$E$2:$E$37, MATCH(D12, Products!$A$2:$A$37, 0))</f>
        <v>120</v>
      </c>
      <c r="K12" s="9">
        <f t="shared" si="0"/>
        <v>435.09999999999997</v>
      </c>
      <c r="L12">
        <f t="shared" si="1"/>
        <v>240</v>
      </c>
      <c r="M12" s="9">
        <f t="shared" si="2"/>
        <v>195.09999999999997</v>
      </c>
      <c r="N12" t="str">
        <f t="shared" si="3"/>
        <v>Jan</v>
      </c>
    </row>
    <row r="13" spans="1:14" x14ac:dyDescent="0.3">
      <c r="A13" s="2" t="s">
        <v>51</v>
      </c>
      <c r="B13" s="6">
        <v>45658</v>
      </c>
      <c r="C13" s="2" t="s">
        <v>41</v>
      </c>
      <c r="D13" s="2" t="s">
        <v>52</v>
      </c>
      <c r="E13" s="2">
        <v>1</v>
      </c>
      <c r="F13" s="7">
        <v>299</v>
      </c>
      <c r="G13" s="8">
        <v>0.15</v>
      </c>
      <c r="H13" s="9" t="str">
        <f>INDEX(Products!$B$2:$B$37, MATCH(D13, Products!$A$2:$A$37, 0))</f>
        <v>Hair Dryer Ionic</v>
      </c>
      <c r="I13" t="str">
        <f>INDEX(Products!$C$2:$C$37, MATCH(D13, Products!$A$2:$A$37, 0))</f>
        <v>Beauty</v>
      </c>
      <c r="J13">
        <f>INDEX(Products!$E$2:$E$37, MATCH(D13, Products!$A$2:$A$37, 0))</f>
        <v>240</v>
      </c>
      <c r="K13" s="9">
        <f t="shared" si="0"/>
        <v>254.15</v>
      </c>
      <c r="L13">
        <f t="shared" si="1"/>
        <v>240</v>
      </c>
      <c r="M13" s="9">
        <f t="shared" si="2"/>
        <v>14.150000000000006</v>
      </c>
      <c r="N13" t="str">
        <f t="shared" si="3"/>
        <v>Jan</v>
      </c>
    </row>
    <row r="14" spans="1:14" x14ac:dyDescent="0.3">
      <c r="A14" s="2" t="s">
        <v>53</v>
      </c>
      <c r="B14" s="6">
        <v>45659</v>
      </c>
      <c r="C14" s="2" t="s">
        <v>41</v>
      </c>
      <c r="D14" s="2" t="s">
        <v>46</v>
      </c>
      <c r="E14" s="2">
        <v>3</v>
      </c>
      <c r="F14" s="7">
        <v>189</v>
      </c>
      <c r="G14" s="8">
        <v>0.3</v>
      </c>
      <c r="H14" s="9" t="str">
        <f>INDEX(Products!$B$2:$B$37, MATCH(D14, Products!$A$2:$A$37, 0))</f>
        <v>Makeup Palette</v>
      </c>
      <c r="I14" t="str">
        <f>INDEX(Products!$C$2:$C$37, MATCH(D14, Products!$A$2:$A$37, 0))</f>
        <v>Beauty</v>
      </c>
      <c r="J14">
        <f>INDEX(Products!$E$2:$E$37, MATCH(D14, Products!$A$2:$A$37, 0))</f>
        <v>85</v>
      </c>
      <c r="K14" s="9">
        <f t="shared" si="0"/>
        <v>396.9</v>
      </c>
      <c r="L14">
        <f t="shared" si="1"/>
        <v>255</v>
      </c>
      <c r="M14" s="9">
        <f t="shared" si="2"/>
        <v>141.89999999999998</v>
      </c>
      <c r="N14" t="str">
        <f t="shared" si="3"/>
        <v>Jan</v>
      </c>
    </row>
    <row r="15" spans="1:14" x14ac:dyDescent="0.3">
      <c r="A15" s="2" t="s">
        <v>54</v>
      </c>
      <c r="B15" s="6">
        <v>45659</v>
      </c>
      <c r="C15" s="2" t="s">
        <v>48</v>
      </c>
      <c r="D15" s="2" t="s">
        <v>33</v>
      </c>
      <c r="E15" s="2">
        <v>1</v>
      </c>
      <c r="F15" s="7">
        <v>199</v>
      </c>
      <c r="G15" s="8">
        <v>0.15</v>
      </c>
      <c r="H15" s="9" t="str">
        <f>INDEX(Products!$B$2:$B$37, MATCH(D15, Products!$A$2:$A$37, 0))</f>
        <v>Fitness Band Lite</v>
      </c>
      <c r="I15" t="str">
        <f>INDEX(Products!$C$2:$C$37, MATCH(D15, Products!$A$2:$A$37, 0))</f>
        <v>Electronics</v>
      </c>
      <c r="J15">
        <f>INDEX(Products!$E$2:$E$37, MATCH(D15, Products!$A$2:$A$37, 0))</f>
        <v>175</v>
      </c>
      <c r="K15" s="9">
        <f t="shared" si="0"/>
        <v>169.15</v>
      </c>
      <c r="L15">
        <f t="shared" si="1"/>
        <v>175</v>
      </c>
      <c r="M15" s="9">
        <f t="shared" si="2"/>
        <v>-5.8499999999999943</v>
      </c>
      <c r="N15" t="str">
        <f t="shared" si="3"/>
        <v>Jan</v>
      </c>
    </row>
    <row r="16" spans="1:14" x14ac:dyDescent="0.3">
      <c r="A16" s="2" t="s">
        <v>55</v>
      </c>
      <c r="B16" s="6">
        <v>45659</v>
      </c>
      <c r="C16" s="2" t="s">
        <v>44</v>
      </c>
      <c r="D16" s="2" t="s">
        <v>56</v>
      </c>
      <c r="E16" s="2">
        <v>2</v>
      </c>
      <c r="F16" s="7">
        <v>289</v>
      </c>
      <c r="G16" s="8">
        <v>0.05</v>
      </c>
      <c r="H16" s="9" t="str">
        <f>INDEX(Products!$B$2:$B$37, MATCH(D16, Products!$A$2:$A$37, 0))</f>
        <v>Ceramic Dinner Set</v>
      </c>
      <c r="I16" t="str">
        <f>INDEX(Products!$C$2:$C$37, MATCH(D16, Products!$A$2:$A$37, 0))</f>
        <v>Home &amp; Kitchen</v>
      </c>
      <c r="J16">
        <f>INDEX(Products!$E$2:$E$37, MATCH(D16, Products!$A$2:$A$37, 0))</f>
        <v>140</v>
      </c>
      <c r="K16" s="9">
        <f t="shared" si="0"/>
        <v>549.1</v>
      </c>
      <c r="L16">
        <f t="shared" si="1"/>
        <v>280</v>
      </c>
      <c r="M16" s="9">
        <f t="shared" si="2"/>
        <v>269.10000000000002</v>
      </c>
      <c r="N16" t="str">
        <f t="shared" si="3"/>
        <v>Jan</v>
      </c>
    </row>
    <row r="17" spans="1:14" x14ac:dyDescent="0.3">
      <c r="A17" s="2" t="s">
        <v>57</v>
      </c>
      <c r="B17" s="6">
        <v>45659</v>
      </c>
      <c r="C17" s="2" t="s">
        <v>28</v>
      </c>
      <c r="D17" s="2" t="s">
        <v>58</v>
      </c>
      <c r="E17" s="2">
        <v>2</v>
      </c>
      <c r="F17" s="7">
        <v>459</v>
      </c>
      <c r="G17" s="8">
        <v>0.2</v>
      </c>
      <c r="H17" s="9" t="str">
        <f>INDEX(Products!$B$2:$B$37, MATCH(D17, Products!$A$2:$A$37, 0))</f>
        <v>Women's Abaya Classic</v>
      </c>
      <c r="I17" t="str">
        <f>INDEX(Products!$C$2:$C$37, MATCH(D17, Products!$A$2:$A$37, 0))</f>
        <v>Fashion</v>
      </c>
      <c r="J17">
        <f>INDEX(Products!$E$2:$E$37, MATCH(D17, Products!$A$2:$A$37, 0))</f>
        <v>190</v>
      </c>
      <c r="K17" s="9">
        <f t="shared" si="0"/>
        <v>734.40000000000009</v>
      </c>
      <c r="L17">
        <f t="shared" si="1"/>
        <v>380</v>
      </c>
      <c r="M17" s="9">
        <f t="shared" si="2"/>
        <v>354.40000000000009</v>
      </c>
      <c r="N17" t="str">
        <f t="shared" si="3"/>
        <v>Jan</v>
      </c>
    </row>
    <row r="18" spans="1:14" x14ac:dyDescent="0.3">
      <c r="A18" s="2" t="s">
        <v>59</v>
      </c>
      <c r="B18" s="6">
        <v>45659</v>
      </c>
      <c r="C18" s="2" t="s">
        <v>28</v>
      </c>
      <c r="D18" s="2" t="s">
        <v>60</v>
      </c>
      <c r="E18" s="2">
        <v>3</v>
      </c>
      <c r="F18" s="7">
        <v>99</v>
      </c>
      <c r="G18" s="8">
        <v>0.2</v>
      </c>
      <c r="H18" s="9" t="str">
        <f>INDEX(Products!$B$2:$B$37, MATCH(D18, Products!$A$2:$A$37, 0))</f>
        <v>Football Size 5</v>
      </c>
      <c r="I18" t="str">
        <f>INDEX(Products!$C$2:$C$37, MATCH(D18, Products!$A$2:$A$37, 0))</f>
        <v>Sports</v>
      </c>
      <c r="J18">
        <f>INDEX(Products!$E$2:$E$37, MATCH(D18, Products!$A$2:$A$37, 0))</f>
        <v>45</v>
      </c>
      <c r="K18" s="9">
        <f t="shared" si="0"/>
        <v>237.60000000000002</v>
      </c>
      <c r="L18">
        <f t="shared" si="1"/>
        <v>135</v>
      </c>
      <c r="M18" s="9">
        <f t="shared" si="2"/>
        <v>102.60000000000002</v>
      </c>
      <c r="N18" t="str">
        <f t="shared" si="3"/>
        <v>Jan</v>
      </c>
    </row>
    <row r="19" spans="1:14" x14ac:dyDescent="0.3">
      <c r="A19" s="2" t="s">
        <v>61</v>
      </c>
      <c r="B19" s="6">
        <v>45659</v>
      </c>
      <c r="C19" s="2" t="s">
        <v>31</v>
      </c>
      <c r="D19" s="2" t="s">
        <v>60</v>
      </c>
      <c r="E19" s="2">
        <v>4</v>
      </c>
      <c r="F19" s="7">
        <v>99</v>
      </c>
      <c r="G19" s="8">
        <v>0</v>
      </c>
      <c r="H19" s="9" t="str">
        <f>INDEX(Products!$B$2:$B$37, MATCH(D19, Products!$A$2:$A$37, 0))</f>
        <v>Football Size 5</v>
      </c>
      <c r="I19" t="str">
        <f>INDEX(Products!$C$2:$C$37, MATCH(D19, Products!$A$2:$A$37, 0))</f>
        <v>Sports</v>
      </c>
      <c r="J19">
        <f>INDEX(Products!$E$2:$E$37, MATCH(D19, Products!$A$2:$A$37, 0))</f>
        <v>45</v>
      </c>
      <c r="K19" s="9">
        <f t="shared" si="0"/>
        <v>396</v>
      </c>
      <c r="L19">
        <f t="shared" si="1"/>
        <v>180</v>
      </c>
      <c r="M19" s="9">
        <f t="shared" si="2"/>
        <v>216</v>
      </c>
      <c r="N19" t="str">
        <f t="shared" si="3"/>
        <v>Jan</v>
      </c>
    </row>
    <row r="20" spans="1:14" x14ac:dyDescent="0.3">
      <c r="A20" s="2" t="s">
        <v>62</v>
      </c>
      <c r="B20" s="6">
        <v>45659</v>
      </c>
      <c r="C20" s="2" t="s">
        <v>48</v>
      </c>
      <c r="D20" s="2" t="s">
        <v>52</v>
      </c>
      <c r="E20" s="2">
        <v>2</v>
      </c>
      <c r="F20" s="7">
        <v>299</v>
      </c>
      <c r="G20" s="8">
        <v>0.2</v>
      </c>
      <c r="H20" s="9" t="str">
        <f>INDEX(Products!$B$2:$B$37, MATCH(D20, Products!$A$2:$A$37, 0))</f>
        <v>Hair Dryer Ionic</v>
      </c>
      <c r="I20" t="str">
        <f>INDEX(Products!$C$2:$C$37, MATCH(D20, Products!$A$2:$A$37, 0))</f>
        <v>Beauty</v>
      </c>
      <c r="J20">
        <f>INDEX(Products!$E$2:$E$37, MATCH(D20, Products!$A$2:$A$37, 0))</f>
        <v>240</v>
      </c>
      <c r="K20" s="9">
        <f t="shared" si="0"/>
        <v>478.40000000000003</v>
      </c>
      <c r="L20">
        <f t="shared" si="1"/>
        <v>480</v>
      </c>
      <c r="M20" s="9">
        <f t="shared" si="2"/>
        <v>-1.5999999999999659</v>
      </c>
      <c r="N20" t="str">
        <f t="shared" si="3"/>
        <v>Jan</v>
      </c>
    </row>
    <row r="21" spans="1:14" x14ac:dyDescent="0.3">
      <c r="A21" s="2" t="s">
        <v>63</v>
      </c>
      <c r="B21" s="6">
        <v>45659</v>
      </c>
      <c r="C21" s="2" t="s">
        <v>44</v>
      </c>
      <c r="D21" s="2" t="s">
        <v>37</v>
      </c>
      <c r="E21" s="2">
        <v>3</v>
      </c>
      <c r="F21" s="7">
        <v>249</v>
      </c>
      <c r="G21" s="8">
        <v>0</v>
      </c>
      <c r="H21" s="9" t="str">
        <f>INDEX(Products!$B$2:$B$37, MATCH(D21, Products!$A$2:$A$37, 0))</f>
        <v>Sunglasses Polarised</v>
      </c>
      <c r="I21" t="str">
        <f>INDEX(Products!$C$2:$C$37, MATCH(D21, Products!$A$2:$A$37, 0))</f>
        <v>Fashion</v>
      </c>
      <c r="J21">
        <f>INDEX(Products!$E$2:$E$37, MATCH(D21, Products!$A$2:$A$37, 0))</f>
        <v>95</v>
      </c>
      <c r="K21" s="9">
        <f t="shared" si="0"/>
        <v>747</v>
      </c>
      <c r="L21">
        <f t="shared" si="1"/>
        <v>285</v>
      </c>
      <c r="M21" s="9">
        <f t="shared" si="2"/>
        <v>462</v>
      </c>
      <c r="N21" t="str">
        <f t="shared" si="3"/>
        <v>Jan</v>
      </c>
    </row>
    <row r="22" spans="1:14" x14ac:dyDescent="0.3">
      <c r="A22" s="2" t="s">
        <v>64</v>
      </c>
      <c r="B22" s="6">
        <v>45659</v>
      </c>
      <c r="C22" s="2" t="s">
        <v>28</v>
      </c>
      <c r="D22" s="2" t="s">
        <v>65</v>
      </c>
      <c r="E22" s="2">
        <v>1</v>
      </c>
      <c r="F22" s="7">
        <v>129</v>
      </c>
      <c r="G22" s="8">
        <v>0.1</v>
      </c>
      <c r="H22" s="9" t="str">
        <f>INDEX(Products!$B$2:$B$37, MATCH(D22, Products!$A$2:$A$37, 0))</f>
        <v>Yoga Mat Premium</v>
      </c>
      <c r="I22" t="str">
        <f>INDEX(Products!$C$2:$C$37, MATCH(D22, Products!$A$2:$A$37, 0))</f>
        <v>Sports</v>
      </c>
      <c r="J22">
        <f>INDEX(Products!$E$2:$E$37, MATCH(D22, Products!$A$2:$A$37, 0))</f>
        <v>60</v>
      </c>
      <c r="K22" s="9">
        <f t="shared" si="0"/>
        <v>116.10000000000001</v>
      </c>
      <c r="L22">
        <f t="shared" si="1"/>
        <v>60</v>
      </c>
      <c r="M22" s="9">
        <f t="shared" si="2"/>
        <v>56.100000000000009</v>
      </c>
      <c r="N22" t="str">
        <f t="shared" si="3"/>
        <v>Jan</v>
      </c>
    </row>
    <row r="23" spans="1:14" x14ac:dyDescent="0.3">
      <c r="A23" s="2" t="s">
        <v>66</v>
      </c>
      <c r="B23" s="6">
        <v>45659</v>
      </c>
      <c r="C23" s="2" t="s">
        <v>41</v>
      </c>
      <c r="D23" s="2" t="s">
        <v>49</v>
      </c>
      <c r="E23" s="2">
        <v>2</v>
      </c>
      <c r="F23" s="7">
        <v>149</v>
      </c>
      <c r="G23" s="8">
        <v>0</v>
      </c>
      <c r="H23" s="9" t="str">
        <f>INDEX(Products!$B$2:$B$37, MATCH(D23, Products!$A$2:$A$37, 0))</f>
        <v>Kids' Sneakers</v>
      </c>
      <c r="I23" t="str">
        <f>INDEX(Products!$C$2:$C$37, MATCH(D23, Products!$A$2:$A$37, 0))</f>
        <v>Fashion</v>
      </c>
      <c r="J23">
        <f>INDEX(Products!$E$2:$E$37, MATCH(D23, Products!$A$2:$A$37, 0))</f>
        <v>80</v>
      </c>
      <c r="K23" s="9">
        <f t="shared" si="0"/>
        <v>298</v>
      </c>
      <c r="L23">
        <f t="shared" si="1"/>
        <v>160</v>
      </c>
      <c r="M23" s="9">
        <f t="shared" si="2"/>
        <v>138</v>
      </c>
      <c r="N23" t="str">
        <f t="shared" si="3"/>
        <v>Jan</v>
      </c>
    </row>
    <row r="24" spans="1:14" x14ac:dyDescent="0.3">
      <c r="A24" s="2" t="s">
        <v>67</v>
      </c>
      <c r="B24" s="6">
        <v>45659</v>
      </c>
      <c r="C24" s="2" t="s">
        <v>44</v>
      </c>
      <c r="D24" s="2" t="s">
        <v>68</v>
      </c>
      <c r="E24" s="2">
        <v>1</v>
      </c>
      <c r="F24" s="7">
        <v>249</v>
      </c>
      <c r="G24" s="8">
        <v>0</v>
      </c>
      <c r="H24" s="9" t="str">
        <f>INDEX(Products!$B$2:$B$37, MATCH(D24, Products!$A$2:$A$37, 0))</f>
        <v>Bluetooth Speaker Mini</v>
      </c>
      <c r="I24" t="str">
        <f>INDEX(Products!$C$2:$C$37, MATCH(D24, Products!$A$2:$A$37, 0))</f>
        <v>Electronics</v>
      </c>
      <c r="J24">
        <f>INDEX(Products!$E$2:$E$37, MATCH(D24, Products!$A$2:$A$37, 0))</f>
        <v>150</v>
      </c>
      <c r="K24" s="9">
        <f t="shared" si="0"/>
        <v>249</v>
      </c>
      <c r="L24">
        <f t="shared" si="1"/>
        <v>150</v>
      </c>
      <c r="M24" s="9">
        <f t="shared" si="2"/>
        <v>99</v>
      </c>
      <c r="N24" t="str">
        <f t="shared" si="3"/>
        <v>Jan</v>
      </c>
    </row>
    <row r="25" spans="1:14" x14ac:dyDescent="0.3">
      <c r="A25" s="2" t="s">
        <v>69</v>
      </c>
      <c r="B25" s="6">
        <v>45659</v>
      </c>
      <c r="C25" s="2" t="s">
        <v>28</v>
      </c>
      <c r="D25" s="2" t="s">
        <v>70</v>
      </c>
      <c r="E25" s="2">
        <v>3</v>
      </c>
      <c r="F25" s="7">
        <v>429</v>
      </c>
      <c r="G25" s="8">
        <v>0</v>
      </c>
      <c r="H25" s="9" t="str">
        <f>INDEX(Products!$B$2:$B$37, MATCH(D25, Products!$A$2:$A$37, 0))</f>
        <v>Running Shoes Elite</v>
      </c>
      <c r="I25" t="str">
        <f>INDEX(Products!$C$2:$C$37, MATCH(D25, Products!$A$2:$A$37, 0))</f>
        <v>Fashion</v>
      </c>
      <c r="J25">
        <f>INDEX(Products!$E$2:$E$37, MATCH(D25, Products!$A$2:$A$37, 0))</f>
        <v>300</v>
      </c>
      <c r="K25" s="9">
        <f t="shared" si="0"/>
        <v>1287</v>
      </c>
      <c r="L25">
        <f t="shared" si="1"/>
        <v>900</v>
      </c>
      <c r="M25" s="9">
        <f t="shared" si="2"/>
        <v>387</v>
      </c>
      <c r="N25" t="str">
        <f t="shared" si="3"/>
        <v>Jan</v>
      </c>
    </row>
    <row r="26" spans="1:14" x14ac:dyDescent="0.3">
      <c r="A26" s="2" t="s">
        <v>71</v>
      </c>
      <c r="B26" s="6">
        <v>45660</v>
      </c>
      <c r="C26" s="2" t="s">
        <v>44</v>
      </c>
      <c r="D26" s="2" t="s">
        <v>58</v>
      </c>
      <c r="E26" s="2">
        <v>2</v>
      </c>
      <c r="F26" s="7">
        <v>459</v>
      </c>
      <c r="G26" s="8">
        <v>0</v>
      </c>
      <c r="H26" s="9" t="str">
        <f>INDEX(Products!$B$2:$B$37, MATCH(D26, Products!$A$2:$A$37, 0))</f>
        <v>Women's Abaya Classic</v>
      </c>
      <c r="I26" t="str">
        <f>INDEX(Products!$C$2:$C$37, MATCH(D26, Products!$A$2:$A$37, 0))</f>
        <v>Fashion</v>
      </c>
      <c r="J26">
        <f>INDEX(Products!$E$2:$E$37, MATCH(D26, Products!$A$2:$A$37, 0))</f>
        <v>190</v>
      </c>
      <c r="K26" s="9">
        <f t="shared" si="0"/>
        <v>918</v>
      </c>
      <c r="L26">
        <f t="shared" si="1"/>
        <v>380</v>
      </c>
      <c r="M26" s="9">
        <f t="shared" si="2"/>
        <v>538</v>
      </c>
      <c r="N26" t="str">
        <f t="shared" si="3"/>
        <v>Jan</v>
      </c>
    </row>
    <row r="27" spans="1:14" x14ac:dyDescent="0.3">
      <c r="A27" s="2" t="s">
        <v>72</v>
      </c>
      <c r="B27" s="6">
        <v>45660</v>
      </c>
      <c r="C27" s="2" t="s">
        <v>41</v>
      </c>
      <c r="D27" s="2" t="s">
        <v>39</v>
      </c>
      <c r="E27" s="2">
        <v>1</v>
      </c>
      <c r="F27" s="7">
        <v>199</v>
      </c>
      <c r="G27" s="8">
        <v>0.05</v>
      </c>
      <c r="H27" s="9" t="str">
        <f>INDEX(Products!$B$2:$B$37, MATCH(D27, Products!$A$2:$A$37, 0))</f>
        <v>Bakhoor Gift Set</v>
      </c>
      <c r="I27" t="str">
        <f>INDEX(Products!$C$2:$C$37, MATCH(D27, Products!$A$2:$A$37, 0))</f>
        <v>Beauty</v>
      </c>
      <c r="J27">
        <f>INDEX(Products!$E$2:$E$37, MATCH(D27, Products!$A$2:$A$37, 0))</f>
        <v>90</v>
      </c>
      <c r="K27" s="9">
        <f t="shared" si="0"/>
        <v>189.04999999999998</v>
      </c>
      <c r="L27">
        <f t="shared" si="1"/>
        <v>90</v>
      </c>
      <c r="M27" s="9">
        <f t="shared" si="2"/>
        <v>99.049999999999983</v>
      </c>
      <c r="N27" t="str">
        <f t="shared" si="3"/>
        <v>Jan</v>
      </c>
    </row>
    <row r="28" spans="1:14" x14ac:dyDescent="0.3">
      <c r="A28" s="2" t="s">
        <v>73</v>
      </c>
      <c r="B28" s="6">
        <v>45660</v>
      </c>
      <c r="C28" s="2" t="s">
        <v>28</v>
      </c>
      <c r="D28" s="2" t="s">
        <v>42</v>
      </c>
      <c r="E28" s="2">
        <v>2</v>
      </c>
      <c r="F28" s="7">
        <v>399</v>
      </c>
      <c r="G28" s="8">
        <v>0.05</v>
      </c>
      <c r="H28" s="9" t="str">
        <f>INDEX(Products!$B$2:$B$37, MATCH(D28, Products!$A$2:$A$37, 0))</f>
        <v>Wireless Earbuds Pro</v>
      </c>
      <c r="I28" t="str">
        <f>INDEX(Products!$C$2:$C$37, MATCH(D28, Products!$A$2:$A$37, 0))</f>
        <v>Electronics</v>
      </c>
      <c r="J28">
        <f>INDEX(Products!$E$2:$E$37, MATCH(D28, Products!$A$2:$A$37, 0))</f>
        <v>230</v>
      </c>
      <c r="K28" s="9">
        <f t="shared" si="0"/>
        <v>758.09999999999991</v>
      </c>
      <c r="L28">
        <f t="shared" si="1"/>
        <v>460</v>
      </c>
      <c r="M28" s="9">
        <f t="shared" si="2"/>
        <v>298.09999999999991</v>
      </c>
      <c r="N28" t="str">
        <f t="shared" si="3"/>
        <v>Jan</v>
      </c>
    </row>
    <row r="29" spans="1:14" x14ac:dyDescent="0.3">
      <c r="A29" s="2" t="s">
        <v>74</v>
      </c>
      <c r="B29" s="6">
        <v>45660</v>
      </c>
      <c r="C29" s="2" t="s">
        <v>44</v>
      </c>
      <c r="D29" s="2" t="s">
        <v>75</v>
      </c>
      <c r="E29" s="2">
        <v>2</v>
      </c>
      <c r="F29" s="7">
        <v>549</v>
      </c>
      <c r="G29" s="8">
        <v>0</v>
      </c>
      <c r="H29" s="9" t="str">
        <f>INDEX(Products!$B$2:$B$37, MATCH(D29, Products!$A$2:$A$37, 0))</f>
        <v>Oud Perfume 100ml</v>
      </c>
      <c r="I29" t="str">
        <f>INDEX(Products!$C$2:$C$37, MATCH(D29, Products!$A$2:$A$37, 0))</f>
        <v>Beauty</v>
      </c>
      <c r="J29">
        <f>INDEX(Products!$E$2:$E$37, MATCH(D29, Products!$A$2:$A$37, 0))</f>
        <v>250</v>
      </c>
      <c r="K29" s="9">
        <f t="shared" si="0"/>
        <v>1098</v>
      </c>
      <c r="L29">
        <f t="shared" si="1"/>
        <v>500</v>
      </c>
      <c r="M29" s="9">
        <f t="shared" si="2"/>
        <v>598</v>
      </c>
      <c r="N29" t="str">
        <f t="shared" si="3"/>
        <v>Jan</v>
      </c>
    </row>
    <row r="30" spans="1:14" x14ac:dyDescent="0.3">
      <c r="A30" s="2" t="s">
        <v>76</v>
      </c>
      <c r="B30" s="6">
        <v>45660</v>
      </c>
      <c r="C30" s="2" t="s">
        <v>41</v>
      </c>
      <c r="D30" s="2" t="s">
        <v>52</v>
      </c>
      <c r="E30" s="2">
        <v>4</v>
      </c>
      <c r="F30" s="7">
        <v>299</v>
      </c>
      <c r="G30" s="8">
        <v>0.2</v>
      </c>
      <c r="H30" s="9" t="str">
        <f>INDEX(Products!$B$2:$B$37, MATCH(D30, Products!$A$2:$A$37, 0))</f>
        <v>Hair Dryer Ionic</v>
      </c>
      <c r="I30" t="str">
        <f>INDEX(Products!$C$2:$C$37, MATCH(D30, Products!$A$2:$A$37, 0))</f>
        <v>Beauty</v>
      </c>
      <c r="J30">
        <f>INDEX(Products!$E$2:$E$37, MATCH(D30, Products!$A$2:$A$37, 0))</f>
        <v>240</v>
      </c>
      <c r="K30" s="9">
        <f t="shared" si="0"/>
        <v>956.80000000000007</v>
      </c>
      <c r="L30">
        <f t="shared" si="1"/>
        <v>960</v>
      </c>
      <c r="M30" s="9">
        <f t="shared" si="2"/>
        <v>-3.1999999999999318</v>
      </c>
      <c r="N30" t="str">
        <f t="shared" si="3"/>
        <v>Jan</v>
      </c>
    </row>
    <row r="31" spans="1:14" x14ac:dyDescent="0.3">
      <c r="A31" s="2" t="s">
        <v>77</v>
      </c>
      <c r="B31" s="6">
        <v>45660</v>
      </c>
      <c r="C31" s="2" t="s">
        <v>31</v>
      </c>
      <c r="D31" s="2" t="s">
        <v>78</v>
      </c>
      <c r="E31" s="2">
        <v>1</v>
      </c>
      <c r="F31" s="7">
        <v>499</v>
      </c>
      <c r="G31" s="8">
        <v>0.15</v>
      </c>
      <c r="H31" s="9" t="str">
        <f>INDEX(Products!$B$2:$B$37, MATCH(D31, Products!$A$2:$A$37, 0))</f>
        <v>Air Fryer 5L</v>
      </c>
      <c r="I31" t="str">
        <f>INDEX(Products!$C$2:$C$37, MATCH(D31, Products!$A$2:$A$37, 0))</f>
        <v>Home &amp; Kitchen</v>
      </c>
      <c r="J31">
        <f>INDEX(Products!$E$2:$E$37, MATCH(D31, Products!$A$2:$A$37, 0))</f>
        <v>290</v>
      </c>
      <c r="K31" s="9">
        <f t="shared" si="0"/>
        <v>424.15</v>
      </c>
      <c r="L31">
        <f t="shared" si="1"/>
        <v>290</v>
      </c>
      <c r="M31" s="9">
        <f t="shared" si="2"/>
        <v>134.14999999999998</v>
      </c>
      <c r="N31" t="str">
        <f t="shared" si="3"/>
        <v>Jan</v>
      </c>
    </row>
    <row r="32" spans="1:14" x14ac:dyDescent="0.3">
      <c r="A32" s="2" t="s">
        <v>79</v>
      </c>
      <c r="B32" s="6">
        <v>45660</v>
      </c>
      <c r="C32" s="2" t="s">
        <v>28</v>
      </c>
      <c r="D32" s="2" t="s">
        <v>80</v>
      </c>
      <c r="E32" s="2">
        <v>1</v>
      </c>
      <c r="F32" s="7">
        <v>149</v>
      </c>
      <c r="G32" s="8">
        <v>0</v>
      </c>
      <c r="H32" s="9" t="str">
        <f>INDEX(Products!$B$2:$B$37, MATCH(D32, Products!$A$2:$A$37, 0))</f>
        <v>Vitamin C Serum</v>
      </c>
      <c r="I32" t="str">
        <f>INDEX(Products!$C$2:$C$37, MATCH(D32, Products!$A$2:$A$37, 0))</f>
        <v>Beauty</v>
      </c>
      <c r="J32">
        <f>INDEX(Products!$E$2:$E$37, MATCH(D32, Products!$A$2:$A$37, 0))</f>
        <v>55</v>
      </c>
      <c r="K32" s="9">
        <f t="shared" si="0"/>
        <v>149</v>
      </c>
      <c r="L32">
        <f t="shared" si="1"/>
        <v>55</v>
      </c>
      <c r="M32" s="9">
        <f t="shared" si="2"/>
        <v>94</v>
      </c>
      <c r="N32" t="str">
        <f t="shared" si="3"/>
        <v>Jan</v>
      </c>
    </row>
    <row r="33" spans="1:14" x14ac:dyDescent="0.3">
      <c r="A33" s="2" t="s">
        <v>81</v>
      </c>
      <c r="B33" s="6">
        <v>45661</v>
      </c>
      <c r="C33" s="2" t="s">
        <v>28</v>
      </c>
      <c r="D33" s="2" t="s">
        <v>39</v>
      </c>
      <c r="E33" s="2">
        <v>1</v>
      </c>
      <c r="F33" s="7">
        <v>199</v>
      </c>
      <c r="G33" s="8">
        <v>0</v>
      </c>
      <c r="H33" s="9" t="str">
        <f>INDEX(Products!$B$2:$B$37, MATCH(D33, Products!$A$2:$A$37, 0))</f>
        <v>Bakhoor Gift Set</v>
      </c>
      <c r="I33" t="str">
        <f>INDEX(Products!$C$2:$C$37, MATCH(D33, Products!$A$2:$A$37, 0))</f>
        <v>Beauty</v>
      </c>
      <c r="J33">
        <f>INDEX(Products!$E$2:$E$37, MATCH(D33, Products!$A$2:$A$37, 0))</f>
        <v>90</v>
      </c>
      <c r="K33" s="9">
        <f t="shared" si="0"/>
        <v>199</v>
      </c>
      <c r="L33">
        <f t="shared" si="1"/>
        <v>90</v>
      </c>
      <c r="M33" s="9">
        <f t="shared" si="2"/>
        <v>109</v>
      </c>
      <c r="N33" t="str">
        <f t="shared" si="3"/>
        <v>Jan</v>
      </c>
    </row>
    <row r="34" spans="1:14" x14ac:dyDescent="0.3">
      <c r="A34" s="2" t="s">
        <v>82</v>
      </c>
      <c r="B34" s="6">
        <v>45661</v>
      </c>
      <c r="C34" s="2" t="s">
        <v>44</v>
      </c>
      <c r="D34" s="2" t="s">
        <v>83</v>
      </c>
      <c r="E34" s="2">
        <v>1</v>
      </c>
      <c r="F34" s="7">
        <v>229</v>
      </c>
      <c r="G34" s="8">
        <v>0</v>
      </c>
      <c r="H34" s="9" t="str">
        <f>INDEX(Products!$B$2:$B$37, MATCH(D34, Products!$A$2:$A$37, 0))</f>
        <v>Cycling Helmet</v>
      </c>
      <c r="I34" t="str">
        <f>INDEX(Products!$C$2:$C$37, MATCH(D34, Products!$A$2:$A$37, 0))</f>
        <v>Sports</v>
      </c>
      <c r="J34">
        <f>INDEX(Products!$E$2:$E$37, MATCH(D34, Products!$A$2:$A$37, 0))</f>
        <v>120</v>
      </c>
      <c r="K34" s="9">
        <f t="shared" si="0"/>
        <v>229</v>
      </c>
      <c r="L34">
        <f t="shared" si="1"/>
        <v>120</v>
      </c>
      <c r="M34" s="9">
        <f t="shared" si="2"/>
        <v>109</v>
      </c>
      <c r="N34" t="str">
        <f t="shared" si="3"/>
        <v>Jan</v>
      </c>
    </row>
    <row r="35" spans="1:14" x14ac:dyDescent="0.3">
      <c r="A35" s="2" t="s">
        <v>84</v>
      </c>
      <c r="B35" s="6">
        <v>45661</v>
      </c>
      <c r="C35" s="2" t="s">
        <v>31</v>
      </c>
      <c r="D35" s="2" t="s">
        <v>56</v>
      </c>
      <c r="E35" s="2">
        <v>1</v>
      </c>
      <c r="F35" s="7">
        <v>289</v>
      </c>
      <c r="G35" s="8">
        <v>0.05</v>
      </c>
      <c r="H35" s="9" t="str">
        <f>INDEX(Products!$B$2:$B$37, MATCH(D35, Products!$A$2:$A$37, 0))</f>
        <v>Ceramic Dinner Set</v>
      </c>
      <c r="I35" t="str">
        <f>INDEX(Products!$C$2:$C$37, MATCH(D35, Products!$A$2:$A$37, 0))</f>
        <v>Home &amp; Kitchen</v>
      </c>
      <c r="J35">
        <f>INDEX(Products!$E$2:$E$37, MATCH(D35, Products!$A$2:$A$37, 0))</f>
        <v>140</v>
      </c>
      <c r="K35" s="9">
        <f t="shared" si="0"/>
        <v>274.55</v>
      </c>
      <c r="L35">
        <f t="shared" si="1"/>
        <v>140</v>
      </c>
      <c r="M35" s="9">
        <f t="shared" si="2"/>
        <v>134.55000000000001</v>
      </c>
      <c r="N35" t="str">
        <f t="shared" si="3"/>
        <v>Jan</v>
      </c>
    </row>
    <row r="36" spans="1:14" x14ac:dyDescent="0.3">
      <c r="A36" s="2" t="s">
        <v>85</v>
      </c>
      <c r="B36" s="6">
        <v>45661</v>
      </c>
      <c r="C36" s="2" t="s">
        <v>44</v>
      </c>
      <c r="D36" s="2" t="s">
        <v>35</v>
      </c>
      <c r="E36" s="2">
        <v>1</v>
      </c>
      <c r="F36" s="7">
        <v>179</v>
      </c>
      <c r="G36" s="8">
        <v>0</v>
      </c>
      <c r="H36" s="9" t="str">
        <f>INDEX(Products!$B$2:$B$37, MATCH(D36, Products!$A$2:$A$37, 0))</f>
        <v>Men's Linen Shirt</v>
      </c>
      <c r="I36" t="str">
        <f>INDEX(Products!$C$2:$C$37, MATCH(D36, Products!$A$2:$A$37, 0))</f>
        <v>Fashion</v>
      </c>
      <c r="J36">
        <f>INDEX(Products!$E$2:$E$37, MATCH(D36, Products!$A$2:$A$37, 0))</f>
        <v>70</v>
      </c>
      <c r="K36" s="9">
        <f t="shared" si="0"/>
        <v>179</v>
      </c>
      <c r="L36">
        <f t="shared" si="1"/>
        <v>70</v>
      </c>
      <c r="M36" s="9">
        <f t="shared" si="2"/>
        <v>109</v>
      </c>
      <c r="N36" t="str">
        <f t="shared" si="3"/>
        <v>Jan</v>
      </c>
    </row>
    <row r="37" spans="1:14" x14ac:dyDescent="0.3">
      <c r="A37" s="2" t="s">
        <v>86</v>
      </c>
      <c r="B37" s="6">
        <v>45661</v>
      </c>
      <c r="C37" s="2" t="s">
        <v>48</v>
      </c>
      <c r="D37" s="2" t="s">
        <v>87</v>
      </c>
      <c r="E37" s="2">
        <v>1</v>
      </c>
      <c r="F37" s="7">
        <v>799</v>
      </c>
      <c r="G37" s="8">
        <v>0.1</v>
      </c>
      <c r="H37" s="9" t="str">
        <f>INDEX(Products!$B$2:$B$37, MATCH(D37, Products!$A$2:$A$37, 0))</f>
        <v>Adjustable Dumbbells</v>
      </c>
      <c r="I37" t="str">
        <f>INDEX(Products!$C$2:$C$37, MATCH(D37, Products!$A$2:$A$37, 0))</f>
        <v>Sports</v>
      </c>
      <c r="J37">
        <f>INDEX(Products!$E$2:$E$37, MATCH(D37, Products!$A$2:$A$37, 0))</f>
        <v>700</v>
      </c>
      <c r="K37" s="9">
        <f t="shared" si="0"/>
        <v>719.1</v>
      </c>
      <c r="L37">
        <f t="shared" si="1"/>
        <v>700</v>
      </c>
      <c r="M37" s="9">
        <f t="shared" si="2"/>
        <v>19.100000000000023</v>
      </c>
      <c r="N37" t="str">
        <f t="shared" si="3"/>
        <v>Jan</v>
      </c>
    </row>
    <row r="38" spans="1:14" x14ac:dyDescent="0.3">
      <c r="A38" s="2" t="s">
        <v>88</v>
      </c>
      <c r="B38" s="6">
        <v>45661</v>
      </c>
      <c r="C38" s="2" t="s">
        <v>31</v>
      </c>
      <c r="D38" s="2" t="s">
        <v>89</v>
      </c>
      <c r="E38" s="2">
        <v>1</v>
      </c>
      <c r="F38" s="7">
        <v>399</v>
      </c>
      <c r="G38" s="8">
        <v>0.15</v>
      </c>
      <c r="H38" s="9" t="str">
        <f>INDEX(Products!$B$2:$B$37, MATCH(D38, Products!$A$2:$A$37, 0))</f>
        <v>Men's Kandura Premium</v>
      </c>
      <c r="I38" t="str">
        <f>INDEX(Products!$C$2:$C$37, MATCH(D38, Products!$A$2:$A$37, 0))</f>
        <v>Fashion</v>
      </c>
      <c r="J38">
        <f>INDEX(Products!$E$2:$E$37, MATCH(D38, Products!$A$2:$A$37, 0))</f>
        <v>210</v>
      </c>
      <c r="K38" s="9">
        <f t="shared" si="0"/>
        <v>339.15</v>
      </c>
      <c r="L38">
        <f t="shared" si="1"/>
        <v>210</v>
      </c>
      <c r="M38" s="9">
        <f t="shared" si="2"/>
        <v>129.14999999999998</v>
      </c>
      <c r="N38" t="str">
        <f t="shared" si="3"/>
        <v>Jan</v>
      </c>
    </row>
    <row r="39" spans="1:14" x14ac:dyDescent="0.3">
      <c r="A39" s="2" t="s">
        <v>90</v>
      </c>
      <c r="B39" s="6">
        <v>45661</v>
      </c>
      <c r="C39" s="2" t="s">
        <v>28</v>
      </c>
      <c r="D39" s="2" t="s">
        <v>58</v>
      </c>
      <c r="E39" s="2">
        <v>2</v>
      </c>
      <c r="F39" s="7">
        <v>459</v>
      </c>
      <c r="G39" s="8">
        <v>0.05</v>
      </c>
      <c r="H39" s="9" t="str">
        <f>INDEX(Products!$B$2:$B$37, MATCH(D39, Products!$A$2:$A$37, 0))</f>
        <v>Women's Abaya Classic</v>
      </c>
      <c r="I39" t="str">
        <f>INDEX(Products!$C$2:$C$37, MATCH(D39, Products!$A$2:$A$37, 0))</f>
        <v>Fashion</v>
      </c>
      <c r="J39">
        <f>INDEX(Products!$E$2:$E$37, MATCH(D39, Products!$A$2:$A$37, 0))</f>
        <v>190</v>
      </c>
      <c r="K39" s="9">
        <f t="shared" si="0"/>
        <v>872.09999999999991</v>
      </c>
      <c r="L39">
        <f t="shared" si="1"/>
        <v>380</v>
      </c>
      <c r="M39" s="9">
        <f t="shared" si="2"/>
        <v>492.09999999999991</v>
      </c>
      <c r="N39" t="str">
        <f t="shared" si="3"/>
        <v>Jan</v>
      </c>
    </row>
    <row r="40" spans="1:14" x14ac:dyDescent="0.3">
      <c r="A40" s="2" t="s">
        <v>91</v>
      </c>
      <c r="B40" s="6">
        <v>45661</v>
      </c>
      <c r="C40" s="2" t="s">
        <v>41</v>
      </c>
      <c r="D40" s="2" t="s">
        <v>92</v>
      </c>
      <c r="E40" s="2">
        <v>1</v>
      </c>
      <c r="F40" s="7">
        <v>349</v>
      </c>
      <c r="G40" s="8">
        <v>0.1</v>
      </c>
      <c r="H40" s="9" t="str">
        <f>INDEX(Products!$B$2:$B$37, MATCH(D40, Products!$A$2:$A$37, 0))</f>
        <v>Non-stick Cookware Set</v>
      </c>
      <c r="I40" t="str">
        <f>INDEX(Products!$C$2:$C$37, MATCH(D40, Products!$A$2:$A$37, 0))</f>
        <v>Home &amp; Kitchen</v>
      </c>
      <c r="J40">
        <f>INDEX(Products!$E$2:$E$37, MATCH(D40, Products!$A$2:$A$37, 0))</f>
        <v>170</v>
      </c>
      <c r="K40" s="9">
        <f t="shared" si="0"/>
        <v>314.10000000000002</v>
      </c>
      <c r="L40">
        <f t="shared" si="1"/>
        <v>170</v>
      </c>
      <c r="M40" s="9">
        <f t="shared" si="2"/>
        <v>144.10000000000002</v>
      </c>
      <c r="N40" t="str">
        <f t="shared" si="3"/>
        <v>Jan</v>
      </c>
    </row>
    <row r="41" spans="1:14" x14ac:dyDescent="0.3">
      <c r="A41" s="2" t="s">
        <v>93</v>
      </c>
      <c r="B41" s="6">
        <v>45661</v>
      </c>
      <c r="C41" s="2" t="s">
        <v>28</v>
      </c>
      <c r="D41" s="2" t="s">
        <v>33</v>
      </c>
      <c r="E41" s="2">
        <v>1</v>
      </c>
      <c r="F41" s="7">
        <v>199</v>
      </c>
      <c r="G41" s="8">
        <v>0.15</v>
      </c>
      <c r="H41" s="9" t="str">
        <f>INDEX(Products!$B$2:$B$37, MATCH(D41, Products!$A$2:$A$37, 0))</f>
        <v>Fitness Band Lite</v>
      </c>
      <c r="I41" t="str">
        <f>INDEX(Products!$C$2:$C$37, MATCH(D41, Products!$A$2:$A$37, 0))</f>
        <v>Electronics</v>
      </c>
      <c r="J41">
        <f>INDEX(Products!$E$2:$E$37, MATCH(D41, Products!$A$2:$A$37, 0))</f>
        <v>175</v>
      </c>
      <c r="K41" s="9">
        <f t="shared" si="0"/>
        <v>169.15</v>
      </c>
      <c r="L41">
        <f t="shared" si="1"/>
        <v>175</v>
      </c>
      <c r="M41" s="9">
        <f t="shared" si="2"/>
        <v>-5.8499999999999943</v>
      </c>
      <c r="N41" t="str">
        <f t="shared" si="3"/>
        <v>Jan</v>
      </c>
    </row>
    <row r="42" spans="1:14" x14ac:dyDescent="0.3">
      <c r="A42" s="2" t="s">
        <v>94</v>
      </c>
      <c r="B42" s="6">
        <v>45661</v>
      </c>
      <c r="C42" s="2" t="s">
        <v>44</v>
      </c>
      <c r="D42" s="2" t="s">
        <v>95</v>
      </c>
      <c r="E42" s="2">
        <v>1</v>
      </c>
      <c r="F42" s="7">
        <v>259</v>
      </c>
      <c r="G42" s="8">
        <v>0</v>
      </c>
      <c r="H42" s="9" t="str">
        <f>INDEX(Products!$B$2:$B$37, MATCH(D42, Products!$A$2:$A$37, 0))</f>
        <v>Bed Linen Set (King)</v>
      </c>
      <c r="I42" t="str">
        <f>INDEX(Products!$C$2:$C$37, MATCH(D42, Products!$A$2:$A$37, 0))</f>
        <v>Home &amp; Kitchen</v>
      </c>
      <c r="J42">
        <f>INDEX(Products!$E$2:$E$37, MATCH(D42, Products!$A$2:$A$37, 0))</f>
        <v>115</v>
      </c>
      <c r="K42" s="9">
        <f t="shared" si="0"/>
        <v>259</v>
      </c>
      <c r="L42">
        <f t="shared" si="1"/>
        <v>115</v>
      </c>
      <c r="M42" s="9">
        <f t="shared" si="2"/>
        <v>144</v>
      </c>
      <c r="N42" t="str">
        <f t="shared" si="3"/>
        <v>Jan</v>
      </c>
    </row>
    <row r="43" spans="1:14" x14ac:dyDescent="0.3">
      <c r="A43" s="2" t="s">
        <v>96</v>
      </c>
      <c r="B43" s="6">
        <v>45661</v>
      </c>
      <c r="C43" s="2" t="s">
        <v>28</v>
      </c>
      <c r="D43" s="2" t="s">
        <v>46</v>
      </c>
      <c r="E43" s="2">
        <v>2</v>
      </c>
      <c r="F43" s="7">
        <v>189</v>
      </c>
      <c r="G43" s="8">
        <v>0.05</v>
      </c>
      <c r="H43" s="9" t="str">
        <f>INDEX(Products!$B$2:$B$37, MATCH(D43, Products!$A$2:$A$37, 0))</f>
        <v>Makeup Palette</v>
      </c>
      <c r="I43" t="str">
        <f>INDEX(Products!$C$2:$C$37, MATCH(D43, Products!$A$2:$A$37, 0))</f>
        <v>Beauty</v>
      </c>
      <c r="J43">
        <f>INDEX(Products!$E$2:$E$37, MATCH(D43, Products!$A$2:$A$37, 0))</f>
        <v>85</v>
      </c>
      <c r="K43" s="9">
        <f t="shared" si="0"/>
        <v>359.09999999999997</v>
      </c>
      <c r="L43">
        <f t="shared" si="1"/>
        <v>170</v>
      </c>
      <c r="M43" s="9">
        <f t="shared" si="2"/>
        <v>189.09999999999997</v>
      </c>
      <c r="N43" t="str">
        <f t="shared" si="3"/>
        <v>Jan</v>
      </c>
    </row>
    <row r="44" spans="1:14" x14ac:dyDescent="0.3">
      <c r="A44" s="2" t="s">
        <v>97</v>
      </c>
      <c r="B44" s="6">
        <v>45661</v>
      </c>
      <c r="C44" s="2" t="s">
        <v>31</v>
      </c>
      <c r="D44" s="2" t="s">
        <v>39</v>
      </c>
      <c r="E44" s="2">
        <v>1</v>
      </c>
      <c r="F44" s="7">
        <v>199</v>
      </c>
      <c r="G44" s="8">
        <v>0.1</v>
      </c>
      <c r="H44" s="9" t="str">
        <f>INDEX(Products!$B$2:$B$37, MATCH(D44, Products!$A$2:$A$37, 0))</f>
        <v>Bakhoor Gift Set</v>
      </c>
      <c r="I44" t="str">
        <f>INDEX(Products!$C$2:$C$37, MATCH(D44, Products!$A$2:$A$37, 0))</f>
        <v>Beauty</v>
      </c>
      <c r="J44">
        <f>INDEX(Products!$E$2:$E$37, MATCH(D44, Products!$A$2:$A$37, 0))</f>
        <v>90</v>
      </c>
      <c r="K44" s="9">
        <f t="shared" si="0"/>
        <v>179.1</v>
      </c>
      <c r="L44">
        <f t="shared" si="1"/>
        <v>90</v>
      </c>
      <c r="M44" s="9">
        <f t="shared" si="2"/>
        <v>89.1</v>
      </c>
      <c r="N44" t="str">
        <f t="shared" si="3"/>
        <v>Jan</v>
      </c>
    </row>
    <row r="45" spans="1:14" x14ac:dyDescent="0.3">
      <c r="A45" s="2" t="s">
        <v>98</v>
      </c>
      <c r="B45" s="6">
        <v>45661</v>
      </c>
      <c r="C45" s="2" t="s">
        <v>41</v>
      </c>
      <c r="D45" s="2" t="s">
        <v>99</v>
      </c>
      <c r="E45" s="2">
        <v>1</v>
      </c>
      <c r="F45" s="7">
        <v>459</v>
      </c>
      <c r="G45" s="8">
        <v>0.1</v>
      </c>
      <c r="H45" s="9" t="str">
        <f>INDEX(Products!$B$2:$B$37, MATCH(D45, Products!$A$2:$A$37, 0))</f>
        <v>Gaming Headset X</v>
      </c>
      <c r="I45" t="str">
        <f>INDEX(Products!$C$2:$C$37, MATCH(D45, Products!$A$2:$A$37, 0))</f>
        <v>Electronics</v>
      </c>
      <c r="J45">
        <f>INDEX(Products!$E$2:$E$37, MATCH(D45, Products!$A$2:$A$37, 0))</f>
        <v>300</v>
      </c>
      <c r="K45" s="9">
        <f t="shared" si="0"/>
        <v>413.1</v>
      </c>
      <c r="L45">
        <f t="shared" si="1"/>
        <v>300</v>
      </c>
      <c r="M45" s="9">
        <f t="shared" si="2"/>
        <v>113.10000000000002</v>
      </c>
      <c r="N45" t="str">
        <f t="shared" si="3"/>
        <v>Jan</v>
      </c>
    </row>
    <row r="46" spans="1:14" x14ac:dyDescent="0.3">
      <c r="A46" s="2" t="s">
        <v>100</v>
      </c>
      <c r="B46" s="6">
        <v>45661</v>
      </c>
      <c r="C46" s="2" t="s">
        <v>48</v>
      </c>
      <c r="D46" s="2" t="s">
        <v>65</v>
      </c>
      <c r="E46" s="2">
        <v>1</v>
      </c>
      <c r="F46" s="7">
        <v>129</v>
      </c>
      <c r="G46" s="8">
        <v>0.05</v>
      </c>
      <c r="H46" s="9" t="str">
        <f>INDEX(Products!$B$2:$B$37, MATCH(D46, Products!$A$2:$A$37, 0))</f>
        <v>Yoga Mat Premium</v>
      </c>
      <c r="I46" t="str">
        <f>INDEX(Products!$C$2:$C$37, MATCH(D46, Products!$A$2:$A$37, 0))</f>
        <v>Sports</v>
      </c>
      <c r="J46">
        <f>INDEX(Products!$E$2:$E$37, MATCH(D46, Products!$A$2:$A$37, 0))</f>
        <v>60</v>
      </c>
      <c r="K46" s="9">
        <f t="shared" si="0"/>
        <v>122.55</v>
      </c>
      <c r="L46">
        <f t="shared" si="1"/>
        <v>60</v>
      </c>
      <c r="M46" s="9">
        <f t="shared" si="2"/>
        <v>62.55</v>
      </c>
      <c r="N46" t="str">
        <f t="shared" si="3"/>
        <v>Jan</v>
      </c>
    </row>
    <row r="47" spans="1:14" x14ac:dyDescent="0.3">
      <c r="A47" s="2" t="s">
        <v>101</v>
      </c>
      <c r="B47" s="6">
        <v>45661</v>
      </c>
      <c r="C47" s="2" t="s">
        <v>44</v>
      </c>
      <c r="D47" s="2" t="s">
        <v>37</v>
      </c>
      <c r="E47" s="2">
        <v>2</v>
      </c>
      <c r="F47" s="7">
        <v>249</v>
      </c>
      <c r="G47" s="8">
        <v>0</v>
      </c>
      <c r="H47" s="9" t="str">
        <f>INDEX(Products!$B$2:$B$37, MATCH(D47, Products!$A$2:$A$37, 0))</f>
        <v>Sunglasses Polarised</v>
      </c>
      <c r="I47" t="str">
        <f>INDEX(Products!$C$2:$C$37, MATCH(D47, Products!$A$2:$A$37, 0))</f>
        <v>Fashion</v>
      </c>
      <c r="J47">
        <f>INDEX(Products!$E$2:$E$37, MATCH(D47, Products!$A$2:$A$37, 0))</f>
        <v>95</v>
      </c>
      <c r="K47" s="9">
        <f t="shared" si="0"/>
        <v>498</v>
      </c>
      <c r="L47">
        <f t="shared" si="1"/>
        <v>190</v>
      </c>
      <c r="M47" s="9">
        <f t="shared" si="2"/>
        <v>308</v>
      </c>
      <c r="N47" t="str">
        <f t="shared" si="3"/>
        <v>Jan</v>
      </c>
    </row>
    <row r="48" spans="1:14" x14ac:dyDescent="0.3">
      <c r="A48" s="2" t="s">
        <v>102</v>
      </c>
      <c r="B48" s="6">
        <v>45661</v>
      </c>
      <c r="C48" s="2" t="s">
        <v>48</v>
      </c>
      <c r="D48" s="2" t="s">
        <v>103</v>
      </c>
      <c r="E48" s="2">
        <v>2</v>
      </c>
      <c r="F48" s="7">
        <v>89</v>
      </c>
      <c r="G48" s="8">
        <v>0</v>
      </c>
      <c r="H48" s="9" t="str">
        <f>INDEX(Products!$B$2:$B$37, MATCH(D48, Products!$A$2:$A$37, 0))</f>
        <v>Sunscreen SPF50</v>
      </c>
      <c r="I48" t="str">
        <f>INDEX(Products!$C$2:$C$37, MATCH(D48, Products!$A$2:$A$37, 0))</f>
        <v>Beauty</v>
      </c>
      <c r="J48">
        <f>INDEX(Products!$E$2:$E$37, MATCH(D48, Products!$A$2:$A$37, 0))</f>
        <v>40</v>
      </c>
      <c r="K48" s="9">
        <f t="shared" si="0"/>
        <v>178</v>
      </c>
      <c r="L48">
        <f t="shared" si="1"/>
        <v>80</v>
      </c>
      <c r="M48" s="9">
        <f t="shared" si="2"/>
        <v>98</v>
      </c>
      <c r="N48" t="str">
        <f t="shared" si="3"/>
        <v>Jan</v>
      </c>
    </row>
    <row r="49" spans="1:14" x14ac:dyDescent="0.3">
      <c r="A49" s="2" t="s">
        <v>104</v>
      </c>
      <c r="B49" s="6">
        <v>45661</v>
      </c>
      <c r="C49" s="2" t="s">
        <v>41</v>
      </c>
      <c r="D49" s="2" t="s">
        <v>83</v>
      </c>
      <c r="E49" s="2">
        <v>1</v>
      </c>
      <c r="F49" s="7">
        <v>229</v>
      </c>
      <c r="G49" s="8">
        <v>0.1</v>
      </c>
      <c r="H49" s="9" t="str">
        <f>INDEX(Products!$B$2:$B$37, MATCH(D49, Products!$A$2:$A$37, 0))</f>
        <v>Cycling Helmet</v>
      </c>
      <c r="I49" t="str">
        <f>INDEX(Products!$C$2:$C$37, MATCH(D49, Products!$A$2:$A$37, 0))</f>
        <v>Sports</v>
      </c>
      <c r="J49">
        <f>INDEX(Products!$E$2:$E$37, MATCH(D49, Products!$A$2:$A$37, 0))</f>
        <v>120</v>
      </c>
      <c r="K49" s="9">
        <f t="shared" si="0"/>
        <v>206.1</v>
      </c>
      <c r="L49">
        <f t="shared" si="1"/>
        <v>120</v>
      </c>
      <c r="M49" s="9">
        <f t="shared" si="2"/>
        <v>86.1</v>
      </c>
      <c r="N49" t="str">
        <f t="shared" si="3"/>
        <v>Jan</v>
      </c>
    </row>
    <row r="50" spans="1:14" x14ac:dyDescent="0.3">
      <c r="A50" s="2" t="s">
        <v>105</v>
      </c>
      <c r="B50" s="6">
        <v>45662</v>
      </c>
      <c r="C50" s="2" t="s">
        <v>44</v>
      </c>
      <c r="D50" s="2" t="s">
        <v>106</v>
      </c>
      <c r="E50" s="2">
        <v>2</v>
      </c>
      <c r="F50" s="7">
        <v>1299</v>
      </c>
      <c r="G50" s="8">
        <v>0</v>
      </c>
      <c r="H50" s="9" t="str">
        <f>INDEX(Products!$B$2:$B$37, MATCH(D50, Products!$A$2:$A$37, 0))</f>
        <v>Smart Watch Series 5</v>
      </c>
      <c r="I50" t="str">
        <f>INDEX(Products!$C$2:$C$37, MATCH(D50, Products!$A$2:$A$37, 0))</f>
        <v>Electronics</v>
      </c>
      <c r="J50">
        <f>INDEX(Products!$E$2:$E$37, MATCH(D50, Products!$A$2:$A$37, 0))</f>
        <v>820</v>
      </c>
      <c r="K50" s="9">
        <f t="shared" si="0"/>
        <v>2598</v>
      </c>
      <c r="L50">
        <f t="shared" si="1"/>
        <v>1640</v>
      </c>
      <c r="M50" s="9">
        <f t="shared" si="2"/>
        <v>958</v>
      </c>
      <c r="N50" t="str">
        <f t="shared" si="3"/>
        <v>Jan</v>
      </c>
    </row>
    <row r="51" spans="1:14" x14ac:dyDescent="0.3">
      <c r="A51" s="2" t="s">
        <v>107</v>
      </c>
      <c r="B51" s="6">
        <v>45662</v>
      </c>
      <c r="C51" s="2" t="s">
        <v>44</v>
      </c>
      <c r="D51" s="2" t="s">
        <v>46</v>
      </c>
      <c r="E51" s="2">
        <v>1</v>
      </c>
      <c r="F51" s="7">
        <v>189</v>
      </c>
      <c r="G51" s="8">
        <v>0.05</v>
      </c>
      <c r="H51" s="9" t="str">
        <f>INDEX(Products!$B$2:$B$37, MATCH(D51, Products!$A$2:$A$37, 0))</f>
        <v>Makeup Palette</v>
      </c>
      <c r="I51" t="str">
        <f>INDEX(Products!$C$2:$C$37, MATCH(D51, Products!$A$2:$A$37, 0))</f>
        <v>Beauty</v>
      </c>
      <c r="J51">
        <f>INDEX(Products!$E$2:$E$37, MATCH(D51, Products!$A$2:$A$37, 0))</f>
        <v>85</v>
      </c>
      <c r="K51" s="9">
        <f t="shared" si="0"/>
        <v>179.54999999999998</v>
      </c>
      <c r="L51">
        <f t="shared" si="1"/>
        <v>85</v>
      </c>
      <c r="M51" s="9">
        <f t="shared" si="2"/>
        <v>94.549999999999983</v>
      </c>
      <c r="N51" t="str">
        <f t="shared" si="3"/>
        <v>Jan</v>
      </c>
    </row>
    <row r="52" spans="1:14" x14ac:dyDescent="0.3">
      <c r="A52" s="2" t="s">
        <v>108</v>
      </c>
      <c r="B52" s="6">
        <v>45662</v>
      </c>
      <c r="C52" s="2" t="s">
        <v>31</v>
      </c>
      <c r="D52" s="2" t="s">
        <v>109</v>
      </c>
      <c r="E52" s="2">
        <v>3</v>
      </c>
      <c r="F52" s="7">
        <v>1499</v>
      </c>
      <c r="G52" s="8">
        <v>0</v>
      </c>
      <c r="H52" s="9" t="str">
        <f>INDEX(Products!$B$2:$B$37, MATCH(D52, Products!$A$2:$A$37, 0))</f>
        <v>Espresso Machine</v>
      </c>
      <c r="I52" t="str">
        <f>INDEX(Products!$C$2:$C$37, MATCH(D52, Products!$A$2:$A$37, 0))</f>
        <v>Home &amp; Kitchen</v>
      </c>
      <c r="J52">
        <f>INDEX(Products!$E$2:$E$37, MATCH(D52, Products!$A$2:$A$37, 0))</f>
        <v>1050</v>
      </c>
      <c r="K52" s="9">
        <f t="shared" si="0"/>
        <v>4497</v>
      </c>
      <c r="L52">
        <f t="shared" si="1"/>
        <v>3150</v>
      </c>
      <c r="M52" s="9">
        <f t="shared" si="2"/>
        <v>1347</v>
      </c>
      <c r="N52" t="str">
        <f t="shared" si="3"/>
        <v>Jan</v>
      </c>
    </row>
    <row r="53" spans="1:14" x14ac:dyDescent="0.3">
      <c r="A53" s="2" t="s">
        <v>110</v>
      </c>
      <c r="B53" s="6">
        <v>45662</v>
      </c>
      <c r="C53" s="2" t="s">
        <v>41</v>
      </c>
      <c r="D53" s="2" t="s">
        <v>70</v>
      </c>
      <c r="E53" s="2">
        <v>3</v>
      </c>
      <c r="F53" s="7">
        <v>429</v>
      </c>
      <c r="G53" s="8">
        <v>0</v>
      </c>
      <c r="H53" s="9" t="str">
        <f>INDEX(Products!$B$2:$B$37, MATCH(D53, Products!$A$2:$A$37, 0))</f>
        <v>Running Shoes Elite</v>
      </c>
      <c r="I53" t="str">
        <f>INDEX(Products!$C$2:$C$37, MATCH(D53, Products!$A$2:$A$37, 0))</f>
        <v>Fashion</v>
      </c>
      <c r="J53">
        <f>INDEX(Products!$E$2:$E$37, MATCH(D53, Products!$A$2:$A$37, 0))</f>
        <v>300</v>
      </c>
      <c r="K53" s="9">
        <f t="shared" si="0"/>
        <v>1287</v>
      </c>
      <c r="L53">
        <f t="shared" si="1"/>
        <v>900</v>
      </c>
      <c r="M53" s="9">
        <f t="shared" si="2"/>
        <v>387</v>
      </c>
      <c r="N53" t="str">
        <f t="shared" si="3"/>
        <v>Jan</v>
      </c>
    </row>
    <row r="54" spans="1:14" x14ac:dyDescent="0.3">
      <c r="A54" s="2" t="s">
        <v>111</v>
      </c>
      <c r="B54" s="6">
        <v>45662</v>
      </c>
      <c r="C54" s="2" t="s">
        <v>28</v>
      </c>
      <c r="D54" s="2" t="s">
        <v>109</v>
      </c>
      <c r="E54" s="2">
        <v>1</v>
      </c>
      <c r="F54" s="7">
        <v>1499</v>
      </c>
      <c r="G54" s="8">
        <v>0</v>
      </c>
      <c r="H54" s="9" t="str">
        <f>INDEX(Products!$B$2:$B$37, MATCH(D54, Products!$A$2:$A$37, 0))</f>
        <v>Espresso Machine</v>
      </c>
      <c r="I54" t="str">
        <f>INDEX(Products!$C$2:$C$37, MATCH(D54, Products!$A$2:$A$37, 0))</f>
        <v>Home &amp; Kitchen</v>
      </c>
      <c r="J54">
        <f>INDEX(Products!$E$2:$E$37, MATCH(D54, Products!$A$2:$A$37, 0))</f>
        <v>1050</v>
      </c>
      <c r="K54" s="9">
        <f t="shared" si="0"/>
        <v>1499</v>
      </c>
      <c r="L54">
        <f t="shared" si="1"/>
        <v>1050</v>
      </c>
      <c r="M54" s="9">
        <f t="shared" si="2"/>
        <v>449</v>
      </c>
      <c r="N54" t="str">
        <f t="shared" si="3"/>
        <v>Jan</v>
      </c>
    </row>
    <row r="55" spans="1:14" x14ac:dyDescent="0.3">
      <c r="A55" s="2" t="s">
        <v>112</v>
      </c>
      <c r="B55" s="6">
        <v>45662</v>
      </c>
      <c r="C55" s="2" t="s">
        <v>28</v>
      </c>
      <c r="D55" s="2" t="s">
        <v>113</v>
      </c>
      <c r="E55" s="2">
        <v>4</v>
      </c>
      <c r="F55" s="7">
        <v>1199</v>
      </c>
      <c r="G55" s="8">
        <v>0.2</v>
      </c>
      <c r="H55" s="9" t="str">
        <f>INDEX(Products!$B$2:$B$37, MATCH(D55, Products!$A$2:$A$37, 0))</f>
        <v>Robot Vacuum S3</v>
      </c>
      <c r="I55" t="str">
        <f>INDEX(Products!$C$2:$C$37, MATCH(D55, Products!$A$2:$A$37, 0))</f>
        <v>Home &amp; Kitchen</v>
      </c>
      <c r="J55">
        <f>INDEX(Products!$E$2:$E$37, MATCH(D55, Products!$A$2:$A$37, 0))</f>
        <v>1080</v>
      </c>
      <c r="K55" s="9">
        <f t="shared" si="0"/>
        <v>3836.8</v>
      </c>
      <c r="L55">
        <f t="shared" si="1"/>
        <v>4320</v>
      </c>
      <c r="M55" s="9">
        <f t="shared" si="2"/>
        <v>-483.19999999999982</v>
      </c>
      <c r="N55" t="str">
        <f t="shared" si="3"/>
        <v>Jan</v>
      </c>
    </row>
    <row r="56" spans="1:14" x14ac:dyDescent="0.3">
      <c r="A56" s="2" t="s">
        <v>114</v>
      </c>
      <c r="B56" s="6">
        <v>45663</v>
      </c>
      <c r="C56" s="2" t="s">
        <v>44</v>
      </c>
      <c r="D56" s="2" t="s">
        <v>115</v>
      </c>
      <c r="E56" s="2">
        <v>2</v>
      </c>
      <c r="F56" s="7">
        <v>129</v>
      </c>
      <c r="G56" s="8">
        <v>0.05</v>
      </c>
      <c r="H56" s="9" t="str">
        <f>INDEX(Products!$B$2:$B$37, MATCH(D56, Products!$A$2:$A$37, 0))</f>
        <v>Electric Kettle</v>
      </c>
      <c r="I56" t="str">
        <f>INDEX(Products!$C$2:$C$37, MATCH(D56, Products!$A$2:$A$37, 0))</f>
        <v>Home &amp; Kitchen</v>
      </c>
      <c r="J56">
        <f>INDEX(Products!$E$2:$E$37, MATCH(D56, Products!$A$2:$A$37, 0))</f>
        <v>60</v>
      </c>
      <c r="K56" s="9">
        <f t="shared" si="0"/>
        <v>245.1</v>
      </c>
      <c r="L56">
        <f t="shared" si="1"/>
        <v>120</v>
      </c>
      <c r="M56" s="9">
        <f t="shared" si="2"/>
        <v>125.1</v>
      </c>
      <c r="N56" t="str">
        <f t="shared" si="3"/>
        <v>Jan</v>
      </c>
    </row>
    <row r="57" spans="1:14" x14ac:dyDescent="0.3">
      <c r="A57" s="2" t="s">
        <v>116</v>
      </c>
      <c r="B57" s="6">
        <v>45663</v>
      </c>
      <c r="C57" s="2" t="s">
        <v>44</v>
      </c>
      <c r="D57" s="2" t="s">
        <v>33</v>
      </c>
      <c r="E57" s="2">
        <v>3</v>
      </c>
      <c r="F57" s="7">
        <v>199</v>
      </c>
      <c r="G57" s="8">
        <v>0.2</v>
      </c>
      <c r="H57" s="9" t="str">
        <f>INDEX(Products!$B$2:$B$37, MATCH(D57, Products!$A$2:$A$37, 0))</f>
        <v>Fitness Band Lite</v>
      </c>
      <c r="I57" t="str">
        <f>INDEX(Products!$C$2:$C$37, MATCH(D57, Products!$A$2:$A$37, 0))</f>
        <v>Electronics</v>
      </c>
      <c r="J57">
        <f>INDEX(Products!$E$2:$E$37, MATCH(D57, Products!$A$2:$A$37, 0))</f>
        <v>175</v>
      </c>
      <c r="K57" s="9">
        <f t="shared" si="0"/>
        <v>477.6</v>
      </c>
      <c r="L57">
        <f t="shared" si="1"/>
        <v>525</v>
      </c>
      <c r="M57" s="9">
        <f t="shared" si="2"/>
        <v>-47.399999999999977</v>
      </c>
      <c r="N57" t="str">
        <f t="shared" si="3"/>
        <v>Jan</v>
      </c>
    </row>
    <row r="58" spans="1:14" x14ac:dyDescent="0.3">
      <c r="A58" s="2" t="s">
        <v>117</v>
      </c>
      <c r="B58" s="6">
        <v>45663</v>
      </c>
      <c r="C58" s="2" t="s">
        <v>41</v>
      </c>
      <c r="D58" s="2" t="s">
        <v>103</v>
      </c>
      <c r="E58" s="2">
        <v>2</v>
      </c>
      <c r="F58" s="7">
        <v>89</v>
      </c>
      <c r="G58" s="8">
        <v>0.2</v>
      </c>
      <c r="H58" s="9" t="str">
        <f>INDEX(Products!$B$2:$B$37, MATCH(D58, Products!$A$2:$A$37, 0))</f>
        <v>Sunscreen SPF50</v>
      </c>
      <c r="I58" t="str">
        <f>INDEX(Products!$C$2:$C$37, MATCH(D58, Products!$A$2:$A$37, 0))</f>
        <v>Beauty</v>
      </c>
      <c r="J58">
        <f>INDEX(Products!$E$2:$E$37, MATCH(D58, Products!$A$2:$A$37, 0))</f>
        <v>40</v>
      </c>
      <c r="K58" s="9">
        <f t="shared" si="0"/>
        <v>142.4</v>
      </c>
      <c r="L58">
        <f t="shared" si="1"/>
        <v>80</v>
      </c>
      <c r="M58" s="9">
        <f t="shared" si="2"/>
        <v>62.400000000000006</v>
      </c>
      <c r="N58" t="str">
        <f t="shared" si="3"/>
        <v>Jan</v>
      </c>
    </row>
    <row r="59" spans="1:14" x14ac:dyDescent="0.3">
      <c r="A59" s="2" t="s">
        <v>118</v>
      </c>
      <c r="B59" s="6">
        <v>45663</v>
      </c>
      <c r="C59" s="2" t="s">
        <v>44</v>
      </c>
      <c r="D59" s="2" t="s">
        <v>42</v>
      </c>
      <c r="E59" s="2">
        <v>1</v>
      </c>
      <c r="F59" s="7">
        <v>399</v>
      </c>
      <c r="G59" s="8">
        <v>0</v>
      </c>
      <c r="H59" s="9" t="str">
        <f>INDEX(Products!$B$2:$B$37, MATCH(D59, Products!$A$2:$A$37, 0))</f>
        <v>Wireless Earbuds Pro</v>
      </c>
      <c r="I59" t="str">
        <f>INDEX(Products!$C$2:$C$37, MATCH(D59, Products!$A$2:$A$37, 0))</f>
        <v>Electronics</v>
      </c>
      <c r="J59">
        <f>INDEX(Products!$E$2:$E$37, MATCH(D59, Products!$A$2:$A$37, 0))</f>
        <v>230</v>
      </c>
      <c r="K59" s="9">
        <f t="shared" si="0"/>
        <v>399</v>
      </c>
      <c r="L59">
        <f t="shared" si="1"/>
        <v>230</v>
      </c>
      <c r="M59" s="9">
        <f t="shared" si="2"/>
        <v>169</v>
      </c>
      <c r="N59" t="str">
        <f t="shared" si="3"/>
        <v>Jan</v>
      </c>
    </row>
    <row r="60" spans="1:14" x14ac:dyDescent="0.3">
      <c r="A60" s="2" t="s">
        <v>119</v>
      </c>
      <c r="B60" s="6">
        <v>45663</v>
      </c>
      <c r="C60" s="2" t="s">
        <v>28</v>
      </c>
      <c r="D60" s="2" t="s">
        <v>58</v>
      </c>
      <c r="E60" s="2">
        <v>1</v>
      </c>
      <c r="F60" s="7">
        <v>459</v>
      </c>
      <c r="G60" s="8">
        <v>0.1</v>
      </c>
      <c r="H60" s="9" t="str">
        <f>INDEX(Products!$B$2:$B$37, MATCH(D60, Products!$A$2:$A$37, 0))</f>
        <v>Women's Abaya Classic</v>
      </c>
      <c r="I60" t="str">
        <f>INDEX(Products!$C$2:$C$37, MATCH(D60, Products!$A$2:$A$37, 0))</f>
        <v>Fashion</v>
      </c>
      <c r="J60">
        <f>INDEX(Products!$E$2:$E$37, MATCH(D60, Products!$A$2:$A$37, 0))</f>
        <v>190</v>
      </c>
      <c r="K60" s="9">
        <f t="shared" si="0"/>
        <v>413.1</v>
      </c>
      <c r="L60">
        <f t="shared" si="1"/>
        <v>190</v>
      </c>
      <c r="M60" s="9">
        <f t="shared" si="2"/>
        <v>223.10000000000002</v>
      </c>
      <c r="N60" t="str">
        <f t="shared" si="3"/>
        <v>Jan</v>
      </c>
    </row>
    <row r="61" spans="1:14" x14ac:dyDescent="0.3">
      <c r="A61" s="2" t="s">
        <v>120</v>
      </c>
      <c r="B61" s="6">
        <v>45663</v>
      </c>
      <c r="C61" s="2" t="s">
        <v>41</v>
      </c>
      <c r="D61" s="2" t="s">
        <v>29</v>
      </c>
      <c r="E61" s="2">
        <v>1</v>
      </c>
      <c r="F61" s="7">
        <v>229</v>
      </c>
      <c r="G61" s="8">
        <v>0.1</v>
      </c>
      <c r="H61" s="9" t="str">
        <f>INDEX(Products!$B$2:$B$37, MATCH(D61, Products!$A$2:$A$37, 0))</f>
        <v>Women's Summer Dress</v>
      </c>
      <c r="I61" t="str">
        <f>INDEX(Products!$C$2:$C$37, MATCH(D61, Products!$A$2:$A$37, 0))</f>
        <v>Fashion</v>
      </c>
      <c r="J61">
        <f>INDEX(Products!$E$2:$E$37, MATCH(D61, Products!$A$2:$A$37, 0))</f>
        <v>120</v>
      </c>
      <c r="K61" s="9">
        <f t="shared" si="0"/>
        <v>206.1</v>
      </c>
      <c r="L61">
        <f t="shared" si="1"/>
        <v>120</v>
      </c>
      <c r="M61" s="9">
        <f t="shared" si="2"/>
        <v>86.1</v>
      </c>
      <c r="N61" t="str">
        <f t="shared" si="3"/>
        <v>Jan</v>
      </c>
    </row>
    <row r="62" spans="1:14" x14ac:dyDescent="0.3">
      <c r="A62" s="2" t="s">
        <v>121</v>
      </c>
      <c r="B62" s="6">
        <v>45663</v>
      </c>
      <c r="C62" s="2" t="s">
        <v>44</v>
      </c>
      <c r="D62" s="2" t="s">
        <v>39</v>
      </c>
      <c r="E62" s="2">
        <v>1</v>
      </c>
      <c r="F62" s="7">
        <v>199</v>
      </c>
      <c r="G62" s="8">
        <v>0.1</v>
      </c>
      <c r="H62" s="9" t="str">
        <f>INDEX(Products!$B$2:$B$37, MATCH(D62, Products!$A$2:$A$37, 0))</f>
        <v>Bakhoor Gift Set</v>
      </c>
      <c r="I62" t="str">
        <f>INDEX(Products!$C$2:$C$37, MATCH(D62, Products!$A$2:$A$37, 0))</f>
        <v>Beauty</v>
      </c>
      <c r="J62">
        <f>INDEX(Products!$E$2:$E$37, MATCH(D62, Products!$A$2:$A$37, 0))</f>
        <v>90</v>
      </c>
      <c r="K62" s="9">
        <f t="shared" si="0"/>
        <v>179.1</v>
      </c>
      <c r="L62">
        <f t="shared" si="1"/>
        <v>90</v>
      </c>
      <c r="M62" s="9">
        <f t="shared" si="2"/>
        <v>89.1</v>
      </c>
      <c r="N62" t="str">
        <f t="shared" si="3"/>
        <v>Jan</v>
      </c>
    </row>
    <row r="63" spans="1:14" x14ac:dyDescent="0.3">
      <c r="A63" s="2" t="s">
        <v>122</v>
      </c>
      <c r="B63" s="6">
        <v>45663</v>
      </c>
      <c r="C63" s="2" t="s">
        <v>41</v>
      </c>
      <c r="D63" s="2" t="s">
        <v>60</v>
      </c>
      <c r="E63" s="2">
        <v>1</v>
      </c>
      <c r="F63" s="7">
        <v>99</v>
      </c>
      <c r="G63" s="8">
        <v>0.1</v>
      </c>
      <c r="H63" s="9" t="str">
        <f>INDEX(Products!$B$2:$B$37, MATCH(D63, Products!$A$2:$A$37, 0))</f>
        <v>Football Size 5</v>
      </c>
      <c r="I63" t="str">
        <f>INDEX(Products!$C$2:$C$37, MATCH(D63, Products!$A$2:$A$37, 0))</f>
        <v>Sports</v>
      </c>
      <c r="J63">
        <f>INDEX(Products!$E$2:$E$37, MATCH(D63, Products!$A$2:$A$37, 0))</f>
        <v>45</v>
      </c>
      <c r="K63" s="9">
        <f t="shared" si="0"/>
        <v>89.100000000000009</v>
      </c>
      <c r="L63">
        <f t="shared" si="1"/>
        <v>45</v>
      </c>
      <c r="M63" s="9">
        <f t="shared" si="2"/>
        <v>44.100000000000009</v>
      </c>
      <c r="N63" t="str">
        <f t="shared" si="3"/>
        <v>Jan</v>
      </c>
    </row>
    <row r="64" spans="1:14" x14ac:dyDescent="0.3">
      <c r="A64" s="2" t="s">
        <v>123</v>
      </c>
      <c r="B64" s="6">
        <v>45663</v>
      </c>
      <c r="C64" s="2" t="s">
        <v>44</v>
      </c>
      <c r="D64" s="2" t="s">
        <v>83</v>
      </c>
      <c r="E64" s="2">
        <v>1</v>
      </c>
      <c r="F64" s="7">
        <v>229</v>
      </c>
      <c r="G64" s="8">
        <v>0.1</v>
      </c>
      <c r="H64" s="9" t="str">
        <f>INDEX(Products!$B$2:$B$37, MATCH(D64, Products!$A$2:$A$37, 0))</f>
        <v>Cycling Helmet</v>
      </c>
      <c r="I64" t="str">
        <f>INDEX(Products!$C$2:$C$37, MATCH(D64, Products!$A$2:$A$37, 0))</f>
        <v>Sports</v>
      </c>
      <c r="J64">
        <f>INDEX(Products!$E$2:$E$37, MATCH(D64, Products!$A$2:$A$37, 0))</f>
        <v>120</v>
      </c>
      <c r="K64" s="9">
        <f t="shared" si="0"/>
        <v>206.1</v>
      </c>
      <c r="L64">
        <f t="shared" si="1"/>
        <v>120</v>
      </c>
      <c r="M64" s="9">
        <f t="shared" si="2"/>
        <v>86.1</v>
      </c>
      <c r="N64" t="str">
        <f t="shared" si="3"/>
        <v>Jan</v>
      </c>
    </row>
    <row r="65" spans="1:14" x14ac:dyDescent="0.3">
      <c r="A65" s="2" t="s">
        <v>124</v>
      </c>
      <c r="B65" s="6">
        <v>45663</v>
      </c>
      <c r="C65" s="2" t="s">
        <v>48</v>
      </c>
      <c r="D65" s="2" t="s">
        <v>37</v>
      </c>
      <c r="E65" s="2">
        <v>1</v>
      </c>
      <c r="F65" s="7">
        <v>249</v>
      </c>
      <c r="G65" s="8">
        <v>0.1</v>
      </c>
      <c r="H65" s="9" t="str">
        <f>INDEX(Products!$B$2:$B$37, MATCH(D65, Products!$A$2:$A$37, 0))</f>
        <v>Sunglasses Polarised</v>
      </c>
      <c r="I65" t="str">
        <f>INDEX(Products!$C$2:$C$37, MATCH(D65, Products!$A$2:$A$37, 0))</f>
        <v>Fashion</v>
      </c>
      <c r="J65">
        <f>INDEX(Products!$E$2:$E$37, MATCH(D65, Products!$A$2:$A$37, 0))</f>
        <v>95</v>
      </c>
      <c r="K65" s="9">
        <f t="shared" si="0"/>
        <v>224.1</v>
      </c>
      <c r="L65">
        <f t="shared" si="1"/>
        <v>95</v>
      </c>
      <c r="M65" s="9">
        <f t="shared" si="2"/>
        <v>129.1</v>
      </c>
      <c r="N65" t="str">
        <f t="shared" si="3"/>
        <v>Jan</v>
      </c>
    </row>
    <row r="66" spans="1:14" x14ac:dyDescent="0.3">
      <c r="A66" s="2" t="s">
        <v>125</v>
      </c>
      <c r="B66" s="6">
        <v>45663</v>
      </c>
      <c r="C66" s="2" t="s">
        <v>31</v>
      </c>
      <c r="D66" s="2" t="s">
        <v>126</v>
      </c>
      <c r="E66" s="2">
        <v>4</v>
      </c>
      <c r="F66" s="7">
        <v>89</v>
      </c>
      <c r="G66" s="8">
        <v>0</v>
      </c>
      <c r="H66" s="9" t="str">
        <f>INDEX(Products!$B$2:$B$37, MATCH(D66, Products!$A$2:$A$37, 0))</f>
        <v>USB-C Fast Charger</v>
      </c>
      <c r="I66" t="str">
        <f>INDEX(Products!$C$2:$C$37, MATCH(D66, Products!$A$2:$A$37, 0))</f>
        <v>Electronics</v>
      </c>
      <c r="J66">
        <f>INDEX(Products!$E$2:$E$37, MATCH(D66, Products!$A$2:$A$37, 0))</f>
        <v>35</v>
      </c>
      <c r="K66" s="9">
        <f t="shared" ref="K66:K129" si="4">E66*F66*(1-G66)</f>
        <v>356</v>
      </c>
      <c r="L66">
        <f t="shared" ref="L66:L129" si="5">E66*J66</f>
        <v>140</v>
      </c>
      <c r="M66" s="9">
        <f t="shared" ref="M66:M129" si="6">K66-L66</f>
        <v>216</v>
      </c>
      <c r="N66" t="str">
        <f t="shared" ref="N66:N129" si="7">TEXT(B66,"mmm")</f>
        <v>Jan</v>
      </c>
    </row>
    <row r="67" spans="1:14" x14ac:dyDescent="0.3">
      <c r="A67" s="2" t="s">
        <v>127</v>
      </c>
      <c r="B67" s="6">
        <v>45663</v>
      </c>
      <c r="C67" s="2" t="s">
        <v>44</v>
      </c>
      <c r="D67" s="2" t="s">
        <v>80</v>
      </c>
      <c r="E67" s="2">
        <v>2</v>
      </c>
      <c r="F67" s="7">
        <v>149</v>
      </c>
      <c r="G67" s="8">
        <v>0.2</v>
      </c>
      <c r="H67" s="9" t="str">
        <f>INDEX(Products!$B$2:$B$37, MATCH(D67, Products!$A$2:$A$37, 0))</f>
        <v>Vitamin C Serum</v>
      </c>
      <c r="I67" t="str">
        <f>INDEX(Products!$C$2:$C$37, MATCH(D67, Products!$A$2:$A$37, 0))</f>
        <v>Beauty</v>
      </c>
      <c r="J67">
        <f>INDEX(Products!$E$2:$E$37, MATCH(D67, Products!$A$2:$A$37, 0))</f>
        <v>55</v>
      </c>
      <c r="K67" s="9">
        <f t="shared" si="4"/>
        <v>238.4</v>
      </c>
      <c r="L67">
        <f t="shared" si="5"/>
        <v>110</v>
      </c>
      <c r="M67" s="9">
        <f t="shared" si="6"/>
        <v>128.4</v>
      </c>
      <c r="N67" t="str">
        <f t="shared" si="7"/>
        <v>Jan</v>
      </c>
    </row>
    <row r="68" spans="1:14" x14ac:dyDescent="0.3">
      <c r="A68" s="2" t="s">
        <v>128</v>
      </c>
      <c r="B68" s="6">
        <v>45663</v>
      </c>
      <c r="C68" s="2" t="s">
        <v>48</v>
      </c>
      <c r="D68" s="2" t="s">
        <v>129</v>
      </c>
      <c r="E68" s="2">
        <v>1</v>
      </c>
      <c r="F68" s="7">
        <v>149</v>
      </c>
      <c r="G68" s="8">
        <v>0</v>
      </c>
      <c r="H68" s="9" t="str">
        <f>INDEX(Products!$B$2:$B$37, MATCH(D68, Products!$A$2:$A$37, 0))</f>
        <v>Power Bank 20000mAh</v>
      </c>
      <c r="I68" t="str">
        <f>INDEX(Products!$C$2:$C$37, MATCH(D68, Products!$A$2:$A$37, 0))</f>
        <v>Electronics</v>
      </c>
      <c r="J68">
        <f>INDEX(Products!$E$2:$E$37, MATCH(D68, Products!$A$2:$A$37, 0))</f>
        <v>70</v>
      </c>
      <c r="K68" s="9">
        <f t="shared" si="4"/>
        <v>149</v>
      </c>
      <c r="L68">
        <f t="shared" si="5"/>
        <v>70</v>
      </c>
      <c r="M68" s="9">
        <f t="shared" si="6"/>
        <v>79</v>
      </c>
      <c r="N68" t="str">
        <f t="shared" si="7"/>
        <v>Jan</v>
      </c>
    </row>
    <row r="69" spans="1:14" x14ac:dyDescent="0.3">
      <c r="A69" s="2" t="s">
        <v>130</v>
      </c>
      <c r="B69" s="6">
        <v>45663</v>
      </c>
      <c r="C69" s="2" t="s">
        <v>28</v>
      </c>
      <c r="D69" s="2" t="s">
        <v>131</v>
      </c>
      <c r="E69" s="2">
        <v>2</v>
      </c>
      <c r="F69" s="7">
        <v>899</v>
      </c>
      <c r="G69" s="8">
        <v>0.1</v>
      </c>
      <c r="H69" s="9" t="str">
        <f>INDEX(Products!$B$2:$B$37, MATCH(D69, Products!$A$2:$A$37, 0))</f>
        <v>4K Action Camera</v>
      </c>
      <c r="I69" t="str">
        <f>INDEX(Products!$C$2:$C$37, MATCH(D69, Products!$A$2:$A$37, 0))</f>
        <v>Electronics</v>
      </c>
      <c r="J69">
        <f>INDEX(Products!$E$2:$E$37, MATCH(D69, Products!$A$2:$A$37, 0))</f>
        <v>610</v>
      </c>
      <c r="K69" s="9">
        <f t="shared" si="4"/>
        <v>1618.2</v>
      </c>
      <c r="L69">
        <f t="shared" si="5"/>
        <v>1220</v>
      </c>
      <c r="M69" s="9">
        <f t="shared" si="6"/>
        <v>398.20000000000005</v>
      </c>
      <c r="N69" t="str">
        <f t="shared" si="7"/>
        <v>Jan</v>
      </c>
    </row>
    <row r="70" spans="1:14" x14ac:dyDescent="0.3">
      <c r="A70" s="2" t="s">
        <v>132</v>
      </c>
      <c r="B70" s="6">
        <v>45663</v>
      </c>
      <c r="C70" s="2" t="s">
        <v>48</v>
      </c>
      <c r="D70" s="2" t="s">
        <v>46</v>
      </c>
      <c r="E70" s="2">
        <v>1</v>
      </c>
      <c r="F70" s="7">
        <v>189</v>
      </c>
      <c r="G70" s="8">
        <v>0.1</v>
      </c>
      <c r="H70" s="9" t="str">
        <f>INDEX(Products!$B$2:$B$37, MATCH(D70, Products!$A$2:$A$37, 0))</f>
        <v>Makeup Palette</v>
      </c>
      <c r="I70" t="str">
        <f>INDEX(Products!$C$2:$C$37, MATCH(D70, Products!$A$2:$A$37, 0))</f>
        <v>Beauty</v>
      </c>
      <c r="J70">
        <f>INDEX(Products!$E$2:$E$37, MATCH(D70, Products!$A$2:$A$37, 0))</f>
        <v>85</v>
      </c>
      <c r="K70" s="9">
        <f t="shared" si="4"/>
        <v>170.1</v>
      </c>
      <c r="L70">
        <f t="shared" si="5"/>
        <v>85</v>
      </c>
      <c r="M70" s="9">
        <f t="shared" si="6"/>
        <v>85.1</v>
      </c>
      <c r="N70" t="str">
        <f t="shared" si="7"/>
        <v>Jan</v>
      </c>
    </row>
    <row r="71" spans="1:14" x14ac:dyDescent="0.3">
      <c r="A71" s="2" t="s">
        <v>133</v>
      </c>
      <c r="B71" s="6">
        <v>45663</v>
      </c>
      <c r="C71" s="2" t="s">
        <v>41</v>
      </c>
      <c r="D71" s="2" t="s">
        <v>126</v>
      </c>
      <c r="E71" s="2">
        <v>2</v>
      </c>
      <c r="F71" s="7">
        <v>89</v>
      </c>
      <c r="G71" s="8">
        <v>0</v>
      </c>
      <c r="H71" s="9" t="str">
        <f>INDEX(Products!$B$2:$B$37, MATCH(D71, Products!$A$2:$A$37, 0))</f>
        <v>USB-C Fast Charger</v>
      </c>
      <c r="I71" t="str">
        <f>INDEX(Products!$C$2:$C$37, MATCH(D71, Products!$A$2:$A$37, 0))</f>
        <v>Electronics</v>
      </c>
      <c r="J71">
        <f>INDEX(Products!$E$2:$E$37, MATCH(D71, Products!$A$2:$A$37, 0))</f>
        <v>35</v>
      </c>
      <c r="K71" s="9">
        <f t="shared" si="4"/>
        <v>178</v>
      </c>
      <c r="L71">
        <f t="shared" si="5"/>
        <v>70</v>
      </c>
      <c r="M71" s="9">
        <f t="shared" si="6"/>
        <v>108</v>
      </c>
      <c r="N71" t="str">
        <f t="shared" si="7"/>
        <v>Jan</v>
      </c>
    </row>
    <row r="72" spans="1:14" x14ac:dyDescent="0.3">
      <c r="A72" s="2" t="s">
        <v>134</v>
      </c>
      <c r="B72" s="6">
        <v>45664</v>
      </c>
      <c r="C72" s="2" t="s">
        <v>44</v>
      </c>
      <c r="D72" s="2" t="s">
        <v>39</v>
      </c>
      <c r="E72" s="2">
        <v>2</v>
      </c>
      <c r="F72" s="7">
        <v>199</v>
      </c>
      <c r="G72" s="8">
        <v>0</v>
      </c>
      <c r="H72" s="9" t="str">
        <f>INDEX(Products!$B$2:$B$37, MATCH(D72, Products!$A$2:$A$37, 0))</f>
        <v>Bakhoor Gift Set</v>
      </c>
      <c r="I72" t="str">
        <f>INDEX(Products!$C$2:$C$37, MATCH(D72, Products!$A$2:$A$37, 0))</f>
        <v>Beauty</v>
      </c>
      <c r="J72">
        <f>INDEX(Products!$E$2:$E$37, MATCH(D72, Products!$A$2:$A$37, 0))</f>
        <v>90</v>
      </c>
      <c r="K72" s="9">
        <f t="shared" si="4"/>
        <v>398</v>
      </c>
      <c r="L72">
        <f t="shared" si="5"/>
        <v>180</v>
      </c>
      <c r="M72" s="9">
        <f t="shared" si="6"/>
        <v>218</v>
      </c>
      <c r="N72" t="str">
        <f t="shared" si="7"/>
        <v>Jan</v>
      </c>
    </row>
    <row r="73" spans="1:14" x14ac:dyDescent="0.3">
      <c r="A73" s="2" t="s">
        <v>135</v>
      </c>
      <c r="B73" s="6">
        <v>45664</v>
      </c>
      <c r="C73" s="2" t="s">
        <v>41</v>
      </c>
      <c r="D73" s="2" t="s">
        <v>60</v>
      </c>
      <c r="E73" s="2">
        <v>1</v>
      </c>
      <c r="F73" s="7">
        <v>99</v>
      </c>
      <c r="G73" s="8">
        <v>0</v>
      </c>
      <c r="H73" s="9" t="str">
        <f>INDEX(Products!$B$2:$B$37, MATCH(D73, Products!$A$2:$A$37, 0))</f>
        <v>Football Size 5</v>
      </c>
      <c r="I73" t="str">
        <f>INDEX(Products!$C$2:$C$37, MATCH(D73, Products!$A$2:$A$37, 0))</f>
        <v>Sports</v>
      </c>
      <c r="J73">
        <f>INDEX(Products!$E$2:$E$37, MATCH(D73, Products!$A$2:$A$37, 0))</f>
        <v>45</v>
      </c>
      <c r="K73" s="9">
        <f t="shared" si="4"/>
        <v>99</v>
      </c>
      <c r="L73">
        <f t="shared" si="5"/>
        <v>45</v>
      </c>
      <c r="M73" s="9">
        <f t="shared" si="6"/>
        <v>54</v>
      </c>
      <c r="N73" t="str">
        <f t="shared" si="7"/>
        <v>Jan</v>
      </c>
    </row>
    <row r="74" spans="1:14" x14ac:dyDescent="0.3">
      <c r="A74" s="2" t="s">
        <v>136</v>
      </c>
      <c r="B74" s="6">
        <v>45664</v>
      </c>
      <c r="C74" s="2" t="s">
        <v>44</v>
      </c>
      <c r="D74" s="2" t="s">
        <v>52</v>
      </c>
      <c r="E74" s="2">
        <v>1</v>
      </c>
      <c r="F74" s="7">
        <v>299</v>
      </c>
      <c r="G74" s="8">
        <v>0.15</v>
      </c>
      <c r="H74" s="9" t="str">
        <f>INDEX(Products!$B$2:$B$37, MATCH(D74, Products!$A$2:$A$37, 0))</f>
        <v>Hair Dryer Ionic</v>
      </c>
      <c r="I74" t="str">
        <f>INDEX(Products!$C$2:$C$37, MATCH(D74, Products!$A$2:$A$37, 0))</f>
        <v>Beauty</v>
      </c>
      <c r="J74">
        <f>INDEX(Products!$E$2:$E$37, MATCH(D74, Products!$A$2:$A$37, 0))</f>
        <v>240</v>
      </c>
      <c r="K74" s="9">
        <f t="shared" si="4"/>
        <v>254.15</v>
      </c>
      <c r="L74">
        <f t="shared" si="5"/>
        <v>240</v>
      </c>
      <c r="M74" s="9">
        <f t="shared" si="6"/>
        <v>14.150000000000006</v>
      </c>
      <c r="N74" t="str">
        <f t="shared" si="7"/>
        <v>Jan</v>
      </c>
    </row>
    <row r="75" spans="1:14" x14ac:dyDescent="0.3">
      <c r="A75" s="2" t="s">
        <v>137</v>
      </c>
      <c r="B75" s="6">
        <v>45664</v>
      </c>
      <c r="C75" s="2" t="s">
        <v>31</v>
      </c>
      <c r="D75" s="2" t="s">
        <v>129</v>
      </c>
      <c r="E75" s="2">
        <v>1</v>
      </c>
      <c r="F75" s="7">
        <v>149</v>
      </c>
      <c r="G75" s="8">
        <v>0</v>
      </c>
      <c r="H75" s="9" t="str">
        <f>INDEX(Products!$B$2:$B$37, MATCH(D75, Products!$A$2:$A$37, 0))</f>
        <v>Power Bank 20000mAh</v>
      </c>
      <c r="I75" t="str">
        <f>INDEX(Products!$C$2:$C$37, MATCH(D75, Products!$A$2:$A$37, 0))</f>
        <v>Electronics</v>
      </c>
      <c r="J75">
        <f>INDEX(Products!$E$2:$E$37, MATCH(D75, Products!$A$2:$A$37, 0))</f>
        <v>70</v>
      </c>
      <c r="K75" s="9">
        <f t="shared" si="4"/>
        <v>149</v>
      </c>
      <c r="L75">
        <f t="shared" si="5"/>
        <v>70</v>
      </c>
      <c r="M75" s="9">
        <f t="shared" si="6"/>
        <v>79</v>
      </c>
      <c r="N75" t="str">
        <f t="shared" si="7"/>
        <v>Jan</v>
      </c>
    </row>
    <row r="76" spans="1:14" x14ac:dyDescent="0.3">
      <c r="A76" s="2" t="s">
        <v>138</v>
      </c>
      <c r="B76" s="6">
        <v>45664</v>
      </c>
      <c r="C76" s="2" t="s">
        <v>31</v>
      </c>
      <c r="D76" s="2" t="s">
        <v>131</v>
      </c>
      <c r="E76" s="2">
        <v>3</v>
      </c>
      <c r="F76" s="7">
        <v>899</v>
      </c>
      <c r="G76" s="8">
        <v>0.05</v>
      </c>
      <c r="H76" s="9" t="str">
        <f>INDEX(Products!$B$2:$B$37, MATCH(D76, Products!$A$2:$A$37, 0))</f>
        <v>4K Action Camera</v>
      </c>
      <c r="I76" t="str">
        <f>INDEX(Products!$C$2:$C$37, MATCH(D76, Products!$A$2:$A$37, 0))</f>
        <v>Electronics</v>
      </c>
      <c r="J76">
        <f>INDEX(Products!$E$2:$E$37, MATCH(D76, Products!$A$2:$A$37, 0))</f>
        <v>610</v>
      </c>
      <c r="K76" s="9">
        <f t="shared" si="4"/>
        <v>2562.15</v>
      </c>
      <c r="L76">
        <f t="shared" si="5"/>
        <v>1830</v>
      </c>
      <c r="M76" s="9">
        <f t="shared" si="6"/>
        <v>732.15000000000009</v>
      </c>
      <c r="N76" t="str">
        <f t="shared" si="7"/>
        <v>Jan</v>
      </c>
    </row>
    <row r="77" spans="1:14" x14ac:dyDescent="0.3">
      <c r="A77" s="2" t="s">
        <v>139</v>
      </c>
      <c r="B77" s="6">
        <v>45665</v>
      </c>
      <c r="C77" s="2" t="s">
        <v>28</v>
      </c>
      <c r="D77" s="2" t="s">
        <v>37</v>
      </c>
      <c r="E77" s="2">
        <v>3</v>
      </c>
      <c r="F77" s="7">
        <v>249</v>
      </c>
      <c r="G77" s="8">
        <v>0.15</v>
      </c>
      <c r="H77" s="9" t="str">
        <f>INDEX(Products!$B$2:$B$37, MATCH(D77, Products!$A$2:$A$37, 0))</f>
        <v>Sunglasses Polarised</v>
      </c>
      <c r="I77" t="str">
        <f>INDEX(Products!$C$2:$C$37, MATCH(D77, Products!$A$2:$A$37, 0))</f>
        <v>Fashion</v>
      </c>
      <c r="J77">
        <f>INDEX(Products!$E$2:$E$37, MATCH(D77, Products!$A$2:$A$37, 0))</f>
        <v>95</v>
      </c>
      <c r="K77" s="9">
        <f t="shared" si="4"/>
        <v>634.94999999999993</v>
      </c>
      <c r="L77">
        <f t="shared" si="5"/>
        <v>285</v>
      </c>
      <c r="M77" s="9">
        <f t="shared" si="6"/>
        <v>349.94999999999993</v>
      </c>
      <c r="N77" t="str">
        <f t="shared" si="7"/>
        <v>Jan</v>
      </c>
    </row>
    <row r="78" spans="1:14" x14ac:dyDescent="0.3">
      <c r="A78" s="2" t="s">
        <v>140</v>
      </c>
      <c r="B78" s="6">
        <v>45665</v>
      </c>
      <c r="C78" s="2" t="s">
        <v>28</v>
      </c>
      <c r="D78" s="2" t="s">
        <v>89</v>
      </c>
      <c r="E78" s="2">
        <v>1</v>
      </c>
      <c r="F78" s="7">
        <v>399</v>
      </c>
      <c r="G78" s="8">
        <v>0.05</v>
      </c>
      <c r="H78" s="9" t="str">
        <f>INDEX(Products!$B$2:$B$37, MATCH(D78, Products!$A$2:$A$37, 0))</f>
        <v>Men's Kandura Premium</v>
      </c>
      <c r="I78" t="str">
        <f>INDEX(Products!$C$2:$C$37, MATCH(D78, Products!$A$2:$A$37, 0))</f>
        <v>Fashion</v>
      </c>
      <c r="J78">
        <f>INDEX(Products!$E$2:$E$37, MATCH(D78, Products!$A$2:$A$37, 0))</f>
        <v>210</v>
      </c>
      <c r="K78" s="9">
        <f t="shared" si="4"/>
        <v>379.04999999999995</v>
      </c>
      <c r="L78">
        <f t="shared" si="5"/>
        <v>210</v>
      </c>
      <c r="M78" s="9">
        <f t="shared" si="6"/>
        <v>169.04999999999995</v>
      </c>
      <c r="N78" t="str">
        <f t="shared" si="7"/>
        <v>Jan</v>
      </c>
    </row>
    <row r="79" spans="1:14" x14ac:dyDescent="0.3">
      <c r="A79" s="2" t="s">
        <v>141</v>
      </c>
      <c r="B79" s="6">
        <v>45665</v>
      </c>
      <c r="C79" s="2" t="s">
        <v>44</v>
      </c>
      <c r="D79" s="2" t="s">
        <v>37</v>
      </c>
      <c r="E79" s="2">
        <v>2</v>
      </c>
      <c r="F79" s="7">
        <v>249</v>
      </c>
      <c r="G79" s="8">
        <v>0.2</v>
      </c>
      <c r="H79" s="9" t="str">
        <f>INDEX(Products!$B$2:$B$37, MATCH(D79, Products!$A$2:$A$37, 0))</f>
        <v>Sunglasses Polarised</v>
      </c>
      <c r="I79" t="str">
        <f>INDEX(Products!$C$2:$C$37, MATCH(D79, Products!$A$2:$A$37, 0))</f>
        <v>Fashion</v>
      </c>
      <c r="J79">
        <f>INDEX(Products!$E$2:$E$37, MATCH(D79, Products!$A$2:$A$37, 0))</f>
        <v>95</v>
      </c>
      <c r="K79" s="9">
        <f t="shared" si="4"/>
        <v>398.40000000000003</v>
      </c>
      <c r="L79">
        <f t="shared" si="5"/>
        <v>190</v>
      </c>
      <c r="M79" s="9">
        <f t="shared" si="6"/>
        <v>208.40000000000003</v>
      </c>
      <c r="N79" t="str">
        <f t="shared" si="7"/>
        <v>Jan</v>
      </c>
    </row>
    <row r="80" spans="1:14" x14ac:dyDescent="0.3">
      <c r="A80" s="2" t="s">
        <v>142</v>
      </c>
      <c r="B80" s="6">
        <v>45665</v>
      </c>
      <c r="C80" s="2" t="s">
        <v>41</v>
      </c>
      <c r="D80" s="2" t="s">
        <v>56</v>
      </c>
      <c r="E80" s="2">
        <v>1</v>
      </c>
      <c r="F80" s="7">
        <v>289</v>
      </c>
      <c r="G80" s="8">
        <v>0</v>
      </c>
      <c r="H80" s="9" t="str">
        <f>INDEX(Products!$B$2:$B$37, MATCH(D80, Products!$A$2:$A$37, 0))</f>
        <v>Ceramic Dinner Set</v>
      </c>
      <c r="I80" t="str">
        <f>INDEX(Products!$C$2:$C$37, MATCH(D80, Products!$A$2:$A$37, 0))</f>
        <v>Home &amp; Kitchen</v>
      </c>
      <c r="J80">
        <f>INDEX(Products!$E$2:$E$37, MATCH(D80, Products!$A$2:$A$37, 0))</f>
        <v>140</v>
      </c>
      <c r="K80" s="9">
        <f t="shared" si="4"/>
        <v>289</v>
      </c>
      <c r="L80">
        <f t="shared" si="5"/>
        <v>140</v>
      </c>
      <c r="M80" s="9">
        <f t="shared" si="6"/>
        <v>149</v>
      </c>
      <c r="N80" t="str">
        <f t="shared" si="7"/>
        <v>Jan</v>
      </c>
    </row>
    <row r="81" spans="1:14" x14ac:dyDescent="0.3">
      <c r="A81" s="2" t="s">
        <v>143</v>
      </c>
      <c r="B81" s="6">
        <v>45665</v>
      </c>
      <c r="C81" s="2" t="s">
        <v>48</v>
      </c>
      <c r="D81" s="2" t="s">
        <v>75</v>
      </c>
      <c r="E81" s="2">
        <v>1</v>
      </c>
      <c r="F81" s="7">
        <v>549</v>
      </c>
      <c r="G81" s="8">
        <v>0</v>
      </c>
      <c r="H81" s="9" t="str">
        <f>INDEX(Products!$B$2:$B$37, MATCH(D81, Products!$A$2:$A$37, 0))</f>
        <v>Oud Perfume 100ml</v>
      </c>
      <c r="I81" t="str">
        <f>INDEX(Products!$C$2:$C$37, MATCH(D81, Products!$A$2:$A$37, 0))</f>
        <v>Beauty</v>
      </c>
      <c r="J81">
        <f>INDEX(Products!$E$2:$E$37, MATCH(D81, Products!$A$2:$A$37, 0))</f>
        <v>250</v>
      </c>
      <c r="K81" s="9">
        <f t="shared" si="4"/>
        <v>549</v>
      </c>
      <c r="L81">
        <f t="shared" si="5"/>
        <v>250</v>
      </c>
      <c r="M81" s="9">
        <f t="shared" si="6"/>
        <v>299</v>
      </c>
      <c r="N81" t="str">
        <f t="shared" si="7"/>
        <v>Jan</v>
      </c>
    </row>
    <row r="82" spans="1:14" x14ac:dyDescent="0.3">
      <c r="A82" s="2" t="s">
        <v>144</v>
      </c>
      <c r="B82" s="6">
        <v>45665</v>
      </c>
      <c r="C82" s="2" t="s">
        <v>44</v>
      </c>
      <c r="D82" s="2" t="s">
        <v>99</v>
      </c>
      <c r="E82" s="2">
        <v>3</v>
      </c>
      <c r="F82" s="7">
        <v>459</v>
      </c>
      <c r="G82" s="8">
        <v>0.2</v>
      </c>
      <c r="H82" s="9" t="str">
        <f>INDEX(Products!$B$2:$B$37, MATCH(D82, Products!$A$2:$A$37, 0))</f>
        <v>Gaming Headset X</v>
      </c>
      <c r="I82" t="str">
        <f>INDEX(Products!$C$2:$C$37, MATCH(D82, Products!$A$2:$A$37, 0))</f>
        <v>Electronics</v>
      </c>
      <c r="J82">
        <f>INDEX(Products!$E$2:$E$37, MATCH(D82, Products!$A$2:$A$37, 0))</f>
        <v>300</v>
      </c>
      <c r="K82" s="9">
        <f t="shared" si="4"/>
        <v>1101.6000000000001</v>
      </c>
      <c r="L82">
        <f t="shared" si="5"/>
        <v>900</v>
      </c>
      <c r="M82" s="9">
        <f t="shared" si="6"/>
        <v>201.60000000000014</v>
      </c>
      <c r="N82" t="str">
        <f t="shared" si="7"/>
        <v>Jan</v>
      </c>
    </row>
    <row r="83" spans="1:14" x14ac:dyDescent="0.3">
      <c r="A83" s="2" t="s">
        <v>145</v>
      </c>
      <c r="B83" s="6">
        <v>45665</v>
      </c>
      <c r="C83" s="2" t="s">
        <v>48</v>
      </c>
      <c r="D83" s="2" t="s">
        <v>70</v>
      </c>
      <c r="E83" s="2">
        <v>2</v>
      </c>
      <c r="F83" s="7">
        <v>429</v>
      </c>
      <c r="G83" s="8">
        <v>0</v>
      </c>
      <c r="H83" s="9" t="str">
        <f>INDEX(Products!$B$2:$B$37, MATCH(D83, Products!$A$2:$A$37, 0))</f>
        <v>Running Shoes Elite</v>
      </c>
      <c r="I83" t="str">
        <f>INDEX(Products!$C$2:$C$37, MATCH(D83, Products!$A$2:$A$37, 0))</f>
        <v>Fashion</v>
      </c>
      <c r="J83">
        <f>INDEX(Products!$E$2:$E$37, MATCH(D83, Products!$A$2:$A$37, 0))</f>
        <v>300</v>
      </c>
      <c r="K83" s="9">
        <f t="shared" si="4"/>
        <v>858</v>
      </c>
      <c r="L83">
        <f t="shared" si="5"/>
        <v>600</v>
      </c>
      <c r="M83" s="9">
        <f t="shared" si="6"/>
        <v>258</v>
      </c>
      <c r="N83" t="str">
        <f t="shared" si="7"/>
        <v>Jan</v>
      </c>
    </row>
    <row r="84" spans="1:14" x14ac:dyDescent="0.3">
      <c r="A84" s="2" t="s">
        <v>146</v>
      </c>
      <c r="B84" s="6">
        <v>45665</v>
      </c>
      <c r="C84" s="2" t="s">
        <v>28</v>
      </c>
      <c r="D84" s="2" t="s">
        <v>29</v>
      </c>
      <c r="E84" s="2">
        <v>1</v>
      </c>
      <c r="F84" s="7">
        <v>229</v>
      </c>
      <c r="G84" s="8">
        <v>0.05</v>
      </c>
      <c r="H84" s="9" t="str">
        <f>INDEX(Products!$B$2:$B$37, MATCH(D84, Products!$A$2:$A$37, 0))</f>
        <v>Women's Summer Dress</v>
      </c>
      <c r="I84" t="str">
        <f>INDEX(Products!$C$2:$C$37, MATCH(D84, Products!$A$2:$A$37, 0))</f>
        <v>Fashion</v>
      </c>
      <c r="J84">
        <f>INDEX(Products!$E$2:$E$37, MATCH(D84, Products!$A$2:$A$37, 0))</f>
        <v>120</v>
      </c>
      <c r="K84" s="9">
        <f t="shared" si="4"/>
        <v>217.54999999999998</v>
      </c>
      <c r="L84">
        <f t="shared" si="5"/>
        <v>120</v>
      </c>
      <c r="M84" s="9">
        <f t="shared" si="6"/>
        <v>97.549999999999983</v>
      </c>
      <c r="N84" t="str">
        <f t="shared" si="7"/>
        <v>Jan</v>
      </c>
    </row>
    <row r="85" spans="1:14" x14ac:dyDescent="0.3">
      <c r="A85" s="2" t="s">
        <v>147</v>
      </c>
      <c r="B85" s="6">
        <v>45665</v>
      </c>
      <c r="C85" s="2" t="s">
        <v>48</v>
      </c>
      <c r="D85" s="2" t="s">
        <v>56</v>
      </c>
      <c r="E85" s="2">
        <v>1</v>
      </c>
      <c r="F85" s="7">
        <v>289</v>
      </c>
      <c r="G85" s="8">
        <v>0</v>
      </c>
      <c r="H85" s="9" t="str">
        <f>INDEX(Products!$B$2:$B$37, MATCH(D85, Products!$A$2:$A$37, 0))</f>
        <v>Ceramic Dinner Set</v>
      </c>
      <c r="I85" t="str">
        <f>INDEX(Products!$C$2:$C$37, MATCH(D85, Products!$A$2:$A$37, 0))</f>
        <v>Home &amp; Kitchen</v>
      </c>
      <c r="J85">
        <f>INDEX(Products!$E$2:$E$37, MATCH(D85, Products!$A$2:$A$37, 0))</f>
        <v>140</v>
      </c>
      <c r="K85" s="9">
        <f t="shared" si="4"/>
        <v>289</v>
      </c>
      <c r="L85">
        <f t="shared" si="5"/>
        <v>140</v>
      </c>
      <c r="M85" s="9">
        <f t="shared" si="6"/>
        <v>149</v>
      </c>
      <c r="N85" t="str">
        <f t="shared" si="7"/>
        <v>Jan</v>
      </c>
    </row>
    <row r="86" spans="1:14" x14ac:dyDescent="0.3">
      <c r="A86" s="2" t="s">
        <v>148</v>
      </c>
      <c r="B86" s="6">
        <v>45666</v>
      </c>
      <c r="C86" s="2" t="s">
        <v>31</v>
      </c>
      <c r="D86" s="2" t="s">
        <v>149</v>
      </c>
      <c r="E86" s="2">
        <v>2</v>
      </c>
      <c r="F86" s="7">
        <v>399</v>
      </c>
      <c r="G86" s="8">
        <v>0</v>
      </c>
      <c r="H86" s="9" t="str">
        <f>INDEX(Products!$B$2:$B$37, MATCH(D86, Products!$A$2:$A$37, 0))</f>
        <v>Blender Pro 1200W</v>
      </c>
      <c r="I86" t="str">
        <f>INDEX(Products!$C$2:$C$37, MATCH(D86, Products!$A$2:$A$37, 0))</f>
        <v>Home &amp; Kitchen</v>
      </c>
      <c r="J86">
        <f>INDEX(Products!$E$2:$E$37, MATCH(D86, Products!$A$2:$A$37, 0))</f>
        <v>250</v>
      </c>
      <c r="K86" s="9">
        <f t="shared" si="4"/>
        <v>798</v>
      </c>
      <c r="L86">
        <f t="shared" si="5"/>
        <v>500</v>
      </c>
      <c r="M86" s="9">
        <f t="shared" si="6"/>
        <v>298</v>
      </c>
      <c r="N86" t="str">
        <f t="shared" si="7"/>
        <v>Jan</v>
      </c>
    </row>
    <row r="87" spans="1:14" x14ac:dyDescent="0.3">
      <c r="A87" s="2" t="s">
        <v>150</v>
      </c>
      <c r="B87" s="6">
        <v>45666</v>
      </c>
      <c r="C87" s="2" t="s">
        <v>31</v>
      </c>
      <c r="D87" s="2" t="s">
        <v>46</v>
      </c>
      <c r="E87" s="2">
        <v>1</v>
      </c>
      <c r="F87" s="7">
        <v>189</v>
      </c>
      <c r="G87" s="8">
        <v>0</v>
      </c>
      <c r="H87" s="9" t="str">
        <f>INDEX(Products!$B$2:$B$37, MATCH(D87, Products!$A$2:$A$37, 0))</f>
        <v>Makeup Palette</v>
      </c>
      <c r="I87" t="str">
        <f>INDEX(Products!$C$2:$C$37, MATCH(D87, Products!$A$2:$A$37, 0))</f>
        <v>Beauty</v>
      </c>
      <c r="J87">
        <f>INDEX(Products!$E$2:$E$37, MATCH(D87, Products!$A$2:$A$37, 0))</f>
        <v>85</v>
      </c>
      <c r="K87" s="9">
        <f t="shared" si="4"/>
        <v>189</v>
      </c>
      <c r="L87">
        <f t="shared" si="5"/>
        <v>85</v>
      </c>
      <c r="M87" s="9">
        <f t="shared" si="6"/>
        <v>104</v>
      </c>
      <c r="N87" t="str">
        <f t="shared" si="7"/>
        <v>Jan</v>
      </c>
    </row>
    <row r="88" spans="1:14" x14ac:dyDescent="0.3">
      <c r="A88" s="2" t="s">
        <v>151</v>
      </c>
      <c r="B88" s="6">
        <v>45666</v>
      </c>
      <c r="C88" s="2" t="s">
        <v>28</v>
      </c>
      <c r="D88" s="2" t="s">
        <v>92</v>
      </c>
      <c r="E88" s="2">
        <v>3</v>
      </c>
      <c r="F88" s="7">
        <v>349</v>
      </c>
      <c r="G88" s="8">
        <v>0</v>
      </c>
      <c r="H88" s="9" t="str">
        <f>INDEX(Products!$B$2:$B$37, MATCH(D88, Products!$A$2:$A$37, 0))</f>
        <v>Non-stick Cookware Set</v>
      </c>
      <c r="I88" t="str">
        <f>INDEX(Products!$C$2:$C$37, MATCH(D88, Products!$A$2:$A$37, 0))</f>
        <v>Home &amp; Kitchen</v>
      </c>
      <c r="J88">
        <f>INDEX(Products!$E$2:$E$37, MATCH(D88, Products!$A$2:$A$37, 0))</f>
        <v>170</v>
      </c>
      <c r="K88" s="9">
        <f t="shared" si="4"/>
        <v>1047</v>
      </c>
      <c r="L88">
        <f t="shared" si="5"/>
        <v>510</v>
      </c>
      <c r="M88" s="9">
        <f t="shared" si="6"/>
        <v>537</v>
      </c>
      <c r="N88" t="str">
        <f t="shared" si="7"/>
        <v>Jan</v>
      </c>
    </row>
    <row r="89" spans="1:14" x14ac:dyDescent="0.3">
      <c r="A89" s="2" t="s">
        <v>152</v>
      </c>
      <c r="B89" s="6">
        <v>45666</v>
      </c>
      <c r="C89" s="2" t="s">
        <v>41</v>
      </c>
      <c r="D89" s="2" t="s">
        <v>29</v>
      </c>
      <c r="E89" s="2">
        <v>1</v>
      </c>
      <c r="F89" s="7">
        <v>229</v>
      </c>
      <c r="G89" s="8">
        <v>0</v>
      </c>
      <c r="H89" s="9" t="str">
        <f>INDEX(Products!$B$2:$B$37, MATCH(D89, Products!$A$2:$A$37, 0))</f>
        <v>Women's Summer Dress</v>
      </c>
      <c r="I89" t="str">
        <f>INDEX(Products!$C$2:$C$37, MATCH(D89, Products!$A$2:$A$37, 0))</f>
        <v>Fashion</v>
      </c>
      <c r="J89">
        <f>INDEX(Products!$E$2:$E$37, MATCH(D89, Products!$A$2:$A$37, 0))</f>
        <v>120</v>
      </c>
      <c r="K89" s="9">
        <f t="shared" si="4"/>
        <v>229</v>
      </c>
      <c r="L89">
        <f t="shared" si="5"/>
        <v>120</v>
      </c>
      <c r="M89" s="9">
        <f t="shared" si="6"/>
        <v>109</v>
      </c>
      <c r="N89" t="str">
        <f t="shared" si="7"/>
        <v>Jan</v>
      </c>
    </row>
    <row r="90" spans="1:14" x14ac:dyDescent="0.3">
      <c r="A90" s="2" t="s">
        <v>153</v>
      </c>
      <c r="B90" s="6">
        <v>45666</v>
      </c>
      <c r="C90" s="2" t="s">
        <v>44</v>
      </c>
      <c r="D90" s="2" t="s">
        <v>103</v>
      </c>
      <c r="E90" s="2">
        <v>1</v>
      </c>
      <c r="F90" s="7">
        <v>89</v>
      </c>
      <c r="G90" s="8">
        <v>0.2</v>
      </c>
      <c r="H90" s="9" t="str">
        <f>INDEX(Products!$B$2:$B$37, MATCH(D90, Products!$A$2:$A$37, 0))</f>
        <v>Sunscreen SPF50</v>
      </c>
      <c r="I90" t="str">
        <f>INDEX(Products!$C$2:$C$37, MATCH(D90, Products!$A$2:$A$37, 0))</f>
        <v>Beauty</v>
      </c>
      <c r="J90">
        <f>INDEX(Products!$E$2:$E$37, MATCH(D90, Products!$A$2:$A$37, 0))</f>
        <v>40</v>
      </c>
      <c r="K90" s="9">
        <f t="shared" si="4"/>
        <v>71.2</v>
      </c>
      <c r="L90">
        <f t="shared" si="5"/>
        <v>40</v>
      </c>
      <c r="M90" s="9">
        <f t="shared" si="6"/>
        <v>31.200000000000003</v>
      </c>
      <c r="N90" t="str">
        <f t="shared" si="7"/>
        <v>Jan</v>
      </c>
    </row>
    <row r="91" spans="1:14" x14ac:dyDescent="0.3">
      <c r="A91" s="2" t="s">
        <v>154</v>
      </c>
      <c r="B91" s="6">
        <v>45667</v>
      </c>
      <c r="C91" s="2" t="s">
        <v>31</v>
      </c>
      <c r="D91" s="2" t="s">
        <v>115</v>
      </c>
      <c r="E91" s="2">
        <v>1</v>
      </c>
      <c r="F91" s="7">
        <v>129</v>
      </c>
      <c r="G91" s="8">
        <v>0</v>
      </c>
      <c r="H91" s="9" t="str">
        <f>INDEX(Products!$B$2:$B$37, MATCH(D91, Products!$A$2:$A$37, 0))</f>
        <v>Electric Kettle</v>
      </c>
      <c r="I91" t="str">
        <f>INDEX(Products!$C$2:$C$37, MATCH(D91, Products!$A$2:$A$37, 0))</f>
        <v>Home &amp; Kitchen</v>
      </c>
      <c r="J91">
        <f>INDEX(Products!$E$2:$E$37, MATCH(D91, Products!$A$2:$A$37, 0))</f>
        <v>60</v>
      </c>
      <c r="K91" s="9">
        <f t="shared" si="4"/>
        <v>129</v>
      </c>
      <c r="L91">
        <f t="shared" si="5"/>
        <v>60</v>
      </c>
      <c r="M91" s="9">
        <f t="shared" si="6"/>
        <v>69</v>
      </c>
      <c r="N91" t="str">
        <f t="shared" si="7"/>
        <v>Jan</v>
      </c>
    </row>
    <row r="92" spans="1:14" x14ac:dyDescent="0.3">
      <c r="A92" s="2" t="s">
        <v>155</v>
      </c>
      <c r="B92" s="6">
        <v>45667</v>
      </c>
      <c r="C92" s="2" t="s">
        <v>31</v>
      </c>
      <c r="D92" s="2" t="s">
        <v>52</v>
      </c>
      <c r="E92" s="2">
        <v>1</v>
      </c>
      <c r="F92" s="7">
        <v>299</v>
      </c>
      <c r="G92" s="8">
        <v>0.25</v>
      </c>
      <c r="H92" s="9" t="str">
        <f>INDEX(Products!$B$2:$B$37, MATCH(D92, Products!$A$2:$A$37, 0))</f>
        <v>Hair Dryer Ionic</v>
      </c>
      <c r="I92" t="str">
        <f>INDEX(Products!$C$2:$C$37, MATCH(D92, Products!$A$2:$A$37, 0))</f>
        <v>Beauty</v>
      </c>
      <c r="J92">
        <f>INDEX(Products!$E$2:$E$37, MATCH(D92, Products!$A$2:$A$37, 0))</f>
        <v>240</v>
      </c>
      <c r="K92" s="9">
        <f t="shared" si="4"/>
        <v>224.25</v>
      </c>
      <c r="L92">
        <f t="shared" si="5"/>
        <v>240</v>
      </c>
      <c r="M92" s="9">
        <f t="shared" si="6"/>
        <v>-15.75</v>
      </c>
      <c r="N92" t="str">
        <f t="shared" si="7"/>
        <v>Jan</v>
      </c>
    </row>
    <row r="93" spans="1:14" x14ac:dyDescent="0.3">
      <c r="A93" s="2" t="s">
        <v>156</v>
      </c>
      <c r="B93" s="6">
        <v>45667</v>
      </c>
      <c r="C93" s="2" t="s">
        <v>41</v>
      </c>
      <c r="D93" s="2" t="s">
        <v>49</v>
      </c>
      <c r="E93" s="2">
        <v>2</v>
      </c>
      <c r="F93" s="7">
        <v>149</v>
      </c>
      <c r="G93" s="8">
        <v>0.05</v>
      </c>
      <c r="H93" s="9" t="str">
        <f>INDEX(Products!$B$2:$B$37, MATCH(D93, Products!$A$2:$A$37, 0))</f>
        <v>Kids' Sneakers</v>
      </c>
      <c r="I93" t="str">
        <f>INDEX(Products!$C$2:$C$37, MATCH(D93, Products!$A$2:$A$37, 0))</f>
        <v>Fashion</v>
      </c>
      <c r="J93">
        <f>INDEX(Products!$E$2:$E$37, MATCH(D93, Products!$A$2:$A$37, 0))</f>
        <v>80</v>
      </c>
      <c r="K93" s="9">
        <f t="shared" si="4"/>
        <v>283.09999999999997</v>
      </c>
      <c r="L93">
        <f t="shared" si="5"/>
        <v>160</v>
      </c>
      <c r="M93" s="9">
        <f t="shared" si="6"/>
        <v>123.09999999999997</v>
      </c>
      <c r="N93" t="str">
        <f t="shared" si="7"/>
        <v>Jan</v>
      </c>
    </row>
    <row r="94" spans="1:14" x14ac:dyDescent="0.3">
      <c r="A94" s="2" t="s">
        <v>157</v>
      </c>
      <c r="B94" s="6">
        <v>45667</v>
      </c>
      <c r="C94" s="2" t="s">
        <v>44</v>
      </c>
      <c r="D94" s="2" t="s">
        <v>109</v>
      </c>
      <c r="E94" s="2">
        <v>1</v>
      </c>
      <c r="F94" s="7">
        <v>1499</v>
      </c>
      <c r="G94" s="8">
        <v>0</v>
      </c>
      <c r="H94" s="9" t="str">
        <f>INDEX(Products!$B$2:$B$37, MATCH(D94, Products!$A$2:$A$37, 0))</f>
        <v>Espresso Machine</v>
      </c>
      <c r="I94" t="str">
        <f>INDEX(Products!$C$2:$C$37, MATCH(D94, Products!$A$2:$A$37, 0))</f>
        <v>Home &amp; Kitchen</v>
      </c>
      <c r="J94">
        <f>INDEX(Products!$E$2:$E$37, MATCH(D94, Products!$A$2:$A$37, 0))</f>
        <v>1050</v>
      </c>
      <c r="K94" s="9">
        <f t="shared" si="4"/>
        <v>1499</v>
      </c>
      <c r="L94">
        <f t="shared" si="5"/>
        <v>1050</v>
      </c>
      <c r="M94" s="9">
        <f t="shared" si="6"/>
        <v>449</v>
      </c>
      <c r="N94" t="str">
        <f t="shared" si="7"/>
        <v>Jan</v>
      </c>
    </row>
    <row r="95" spans="1:14" x14ac:dyDescent="0.3">
      <c r="A95" s="2" t="s">
        <v>158</v>
      </c>
      <c r="B95" s="6">
        <v>45667</v>
      </c>
      <c r="C95" s="2" t="s">
        <v>41</v>
      </c>
      <c r="D95" s="2" t="s">
        <v>78</v>
      </c>
      <c r="E95" s="2">
        <v>4</v>
      </c>
      <c r="F95" s="7">
        <v>499</v>
      </c>
      <c r="G95" s="8">
        <v>0</v>
      </c>
      <c r="H95" s="9" t="str">
        <f>INDEX(Products!$B$2:$B$37, MATCH(D95, Products!$A$2:$A$37, 0))</f>
        <v>Air Fryer 5L</v>
      </c>
      <c r="I95" t="str">
        <f>INDEX(Products!$C$2:$C$37, MATCH(D95, Products!$A$2:$A$37, 0))</f>
        <v>Home &amp; Kitchen</v>
      </c>
      <c r="J95">
        <f>INDEX(Products!$E$2:$E$37, MATCH(D95, Products!$A$2:$A$37, 0))</f>
        <v>290</v>
      </c>
      <c r="K95" s="9">
        <f t="shared" si="4"/>
        <v>1996</v>
      </c>
      <c r="L95">
        <f t="shared" si="5"/>
        <v>1160</v>
      </c>
      <c r="M95" s="9">
        <f t="shared" si="6"/>
        <v>836</v>
      </c>
      <c r="N95" t="str">
        <f t="shared" si="7"/>
        <v>Jan</v>
      </c>
    </row>
    <row r="96" spans="1:14" x14ac:dyDescent="0.3">
      <c r="A96" s="2" t="s">
        <v>159</v>
      </c>
      <c r="B96" s="6">
        <v>45667</v>
      </c>
      <c r="C96" s="2" t="s">
        <v>28</v>
      </c>
      <c r="D96" s="2" t="s">
        <v>29</v>
      </c>
      <c r="E96" s="2">
        <v>3</v>
      </c>
      <c r="F96" s="7">
        <v>229</v>
      </c>
      <c r="G96" s="8">
        <v>0.15</v>
      </c>
      <c r="H96" s="9" t="str">
        <f>INDEX(Products!$B$2:$B$37, MATCH(D96, Products!$A$2:$A$37, 0))</f>
        <v>Women's Summer Dress</v>
      </c>
      <c r="I96" t="str">
        <f>INDEX(Products!$C$2:$C$37, MATCH(D96, Products!$A$2:$A$37, 0))</f>
        <v>Fashion</v>
      </c>
      <c r="J96">
        <f>INDEX(Products!$E$2:$E$37, MATCH(D96, Products!$A$2:$A$37, 0))</f>
        <v>120</v>
      </c>
      <c r="K96" s="9">
        <f t="shared" si="4"/>
        <v>583.94999999999993</v>
      </c>
      <c r="L96">
        <f t="shared" si="5"/>
        <v>360</v>
      </c>
      <c r="M96" s="9">
        <f t="shared" si="6"/>
        <v>223.94999999999993</v>
      </c>
      <c r="N96" t="str">
        <f t="shared" si="7"/>
        <v>Jan</v>
      </c>
    </row>
    <row r="97" spans="1:14" x14ac:dyDescent="0.3">
      <c r="A97" s="2" t="s">
        <v>160</v>
      </c>
      <c r="B97" s="6">
        <v>45667</v>
      </c>
      <c r="C97" s="2" t="s">
        <v>28</v>
      </c>
      <c r="D97" s="2" t="s">
        <v>46</v>
      </c>
      <c r="E97" s="2">
        <v>1</v>
      </c>
      <c r="F97" s="7">
        <v>189</v>
      </c>
      <c r="G97" s="8">
        <v>0</v>
      </c>
      <c r="H97" s="9" t="str">
        <f>INDEX(Products!$B$2:$B$37, MATCH(D97, Products!$A$2:$A$37, 0))</f>
        <v>Makeup Palette</v>
      </c>
      <c r="I97" t="str">
        <f>INDEX(Products!$C$2:$C$37, MATCH(D97, Products!$A$2:$A$37, 0))</f>
        <v>Beauty</v>
      </c>
      <c r="J97">
        <f>INDEX(Products!$E$2:$E$37, MATCH(D97, Products!$A$2:$A$37, 0))</f>
        <v>85</v>
      </c>
      <c r="K97" s="9">
        <f t="shared" si="4"/>
        <v>189</v>
      </c>
      <c r="L97">
        <f t="shared" si="5"/>
        <v>85</v>
      </c>
      <c r="M97" s="9">
        <f t="shared" si="6"/>
        <v>104</v>
      </c>
      <c r="N97" t="str">
        <f t="shared" si="7"/>
        <v>Jan</v>
      </c>
    </row>
    <row r="98" spans="1:14" x14ac:dyDescent="0.3">
      <c r="A98" s="2" t="s">
        <v>161</v>
      </c>
      <c r="B98" s="6">
        <v>45667</v>
      </c>
      <c r="C98" s="2" t="s">
        <v>44</v>
      </c>
      <c r="D98" s="2" t="s">
        <v>46</v>
      </c>
      <c r="E98" s="2">
        <v>2</v>
      </c>
      <c r="F98" s="7">
        <v>189</v>
      </c>
      <c r="G98" s="8">
        <v>0.2</v>
      </c>
      <c r="H98" s="9" t="str">
        <f>INDEX(Products!$B$2:$B$37, MATCH(D98, Products!$A$2:$A$37, 0))</f>
        <v>Makeup Palette</v>
      </c>
      <c r="I98" t="str">
        <f>INDEX(Products!$C$2:$C$37, MATCH(D98, Products!$A$2:$A$37, 0))</f>
        <v>Beauty</v>
      </c>
      <c r="J98">
        <f>INDEX(Products!$E$2:$E$37, MATCH(D98, Products!$A$2:$A$37, 0))</f>
        <v>85</v>
      </c>
      <c r="K98" s="9">
        <f t="shared" si="4"/>
        <v>302.40000000000003</v>
      </c>
      <c r="L98">
        <f t="shared" si="5"/>
        <v>170</v>
      </c>
      <c r="M98" s="9">
        <f t="shared" si="6"/>
        <v>132.40000000000003</v>
      </c>
      <c r="N98" t="str">
        <f t="shared" si="7"/>
        <v>Jan</v>
      </c>
    </row>
    <row r="99" spans="1:14" x14ac:dyDescent="0.3">
      <c r="A99" s="2" t="s">
        <v>162</v>
      </c>
      <c r="B99" s="6">
        <v>45667</v>
      </c>
      <c r="C99" s="2" t="s">
        <v>44</v>
      </c>
      <c r="D99" s="2" t="s">
        <v>163</v>
      </c>
      <c r="E99" s="2">
        <v>2</v>
      </c>
      <c r="F99" s="7">
        <v>2499</v>
      </c>
      <c r="G99" s="8">
        <v>0.25</v>
      </c>
      <c r="H99" s="9" t="str">
        <f>INDEX(Products!$B$2:$B$37, MATCH(D99, Products!$A$2:$A$37, 0))</f>
        <v>Treadmill Compact</v>
      </c>
      <c r="I99" t="str">
        <f>INDEX(Products!$C$2:$C$37, MATCH(D99, Products!$A$2:$A$37, 0))</f>
        <v>Sports</v>
      </c>
      <c r="J99">
        <f>INDEX(Products!$E$2:$E$37, MATCH(D99, Products!$A$2:$A$37, 0))</f>
        <v>2150</v>
      </c>
      <c r="K99" s="9">
        <f t="shared" si="4"/>
        <v>3748.5</v>
      </c>
      <c r="L99">
        <f t="shared" si="5"/>
        <v>4300</v>
      </c>
      <c r="M99" s="9">
        <f t="shared" si="6"/>
        <v>-551.5</v>
      </c>
      <c r="N99" t="str">
        <f t="shared" si="7"/>
        <v>Jan</v>
      </c>
    </row>
    <row r="100" spans="1:14" x14ac:dyDescent="0.3">
      <c r="A100" s="2" t="s">
        <v>164</v>
      </c>
      <c r="B100" s="6">
        <v>45668</v>
      </c>
      <c r="C100" s="2" t="s">
        <v>28</v>
      </c>
      <c r="D100" s="2" t="s">
        <v>165</v>
      </c>
      <c r="E100" s="2">
        <v>2</v>
      </c>
      <c r="F100" s="7">
        <v>69</v>
      </c>
      <c r="G100" s="8">
        <v>0.1</v>
      </c>
      <c r="H100" s="9" t="str">
        <f>INDEX(Products!$B$2:$B$37, MATCH(D100, Products!$A$2:$A$37, 0))</f>
        <v>Swim Goggles</v>
      </c>
      <c r="I100" t="str">
        <f>INDEX(Products!$C$2:$C$37, MATCH(D100, Products!$A$2:$A$37, 0))</f>
        <v>Sports</v>
      </c>
      <c r="J100">
        <f>INDEX(Products!$E$2:$E$37, MATCH(D100, Products!$A$2:$A$37, 0))</f>
        <v>25</v>
      </c>
      <c r="K100" s="9">
        <f t="shared" si="4"/>
        <v>124.2</v>
      </c>
      <c r="L100">
        <f t="shared" si="5"/>
        <v>50</v>
      </c>
      <c r="M100" s="9">
        <f t="shared" si="6"/>
        <v>74.2</v>
      </c>
      <c r="N100" t="str">
        <f t="shared" si="7"/>
        <v>Jan</v>
      </c>
    </row>
    <row r="101" spans="1:14" x14ac:dyDescent="0.3">
      <c r="A101" s="2" t="s">
        <v>166</v>
      </c>
      <c r="B101" s="6">
        <v>45668</v>
      </c>
      <c r="C101" s="2" t="s">
        <v>41</v>
      </c>
      <c r="D101" s="2" t="s">
        <v>37</v>
      </c>
      <c r="E101" s="2">
        <v>4</v>
      </c>
      <c r="F101" s="7">
        <v>249</v>
      </c>
      <c r="G101" s="8">
        <v>0.05</v>
      </c>
      <c r="H101" s="9" t="str">
        <f>INDEX(Products!$B$2:$B$37, MATCH(D101, Products!$A$2:$A$37, 0))</f>
        <v>Sunglasses Polarised</v>
      </c>
      <c r="I101" t="str">
        <f>INDEX(Products!$C$2:$C$37, MATCH(D101, Products!$A$2:$A$37, 0))</f>
        <v>Fashion</v>
      </c>
      <c r="J101">
        <f>INDEX(Products!$E$2:$E$37, MATCH(D101, Products!$A$2:$A$37, 0))</f>
        <v>95</v>
      </c>
      <c r="K101" s="9">
        <f t="shared" si="4"/>
        <v>946.19999999999993</v>
      </c>
      <c r="L101">
        <f t="shared" si="5"/>
        <v>380</v>
      </c>
      <c r="M101" s="9">
        <f t="shared" si="6"/>
        <v>566.19999999999993</v>
      </c>
      <c r="N101" t="str">
        <f t="shared" si="7"/>
        <v>Jan</v>
      </c>
    </row>
    <row r="102" spans="1:14" x14ac:dyDescent="0.3">
      <c r="A102" s="2" t="s">
        <v>167</v>
      </c>
      <c r="B102" s="6">
        <v>45668</v>
      </c>
      <c r="C102" s="2" t="s">
        <v>31</v>
      </c>
      <c r="D102" s="2" t="s">
        <v>29</v>
      </c>
      <c r="E102" s="2">
        <v>1</v>
      </c>
      <c r="F102" s="7">
        <v>229</v>
      </c>
      <c r="G102" s="8">
        <v>0</v>
      </c>
      <c r="H102" s="9" t="str">
        <f>INDEX(Products!$B$2:$B$37, MATCH(D102, Products!$A$2:$A$37, 0))</f>
        <v>Women's Summer Dress</v>
      </c>
      <c r="I102" t="str">
        <f>INDEX(Products!$C$2:$C$37, MATCH(D102, Products!$A$2:$A$37, 0))</f>
        <v>Fashion</v>
      </c>
      <c r="J102">
        <f>INDEX(Products!$E$2:$E$37, MATCH(D102, Products!$A$2:$A$37, 0))</f>
        <v>120</v>
      </c>
      <c r="K102" s="9">
        <f t="shared" si="4"/>
        <v>229</v>
      </c>
      <c r="L102">
        <f t="shared" si="5"/>
        <v>120</v>
      </c>
      <c r="M102" s="9">
        <f t="shared" si="6"/>
        <v>109</v>
      </c>
      <c r="N102" t="str">
        <f t="shared" si="7"/>
        <v>Jan</v>
      </c>
    </row>
    <row r="103" spans="1:14" x14ac:dyDescent="0.3">
      <c r="A103" s="2" t="s">
        <v>168</v>
      </c>
      <c r="B103" s="6">
        <v>45668</v>
      </c>
      <c r="C103" s="2" t="s">
        <v>31</v>
      </c>
      <c r="D103" s="2" t="s">
        <v>131</v>
      </c>
      <c r="E103" s="2">
        <v>1</v>
      </c>
      <c r="F103" s="7">
        <v>899</v>
      </c>
      <c r="G103" s="8">
        <v>0.2</v>
      </c>
      <c r="H103" s="9" t="str">
        <f>INDEX(Products!$B$2:$B$37, MATCH(D103, Products!$A$2:$A$37, 0))</f>
        <v>4K Action Camera</v>
      </c>
      <c r="I103" t="str">
        <f>INDEX(Products!$C$2:$C$37, MATCH(D103, Products!$A$2:$A$37, 0))</f>
        <v>Electronics</v>
      </c>
      <c r="J103">
        <f>INDEX(Products!$E$2:$E$37, MATCH(D103, Products!$A$2:$A$37, 0))</f>
        <v>610</v>
      </c>
      <c r="K103" s="9">
        <f t="shared" si="4"/>
        <v>719.2</v>
      </c>
      <c r="L103">
        <f t="shared" si="5"/>
        <v>610</v>
      </c>
      <c r="M103" s="9">
        <f t="shared" si="6"/>
        <v>109.20000000000005</v>
      </c>
      <c r="N103" t="str">
        <f t="shared" si="7"/>
        <v>Jan</v>
      </c>
    </row>
    <row r="104" spans="1:14" x14ac:dyDescent="0.3">
      <c r="A104" s="2" t="s">
        <v>169</v>
      </c>
      <c r="B104" s="6">
        <v>45668</v>
      </c>
      <c r="C104" s="2" t="s">
        <v>41</v>
      </c>
      <c r="D104" s="2" t="s">
        <v>46</v>
      </c>
      <c r="E104" s="2">
        <v>3</v>
      </c>
      <c r="F104" s="7">
        <v>189</v>
      </c>
      <c r="G104" s="8">
        <v>0.1</v>
      </c>
      <c r="H104" s="9" t="str">
        <f>INDEX(Products!$B$2:$B$37, MATCH(D104, Products!$A$2:$A$37, 0))</f>
        <v>Makeup Palette</v>
      </c>
      <c r="I104" t="str">
        <f>INDEX(Products!$C$2:$C$37, MATCH(D104, Products!$A$2:$A$37, 0))</f>
        <v>Beauty</v>
      </c>
      <c r="J104">
        <f>INDEX(Products!$E$2:$E$37, MATCH(D104, Products!$A$2:$A$37, 0))</f>
        <v>85</v>
      </c>
      <c r="K104" s="9">
        <f t="shared" si="4"/>
        <v>510.3</v>
      </c>
      <c r="L104">
        <f t="shared" si="5"/>
        <v>255</v>
      </c>
      <c r="M104" s="9">
        <f t="shared" si="6"/>
        <v>255.3</v>
      </c>
      <c r="N104" t="str">
        <f t="shared" si="7"/>
        <v>Jan</v>
      </c>
    </row>
    <row r="105" spans="1:14" x14ac:dyDescent="0.3">
      <c r="A105" s="2" t="s">
        <v>170</v>
      </c>
      <c r="B105" s="6">
        <v>45668</v>
      </c>
      <c r="C105" s="2" t="s">
        <v>28</v>
      </c>
      <c r="D105" s="2" t="s">
        <v>39</v>
      </c>
      <c r="E105" s="2">
        <v>1</v>
      </c>
      <c r="F105" s="7">
        <v>199</v>
      </c>
      <c r="G105" s="8">
        <v>0.1</v>
      </c>
      <c r="H105" s="9" t="str">
        <f>INDEX(Products!$B$2:$B$37, MATCH(D105, Products!$A$2:$A$37, 0))</f>
        <v>Bakhoor Gift Set</v>
      </c>
      <c r="I105" t="str">
        <f>INDEX(Products!$C$2:$C$37, MATCH(D105, Products!$A$2:$A$37, 0))</f>
        <v>Beauty</v>
      </c>
      <c r="J105">
        <f>INDEX(Products!$E$2:$E$37, MATCH(D105, Products!$A$2:$A$37, 0))</f>
        <v>90</v>
      </c>
      <c r="K105" s="9">
        <f t="shared" si="4"/>
        <v>179.1</v>
      </c>
      <c r="L105">
        <f t="shared" si="5"/>
        <v>90</v>
      </c>
      <c r="M105" s="9">
        <f t="shared" si="6"/>
        <v>89.1</v>
      </c>
      <c r="N105" t="str">
        <f t="shared" si="7"/>
        <v>Jan</v>
      </c>
    </row>
    <row r="106" spans="1:14" x14ac:dyDescent="0.3">
      <c r="A106" s="2" t="s">
        <v>171</v>
      </c>
      <c r="B106" s="6">
        <v>45668</v>
      </c>
      <c r="C106" s="2" t="s">
        <v>41</v>
      </c>
      <c r="D106" s="2" t="s">
        <v>92</v>
      </c>
      <c r="E106" s="2">
        <v>1</v>
      </c>
      <c r="F106" s="7">
        <v>349</v>
      </c>
      <c r="G106" s="8">
        <v>0.05</v>
      </c>
      <c r="H106" s="9" t="str">
        <f>INDEX(Products!$B$2:$B$37, MATCH(D106, Products!$A$2:$A$37, 0))</f>
        <v>Non-stick Cookware Set</v>
      </c>
      <c r="I106" t="str">
        <f>INDEX(Products!$C$2:$C$37, MATCH(D106, Products!$A$2:$A$37, 0))</f>
        <v>Home &amp; Kitchen</v>
      </c>
      <c r="J106">
        <f>INDEX(Products!$E$2:$E$37, MATCH(D106, Products!$A$2:$A$37, 0))</f>
        <v>170</v>
      </c>
      <c r="K106" s="9">
        <f t="shared" si="4"/>
        <v>331.55</v>
      </c>
      <c r="L106">
        <f t="shared" si="5"/>
        <v>170</v>
      </c>
      <c r="M106" s="9">
        <f t="shared" si="6"/>
        <v>161.55000000000001</v>
      </c>
      <c r="N106" t="str">
        <f t="shared" si="7"/>
        <v>Jan</v>
      </c>
    </row>
    <row r="107" spans="1:14" x14ac:dyDescent="0.3">
      <c r="A107" s="2" t="s">
        <v>172</v>
      </c>
      <c r="B107" s="6">
        <v>45668</v>
      </c>
      <c r="C107" s="2" t="s">
        <v>31</v>
      </c>
      <c r="D107" s="2" t="s">
        <v>56</v>
      </c>
      <c r="E107" s="2">
        <v>2</v>
      </c>
      <c r="F107" s="7">
        <v>289</v>
      </c>
      <c r="G107" s="8">
        <v>0.15</v>
      </c>
      <c r="H107" s="9" t="str">
        <f>INDEX(Products!$B$2:$B$37, MATCH(D107, Products!$A$2:$A$37, 0))</f>
        <v>Ceramic Dinner Set</v>
      </c>
      <c r="I107" t="str">
        <f>INDEX(Products!$C$2:$C$37, MATCH(D107, Products!$A$2:$A$37, 0))</f>
        <v>Home &amp; Kitchen</v>
      </c>
      <c r="J107">
        <f>INDEX(Products!$E$2:$E$37, MATCH(D107, Products!$A$2:$A$37, 0))</f>
        <v>140</v>
      </c>
      <c r="K107" s="9">
        <f t="shared" si="4"/>
        <v>491.3</v>
      </c>
      <c r="L107">
        <f t="shared" si="5"/>
        <v>280</v>
      </c>
      <c r="M107" s="9">
        <f t="shared" si="6"/>
        <v>211.3</v>
      </c>
      <c r="N107" t="str">
        <f t="shared" si="7"/>
        <v>Jan</v>
      </c>
    </row>
    <row r="108" spans="1:14" x14ac:dyDescent="0.3">
      <c r="A108" s="2" t="s">
        <v>173</v>
      </c>
      <c r="B108" s="6">
        <v>45668</v>
      </c>
      <c r="C108" s="2" t="s">
        <v>48</v>
      </c>
      <c r="D108" s="2" t="s">
        <v>129</v>
      </c>
      <c r="E108" s="2">
        <v>1</v>
      </c>
      <c r="F108" s="7">
        <v>149</v>
      </c>
      <c r="G108" s="8">
        <v>0</v>
      </c>
      <c r="H108" s="9" t="str">
        <f>INDEX(Products!$B$2:$B$37, MATCH(D108, Products!$A$2:$A$37, 0))</f>
        <v>Power Bank 20000mAh</v>
      </c>
      <c r="I108" t="str">
        <f>INDEX(Products!$C$2:$C$37, MATCH(D108, Products!$A$2:$A$37, 0))</f>
        <v>Electronics</v>
      </c>
      <c r="J108">
        <f>INDEX(Products!$E$2:$E$37, MATCH(D108, Products!$A$2:$A$37, 0))</f>
        <v>70</v>
      </c>
      <c r="K108" s="9">
        <f t="shared" si="4"/>
        <v>149</v>
      </c>
      <c r="L108">
        <f t="shared" si="5"/>
        <v>70</v>
      </c>
      <c r="M108" s="9">
        <f t="shared" si="6"/>
        <v>79</v>
      </c>
      <c r="N108" t="str">
        <f t="shared" si="7"/>
        <v>Jan</v>
      </c>
    </row>
    <row r="109" spans="1:14" x14ac:dyDescent="0.3">
      <c r="A109" s="2" t="s">
        <v>174</v>
      </c>
      <c r="B109" s="6">
        <v>45668</v>
      </c>
      <c r="C109" s="2" t="s">
        <v>28</v>
      </c>
      <c r="D109" s="2" t="s">
        <v>115</v>
      </c>
      <c r="E109" s="2">
        <v>2</v>
      </c>
      <c r="F109" s="7">
        <v>129</v>
      </c>
      <c r="G109" s="8">
        <v>0.1</v>
      </c>
      <c r="H109" s="9" t="str">
        <f>INDEX(Products!$B$2:$B$37, MATCH(D109, Products!$A$2:$A$37, 0))</f>
        <v>Electric Kettle</v>
      </c>
      <c r="I109" t="str">
        <f>INDEX(Products!$C$2:$C$37, MATCH(D109, Products!$A$2:$A$37, 0))</f>
        <v>Home &amp; Kitchen</v>
      </c>
      <c r="J109">
        <f>INDEX(Products!$E$2:$E$37, MATCH(D109, Products!$A$2:$A$37, 0))</f>
        <v>60</v>
      </c>
      <c r="K109" s="9">
        <f t="shared" si="4"/>
        <v>232.20000000000002</v>
      </c>
      <c r="L109">
        <f t="shared" si="5"/>
        <v>120</v>
      </c>
      <c r="M109" s="9">
        <f t="shared" si="6"/>
        <v>112.20000000000002</v>
      </c>
      <c r="N109" t="str">
        <f t="shared" si="7"/>
        <v>Jan</v>
      </c>
    </row>
    <row r="110" spans="1:14" x14ac:dyDescent="0.3">
      <c r="A110" s="2" t="s">
        <v>175</v>
      </c>
      <c r="B110" s="6">
        <v>45668</v>
      </c>
      <c r="C110" s="2" t="s">
        <v>41</v>
      </c>
      <c r="D110" s="2" t="s">
        <v>58</v>
      </c>
      <c r="E110" s="2">
        <v>1</v>
      </c>
      <c r="F110" s="7">
        <v>459</v>
      </c>
      <c r="G110" s="8">
        <v>0</v>
      </c>
      <c r="H110" s="9" t="str">
        <f>INDEX(Products!$B$2:$B$37, MATCH(D110, Products!$A$2:$A$37, 0))</f>
        <v>Women's Abaya Classic</v>
      </c>
      <c r="I110" t="str">
        <f>INDEX(Products!$C$2:$C$37, MATCH(D110, Products!$A$2:$A$37, 0))</f>
        <v>Fashion</v>
      </c>
      <c r="J110">
        <f>INDEX(Products!$E$2:$E$37, MATCH(D110, Products!$A$2:$A$37, 0))</f>
        <v>190</v>
      </c>
      <c r="K110" s="9">
        <f t="shared" si="4"/>
        <v>459</v>
      </c>
      <c r="L110">
        <f t="shared" si="5"/>
        <v>190</v>
      </c>
      <c r="M110" s="9">
        <f t="shared" si="6"/>
        <v>269</v>
      </c>
      <c r="N110" t="str">
        <f t="shared" si="7"/>
        <v>Jan</v>
      </c>
    </row>
    <row r="111" spans="1:14" x14ac:dyDescent="0.3">
      <c r="A111" s="2" t="s">
        <v>176</v>
      </c>
      <c r="B111" s="6">
        <v>45668</v>
      </c>
      <c r="C111" s="2" t="s">
        <v>41</v>
      </c>
      <c r="D111" s="2" t="s">
        <v>89</v>
      </c>
      <c r="E111" s="2">
        <v>4</v>
      </c>
      <c r="F111" s="7">
        <v>399</v>
      </c>
      <c r="G111" s="8">
        <v>0</v>
      </c>
      <c r="H111" s="9" t="str">
        <f>INDEX(Products!$B$2:$B$37, MATCH(D111, Products!$A$2:$A$37, 0))</f>
        <v>Men's Kandura Premium</v>
      </c>
      <c r="I111" t="str">
        <f>INDEX(Products!$C$2:$C$37, MATCH(D111, Products!$A$2:$A$37, 0))</f>
        <v>Fashion</v>
      </c>
      <c r="J111">
        <f>INDEX(Products!$E$2:$E$37, MATCH(D111, Products!$A$2:$A$37, 0))</f>
        <v>210</v>
      </c>
      <c r="K111" s="9">
        <f t="shared" si="4"/>
        <v>1596</v>
      </c>
      <c r="L111">
        <f t="shared" si="5"/>
        <v>840</v>
      </c>
      <c r="M111" s="9">
        <f t="shared" si="6"/>
        <v>756</v>
      </c>
      <c r="N111" t="str">
        <f t="shared" si="7"/>
        <v>Jan</v>
      </c>
    </row>
    <row r="112" spans="1:14" x14ac:dyDescent="0.3">
      <c r="A112" s="2" t="s">
        <v>177</v>
      </c>
      <c r="B112" s="6">
        <v>45668</v>
      </c>
      <c r="C112" s="2" t="s">
        <v>41</v>
      </c>
      <c r="D112" s="2" t="s">
        <v>95</v>
      </c>
      <c r="E112" s="2">
        <v>1</v>
      </c>
      <c r="F112" s="7">
        <v>259</v>
      </c>
      <c r="G112" s="8">
        <v>0.1</v>
      </c>
      <c r="H112" s="9" t="str">
        <f>INDEX(Products!$B$2:$B$37, MATCH(D112, Products!$A$2:$A$37, 0))</f>
        <v>Bed Linen Set (King)</v>
      </c>
      <c r="I112" t="str">
        <f>INDEX(Products!$C$2:$C$37, MATCH(D112, Products!$A$2:$A$37, 0))</f>
        <v>Home &amp; Kitchen</v>
      </c>
      <c r="J112">
        <f>INDEX(Products!$E$2:$E$37, MATCH(D112, Products!$A$2:$A$37, 0))</f>
        <v>115</v>
      </c>
      <c r="K112" s="9">
        <f t="shared" si="4"/>
        <v>233.1</v>
      </c>
      <c r="L112">
        <f t="shared" si="5"/>
        <v>115</v>
      </c>
      <c r="M112" s="9">
        <f t="shared" si="6"/>
        <v>118.1</v>
      </c>
      <c r="N112" t="str">
        <f t="shared" si="7"/>
        <v>Jan</v>
      </c>
    </row>
    <row r="113" spans="1:14" x14ac:dyDescent="0.3">
      <c r="A113" s="2" t="s">
        <v>178</v>
      </c>
      <c r="B113" s="6">
        <v>45668</v>
      </c>
      <c r="C113" s="2" t="s">
        <v>28</v>
      </c>
      <c r="D113" s="2" t="s">
        <v>95</v>
      </c>
      <c r="E113" s="2">
        <v>1</v>
      </c>
      <c r="F113" s="7">
        <v>259</v>
      </c>
      <c r="G113" s="8">
        <v>0.2</v>
      </c>
      <c r="H113" s="9" t="str">
        <f>INDEX(Products!$B$2:$B$37, MATCH(D113, Products!$A$2:$A$37, 0))</f>
        <v>Bed Linen Set (King)</v>
      </c>
      <c r="I113" t="str">
        <f>INDEX(Products!$C$2:$C$37, MATCH(D113, Products!$A$2:$A$37, 0))</f>
        <v>Home &amp; Kitchen</v>
      </c>
      <c r="J113">
        <f>INDEX(Products!$E$2:$E$37, MATCH(D113, Products!$A$2:$A$37, 0))</f>
        <v>115</v>
      </c>
      <c r="K113" s="9">
        <f t="shared" si="4"/>
        <v>207.20000000000002</v>
      </c>
      <c r="L113">
        <f t="shared" si="5"/>
        <v>115</v>
      </c>
      <c r="M113" s="9">
        <f t="shared" si="6"/>
        <v>92.200000000000017</v>
      </c>
      <c r="N113" t="str">
        <f t="shared" si="7"/>
        <v>Jan</v>
      </c>
    </row>
    <row r="114" spans="1:14" x14ac:dyDescent="0.3">
      <c r="A114" s="2" t="s">
        <v>179</v>
      </c>
      <c r="B114" s="6">
        <v>45668</v>
      </c>
      <c r="C114" s="2" t="s">
        <v>41</v>
      </c>
      <c r="D114" s="2" t="s">
        <v>113</v>
      </c>
      <c r="E114" s="2">
        <v>3</v>
      </c>
      <c r="F114" s="7">
        <v>1199</v>
      </c>
      <c r="G114" s="8">
        <v>0.15</v>
      </c>
      <c r="H114" s="9" t="str">
        <f>INDEX(Products!$B$2:$B$37, MATCH(D114, Products!$A$2:$A$37, 0))</f>
        <v>Robot Vacuum S3</v>
      </c>
      <c r="I114" t="str">
        <f>INDEX(Products!$C$2:$C$37, MATCH(D114, Products!$A$2:$A$37, 0))</f>
        <v>Home &amp; Kitchen</v>
      </c>
      <c r="J114">
        <f>INDEX(Products!$E$2:$E$37, MATCH(D114, Products!$A$2:$A$37, 0))</f>
        <v>1080</v>
      </c>
      <c r="K114" s="9">
        <f t="shared" si="4"/>
        <v>3057.45</v>
      </c>
      <c r="L114">
        <f t="shared" si="5"/>
        <v>3240</v>
      </c>
      <c r="M114" s="9">
        <f t="shared" si="6"/>
        <v>-182.55000000000018</v>
      </c>
      <c r="N114" t="str">
        <f t="shared" si="7"/>
        <v>Jan</v>
      </c>
    </row>
    <row r="115" spans="1:14" x14ac:dyDescent="0.3">
      <c r="A115" s="2" t="s">
        <v>180</v>
      </c>
      <c r="B115" s="6">
        <v>45668</v>
      </c>
      <c r="C115" s="2" t="s">
        <v>44</v>
      </c>
      <c r="D115" s="2" t="s">
        <v>89</v>
      </c>
      <c r="E115" s="2">
        <v>1</v>
      </c>
      <c r="F115" s="7">
        <v>399</v>
      </c>
      <c r="G115" s="8">
        <v>0.05</v>
      </c>
      <c r="H115" s="9" t="str">
        <f>INDEX(Products!$B$2:$B$37, MATCH(D115, Products!$A$2:$A$37, 0))</f>
        <v>Men's Kandura Premium</v>
      </c>
      <c r="I115" t="str">
        <f>INDEX(Products!$C$2:$C$37, MATCH(D115, Products!$A$2:$A$37, 0))</f>
        <v>Fashion</v>
      </c>
      <c r="J115">
        <f>INDEX(Products!$E$2:$E$37, MATCH(D115, Products!$A$2:$A$37, 0))</f>
        <v>210</v>
      </c>
      <c r="K115" s="9">
        <f t="shared" si="4"/>
        <v>379.04999999999995</v>
      </c>
      <c r="L115">
        <f t="shared" si="5"/>
        <v>210</v>
      </c>
      <c r="M115" s="9">
        <f t="shared" si="6"/>
        <v>169.04999999999995</v>
      </c>
      <c r="N115" t="str">
        <f t="shared" si="7"/>
        <v>Jan</v>
      </c>
    </row>
    <row r="116" spans="1:14" x14ac:dyDescent="0.3">
      <c r="A116" s="2" t="s">
        <v>181</v>
      </c>
      <c r="B116" s="6">
        <v>45668</v>
      </c>
      <c r="C116" s="2" t="s">
        <v>48</v>
      </c>
      <c r="D116" s="2" t="s">
        <v>65</v>
      </c>
      <c r="E116" s="2">
        <v>2</v>
      </c>
      <c r="F116" s="7">
        <v>129</v>
      </c>
      <c r="G116" s="8">
        <v>0</v>
      </c>
      <c r="H116" s="9" t="str">
        <f>INDEX(Products!$B$2:$B$37, MATCH(D116, Products!$A$2:$A$37, 0))</f>
        <v>Yoga Mat Premium</v>
      </c>
      <c r="I116" t="str">
        <f>INDEX(Products!$C$2:$C$37, MATCH(D116, Products!$A$2:$A$37, 0))</f>
        <v>Sports</v>
      </c>
      <c r="J116">
        <f>INDEX(Products!$E$2:$E$37, MATCH(D116, Products!$A$2:$A$37, 0))</f>
        <v>60</v>
      </c>
      <c r="K116" s="9">
        <f t="shared" si="4"/>
        <v>258</v>
      </c>
      <c r="L116">
        <f t="shared" si="5"/>
        <v>120</v>
      </c>
      <c r="M116" s="9">
        <f t="shared" si="6"/>
        <v>138</v>
      </c>
      <c r="N116" t="str">
        <f t="shared" si="7"/>
        <v>Jan</v>
      </c>
    </row>
    <row r="117" spans="1:14" x14ac:dyDescent="0.3">
      <c r="A117" s="2" t="s">
        <v>182</v>
      </c>
      <c r="B117" s="6">
        <v>45669</v>
      </c>
      <c r="C117" s="2" t="s">
        <v>48</v>
      </c>
      <c r="D117" s="2" t="s">
        <v>42</v>
      </c>
      <c r="E117" s="2">
        <v>1</v>
      </c>
      <c r="F117" s="7">
        <v>399</v>
      </c>
      <c r="G117" s="8">
        <v>0</v>
      </c>
      <c r="H117" s="9" t="str">
        <f>INDEX(Products!$B$2:$B$37, MATCH(D117, Products!$A$2:$A$37, 0))</f>
        <v>Wireless Earbuds Pro</v>
      </c>
      <c r="I117" t="str">
        <f>INDEX(Products!$C$2:$C$37, MATCH(D117, Products!$A$2:$A$37, 0))</f>
        <v>Electronics</v>
      </c>
      <c r="J117">
        <f>INDEX(Products!$E$2:$E$37, MATCH(D117, Products!$A$2:$A$37, 0))</f>
        <v>230</v>
      </c>
      <c r="K117" s="9">
        <f t="shared" si="4"/>
        <v>399</v>
      </c>
      <c r="L117">
        <f t="shared" si="5"/>
        <v>230</v>
      </c>
      <c r="M117" s="9">
        <f t="shared" si="6"/>
        <v>169</v>
      </c>
      <c r="N117" t="str">
        <f t="shared" si="7"/>
        <v>Jan</v>
      </c>
    </row>
    <row r="118" spans="1:14" x14ac:dyDescent="0.3">
      <c r="A118" s="2" t="s">
        <v>183</v>
      </c>
      <c r="B118" s="6">
        <v>45669</v>
      </c>
      <c r="C118" s="2" t="s">
        <v>44</v>
      </c>
      <c r="D118" s="2" t="s">
        <v>29</v>
      </c>
      <c r="E118" s="2">
        <v>1</v>
      </c>
      <c r="F118" s="7">
        <v>229</v>
      </c>
      <c r="G118" s="8">
        <v>0</v>
      </c>
      <c r="H118" s="9" t="str">
        <f>INDEX(Products!$B$2:$B$37, MATCH(D118, Products!$A$2:$A$37, 0))</f>
        <v>Women's Summer Dress</v>
      </c>
      <c r="I118" t="str">
        <f>INDEX(Products!$C$2:$C$37, MATCH(D118, Products!$A$2:$A$37, 0))</f>
        <v>Fashion</v>
      </c>
      <c r="J118">
        <f>INDEX(Products!$E$2:$E$37, MATCH(D118, Products!$A$2:$A$37, 0))</f>
        <v>120</v>
      </c>
      <c r="K118" s="9">
        <f t="shared" si="4"/>
        <v>229</v>
      </c>
      <c r="L118">
        <f t="shared" si="5"/>
        <v>120</v>
      </c>
      <c r="M118" s="9">
        <f t="shared" si="6"/>
        <v>109</v>
      </c>
      <c r="N118" t="str">
        <f t="shared" si="7"/>
        <v>Jan</v>
      </c>
    </row>
    <row r="119" spans="1:14" x14ac:dyDescent="0.3">
      <c r="A119" s="2" t="s">
        <v>184</v>
      </c>
      <c r="B119" s="6">
        <v>45669</v>
      </c>
      <c r="C119" s="2" t="s">
        <v>48</v>
      </c>
      <c r="D119" s="2" t="s">
        <v>109</v>
      </c>
      <c r="E119" s="2">
        <v>1</v>
      </c>
      <c r="F119" s="7">
        <v>1499</v>
      </c>
      <c r="G119" s="8">
        <v>0.05</v>
      </c>
      <c r="H119" s="9" t="str">
        <f>INDEX(Products!$B$2:$B$37, MATCH(D119, Products!$A$2:$A$37, 0))</f>
        <v>Espresso Machine</v>
      </c>
      <c r="I119" t="str">
        <f>INDEX(Products!$C$2:$C$37, MATCH(D119, Products!$A$2:$A$37, 0))</f>
        <v>Home &amp; Kitchen</v>
      </c>
      <c r="J119">
        <f>INDEX(Products!$E$2:$E$37, MATCH(D119, Products!$A$2:$A$37, 0))</f>
        <v>1050</v>
      </c>
      <c r="K119" s="9">
        <f t="shared" si="4"/>
        <v>1424.05</v>
      </c>
      <c r="L119">
        <f t="shared" si="5"/>
        <v>1050</v>
      </c>
      <c r="M119" s="9">
        <f t="shared" si="6"/>
        <v>374.04999999999995</v>
      </c>
      <c r="N119" t="str">
        <f t="shared" si="7"/>
        <v>Jan</v>
      </c>
    </row>
    <row r="120" spans="1:14" x14ac:dyDescent="0.3">
      <c r="A120" s="2" t="s">
        <v>185</v>
      </c>
      <c r="B120" s="6">
        <v>45669</v>
      </c>
      <c r="C120" s="2" t="s">
        <v>44</v>
      </c>
      <c r="D120" s="2" t="s">
        <v>49</v>
      </c>
      <c r="E120" s="2">
        <v>1</v>
      </c>
      <c r="F120" s="7">
        <v>149</v>
      </c>
      <c r="G120" s="8">
        <v>0</v>
      </c>
      <c r="H120" s="9" t="str">
        <f>INDEX(Products!$B$2:$B$37, MATCH(D120, Products!$A$2:$A$37, 0))</f>
        <v>Kids' Sneakers</v>
      </c>
      <c r="I120" t="str">
        <f>INDEX(Products!$C$2:$C$37, MATCH(D120, Products!$A$2:$A$37, 0))</f>
        <v>Fashion</v>
      </c>
      <c r="J120">
        <f>INDEX(Products!$E$2:$E$37, MATCH(D120, Products!$A$2:$A$37, 0))</f>
        <v>80</v>
      </c>
      <c r="K120" s="9">
        <f t="shared" si="4"/>
        <v>149</v>
      </c>
      <c r="L120">
        <f t="shared" si="5"/>
        <v>80</v>
      </c>
      <c r="M120" s="9">
        <f t="shared" si="6"/>
        <v>69</v>
      </c>
      <c r="N120" t="str">
        <f t="shared" si="7"/>
        <v>Jan</v>
      </c>
    </row>
    <row r="121" spans="1:14" x14ac:dyDescent="0.3">
      <c r="A121" s="2" t="s">
        <v>186</v>
      </c>
      <c r="B121" s="6">
        <v>45669</v>
      </c>
      <c r="C121" s="2" t="s">
        <v>44</v>
      </c>
      <c r="D121" s="2" t="s">
        <v>35</v>
      </c>
      <c r="E121" s="2">
        <v>1</v>
      </c>
      <c r="F121" s="7">
        <v>179</v>
      </c>
      <c r="G121" s="8">
        <v>0.2</v>
      </c>
      <c r="H121" s="9" t="str">
        <f>INDEX(Products!$B$2:$B$37, MATCH(D121, Products!$A$2:$A$37, 0))</f>
        <v>Men's Linen Shirt</v>
      </c>
      <c r="I121" t="str">
        <f>INDEX(Products!$C$2:$C$37, MATCH(D121, Products!$A$2:$A$37, 0))</f>
        <v>Fashion</v>
      </c>
      <c r="J121">
        <f>INDEX(Products!$E$2:$E$37, MATCH(D121, Products!$A$2:$A$37, 0))</f>
        <v>70</v>
      </c>
      <c r="K121" s="9">
        <f t="shared" si="4"/>
        <v>143.20000000000002</v>
      </c>
      <c r="L121">
        <f t="shared" si="5"/>
        <v>70</v>
      </c>
      <c r="M121" s="9">
        <f t="shared" si="6"/>
        <v>73.200000000000017</v>
      </c>
      <c r="N121" t="str">
        <f t="shared" si="7"/>
        <v>Jan</v>
      </c>
    </row>
    <row r="122" spans="1:14" x14ac:dyDescent="0.3">
      <c r="A122" s="2" t="s">
        <v>187</v>
      </c>
      <c r="B122" s="6">
        <v>45669</v>
      </c>
      <c r="C122" s="2" t="s">
        <v>28</v>
      </c>
      <c r="D122" s="2" t="s">
        <v>33</v>
      </c>
      <c r="E122" s="2">
        <v>1</v>
      </c>
      <c r="F122" s="7">
        <v>199</v>
      </c>
      <c r="G122" s="8">
        <v>0.25</v>
      </c>
      <c r="H122" s="9" t="str">
        <f>INDEX(Products!$B$2:$B$37, MATCH(D122, Products!$A$2:$A$37, 0))</f>
        <v>Fitness Band Lite</v>
      </c>
      <c r="I122" t="str">
        <f>INDEX(Products!$C$2:$C$37, MATCH(D122, Products!$A$2:$A$37, 0))</f>
        <v>Electronics</v>
      </c>
      <c r="J122">
        <f>INDEX(Products!$E$2:$E$37, MATCH(D122, Products!$A$2:$A$37, 0))</f>
        <v>175</v>
      </c>
      <c r="K122" s="9">
        <f t="shared" si="4"/>
        <v>149.25</v>
      </c>
      <c r="L122">
        <f t="shared" si="5"/>
        <v>175</v>
      </c>
      <c r="M122" s="9">
        <f t="shared" si="6"/>
        <v>-25.75</v>
      </c>
      <c r="N122" t="str">
        <f t="shared" si="7"/>
        <v>Jan</v>
      </c>
    </row>
    <row r="123" spans="1:14" x14ac:dyDescent="0.3">
      <c r="A123" s="2" t="s">
        <v>188</v>
      </c>
      <c r="B123" s="6">
        <v>45669</v>
      </c>
      <c r="C123" s="2" t="s">
        <v>41</v>
      </c>
      <c r="D123" s="2" t="s">
        <v>46</v>
      </c>
      <c r="E123" s="2">
        <v>1</v>
      </c>
      <c r="F123" s="7">
        <v>189</v>
      </c>
      <c r="G123" s="8">
        <v>0</v>
      </c>
      <c r="H123" s="9" t="str">
        <f>INDEX(Products!$B$2:$B$37, MATCH(D123, Products!$A$2:$A$37, 0))</f>
        <v>Makeup Palette</v>
      </c>
      <c r="I123" t="str">
        <f>INDEX(Products!$C$2:$C$37, MATCH(D123, Products!$A$2:$A$37, 0))</f>
        <v>Beauty</v>
      </c>
      <c r="J123">
        <f>INDEX(Products!$E$2:$E$37, MATCH(D123, Products!$A$2:$A$37, 0))</f>
        <v>85</v>
      </c>
      <c r="K123" s="9">
        <f t="shared" si="4"/>
        <v>189</v>
      </c>
      <c r="L123">
        <f t="shared" si="5"/>
        <v>85</v>
      </c>
      <c r="M123" s="9">
        <f t="shared" si="6"/>
        <v>104</v>
      </c>
      <c r="N123" t="str">
        <f t="shared" si="7"/>
        <v>Jan</v>
      </c>
    </row>
    <row r="124" spans="1:14" x14ac:dyDescent="0.3">
      <c r="A124" s="2" t="s">
        <v>189</v>
      </c>
      <c r="B124" s="6">
        <v>45669</v>
      </c>
      <c r="C124" s="2" t="s">
        <v>41</v>
      </c>
      <c r="D124" s="2" t="s">
        <v>35</v>
      </c>
      <c r="E124" s="2">
        <v>4</v>
      </c>
      <c r="F124" s="7">
        <v>179</v>
      </c>
      <c r="G124" s="8">
        <v>0</v>
      </c>
      <c r="H124" s="9" t="str">
        <f>INDEX(Products!$B$2:$B$37, MATCH(D124, Products!$A$2:$A$37, 0))</f>
        <v>Men's Linen Shirt</v>
      </c>
      <c r="I124" t="str">
        <f>INDEX(Products!$C$2:$C$37, MATCH(D124, Products!$A$2:$A$37, 0))</f>
        <v>Fashion</v>
      </c>
      <c r="J124">
        <f>INDEX(Products!$E$2:$E$37, MATCH(D124, Products!$A$2:$A$37, 0))</f>
        <v>70</v>
      </c>
      <c r="K124" s="9">
        <f t="shared" si="4"/>
        <v>716</v>
      </c>
      <c r="L124">
        <f t="shared" si="5"/>
        <v>280</v>
      </c>
      <c r="M124" s="9">
        <f t="shared" si="6"/>
        <v>436</v>
      </c>
      <c r="N124" t="str">
        <f t="shared" si="7"/>
        <v>Jan</v>
      </c>
    </row>
    <row r="125" spans="1:14" x14ac:dyDescent="0.3">
      <c r="A125" s="2" t="s">
        <v>190</v>
      </c>
      <c r="B125" s="6">
        <v>45670</v>
      </c>
      <c r="C125" s="2" t="s">
        <v>44</v>
      </c>
      <c r="D125" s="2" t="s">
        <v>56</v>
      </c>
      <c r="E125" s="2">
        <v>2</v>
      </c>
      <c r="F125" s="7">
        <v>289</v>
      </c>
      <c r="G125" s="8">
        <v>0.2</v>
      </c>
      <c r="H125" s="9" t="str">
        <f>INDEX(Products!$B$2:$B$37, MATCH(D125, Products!$A$2:$A$37, 0))</f>
        <v>Ceramic Dinner Set</v>
      </c>
      <c r="I125" t="str">
        <f>INDEX(Products!$C$2:$C$37, MATCH(D125, Products!$A$2:$A$37, 0))</f>
        <v>Home &amp; Kitchen</v>
      </c>
      <c r="J125">
        <f>INDEX(Products!$E$2:$E$37, MATCH(D125, Products!$A$2:$A$37, 0))</f>
        <v>140</v>
      </c>
      <c r="K125" s="9">
        <f t="shared" si="4"/>
        <v>462.40000000000003</v>
      </c>
      <c r="L125">
        <f t="shared" si="5"/>
        <v>280</v>
      </c>
      <c r="M125" s="9">
        <f t="shared" si="6"/>
        <v>182.40000000000003</v>
      </c>
      <c r="N125" t="str">
        <f t="shared" si="7"/>
        <v>Jan</v>
      </c>
    </row>
    <row r="126" spans="1:14" x14ac:dyDescent="0.3">
      <c r="A126" s="2" t="s">
        <v>191</v>
      </c>
      <c r="B126" s="6">
        <v>45670</v>
      </c>
      <c r="C126" s="2" t="s">
        <v>28</v>
      </c>
      <c r="D126" s="2" t="s">
        <v>33</v>
      </c>
      <c r="E126" s="2">
        <v>1</v>
      </c>
      <c r="F126" s="7">
        <v>199</v>
      </c>
      <c r="G126" s="8">
        <v>0.25</v>
      </c>
      <c r="H126" s="9" t="str">
        <f>INDEX(Products!$B$2:$B$37, MATCH(D126, Products!$A$2:$A$37, 0))</f>
        <v>Fitness Band Lite</v>
      </c>
      <c r="I126" t="str">
        <f>INDEX(Products!$C$2:$C$37, MATCH(D126, Products!$A$2:$A$37, 0))</f>
        <v>Electronics</v>
      </c>
      <c r="J126">
        <f>INDEX(Products!$E$2:$E$37, MATCH(D126, Products!$A$2:$A$37, 0))</f>
        <v>175</v>
      </c>
      <c r="K126" s="9">
        <f t="shared" si="4"/>
        <v>149.25</v>
      </c>
      <c r="L126">
        <f t="shared" si="5"/>
        <v>175</v>
      </c>
      <c r="M126" s="9">
        <f t="shared" si="6"/>
        <v>-25.75</v>
      </c>
      <c r="N126" t="str">
        <f t="shared" si="7"/>
        <v>Jan</v>
      </c>
    </row>
    <row r="127" spans="1:14" x14ac:dyDescent="0.3">
      <c r="A127" s="2" t="s">
        <v>192</v>
      </c>
      <c r="B127" s="6">
        <v>45670</v>
      </c>
      <c r="C127" s="2" t="s">
        <v>41</v>
      </c>
      <c r="D127" s="2" t="s">
        <v>131</v>
      </c>
      <c r="E127" s="2">
        <v>1</v>
      </c>
      <c r="F127" s="7">
        <v>899</v>
      </c>
      <c r="G127" s="8">
        <v>0.1</v>
      </c>
      <c r="H127" s="9" t="str">
        <f>INDEX(Products!$B$2:$B$37, MATCH(D127, Products!$A$2:$A$37, 0))</f>
        <v>4K Action Camera</v>
      </c>
      <c r="I127" t="str">
        <f>INDEX(Products!$C$2:$C$37, MATCH(D127, Products!$A$2:$A$37, 0))</f>
        <v>Electronics</v>
      </c>
      <c r="J127">
        <f>INDEX(Products!$E$2:$E$37, MATCH(D127, Products!$A$2:$A$37, 0))</f>
        <v>610</v>
      </c>
      <c r="K127" s="9">
        <f t="shared" si="4"/>
        <v>809.1</v>
      </c>
      <c r="L127">
        <f t="shared" si="5"/>
        <v>610</v>
      </c>
      <c r="M127" s="9">
        <f t="shared" si="6"/>
        <v>199.10000000000002</v>
      </c>
      <c r="N127" t="str">
        <f t="shared" si="7"/>
        <v>Jan</v>
      </c>
    </row>
    <row r="128" spans="1:14" x14ac:dyDescent="0.3">
      <c r="A128" s="2" t="s">
        <v>193</v>
      </c>
      <c r="B128" s="6">
        <v>45670</v>
      </c>
      <c r="C128" s="2" t="s">
        <v>28</v>
      </c>
      <c r="D128" s="2" t="s">
        <v>194</v>
      </c>
      <c r="E128" s="2">
        <v>1</v>
      </c>
      <c r="F128" s="7">
        <v>699</v>
      </c>
      <c r="G128" s="8">
        <v>0.15</v>
      </c>
      <c r="H128" s="9" t="str">
        <f>INDEX(Products!$B$2:$B$37, MATCH(D128, Products!$A$2:$A$37, 0))</f>
        <v>Leather Handbag</v>
      </c>
      <c r="I128" t="str">
        <f>INDEX(Products!$C$2:$C$37, MATCH(D128, Products!$A$2:$A$37, 0))</f>
        <v>Fashion</v>
      </c>
      <c r="J128">
        <f>INDEX(Products!$E$2:$E$37, MATCH(D128, Products!$A$2:$A$37, 0))</f>
        <v>380</v>
      </c>
      <c r="K128" s="9">
        <f t="shared" si="4"/>
        <v>594.15</v>
      </c>
      <c r="L128">
        <f t="shared" si="5"/>
        <v>380</v>
      </c>
      <c r="M128" s="9">
        <f t="shared" si="6"/>
        <v>214.14999999999998</v>
      </c>
      <c r="N128" t="str">
        <f t="shared" si="7"/>
        <v>Jan</v>
      </c>
    </row>
    <row r="129" spans="1:14" x14ac:dyDescent="0.3">
      <c r="A129" s="2" t="s">
        <v>195</v>
      </c>
      <c r="B129" s="6">
        <v>45670</v>
      </c>
      <c r="C129" s="2" t="s">
        <v>31</v>
      </c>
      <c r="D129" s="2" t="s">
        <v>37</v>
      </c>
      <c r="E129" s="2">
        <v>2</v>
      </c>
      <c r="F129" s="7">
        <v>249</v>
      </c>
      <c r="G129" s="8">
        <v>0.15</v>
      </c>
      <c r="H129" s="9" t="str">
        <f>INDEX(Products!$B$2:$B$37, MATCH(D129, Products!$A$2:$A$37, 0))</f>
        <v>Sunglasses Polarised</v>
      </c>
      <c r="I129" t="str">
        <f>INDEX(Products!$C$2:$C$37, MATCH(D129, Products!$A$2:$A$37, 0))</f>
        <v>Fashion</v>
      </c>
      <c r="J129">
        <f>INDEX(Products!$E$2:$E$37, MATCH(D129, Products!$A$2:$A$37, 0))</f>
        <v>95</v>
      </c>
      <c r="K129" s="9">
        <f t="shared" si="4"/>
        <v>423.3</v>
      </c>
      <c r="L129">
        <f t="shared" si="5"/>
        <v>190</v>
      </c>
      <c r="M129" s="9">
        <f t="shared" si="6"/>
        <v>233.3</v>
      </c>
      <c r="N129" t="str">
        <f t="shared" si="7"/>
        <v>Jan</v>
      </c>
    </row>
    <row r="130" spans="1:14" x14ac:dyDescent="0.3">
      <c r="A130" s="2" t="s">
        <v>196</v>
      </c>
      <c r="B130" s="6">
        <v>45670</v>
      </c>
      <c r="C130" s="2" t="s">
        <v>48</v>
      </c>
      <c r="D130" s="2" t="s">
        <v>131</v>
      </c>
      <c r="E130" s="2">
        <v>1</v>
      </c>
      <c r="F130" s="7">
        <v>899</v>
      </c>
      <c r="G130" s="8">
        <v>0.1</v>
      </c>
      <c r="H130" s="9" t="str">
        <f>INDEX(Products!$B$2:$B$37, MATCH(D130, Products!$A$2:$A$37, 0))</f>
        <v>4K Action Camera</v>
      </c>
      <c r="I130" t="str">
        <f>INDEX(Products!$C$2:$C$37, MATCH(D130, Products!$A$2:$A$37, 0))</f>
        <v>Electronics</v>
      </c>
      <c r="J130">
        <f>INDEX(Products!$E$2:$E$37, MATCH(D130, Products!$A$2:$A$37, 0))</f>
        <v>610</v>
      </c>
      <c r="K130" s="9">
        <f t="shared" ref="K130:K193" si="8">E130*F130*(1-G130)</f>
        <v>809.1</v>
      </c>
      <c r="L130">
        <f t="shared" ref="L130:L193" si="9">E130*J130</f>
        <v>610</v>
      </c>
      <c r="M130" s="9">
        <f t="shared" ref="M130:M193" si="10">K130-L130</f>
        <v>199.10000000000002</v>
      </c>
      <c r="N130" t="str">
        <f t="shared" ref="N130:N193" si="11">TEXT(B130,"mmm")</f>
        <v>Jan</v>
      </c>
    </row>
    <row r="131" spans="1:14" x14ac:dyDescent="0.3">
      <c r="A131" s="2" t="s">
        <v>197</v>
      </c>
      <c r="B131" s="6">
        <v>45670</v>
      </c>
      <c r="C131" s="2" t="s">
        <v>41</v>
      </c>
      <c r="D131" s="2" t="s">
        <v>37</v>
      </c>
      <c r="E131" s="2">
        <v>1</v>
      </c>
      <c r="F131" s="7">
        <v>249</v>
      </c>
      <c r="G131" s="8">
        <v>0</v>
      </c>
      <c r="H131" s="9" t="str">
        <f>INDEX(Products!$B$2:$B$37, MATCH(D131, Products!$A$2:$A$37, 0))</f>
        <v>Sunglasses Polarised</v>
      </c>
      <c r="I131" t="str">
        <f>INDEX(Products!$C$2:$C$37, MATCH(D131, Products!$A$2:$A$37, 0))</f>
        <v>Fashion</v>
      </c>
      <c r="J131">
        <f>INDEX(Products!$E$2:$E$37, MATCH(D131, Products!$A$2:$A$37, 0))</f>
        <v>95</v>
      </c>
      <c r="K131" s="9">
        <f t="shared" si="8"/>
        <v>249</v>
      </c>
      <c r="L131">
        <f t="shared" si="9"/>
        <v>95</v>
      </c>
      <c r="M131" s="9">
        <f t="shared" si="10"/>
        <v>154</v>
      </c>
      <c r="N131" t="str">
        <f t="shared" si="11"/>
        <v>Jan</v>
      </c>
    </row>
    <row r="132" spans="1:14" x14ac:dyDescent="0.3">
      <c r="A132" s="2" t="s">
        <v>198</v>
      </c>
      <c r="B132" s="6">
        <v>45670</v>
      </c>
      <c r="C132" s="2" t="s">
        <v>41</v>
      </c>
      <c r="D132" s="2" t="s">
        <v>115</v>
      </c>
      <c r="E132" s="2">
        <v>1</v>
      </c>
      <c r="F132" s="7">
        <v>129</v>
      </c>
      <c r="G132" s="8">
        <v>0.3</v>
      </c>
      <c r="H132" s="9" t="str">
        <f>INDEX(Products!$B$2:$B$37, MATCH(D132, Products!$A$2:$A$37, 0))</f>
        <v>Electric Kettle</v>
      </c>
      <c r="I132" t="str">
        <f>INDEX(Products!$C$2:$C$37, MATCH(D132, Products!$A$2:$A$37, 0))</f>
        <v>Home &amp; Kitchen</v>
      </c>
      <c r="J132">
        <f>INDEX(Products!$E$2:$E$37, MATCH(D132, Products!$A$2:$A$37, 0))</f>
        <v>60</v>
      </c>
      <c r="K132" s="9">
        <f t="shared" si="8"/>
        <v>90.3</v>
      </c>
      <c r="L132">
        <f t="shared" si="9"/>
        <v>60</v>
      </c>
      <c r="M132" s="9">
        <f t="shared" si="10"/>
        <v>30.299999999999997</v>
      </c>
      <c r="N132" t="str">
        <f t="shared" si="11"/>
        <v>Jan</v>
      </c>
    </row>
    <row r="133" spans="1:14" x14ac:dyDescent="0.3">
      <c r="A133" s="2" t="s">
        <v>199</v>
      </c>
      <c r="B133" s="6">
        <v>45670</v>
      </c>
      <c r="C133" s="2" t="s">
        <v>41</v>
      </c>
      <c r="D133" s="2" t="s">
        <v>68</v>
      </c>
      <c r="E133" s="2">
        <v>1</v>
      </c>
      <c r="F133" s="7">
        <v>249</v>
      </c>
      <c r="G133" s="8">
        <v>0</v>
      </c>
      <c r="H133" s="9" t="str">
        <f>INDEX(Products!$B$2:$B$37, MATCH(D133, Products!$A$2:$A$37, 0))</f>
        <v>Bluetooth Speaker Mini</v>
      </c>
      <c r="I133" t="str">
        <f>INDEX(Products!$C$2:$C$37, MATCH(D133, Products!$A$2:$A$37, 0))</f>
        <v>Electronics</v>
      </c>
      <c r="J133">
        <f>INDEX(Products!$E$2:$E$37, MATCH(D133, Products!$A$2:$A$37, 0))</f>
        <v>150</v>
      </c>
      <c r="K133" s="9">
        <f t="shared" si="8"/>
        <v>249</v>
      </c>
      <c r="L133">
        <f t="shared" si="9"/>
        <v>150</v>
      </c>
      <c r="M133" s="9">
        <f t="shared" si="10"/>
        <v>99</v>
      </c>
      <c r="N133" t="str">
        <f t="shared" si="11"/>
        <v>Jan</v>
      </c>
    </row>
    <row r="134" spans="1:14" x14ac:dyDescent="0.3">
      <c r="A134" s="2" t="s">
        <v>200</v>
      </c>
      <c r="B134" s="6">
        <v>45670</v>
      </c>
      <c r="C134" s="2" t="s">
        <v>44</v>
      </c>
      <c r="D134" s="2" t="s">
        <v>99</v>
      </c>
      <c r="E134" s="2">
        <v>1</v>
      </c>
      <c r="F134" s="7">
        <v>459</v>
      </c>
      <c r="G134" s="8">
        <v>0</v>
      </c>
      <c r="H134" s="9" t="str">
        <f>INDEX(Products!$B$2:$B$37, MATCH(D134, Products!$A$2:$A$37, 0))</f>
        <v>Gaming Headset X</v>
      </c>
      <c r="I134" t="str">
        <f>INDEX(Products!$C$2:$C$37, MATCH(D134, Products!$A$2:$A$37, 0))</f>
        <v>Electronics</v>
      </c>
      <c r="J134">
        <f>INDEX(Products!$E$2:$E$37, MATCH(D134, Products!$A$2:$A$37, 0))</f>
        <v>300</v>
      </c>
      <c r="K134" s="9">
        <f t="shared" si="8"/>
        <v>459</v>
      </c>
      <c r="L134">
        <f t="shared" si="9"/>
        <v>300</v>
      </c>
      <c r="M134" s="9">
        <f t="shared" si="10"/>
        <v>159</v>
      </c>
      <c r="N134" t="str">
        <f t="shared" si="11"/>
        <v>Jan</v>
      </c>
    </row>
    <row r="135" spans="1:14" x14ac:dyDescent="0.3">
      <c r="A135" s="2" t="s">
        <v>201</v>
      </c>
      <c r="B135" s="6">
        <v>45670</v>
      </c>
      <c r="C135" s="2" t="s">
        <v>41</v>
      </c>
      <c r="D135" s="2" t="s">
        <v>126</v>
      </c>
      <c r="E135" s="2">
        <v>1</v>
      </c>
      <c r="F135" s="7">
        <v>89</v>
      </c>
      <c r="G135" s="8">
        <v>0</v>
      </c>
      <c r="H135" s="9" t="str">
        <f>INDEX(Products!$B$2:$B$37, MATCH(D135, Products!$A$2:$A$37, 0))</f>
        <v>USB-C Fast Charger</v>
      </c>
      <c r="I135" t="str">
        <f>INDEX(Products!$C$2:$C$37, MATCH(D135, Products!$A$2:$A$37, 0))</f>
        <v>Electronics</v>
      </c>
      <c r="J135">
        <f>INDEX(Products!$E$2:$E$37, MATCH(D135, Products!$A$2:$A$37, 0))</f>
        <v>35</v>
      </c>
      <c r="K135" s="9">
        <f t="shared" si="8"/>
        <v>89</v>
      </c>
      <c r="L135">
        <f t="shared" si="9"/>
        <v>35</v>
      </c>
      <c r="M135" s="9">
        <f t="shared" si="10"/>
        <v>54</v>
      </c>
      <c r="N135" t="str">
        <f t="shared" si="11"/>
        <v>Jan</v>
      </c>
    </row>
    <row r="136" spans="1:14" x14ac:dyDescent="0.3">
      <c r="A136" s="2" t="s">
        <v>202</v>
      </c>
      <c r="B136" s="6">
        <v>45670</v>
      </c>
      <c r="C136" s="2" t="s">
        <v>31</v>
      </c>
      <c r="D136" s="2" t="s">
        <v>103</v>
      </c>
      <c r="E136" s="2">
        <v>1</v>
      </c>
      <c r="F136" s="7">
        <v>89</v>
      </c>
      <c r="G136" s="8">
        <v>0</v>
      </c>
      <c r="H136" s="9" t="str">
        <f>INDEX(Products!$B$2:$B$37, MATCH(D136, Products!$A$2:$A$37, 0))</f>
        <v>Sunscreen SPF50</v>
      </c>
      <c r="I136" t="str">
        <f>INDEX(Products!$C$2:$C$37, MATCH(D136, Products!$A$2:$A$37, 0))</f>
        <v>Beauty</v>
      </c>
      <c r="J136">
        <f>INDEX(Products!$E$2:$E$37, MATCH(D136, Products!$A$2:$A$37, 0))</f>
        <v>40</v>
      </c>
      <c r="K136" s="9">
        <f t="shared" si="8"/>
        <v>89</v>
      </c>
      <c r="L136">
        <f t="shared" si="9"/>
        <v>40</v>
      </c>
      <c r="M136" s="9">
        <f t="shared" si="10"/>
        <v>49</v>
      </c>
      <c r="N136" t="str">
        <f t="shared" si="11"/>
        <v>Jan</v>
      </c>
    </row>
    <row r="137" spans="1:14" x14ac:dyDescent="0.3">
      <c r="A137" s="2" t="s">
        <v>203</v>
      </c>
      <c r="B137" s="6">
        <v>45670</v>
      </c>
      <c r="C137" s="2" t="s">
        <v>28</v>
      </c>
      <c r="D137" s="2" t="s">
        <v>126</v>
      </c>
      <c r="E137" s="2">
        <v>1</v>
      </c>
      <c r="F137" s="7">
        <v>89</v>
      </c>
      <c r="G137" s="8">
        <v>0.1</v>
      </c>
      <c r="H137" s="9" t="str">
        <f>INDEX(Products!$B$2:$B$37, MATCH(D137, Products!$A$2:$A$37, 0))</f>
        <v>USB-C Fast Charger</v>
      </c>
      <c r="I137" t="str">
        <f>INDEX(Products!$C$2:$C$37, MATCH(D137, Products!$A$2:$A$37, 0))</f>
        <v>Electronics</v>
      </c>
      <c r="J137">
        <f>INDEX(Products!$E$2:$E$37, MATCH(D137, Products!$A$2:$A$37, 0))</f>
        <v>35</v>
      </c>
      <c r="K137" s="9">
        <f t="shared" si="8"/>
        <v>80.100000000000009</v>
      </c>
      <c r="L137">
        <f t="shared" si="9"/>
        <v>35</v>
      </c>
      <c r="M137" s="9">
        <f t="shared" si="10"/>
        <v>45.100000000000009</v>
      </c>
      <c r="N137" t="str">
        <f t="shared" si="11"/>
        <v>Jan</v>
      </c>
    </row>
    <row r="138" spans="1:14" x14ac:dyDescent="0.3">
      <c r="A138" s="2" t="s">
        <v>204</v>
      </c>
      <c r="B138" s="6">
        <v>45670</v>
      </c>
      <c r="C138" s="2" t="s">
        <v>48</v>
      </c>
      <c r="D138" s="2" t="s">
        <v>58</v>
      </c>
      <c r="E138" s="2">
        <v>2</v>
      </c>
      <c r="F138" s="7">
        <v>459</v>
      </c>
      <c r="G138" s="8">
        <v>0.05</v>
      </c>
      <c r="H138" s="9" t="str">
        <f>INDEX(Products!$B$2:$B$37, MATCH(D138, Products!$A$2:$A$37, 0))</f>
        <v>Women's Abaya Classic</v>
      </c>
      <c r="I138" t="str">
        <f>INDEX(Products!$C$2:$C$37, MATCH(D138, Products!$A$2:$A$37, 0))</f>
        <v>Fashion</v>
      </c>
      <c r="J138">
        <f>INDEX(Products!$E$2:$E$37, MATCH(D138, Products!$A$2:$A$37, 0))</f>
        <v>190</v>
      </c>
      <c r="K138" s="9">
        <f t="shared" si="8"/>
        <v>872.09999999999991</v>
      </c>
      <c r="L138">
        <f t="shared" si="9"/>
        <v>380</v>
      </c>
      <c r="M138" s="9">
        <f t="shared" si="10"/>
        <v>492.09999999999991</v>
      </c>
      <c r="N138" t="str">
        <f t="shared" si="11"/>
        <v>Jan</v>
      </c>
    </row>
    <row r="139" spans="1:14" x14ac:dyDescent="0.3">
      <c r="A139" s="2" t="s">
        <v>205</v>
      </c>
      <c r="B139" s="6">
        <v>45670</v>
      </c>
      <c r="C139" s="2" t="s">
        <v>28</v>
      </c>
      <c r="D139" s="2" t="s">
        <v>75</v>
      </c>
      <c r="E139" s="2">
        <v>1</v>
      </c>
      <c r="F139" s="7">
        <v>549</v>
      </c>
      <c r="G139" s="8">
        <v>0</v>
      </c>
      <c r="H139" s="9" t="str">
        <f>INDEX(Products!$B$2:$B$37, MATCH(D139, Products!$A$2:$A$37, 0))</f>
        <v>Oud Perfume 100ml</v>
      </c>
      <c r="I139" t="str">
        <f>INDEX(Products!$C$2:$C$37, MATCH(D139, Products!$A$2:$A$37, 0))</f>
        <v>Beauty</v>
      </c>
      <c r="J139">
        <f>INDEX(Products!$E$2:$E$37, MATCH(D139, Products!$A$2:$A$37, 0))</f>
        <v>250</v>
      </c>
      <c r="K139" s="9">
        <f t="shared" si="8"/>
        <v>549</v>
      </c>
      <c r="L139">
        <f t="shared" si="9"/>
        <v>250</v>
      </c>
      <c r="M139" s="9">
        <f t="shared" si="10"/>
        <v>299</v>
      </c>
      <c r="N139" t="str">
        <f t="shared" si="11"/>
        <v>Jan</v>
      </c>
    </row>
    <row r="140" spans="1:14" x14ac:dyDescent="0.3">
      <c r="A140" s="2" t="s">
        <v>206</v>
      </c>
      <c r="B140" s="6">
        <v>45670</v>
      </c>
      <c r="C140" s="2" t="s">
        <v>48</v>
      </c>
      <c r="D140" s="2" t="s">
        <v>131</v>
      </c>
      <c r="E140" s="2">
        <v>1</v>
      </c>
      <c r="F140" s="7">
        <v>899</v>
      </c>
      <c r="G140" s="8">
        <v>0.15</v>
      </c>
      <c r="H140" s="9" t="str">
        <f>INDEX(Products!$B$2:$B$37, MATCH(D140, Products!$A$2:$A$37, 0))</f>
        <v>4K Action Camera</v>
      </c>
      <c r="I140" t="str">
        <f>INDEX(Products!$C$2:$C$37, MATCH(D140, Products!$A$2:$A$37, 0))</f>
        <v>Electronics</v>
      </c>
      <c r="J140">
        <f>INDEX(Products!$E$2:$E$37, MATCH(D140, Products!$A$2:$A$37, 0))</f>
        <v>610</v>
      </c>
      <c r="K140" s="9">
        <f t="shared" si="8"/>
        <v>764.15</v>
      </c>
      <c r="L140">
        <f t="shared" si="9"/>
        <v>610</v>
      </c>
      <c r="M140" s="9">
        <f t="shared" si="10"/>
        <v>154.14999999999998</v>
      </c>
      <c r="N140" t="str">
        <f t="shared" si="11"/>
        <v>Jan</v>
      </c>
    </row>
    <row r="141" spans="1:14" x14ac:dyDescent="0.3">
      <c r="A141" s="2" t="s">
        <v>207</v>
      </c>
      <c r="B141" s="6">
        <v>45671</v>
      </c>
      <c r="C141" s="2" t="s">
        <v>44</v>
      </c>
      <c r="D141" s="2" t="s">
        <v>29</v>
      </c>
      <c r="E141" s="2">
        <v>3</v>
      </c>
      <c r="F141" s="7">
        <v>229</v>
      </c>
      <c r="G141" s="8">
        <v>0.1</v>
      </c>
      <c r="H141" s="9" t="str">
        <f>INDEX(Products!$B$2:$B$37, MATCH(D141, Products!$A$2:$A$37, 0))</f>
        <v>Women's Summer Dress</v>
      </c>
      <c r="I141" t="str">
        <f>INDEX(Products!$C$2:$C$37, MATCH(D141, Products!$A$2:$A$37, 0))</f>
        <v>Fashion</v>
      </c>
      <c r="J141">
        <f>INDEX(Products!$E$2:$E$37, MATCH(D141, Products!$A$2:$A$37, 0))</f>
        <v>120</v>
      </c>
      <c r="K141" s="9">
        <f t="shared" si="8"/>
        <v>618.30000000000007</v>
      </c>
      <c r="L141">
        <f t="shared" si="9"/>
        <v>360</v>
      </c>
      <c r="M141" s="9">
        <f t="shared" si="10"/>
        <v>258.30000000000007</v>
      </c>
      <c r="N141" t="str">
        <f t="shared" si="11"/>
        <v>Jan</v>
      </c>
    </row>
    <row r="142" spans="1:14" x14ac:dyDescent="0.3">
      <c r="A142" s="2" t="s">
        <v>208</v>
      </c>
      <c r="B142" s="6">
        <v>45671</v>
      </c>
      <c r="C142" s="2" t="s">
        <v>31</v>
      </c>
      <c r="D142" s="2" t="s">
        <v>99</v>
      </c>
      <c r="E142" s="2">
        <v>2</v>
      </c>
      <c r="F142" s="7">
        <v>459</v>
      </c>
      <c r="G142" s="8">
        <v>0</v>
      </c>
      <c r="H142" s="9" t="str">
        <f>INDEX(Products!$B$2:$B$37, MATCH(D142, Products!$A$2:$A$37, 0))</f>
        <v>Gaming Headset X</v>
      </c>
      <c r="I142" t="str">
        <f>INDEX(Products!$C$2:$C$37, MATCH(D142, Products!$A$2:$A$37, 0))</f>
        <v>Electronics</v>
      </c>
      <c r="J142">
        <f>INDEX(Products!$E$2:$E$37, MATCH(D142, Products!$A$2:$A$37, 0))</f>
        <v>300</v>
      </c>
      <c r="K142" s="9">
        <f t="shared" si="8"/>
        <v>918</v>
      </c>
      <c r="L142">
        <f t="shared" si="9"/>
        <v>600</v>
      </c>
      <c r="M142" s="9">
        <f t="shared" si="10"/>
        <v>318</v>
      </c>
      <c r="N142" t="str">
        <f t="shared" si="11"/>
        <v>Jan</v>
      </c>
    </row>
    <row r="143" spans="1:14" x14ac:dyDescent="0.3">
      <c r="A143" s="2" t="s">
        <v>209</v>
      </c>
      <c r="B143" s="6">
        <v>45671</v>
      </c>
      <c r="C143" s="2" t="s">
        <v>41</v>
      </c>
      <c r="D143" s="2" t="s">
        <v>60</v>
      </c>
      <c r="E143" s="2">
        <v>1</v>
      </c>
      <c r="F143" s="7">
        <v>99</v>
      </c>
      <c r="G143" s="8">
        <v>0.05</v>
      </c>
      <c r="H143" s="9" t="str">
        <f>INDEX(Products!$B$2:$B$37, MATCH(D143, Products!$A$2:$A$37, 0))</f>
        <v>Football Size 5</v>
      </c>
      <c r="I143" t="str">
        <f>INDEX(Products!$C$2:$C$37, MATCH(D143, Products!$A$2:$A$37, 0))</f>
        <v>Sports</v>
      </c>
      <c r="J143">
        <f>INDEX(Products!$E$2:$E$37, MATCH(D143, Products!$A$2:$A$37, 0))</f>
        <v>45</v>
      </c>
      <c r="K143" s="9">
        <f t="shared" si="8"/>
        <v>94.05</v>
      </c>
      <c r="L143">
        <f t="shared" si="9"/>
        <v>45</v>
      </c>
      <c r="M143" s="9">
        <f t="shared" si="10"/>
        <v>49.05</v>
      </c>
      <c r="N143" t="str">
        <f t="shared" si="11"/>
        <v>Jan</v>
      </c>
    </row>
    <row r="144" spans="1:14" x14ac:dyDescent="0.3">
      <c r="A144" s="2" t="s">
        <v>210</v>
      </c>
      <c r="B144" s="6">
        <v>45671</v>
      </c>
      <c r="C144" s="2" t="s">
        <v>28</v>
      </c>
      <c r="D144" s="2" t="s">
        <v>60</v>
      </c>
      <c r="E144" s="2">
        <v>1</v>
      </c>
      <c r="F144" s="7">
        <v>99</v>
      </c>
      <c r="G144" s="8">
        <v>0</v>
      </c>
      <c r="H144" s="9" t="str">
        <f>INDEX(Products!$B$2:$B$37, MATCH(D144, Products!$A$2:$A$37, 0))</f>
        <v>Football Size 5</v>
      </c>
      <c r="I144" t="str">
        <f>INDEX(Products!$C$2:$C$37, MATCH(D144, Products!$A$2:$A$37, 0))</f>
        <v>Sports</v>
      </c>
      <c r="J144">
        <f>INDEX(Products!$E$2:$E$37, MATCH(D144, Products!$A$2:$A$37, 0))</f>
        <v>45</v>
      </c>
      <c r="K144" s="9">
        <f t="shared" si="8"/>
        <v>99</v>
      </c>
      <c r="L144">
        <f t="shared" si="9"/>
        <v>45</v>
      </c>
      <c r="M144" s="9">
        <f t="shared" si="10"/>
        <v>54</v>
      </c>
      <c r="N144" t="str">
        <f t="shared" si="11"/>
        <v>Jan</v>
      </c>
    </row>
    <row r="145" spans="1:14" x14ac:dyDescent="0.3">
      <c r="A145" s="2" t="s">
        <v>211</v>
      </c>
      <c r="B145" s="6">
        <v>45671</v>
      </c>
      <c r="C145" s="2" t="s">
        <v>44</v>
      </c>
      <c r="D145" s="2" t="s">
        <v>78</v>
      </c>
      <c r="E145" s="2">
        <v>1</v>
      </c>
      <c r="F145" s="7">
        <v>499</v>
      </c>
      <c r="G145" s="8">
        <v>0.15</v>
      </c>
      <c r="H145" s="9" t="str">
        <f>INDEX(Products!$B$2:$B$37, MATCH(D145, Products!$A$2:$A$37, 0))</f>
        <v>Air Fryer 5L</v>
      </c>
      <c r="I145" t="str">
        <f>INDEX(Products!$C$2:$C$37, MATCH(D145, Products!$A$2:$A$37, 0))</f>
        <v>Home &amp; Kitchen</v>
      </c>
      <c r="J145">
        <f>INDEX(Products!$E$2:$E$37, MATCH(D145, Products!$A$2:$A$37, 0))</f>
        <v>290</v>
      </c>
      <c r="K145" s="9">
        <f t="shared" si="8"/>
        <v>424.15</v>
      </c>
      <c r="L145">
        <f t="shared" si="9"/>
        <v>290</v>
      </c>
      <c r="M145" s="9">
        <f t="shared" si="10"/>
        <v>134.14999999999998</v>
      </c>
      <c r="N145" t="str">
        <f t="shared" si="11"/>
        <v>Jan</v>
      </c>
    </row>
    <row r="146" spans="1:14" x14ac:dyDescent="0.3">
      <c r="A146" s="2" t="s">
        <v>212</v>
      </c>
      <c r="B146" s="6">
        <v>45671</v>
      </c>
      <c r="C146" s="2" t="s">
        <v>48</v>
      </c>
      <c r="D146" s="2" t="s">
        <v>35</v>
      </c>
      <c r="E146" s="2">
        <v>1</v>
      </c>
      <c r="F146" s="7">
        <v>179</v>
      </c>
      <c r="G146" s="8">
        <v>0.05</v>
      </c>
      <c r="H146" s="9" t="str">
        <f>INDEX(Products!$B$2:$B$37, MATCH(D146, Products!$A$2:$A$37, 0))</f>
        <v>Men's Linen Shirt</v>
      </c>
      <c r="I146" t="str">
        <f>INDEX(Products!$C$2:$C$37, MATCH(D146, Products!$A$2:$A$37, 0))</f>
        <v>Fashion</v>
      </c>
      <c r="J146">
        <f>INDEX(Products!$E$2:$E$37, MATCH(D146, Products!$A$2:$A$37, 0))</f>
        <v>70</v>
      </c>
      <c r="K146" s="9">
        <f t="shared" si="8"/>
        <v>170.04999999999998</v>
      </c>
      <c r="L146">
        <f t="shared" si="9"/>
        <v>70</v>
      </c>
      <c r="M146" s="9">
        <f t="shared" si="10"/>
        <v>100.04999999999998</v>
      </c>
      <c r="N146" t="str">
        <f t="shared" si="11"/>
        <v>Jan</v>
      </c>
    </row>
    <row r="147" spans="1:14" x14ac:dyDescent="0.3">
      <c r="A147" s="2" t="s">
        <v>213</v>
      </c>
      <c r="B147" s="6">
        <v>45671</v>
      </c>
      <c r="C147" s="2" t="s">
        <v>41</v>
      </c>
      <c r="D147" s="2" t="s">
        <v>42</v>
      </c>
      <c r="E147" s="2">
        <v>1</v>
      </c>
      <c r="F147" s="7">
        <v>399</v>
      </c>
      <c r="G147" s="8">
        <v>0.2</v>
      </c>
      <c r="H147" s="9" t="str">
        <f>INDEX(Products!$B$2:$B$37, MATCH(D147, Products!$A$2:$A$37, 0))</f>
        <v>Wireless Earbuds Pro</v>
      </c>
      <c r="I147" t="str">
        <f>INDEX(Products!$C$2:$C$37, MATCH(D147, Products!$A$2:$A$37, 0))</f>
        <v>Electronics</v>
      </c>
      <c r="J147">
        <f>INDEX(Products!$E$2:$E$37, MATCH(D147, Products!$A$2:$A$37, 0))</f>
        <v>230</v>
      </c>
      <c r="K147" s="9">
        <f t="shared" si="8"/>
        <v>319.20000000000005</v>
      </c>
      <c r="L147">
        <f t="shared" si="9"/>
        <v>230</v>
      </c>
      <c r="M147" s="9">
        <f t="shared" si="10"/>
        <v>89.200000000000045</v>
      </c>
      <c r="N147" t="str">
        <f t="shared" si="11"/>
        <v>Jan</v>
      </c>
    </row>
    <row r="148" spans="1:14" x14ac:dyDescent="0.3">
      <c r="A148" s="2" t="s">
        <v>214</v>
      </c>
      <c r="B148" s="6">
        <v>45671</v>
      </c>
      <c r="C148" s="2" t="s">
        <v>44</v>
      </c>
      <c r="D148" s="2" t="s">
        <v>49</v>
      </c>
      <c r="E148" s="2">
        <v>1</v>
      </c>
      <c r="F148" s="7">
        <v>149</v>
      </c>
      <c r="G148" s="8">
        <v>0</v>
      </c>
      <c r="H148" s="9" t="str">
        <f>INDEX(Products!$B$2:$B$37, MATCH(D148, Products!$A$2:$A$37, 0))</f>
        <v>Kids' Sneakers</v>
      </c>
      <c r="I148" t="str">
        <f>INDEX(Products!$C$2:$C$37, MATCH(D148, Products!$A$2:$A$37, 0))</f>
        <v>Fashion</v>
      </c>
      <c r="J148">
        <f>INDEX(Products!$E$2:$E$37, MATCH(D148, Products!$A$2:$A$37, 0))</f>
        <v>80</v>
      </c>
      <c r="K148" s="9">
        <f t="shared" si="8"/>
        <v>149</v>
      </c>
      <c r="L148">
        <f t="shared" si="9"/>
        <v>80</v>
      </c>
      <c r="M148" s="9">
        <f t="shared" si="10"/>
        <v>69</v>
      </c>
      <c r="N148" t="str">
        <f t="shared" si="11"/>
        <v>Jan</v>
      </c>
    </row>
    <row r="149" spans="1:14" x14ac:dyDescent="0.3">
      <c r="A149" s="2" t="s">
        <v>215</v>
      </c>
      <c r="B149" s="6">
        <v>45671</v>
      </c>
      <c r="C149" s="2" t="s">
        <v>31</v>
      </c>
      <c r="D149" s="2" t="s">
        <v>126</v>
      </c>
      <c r="E149" s="2">
        <v>1</v>
      </c>
      <c r="F149" s="7">
        <v>89</v>
      </c>
      <c r="G149" s="8">
        <v>0</v>
      </c>
      <c r="H149" s="9" t="str">
        <f>INDEX(Products!$B$2:$B$37, MATCH(D149, Products!$A$2:$A$37, 0))</f>
        <v>USB-C Fast Charger</v>
      </c>
      <c r="I149" t="str">
        <f>INDEX(Products!$C$2:$C$37, MATCH(D149, Products!$A$2:$A$37, 0))</f>
        <v>Electronics</v>
      </c>
      <c r="J149">
        <f>INDEX(Products!$E$2:$E$37, MATCH(D149, Products!$A$2:$A$37, 0))</f>
        <v>35</v>
      </c>
      <c r="K149" s="9">
        <f t="shared" si="8"/>
        <v>89</v>
      </c>
      <c r="L149">
        <f t="shared" si="9"/>
        <v>35</v>
      </c>
      <c r="M149" s="9">
        <f t="shared" si="10"/>
        <v>54</v>
      </c>
      <c r="N149" t="str">
        <f t="shared" si="11"/>
        <v>Jan</v>
      </c>
    </row>
    <row r="150" spans="1:14" x14ac:dyDescent="0.3">
      <c r="A150" s="2" t="s">
        <v>216</v>
      </c>
      <c r="B150" s="6">
        <v>45671</v>
      </c>
      <c r="C150" s="2" t="s">
        <v>41</v>
      </c>
      <c r="D150" s="2" t="s">
        <v>95</v>
      </c>
      <c r="E150" s="2">
        <v>3</v>
      </c>
      <c r="F150" s="7">
        <v>259</v>
      </c>
      <c r="G150" s="8">
        <v>0</v>
      </c>
      <c r="H150" s="9" t="str">
        <f>INDEX(Products!$B$2:$B$37, MATCH(D150, Products!$A$2:$A$37, 0))</f>
        <v>Bed Linen Set (King)</v>
      </c>
      <c r="I150" t="str">
        <f>INDEX(Products!$C$2:$C$37, MATCH(D150, Products!$A$2:$A$37, 0))</f>
        <v>Home &amp; Kitchen</v>
      </c>
      <c r="J150">
        <f>INDEX(Products!$E$2:$E$37, MATCH(D150, Products!$A$2:$A$37, 0))</f>
        <v>115</v>
      </c>
      <c r="K150" s="9">
        <f t="shared" si="8"/>
        <v>777</v>
      </c>
      <c r="L150">
        <f t="shared" si="9"/>
        <v>345</v>
      </c>
      <c r="M150" s="9">
        <f t="shared" si="10"/>
        <v>432</v>
      </c>
      <c r="N150" t="str">
        <f t="shared" si="11"/>
        <v>Jan</v>
      </c>
    </row>
    <row r="151" spans="1:14" x14ac:dyDescent="0.3">
      <c r="A151" s="2" t="s">
        <v>217</v>
      </c>
      <c r="B151" s="6">
        <v>45671</v>
      </c>
      <c r="C151" s="2" t="s">
        <v>48</v>
      </c>
      <c r="D151" s="2" t="s">
        <v>35</v>
      </c>
      <c r="E151" s="2">
        <v>1</v>
      </c>
      <c r="F151" s="7">
        <v>179</v>
      </c>
      <c r="G151" s="8">
        <v>0.05</v>
      </c>
      <c r="H151" s="9" t="str">
        <f>INDEX(Products!$B$2:$B$37, MATCH(D151, Products!$A$2:$A$37, 0))</f>
        <v>Men's Linen Shirt</v>
      </c>
      <c r="I151" t="str">
        <f>INDEX(Products!$C$2:$C$37, MATCH(D151, Products!$A$2:$A$37, 0))</f>
        <v>Fashion</v>
      </c>
      <c r="J151">
        <f>INDEX(Products!$E$2:$E$37, MATCH(D151, Products!$A$2:$A$37, 0))</f>
        <v>70</v>
      </c>
      <c r="K151" s="9">
        <f t="shared" si="8"/>
        <v>170.04999999999998</v>
      </c>
      <c r="L151">
        <f t="shared" si="9"/>
        <v>70</v>
      </c>
      <c r="M151" s="9">
        <f t="shared" si="10"/>
        <v>100.04999999999998</v>
      </c>
      <c r="N151" t="str">
        <f t="shared" si="11"/>
        <v>Jan</v>
      </c>
    </row>
    <row r="152" spans="1:14" x14ac:dyDescent="0.3">
      <c r="A152" s="2" t="s">
        <v>218</v>
      </c>
      <c r="B152" s="6">
        <v>45671</v>
      </c>
      <c r="C152" s="2" t="s">
        <v>28</v>
      </c>
      <c r="D152" s="2" t="s">
        <v>126</v>
      </c>
      <c r="E152" s="2">
        <v>2</v>
      </c>
      <c r="F152" s="7">
        <v>89</v>
      </c>
      <c r="G152" s="8">
        <v>0.3</v>
      </c>
      <c r="H152" s="9" t="str">
        <f>INDEX(Products!$B$2:$B$37, MATCH(D152, Products!$A$2:$A$37, 0))</f>
        <v>USB-C Fast Charger</v>
      </c>
      <c r="I152" t="str">
        <f>INDEX(Products!$C$2:$C$37, MATCH(D152, Products!$A$2:$A$37, 0))</f>
        <v>Electronics</v>
      </c>
      <c r="J152">
        <f>INDEX(Products!$E$2:$E$37, MATCH(D152, Products!$A$2:$A$37, 0))</f>
        <v>35</v>
      </c>
      <c r="K152" s="9">
        <f t="shared" si="8"/>
        <v>124.6</v>
      </c>
      <c r="L152">
        <f t="shared" si="9"/>
        <v>70</v>
      </c>
      <c r="M152" s="9">
        <f t="shared" si="10"/>
        <v>54.599999999999994</v>
      </c>
      <c r="N152" t="str">
        <f t="shared" si="11"/>
        <v>Jan</v>
      </c>
    </row>
    <row r="153" spans="1:14" x14ac:dyDescent="0.3">
      <c r="A153" s="2" t="s">
        <v>219</v>
      </c>
      <c r="B153" s="6">
        <v>45672</v>
      </c>
      <c r="C153" s="2" t="s">
        <v>41</v>
      </c>
      <c r="D153" s="2" t="s">
        <v>126</v>
      </c>
      <c r="E153" s="2">
        <v>1</v>
      </c>
      <c r="F153" s="7">
        <v>89</v>
      </c>
      <c r="G153" s="8">
        <v>0</v>
      </c>
      <c r="H153" s="9" t="str">
        <f>INDEX(Products!$B$2:$B$37, MATCH(D153, Products!$A$2:$A$37, 0))</f>
        <v>USB-C Fast Charger</v>
      </c>
      <c r="I153" t="str">
        <f>INDEX(Products!$C$2:$C$37, MATCH(D153, Products!$A$2:$A$37, 0))</f>
        <v>Electronics</v>
      </c>
      <c r="J153">
        <f>INDEX(Products!$E$2:$E$37, MATCH(D153, Products!$A$2:$A$37, 0))</f>
        <v>35</v>
      </c>
      <c r="K153" s="9">
        <f t="shared" si="8"/>
        <v>89</v>
      </c>
      <c r="L153">
        <f t="shared" si="9"/>
        <v>35</v>
      </c>
      <c r="M153" s="9">
        <f t="shared" si="10"/>
        <v>54</v>
      </c>
      <c r="N153" t="str">
        <f t="shared" si="11"/>
        <v>Jan</v>
      </c>
    </row>
    <row r="154" spans="1:14" x14ac:dyDescent="0.3">
      <c r="A154" s="2" t="s">
        <v>220</v>
      </c>
      <c r="B154" s="6">
        <v>45672</v>
      </c>
      <c r="C154" s="2" t="s">
        <v>44</v>
      </c>
      <c r="D154" s="2" t="s">
        <v>46</v>
      </c>
      <c r="E154" s="2">
        <v>3</v>
      </c>
      <c r="F154" s="7">
        <v>189</v>
      </c>
      <c r="G154" s="8">
        <v>0.15</v>
      </c>
      <c r="H154" s="9" t="str">
        <f>INDEX(Products!$B$2:$B$37, MATCH(D154, Products!$A$2:$A$37, 0))</f>
        <v>Makeup Palette</v>
      </c>
      <c r="I154" t="str">
        <f>INDEX(Products!$C$2:$C$37, MATCH(D154, Products!$A$2:$A$37, 0))</f>
        <v>Beauty</v>
      </c>
      <c r="J154">
        <f>INDEX(Products!$E$2:$E$37, MATCH(D154, Products!$A$2:$A$37, 0))</f>
        <v>85</v>
      </c>
      <c r="K154" s="9">
        <f t="shared" si="8"/>
        <v>481.95</v>
      </c>
      <c r="L154">
        <f t="shared" si="9"/>
        <v>255</v>
      </c>
      <c r="M154" s="9">
        <f t="shared" si="10"/>
        <v>226.95</v>
      </c>
      <c r="N154" t="str">
        <f t="shared" si="11"/>
        <v>Jan</v>
      </c>
    </row>
    <row r="155" spans="1:14" x14ac:dyDescent="0.3">
      <c r="A155" s="2" t="s">
        <v>221</v>
      </c>
      <c r="B155" s="6">
        <v>45672</v>
      </c>
      <c r="C155" s="2" t="s">
        <v>28</v>
      </c>
      <c r="D155" s="2" t="s">
        <v>33</v>
      </c>
      <c r="E155" s="2">
        <v>1</v>
      </c>
      <c r="F155" s="7">
        <v>199</v>
      </c>
      <c r="G155" s="8">
        <v>0.1</v>
      </c>
      <c r="H155" s="9" t="str">
        <f>INDEX(Products!$B$2:$B$37, MATCH(D155, Products!$A$2:$A$37, 0))</f>
        <v>Fitness Band Lite</v>
      </c>
      <c r="I155" t="str">
        <f>INDEX(Products!$C$2:$C$37, MATCH(D155, Products!$A$2:$A$37, 0))</f>
        <v>Electronics</v>
      </c>
      <c r="J155">
        <f>INDEX(Products!$E$2:$E$37, MATCH(D155, Products!$A$2:$A$37, 0))</f>
        <v>175</v>
      </c>
      <c r="K155" s="9">
        <f t="shared" si="8"/>
        <v>179.1</v>
      </c>
      <c r="L155">
        <f t="shared" si="9"/>
        <v>175</v>
      </c>
      <c r="M155" s="9">
        <f t="shared" si="10"/>
        <v>4.0999999999999943</v>
      </c>
      <c r="N155" t="str">
        <f t="shared" si="11"/>
        <v>Jan</v>
      </c>
    </row>
    <row r="156" spans="1:14" x14ac:dyDescent="0.3">
      <c r="A156" s="2" t="s">
        <v>222</v>
      </c>
      <c r="B156" s="6">
        <v>45672</v>
      </c>
      <c r="C156" s="2" t="s">
        <v>28</v>
      </c>
      <c r="D156" s="2" t="s">
        <v>68</v>
      </c>
      <c r="E156" s="2">
        <v>1</v>
      </c>
      <c r="F156" s="7">
        <v>249</v>
      </c>
      <c r="G156" s="8">
        <v>0</v>
      </c>
      <c r="H156" s="9" t="str">
        <f>INDEX(Products!$B$2:$B$37, MATCH(D156, Products!$A$2:$A$37, 0))</f>
        <v>Bluetooth Speaker Mini</v>
      </c>
      <c r="I156" t="str">
        <f>INDEX(Products!$C$2:$C$37, MATCH(D156, Products!$A$2:$A$37, 0))</f>
        <v>Electronics</v>
      </c>
      <c r="J156">
        <f>INDEX(Products!$E$2:$E$37, MATCH(D156, Products!$A$2:$A$37, 0))</f>
        <v>150</v>
      </c>
      <c r="K156" s="9">
        <f t="shared" si="8"/>
        <v>249</v>
      </c>
      <c r="L156">
        <f t="shared" si="9"/>
        <v>150</v>
      </c>
      <c r="M156" s="9">
        <f t="shared" si="10"/>
        <v>99</v>
      </c>
      <c r="N156" t="str">
        <f t="shared" si="11"/>
        <v>Jan</v>
      </c>
    </row>
    <row r="157" spans="1:14" x14ac:dyDescent="0.3">
      <c r="A157" s="2" t="s">
        <v>223</v>
      </c>
      <c r="B157" s="6">
        <v>45672</v>
      </c>
      <c r="C157" s="2" t="s">
        <v>44</v>
      </c>
      <c r="D157" s="2" t="s">
        <v>113</v>
      </c>
      <c r="E157" s="2">
        <v>1</v>
      </c>
      <c r="F157" s="7">
        <v>1199</v>
      </c>
      <c r="G157" s="8">
        <v>0.2</v>
      </c>
      <c r="H157" s="9" t="str">
        <f>INDEX(Products!$B$2:$B$37, MATCH(D157, Products!$A$2:$A$37, 0))</f>
        <v>Robot Vacuum S3</v>
      </c>
      <c r="I157" t="str">
        <f>INDEX(Products!$C$2:$C$37, MATCH(D157, Products!$A$2:$A$37, 0))</f>
        <v>Home &amp; Kitchen</v>
      </c>
      <c r="J157">
        <f>INDEX(Products!$E$2:$E$37, MATCH(D157, Products!$A$2:$A$37, 0))</f>
        <v>1080</v>
      </c>
      <c r="K157" s="9">
        <f t="shared" si="8"/>
        <v>959.2</v>
      </c>
      <c r="L157">
        <f t="shared" si="9"/>
        <v>1080</v>
      </c>
      <c r="M157" s="9">
        <f t="shared" si="10"/>
        <v>-120.79999999999995</v>
      </c>
      <c r="N157" t="str">
        <f t="shared" si="11"/>
        <v>Jan</v>
      </c>
    </row>
    <row r="158" spans="1:14" x14ac:dyDescent="0.3">
      <c r="A158" s="2" t="s">
        <v>224</v>
      </c>
      <c r="B158" s="6">
        <v>45672</v>
      </c>
      <c r="C158" s="2" t="s">
        <v>41</v>
      </c>
      <c r="D158" s="2" t="s">
        <v>129</v>
      </c>
      <c r="E158" s="2">
        <v>1</v>
      </c>
      <c r="F158" s="7">
        <v>149</v>
      </c>
      <c r="G158" s="8">
        <v>0</v>
      </c>
      <c r="H158" s="9" t="str">
        <f>INDEX(Products!$B$2:$B$37, MATCH(D158, Products!$A$2:$A$37, 0))</f>
        <v>Power Bank 20000mAh</v>
      </c>
      <c r="I158" t="str">
        <f>INDEX(Products!$C$2:$C$37, MATCH(D158, Products!$A$2:$A$37, 0))</f>
        <v>Electronics</v>
      </c>
      <c r="J158">
        <f>INDEX(Products!$E$2:$E$37, MATCH(D158, Products!$A$2:$A$37, 0))</f>
        <v>70</v>
      </c>
      <c r="K158" s="9">
        <f t="shared" si="8"/>
        <v>149</v>
      </c>
      <c r="L158">
        <f t="shared" si="9"/>
        <v>70</v>
      </c>
      <c r="M158" s="9">
        <f t="shared" si="10"/>
        <v>79</v>
      </c>
      <c r="N158" t="str">
        <f t="shared" si="11"/>
        <v>Jan</v>
      </c>
    </row>
    <row r="159" spans="1:14" x14ac:dyDescent="0.3">
      <c r="A159" s="2" t="s">
        <v>225</v>
      </c>
      <c r="B159" s="6">
        <v>45672</v>
      </c>
      <c r="C159" s="2" t="s">
        <v>28</v>
      </c>
      <c r="D159" s="2" t="s">
        <v>106</v>
      </c>
      <c r="E159" s="2">
        <v>1</v>
      </c>
      <c r="F159" s="7">
        <v>1299</v>
      </c>
      <c r="G159" s="8">
        <v>0</v>
      </c>
      <c r="H159" s="9" t="str">
        <f>INDEX(Products!$B$2:$B$37, MATCH(D159, Products!$A$2:$A$37, 0))</f>
        <v>Smart Watch Series 5</v>
      </c>
      <c r="I159" t="str">
        <f>INDEX(Products!$C$2:$C$37, MATCH(D159, Products!$A$2:$A$37, 0))</f>
        <v>Electronics</v>
      </c>
      <c r="J159">
        <f>INDEX(Products!$E$2:$E$37, MATCH(D159, Products!$A$2:$A$37, 0))</f>
        <v>820</v>
      </c>
      <c r="K159" s="9">
        <f t="shared" si="8"/>
        <v>1299</v>
      </c>
      <c r="L159">
        <f t="shared" si="9"/>
        <v>820</v>
      </c>
      <c r="M159" s="9">
        <f t="shared" si="10"/>
        <v>479</v>
      </c>
      <c r="N159" t="str">
        <f t="shared" si="11"/>
        <v>Jan</v>
      </c>
    </row>
    <row r="160" spans="1:14" x14ac:dyDescent="0.3">
      <c r="A160" s="2" t="s">
        <v>226</v>
      </c>
      <c r="B160" s="6">
        <v>45672</v>
      </c>
      <c r="C160" s="2" t="s">
        <v>41</v>
      </c>
      <c r="D160" s="2" t="s">
        <v>56</v>
      </c>
      <c r="E160" s="2">
        <v>1</v>
      </c>
      <c r="F160" s="7">
        <v>289</v>
      </c>
      <c r="G160" s="8">
        <v>0.05</v>
      </c>
      <c r="H160" s="9" t="str">
        <f>INDEX(Products!$B$2:$B$37, MATCH(D160, Products!$A$2:$A$37, 0))</f>
        <v>Ceramic Dinner Set</v>
      </c>
      <c r="I160" t="str">
        <f>INDEX(Products!$C$2:$C$37, MATCH(D160, Products!$A$2:$A$37, 0))</f>
        <v>Home &amp; Kitchen</v>
      </c>
      <c r="J160">
        <f>INDEX(Products!$E$2:$E$37, MATCH(D160, Products!$A$2:$A$37, 0))</f>
        <v>140</v>
      </c>
      <c r="K160" s="9">
        <f t="shared" si="8"/>
        <v>274.55</v>
      </c>
      <c r="L160">
        <f t="shared" si="9"/>
        <v>140</v>
      </c>
      <c r="M160" s="9">
        <f t="shared" si="10"/>
        <v>134.55000000000001</v>
      </c>
      <c r="N160" t="str">
        <f t="shared" si="11"/>
        <v>Jan</v>
      </c>
    </row>
    <row r="161" spans="1:14" x14ac:dyDescent="0.3">
      <c r="A161" s="2" t="s">
        <v>227</v>
      </c>
      <c r="B161" s="6">
        <v>45673</v>
      </c>
      <c r="C161" s="2" t="s">
        <v>28</v>
      </c>
      <c r="D161" s="2" t="s">
        <v>35</v>
      </c>
      <c r="E161" s="2">
        <v>1</v>
      </c>
      <c r="F161" s="7">
        <v>179</v>
      </c>
      <c r="G161" s="8">
        <v>0</v>
      </c>
      <c r="H161" s="9" t="str">
        <f>INDEX(Products!$B$2:$B$37, MATCH(D161, Products!$A$2:$A$37, 0))</f>
        <v>Men's Linen Shirt</v>
      </c>
      <c r="I161" t="str">
        <f>INDEX(Products!$C$2:$C$37, MATCH(D161, Products!$A$2:$A$37, 0))</f>
        <v>Fashion</v>
      </c>
      <c r="J161">
        <f>INDEX(Products!$E$2:$E$37, MATCH(D161, Products!$A$2:$A$37, 0))</f>
        <v>70</v>
      </c>
      <c r="K161" s="9">
        <f t="shared" si="8"/>
        <v>179</v>
      </c>
      <c r="L161">
        <f t="shared" si="9"/>
        <v>70</v>
      </c>
      <c r="M161" s="9">
        <f t="shared" si="10"/>
        <v>109</v>
      </c>
      <c r="N161" t="str">
        <f t="shared" si="11"/>
        <v>Jan</v>
      </c>
    </row>
    <row r="162" spans="1:14" x14ac:dyDescent="0.3">
      <c r="A162" s="2" t="s">
        <v>228</v>
      </c>
      <c r="B162" s="6">
        <v>45673</v>
      </c>
      <c r="C162" s="2" t="s">
        <v>28</v>
      </c>
      <c r="D162" s="2" t="s">
        <v>78</v>
      </c>
      <c r="E162" s="2">
        <v>2</v>
      </c>
      <c r="F162" s="7">
        <v>499</v>
      </c>
      <c r="G162" s="8">
        <v>0</v>
      </c>
      <c r="H162" s="9" t="str">
        <f>INDEX(Products!$B$2:$B$37, MATCH(D162, Products!$A$2:$A$37, 0))</f>
        <v>Air Fryer 5L</v>
      </c>
      <c r="I162" t="str">
        <f>INDEX(Products!$C$2:$C$37, MATCH(D162, Products!$A$2:$A$37, 0))</f>
        <v>Home &amp; Kitchen</v>
      </c>
      <c r="J162">
        <f>INDEX(Products!$E$2:$E$37, MATCH(D162, Products!$A$2:$A$37, 0))</f>
        <v>290</v>
      </c>
      <c r="K162" s="9">
        <f t="shared" si="8"/>
        <v>998</v>
      </c>
      <c r="L162">
        <f t="shared" si="9"/>
        <v>580</v>
      </c>
      <c r="M162" s="9">
        <f t="shared" si="10"/>
        <v>418</v>
      </c>
      <c r="N162" t="str">
        <f t="shared" si="11"/>
        <v>Jan</v>
      </c>
    </row>
    <row r="163" spans="1:14" x14ac:dyDescent="0.3">
      <c r="A163" s="2" t="s">
        <v>229</v>
      </c>
      <c r="B163" s="6">
        <v>45673</v>
      </c>
      <c r="C163" s="2" t="s">
        <v>41</v>
      </c>
      <c r="D163" s="2" t="s">
        <v>52</v>
      </c>
      <c r="E163" s="2">
        <v>1</v>
      </c>
      <c r="F163" s="7">
        <v>299</v>
      </c>
      <c r="G163" s="8">
        <v>0.25</v>
      </c>
      <c r="H163" s="9" t="str">
        <f>INDEX(Products!$B$2:$B$37, MATCH(D163, Products!$A$2:$A$37, 0))</f>
        <v>Hair Dryer Ionic</v>
      </c>
      <c r="I163" t="str">
        <f>INDEX(Products!$C$2:$C$37, MATCH(D163, Products!$A$2:$A$37, 0))</f>
        <v>Beauty</v>
      </c>
      <c r="J163">
        <f>INDEX(Products!$E$2:$E$37, MATCH(D163, Products!$A$2:$A$37, 0))</f>
        <v>240</v>
      </c>
      <c r="K163" s="9">
        <f t="shared" si="8"/>
        <v>224.25</v>
      </c>
      <c r="L163">
        <f t="shared" si="9"/>
        <v>240</v>
      </c>
      <c r="M163" s="9">
        <f t="shared" si="10"/>
        <v>-15.75</v>
      </c>
      <c r="N163" t="str">
        <f t="shared" si="11"/>
        <v>Jan</v>
      </c>
    </row>
    <row r="164" spans="1:14" x14ac:dyDescent="0.3">
      <c r="A164" s="2" t="s">
        <v>230</v>
      </c>
      <c r="B164" s="6">
        <v>45673</v>
      </c>
      <c r="C164" s="2" t="s">
        <v>31</v>
      </c>
      <c r="D164" s="2" t="s">
        <v>83</v>
      </c>
      <c r="E164" s="2">
        <v>1</v>
      </c>
      <c r="F164" s="7">
        <v>229</v>
      </c>
      <c r="G164" s="8">
        <v>0</v>
      </c>
      <c r="H164" s="9" t="str">
        <f>INDEX(Products!$B$2:$B$37, MATCH(D164, Products!$A$2:$A$37, 0))</f>
        <v>Cycling Helmet</v>
      </c>
      <c r="I164" t="str">
        <f>INDEX(Products!$C$2:$C$37, MATCH(D164, Products!$A$2:$A$37, 0))</f>
        <v>Sports</v>
      </c>
      <c r="J164">
        <f>INDEX(Products!$E$2:$E$37, MATCH(D164, Products!$A$2:$A$37, 0))</f>
        <v>120</v>
      </c>
      <c r="K164" s="9">
        <f t="shared" si="8"/>
        <v>229</v>
      </c>
      <c r="L164">
        <f t="shared" si="9"/>
        <v>120</v>
      </c>
      <c r="M164" s="9">
        <f t="shared" si="10"/>
        <v>109</v>
      </c>
      <c r="N164" t="str">
        <f t="shared" si="11"/>
        <v>Jan</v>
      </c>
    </row>
    <row r="165" spans="1:14" x14ac:dyDescent="0.3">
      <c r="A165" s="2" t="s">
        <v>231</v>
      </c>
      <c r="B165" s="6">
        <v>45673</v>
      </c>
      <c r="C165" s="2" t="s">
        <v>41</v>
      </c>
      <c r="D165" s="2" t="s">
        <v>95</v>
      </c>
      <c r="E165" s="2">
        <v>1</v>
      </c>
      <c r="F165" s="7">
        <v>259</v>
      </c>
      <c r="G165" s="8">
        <v>0</v>
      </c>
      <c r="H165" s="9" t="str">
        <f>INDEX(Products!$B$2:$B$37, MATCH(D165, Products!$A$2:$A$37, 0))</f>
        <v>Bed Linen Set (King)</v>
      </c>
      <c r="I165" t="str">
        <f>INDEX(Products!$C$2:$C$37, MATCH(D165, Products!$A$2:$A$37, 0))</f>
        <v>Home &amp; Kitchen</v>
      </c>
      <c r="J165">
        <f>INDEX(Products!$E$2:$E$37, MATCH(D165, Products!$A$2:$A$37, 0))</f>
        <v>115</v>
      </c>
      <c r="K165" s="9">
        <f t="shared" si="8"/>
        <v>259</v>
      </c>
      <c r="L165">
        <f t="shared" si="9"/>
        <v>115</v>
      </c>
      <c r="M165" s="9">
        <f t="shared" si="10"/>
        <v>144</v>
      </c>
      <c r="N165" t="str">
        <f t="shared" si="11"/>
        <v>Jan</v>
      </c>
    </row>
    <row r="166" spans="1:14" x14ac:dyDescent="0.3">
      <c r="A166" s="2" t="s">
        <v>232</v>
      </c>
      <c r="B166" s="6">
        <v>45673</v>
      </c>
      <c r="C166" s="2" t="s">
        <v>48</v>
      </c>
      <c r="D166" s="2" t="s">
        <v>89</v>
      </c>
      <c r="E166" s="2">
        <v>1</v>
      </c>
      <c r="F166" s="7">
        <v>399</v>
      </c>
      <c r="G166" s="8">
        <v>0.3</v>
      </c>
      <c r="H166" s="9" t="str">
        <f>INDEX(Products!$B$2:$B$37, MATCH(D166, Products!$A$2:$A$37, 0))</f>
        <v>Men's Kandura Premium</v>
      </c>
      <c r="I166" t="str">
        <f>INDEX(Products!$C$2:$C$37, MATCH(D166, Products!$A$2:$A$37, 0))</f>
        <v>Fashion</v>
      </c>
      <c r="J166">
        <f>INDEX(Products!$E$2:$E$37, MATCH(D166, Products!$A$2:$A$37, 0))</f>
        <v>210</v>
      </c>
      <c r="K166" s="9">
        <f t="shared" si="8"/>
        <v>279.29999999999995</v>
      </c>
      <c r="L166">
        <f t="shared" si="9"/>
        <v>210</v>
      </c>
      <c r="M166" s="9">
        <f t="shared" si="10"/>
        <v>69.299999999999955</v>
      </c>
      <c r="N166" t="str">
        <f t="shared" si="11"/>
        <v>Jan</v>
      </c>
    </row>
    <row r="167" spans="1:14" x14ac:dyDescent="0.3">
      <c r="A167" s="2" t="s">
        <v>233</v>
      </c>
      <c r="B167" s="6">
        <v>45673</v>
      </c>
      <c r="C167" s="2" t="s">
        <v>44</v>
      </c>
      <c r="D167" s="2" t="s">
        <v>35</v>
      </c>
      <c r="E167" s="2">
        <v>1</v>
      </c>
      <c r="F167" s="7">
        <v>179</v>
      </c>
      <c r="G167" s="8">
        <v>0</v>
      </c>
      <c r="H167" s="9" t="str">
        <f>INDEX(Products!$B$2:$B$37, MATCH(D167, Products!$A$2:$A$37, 0))</f>
        <v>Men's Linen Shirt</v>
      </c>
      <c r="I167" t="str">
        <f>INDEX(Products!$C$2:$C$37, MATCH(D167, Products!$A$2:$A$37, 0))</f>
        <v>Fashion</v>
      </c>
      <c r="J167">
        <f>INDEX(Products!$E$2:$E$37, MATCH(D167, Products!$A$2:$A$37, 0))</f>
        <v>70</v>
      </c>
      <c r="K167" s="9">
        <f t="shared" si="8"/>
        <v>179</v>
      </c>
      <c r="L167">
        <f t="shared" si="9"/>
        <v>70</v>
      </c>
      <c r="M167" s="9">
        <f t="shared" si="10"/>
        <v>109</v>
      </c>
      <c r="N167" t="str">
        <f t="shared" si="11"/>
        <v>Jan</v>
      </c>
    </row>
    <row r="168" spans="1:14" x14ac:dyDescent="0.3">
      <c r="A168" s="2" t="s">
        <v>234</v>
      </c>
      <c r="B168" s="6">
        <v>45673</v>
      </c>
      <c r="C168" s="2" t="s">
        <v>28</v>
      </c>
      <c r="D168" s="2" t="s">
        <v>49</v>
      </c>
      <c r="E168" s="2">
        <v>3</v>
      </c>
      <c r="F168" s="7">
        <v>149</v>
      </c>
      <c r="G168" s="8">
        <v>0</v>
      </c>
      <c r="H168" s="9" t="str">
        <f>INDEX(Products!$B$2:$B$37, MATCH(D168, Products!$A$2:$A$37, 0))</f>
        <v>Kids' Sneakers</v>
      </c>
      <c r="I168" t="str">
        <f>INDEX(Products!$C$2:$C$37, MATCH(D168, Products!$A$2:$A$37, 0))</f>
        <v>Fashion</v>
      </c>
      <c r="J168">
        <f>INDEX(Products!$E$2:$E$37, MATCH(D168, Products!$A$2:$A$37, 0))</f>
        <v>80</v>
      </c>
      <c r="K168" s="9">
        <f t="shared" si="8"/>
        <v>447</v>
      </c>
      <c r="L168">
        <f t="shared" si="9"/>
        <v>240</v>
      </c>
      <c r="M168" s="9">
        <f t="shared" si="10"/>
        <v>207</v>
      </c>
      <c r="N168" t="str">
        <f t="shared" si="11"/>
        <v>Jan</v>
      </c>
    </row>
    <row r="169" spans="1:14" x14ac:dyDescent="0.3">
      <c r="A169" s="2" t="s">
        <v>235</v>
      </c>
      <c r="B169" s="6">
        <v>45674</v>
      </c>
      <c r="C169" s="2" t="s">
        <v>41</v>
      </c>
      <c r="D169" s="2" t="s">
        <v>95</v>
      </c>
      <c r="E169" s="2">
        <v>1</v>
      </c>
      <c r="F169" s="7">
        <v>259</v>
      </c>
      <c r="G169" s="8">
        <v>0</v>
      </c>
      <c r="H169" s="9" t="str">
        <f>INDEX(Products!$B$2:$B$37, MATCH(D169, Products!$A$2:$A$37, 0))</f>
        <v>Bed Linen Set (King)</v>
      </c>
      <c r="I169" t="str">
        <f>INDEX(Products!$C$2:$C$37, MATCH(D169, Products!$A$2:$A$37, 0))</f>
        <v>Home &amp; Kitchen</v>
      </c>
      <c r="J169">
        <f>INDEX(Products!$E$2:$E$37, MATCH(D169, Products!$A$2:$A$37, 0))</f>
        <v>115</v>
      </c>
      <c r="K169" s="9">
        <f t="shared" si="8"/>
        <v>259</v>
      </c>
      <c r="L169">
        <f t="shared" si="9"/>
        <v>115</v>
      </c>
      <c r="M169" s="9">
        <f t="shared" si="10"/>
        <v>144</v>
      </c>
      <c r="N169" t="str">
        <f t="shared" si="11"/>
        <v>Jan</v>
      </c>
    </row>
    <row r="170" spans="1:14" x14ac:dyDescent="0.3">
      <c r="A170" s="2" t="s">
        <v>236</v>
      </c>
      <c r="B170" s="6">
        <v>45674</v>
      </c>
      <c r="C170" s="2" t="s">
        <v>28</v>
      </c>
      <c r="D170" s="2" t="s">
        <v>103</v>
      </c>
      <c r="E170" s="2">
        <v>1</v>
      </c>
      <c r="F170" s="7">
        <v>89</v>
      </c>
      <c r="G170" s="8">
        <v>0.1</v>
      </c>
      <c r="H170" s="9" t="str">
        <f>INDEX(Products!$B$2:$B$37, MATCH(D170, Products!$A$2:$A$37, 0))</f>
        <v>Sunscreen SPF50</v>
      </c>
      <c r="I170" t="str">
        <f>INDEX(Products!$C$2:$C$37, MATCH(D170, Products!$A$2:$A$37, 0))</f>
        <v>Beauty</v>
      </c>
      <c r="J170">
        <f>INDEX(Products!$E$2:$E$37, MATCH(D170, Products!$A$2:$A$37, 0))</f>
        <v>40</v>
      </c>
      <c r="K170" s="9">
        <f t="shared" si="8"/>
        <v>80.100000000000009</v>
      </c>
      <c r="L170">
        <f t="shared" si="9"/>
        <v>40</v>
      </c>
      <c r="M170" s="9">
        <f t="shared" si="10"/>
        <v>40.100000000000009</v>
      </c>
      <c r="N170" t="str">
        <f t="shared" si="11"/>
        <v>Jan</v>
      </c>
    </row>
    <row r="171" spans="1:14" x14ac:dyDescent="0.3">
      <c r="A171" s="2" t="s">
        <v>237</v>
      </c>
      <c r="B171" s="6">
        <v>45674</v>
      </c>
      <c r="C171" s="2" t="s">
        <v>48</v>
      </c>
      <c r="D171" s="2" t="s">
        <v>194</v>
      </c>
      <c r="E171" s="2">
        <v>1</v>
      </c>
      <c r="F171" s="7">
        <v>699</v>
      </c>
      <c r="G171" s="8">
        <v>0</v>
      </c>
      <c r="H171" s="9" t="str">
        <f>INDEX(Products!$B$2:$B$37, MATCH(D171, Products!$A$2:$A$37, 0))</f>
        <v>Leather Handbag</v>
      </c>
      <c r="I171" t="str">
        <f>INDEX(Products!$C$2:$C$37, MATCH(D171, Products!$A$2:$A$37, 0))</f>
        <v>Fashion</v>
      </c>
      <c r="J171">
        <f>INDEX(Products!$E$2:$E$37, MATCH(D171, Products!$A$2:$A$37, 0))</f>
        <v>380</v>
      </c>
      <c r="K171" s="9">
        <f t="shared" si="8"/>
        <v>699</v>
      </c>
      <c r="L171">
        <f t="shared" si="9"/>
        <v>380</v>
      </c>
      <c r="M171" s="9">
        <f t="shared" si="10"/>
        <v>319</v>
      </c>
      <c r="N171" t="str">
        <f t="shared" si="11"/>
        <v>Jan</v>
      </c>
    </row>
    <row r="172" spans="1:14" x14ac:dyDescent="0.3">
      <c r="A172" s="2" t="s">
        <v>238</v>
      </c>
      <c r="B172" s="6">
        <v>45674</v>
      </c>
      <c r="C172" s="2" t="s">
        <v>44</v>
      </c>
      <c r="D172" s="2" t="s">
        <v>149</v>
      </c>
      <c r="E172" s="2">
        <v>1</v>
      </c>
      <c r="F172" s="7">
        <v>399</v>
      </c>
      <c r="G172" s="8">
        <v>0.2</v>
      </c>
      <c r="H172" s="9" t="str">
        <f>INDEX(Products!$B$2:$B$37, MATCH(D172, Products!$A$2:$A$37, 0))</f>
        <v>Blender Pro 1200W</v>
      </c>
      <c r="I172" t="str">
        <f>INDEX(Products!$C$2:$C$37, MATCH(D172, Products!$A$2:$A$37, 0))</f>
        <v>Home &amp; Kitchen</v>
      </c>
      <c r="J172">
        <f>INDEX(Products!$E$2:$E$37, MATCH(D172, Products!$A$2:$A$37, 0))</f>
        <v>250</v>
      </c>
      <c r="K172" s="9">
        <f t="shared" si="8"/>
        <v>319.20000000000005</v>
      </c>
      <c r="L172">
        <f t="shared" si="9"/>
        <v>250</v>
      </c>
      <c r="M172" s="9">
        <f t="shared" si="10"/>
        <v>69.200000000000045</v>
      </c>
      <c r="N172" t="str">
        <f t="shared" si="11"/>
        <v>Jan</v>
      </c>
    </row>
    <row r="173" spans="1:14" x14ac:dyDescent="0.3">
      <c r="A173" s="2" t="s">
        <v>239</v>
      </c>
      <c r="B173" s="6">
        <v>45674</v>
      </c>
      <c r="C173" s="2" t="s">
        <v>44</v>
      </c>
      <c r="D173" s="2" t="s">
        <v>149</v>
      </c>
      <c r="E173" s="2">
        <v>2</v>
      </c>
      <c r="F173" s="7">
        <v>399</v>
      </c>
      <c r="G173" s="8">
        <v>0</v>
      </c>
      <c r="H173" s="9" t="str">
        <f>INDEX(Products!$B$2:$B$37, MATCH(D173, Products!$A$2:$A$37, 0))</f>
        <v>Blender Pro 1200W</v>
      </c>
      <c r="I173" t="str">
        <f>INDEX(Products!$C$2:$C$37, MATCH(D173, Products!$A$2:$A$37, 0))</f>
        <v>Home &amp; Kitchen</v>
      </c>
      <c r="J173">
        <f>INDEX(Products!$E$2:$E$37, MATCH(D173, Products!$A$2:$A$37, 0))</f>
        <v>250</v>
      </c>
      <c r="K173" s="9">
        <f t="shared" si="8"/>
        <v>798</v>
      </c>
      <c r="L173">
        <f t="shared" si="9"/>
        <v>500</v>
      </c>
      <c r="M173" s="9">
        <f t="shared" si="10"/>
        <v>298</v>
      </c>
      <c r="N173" t="str">
        <f t="shared" si="11"/>
        <v>Jan</v>
      </c>
    </row>
    <row r="174" spans="1:14" x14ac:dyDescent="0.3">
      <c r="A174" s="2" t="s">
        <v>240</v>
      </c>
      <c r="B174" s="6">
        <v>45674</v>
      </c>
      <c r="C174" s="2" t="s">
        <v>41</v>
      </c>
      <c r="D174" s="2" t="s">
        <v>37</v>
      </c>
      <c r="E174" s="2">
        <v>1</v>
      </c>
      <c r="F174" s="7">
        <v>249</v>
      </c>
      <c r="G174" s="8">
        <v>0</v>
      </c>
      <c r="H174" s="9" t="str">
        <f>INDEX(Products!$B$2:$B$37, MATCH(D174, Products!$A$2:$A$37, 0))</f>
        <v>Sunglasses Polarised</v>
      </c>
      <c r="I174" t="str">
        <f>INDEX(Products!$C$2:$C$37, MATCH(D174, Products!$A$2:$A$37, 0))</f>
        <v>Fashion</v>
      </c>
      <c r="J174">
        <f>INDEX(Products!$E$2:$E$37, MATCH(D174, Products!$A$2:$A$37, 0))</f>
        <v>95</v>
      </c>
      <c r="K174" s="9">
        <f t="shared" si="8"/>
        <v>249</v>
      </c>
      <c r="L174">
        <f t="shared" si="9"/>
        <v>95</v>
      </c>
      <c r="M174" s="9">
        <f t="shared" si="10"/>
        <v>154</v>
      </c>
      <c r="N174" t="str">
        <f t="shared" si="11"/>
        <v>Jan</v>
      </c>
    </row>
    <row r="175" spans="1:14" x14ac:dyDescent="0.3">
      <c r="A175" s="2" t="s">
        <v>241</v>
      </c>
      <c r="B175" s="6">
        <v>45674</v>
      </c>
      <c r="C175" s="2" t="s">
        <v>41</v>
      </c>
      <c r="D175" s="2" t="s">
        <v>68</v>
      </c>
      <c r="E175" s="2">
        <v>1</v>
      </c>
      <c r="F175" s="7">
        <v>249</v>
      </c>
      <c r="G175" s="8">
        <v>0.05</v>
      </c>
      <c r="H175" s="9" t="str">
        <f>INDEX(Products!$B$2:$B$37, MATCH(D175, Products!$A$2:$A$37, 0))</f>
        <v>Bluetooth Speaker Mini</v>
      </c>
      <c r="I175" t="str">
        <f>INDEX(Products!$C$2:$C$37, MATCH(D175, Products!$A$2:$A$37, 0))</f>
        <v>Electronics</v>
      </c>
      <c r="J175">
        <f>INDEX(Products!$E$2:$E$37, MATCH(D175, Products!$A$2:$A$37, 0))</f>
        <v>150</v>
      </c>
      <c r="K175" s="9">
        <f t="shared" si="8"/>
        <v>236.54999999999998</v>
      </c>
      <c r="L175">
        <f t="shared" si="9"/>
        <v>150</v>
      </c>
      <c r="M175" s="9">
        <f t="shared" si="10"/>
        <v>86.549999999999983</v>
      </c>
      <c r="N175" t="str">
        <f t="shared" si="11"/>
        <v>Jan</v>
      </c>
    </row>
    <row r="176" spans="1:14" x14ac:dyDescent="0.3">
      <c r="A176" s="2" t="s">
        <v>242</v>
      </c>
      <c r="B176" s="6">
        <v>45674</v>
      </c>
      <c r="C176" s="2" t="s">
        <v>44</v>
      </c>
      <c r="D176" s="2" t="s">
        <v>29</v>
      </c>
      <c r="E176" s="2">
        <v>2</v>
      </c>
      <c r="F176" s="7">
        <v>229</v>
      </c>
      <c r="G176" s="8">
        <v>0.2</v>
      </c>
      <c r="H176" s="9" t="str">
        <f>INDEX(Products!$B$2:$B$37, MATCH(D176, Products!$A$2:$A$37, 0))</f>
        <v>Women's Summer Dress</v>
      </c>
      <c r="I176" t="str">
        <f>INDEX(Products!$C$2:$C$37, MATCH(D176, Products!$A$2:$A$37, 0))</f>
        <v>Fashion</v>
      </c>
      <c r="J176">
        <f>INDEX(Products!$E$2:$E$37, MATCH(D176, Products!$A$2:$A$37, 0))</f>
        <v>120</v>
      </c>
      <c r="K176" s="9">
        <f t="shared" si="8"/>
        <v>366.40000000000003</v>
      </c>
      <c r="L176">
        <f t="shared" si="9"/>
        <v>240</v>
      </c>
      <c r="M176" s="9">
        <f t="shared" si="10"/>
        <v>126.40000000000003</v>
      </c>
      <c r="N176" t="str">
        <f t="shared" si="11"/>
        <v>Jan</v>
      </c>
    </row>
    <row r="177" spans="1:14" x14ac:dyDescent="0.3">
      <c r="A177" s="2" t="s">
        <v>243</v>
      </c>
      <c r="B177" s="6">
        <v>45674</v>
      </c>
      <c r="C177" s="2" t="s">
        <v>44</v>
      </c>
      <c r="D177" s="2" t="s">
        <v>68</v>
      </c>
      <c r="E177" s="2">
        <v>2</v>
      </c>
      <c r="F177" s="7">
        <v>249</v>
      </c>
      <c r="G177" s="8">
        <v>0.05</v>
      </c>
      <c r="H177" s="9" t="str">
        <f>INDEX(Products!$B$2:$B$37, MATCH(D177, Products!$A$2:$A$37, 0))</f>
        <v>Bluetooth Speaker Mini</v>
      </c>
      <c r="I177" t="str">
        <f>INDEX(Products!$C$2:$C$37, MATCH(D177, Products!$A$2:$A$37, 0))</f>
        <v>Electronics</v>
      </c>
      <c r="J177">
        <f>INDEX(Products!$E$2:$E$37, MATCH(D177, Products!$A$2:$A$37, 0))</f>
        <v>150</v>
      </c>
      <c r="K177" s="9">
        <f t="shared" si="8"/>
        <v>473.09999999999997</v>
      </c>
      <c r="L177">
        <f t="shared" si="9"/>
        <v>300</v>
      </c>
      <c r="M177" s="9">
        <f t="shared" si="10"/>
        <v>173.09999999999997</v>
      </c>
      <c r="N177" t="str">
        <f t="shared" si="11"/>
        <v>Jan</v>
      </c>
    </row>
    <row r="178" spans="1:14" x14ac:dyDescent="0.3">
      <c r="A178" s="2" t="s">
        <v>244</v>
      </c>
      <c r="B178" s="6">
        <v>45674</v>
      </c>
      <c r="C178" s="2" t="s">
        <v>41</v>
      </c>
      <c r="D178" s="2" t="s">
        <v>89</v>
      </c>
      <c r="E178" s="2">
        <v>3</v>
      </c>
      <c r="F178" s="7">
        <v>399</v>
      </c>
      <c r="G178" s="8">
        <v>0.3</v>
      </c>
      <c r="H178" s="9" t="str">
        <f>INDEX(Products!$B$2:$B$37, MATCH(D178, Products!$A$2:$A$37, 0))</f>
        <v>Men's Kandura Premium</v>
      </c>
      <c r="I178" t="str">
        <f>INDEX(Products!$C$2:$C$37, MATCH(D178, Products!$A$2:$A$37, 0))</f>
        <v>Fashion</v>
      </c>
      <c r="J178">
        <f>INDEX(Products!$E$2:$E$37, MATCH(D178, Products!$A$2:$A$37, 0))</f>
        <v>210</v>
      </c>
      <c r="K178" s="9">
        <f t="shared" si="8"/>
        <v>837.9</v>
      </c>
      <c r="L178">
        <f t="shared" si="9"/>
        <v>630</v>
      </c>
      <c r="M178" s="9">
        <f t="shared" si="10"/>
        <v>207.89999999999998</v>
      </c>
      <c r="N178" t="str">
        <f t="shared" si="11"/>
        <v>Jan</v>
      </c>
    </row>
    <row r="179" spans="1:14" x14ac:dyDescent="0.3">
      <c r="A179" s="2" t="s">
        <v>245</v>
      </c>
      <c r="B179" s="6">
        <v>45674</v>
      </c>
      <c r="C179" s="2" t="s">
        <v>41</v>
      </c>
      <c r="D179" s="2" t="s">
        <v>129</v>
      </c>
      <c r="E179" s="2">
        <v>2</v>
      </c>
      <c r="F179" s="7">
        <v>149</v>
      </c>
      <c r="G179" s="8">
        <v>0</v>
      </c>
      <c r="H179" s="9" t="str">
        <f>INDEX(Products!$B$2:$B$37, MATCH(D179, Products!$A$2:$A$37, 0))</f>
        <v>Power Bank 20000mAh</v>
      </c>
      <c r="I179" t="str">
        <f>INDEX(Products!$C$2:$C$37, MATCH(D179, Products!$A$2:$A$37, 0))</f>
        <v>Electronics</v>
      </c>
      <c r="J179">
        <f>INDEX(Products!$E$2:$E$37, MATCH(D179, Products!$A$2:$A$37, 0))</f>
        <v>70</v>
      </c>
      <c r="K179" s="9">
        <f t="shared" si="8"/>
        <v>298</v>
      </c>
      <c r="L179">
        <f t="shared" si="9"/>
        <v>140</v>
      </c>
      <c r="M179" s="9">
        <f t="shared" si="10"/>
        <v>158</v>
      </c>
      <c r="N179" t="str">
        <f t="shared" si="11"/>
        <v>Jan</v>
      </c>
    </row>
    <row r="180" spans="1:14" x14ac:dyDescent="0.3">
      <c r="A180" s="2" t="s">
        <v>246</v>
      </c>
      <c r="B180" s="6">
        <v>45675</v>
      </c>
      <c r="C180" s="2" t="s">
        <v>28</v>
      </c>
      <c r="D180" s="2" t="s">
        <v>131</v>
      </c>
      <c r="E180" s="2">
        <v>1</v>
      </c>
      <c r="F180" s="7">
        <v>899</v>
      </c>
      <c r="G180" s="8">
        <v>0</v>
      </c>
      <c r="H180" s="9" t="str">
        <f>INDEX(Products!$B$2:$B$37, MATCH(D180, Products!$A$2:$A$37, 0))</f>
        <v>4K Action Camera</v>
      </c>
      <c r="I180" t="str">
        <f>INDEX(Products!$C$2:$C$37, MATCH(D180, Products!$A$2:$A$37, 0))</f>
        <v>Electronics</v>
      </c>
      <c r="J180">
        <f>INDEX(Products!$E$2:$E$37, MATCH(D180, Products!$A$2:$A$37, 0))</f>
        <v>610</v>
      </c>
      <c r="K180" s="9">
        <f t="shared" si="8"/>
        <v>899</v>
      </c>
      <c r="L180">
        <f t="shared" si="9"/>
        <v>610</v>
      </c>
      <c r="M180" s="9">
        <f t="shared" si="10"/>
        <v>289</v>
      </c>
      <c r="N180" t="str">
        <f t="shared" si="11"/>
        <v>Jan</v>
      </c>
    </row>
    <row r="181" spans="1:14" x14ac:dyDescent="0.3">
      <c r="A181" s="2" t="s">
        <v>247</v>
      </c>
      <c r="B181" s="6">
        <v>45675</v>
      </c>
      <c r="C181" s="2" t="s">
        <v>41</v>
      </c>
      <c r="D181" s="2" t="s">
        <v>29</v>
      </c>
      <c r="E181" s="2">
        <v>1</v>
      </c>
      <c r="F181" s="7">
        <v>229</v>
      </c>
      <c r="G181" s="8">
        <v>0</v>
      </c>
      <c r="H181" s="9" t="str">
        <f>INDEX(Products!$B$2:$B$37, MATCH(D181, Products!$A$2:$A$37, 0))</f>
        <v>Women's Summer Dress</v>
      </c>
      <c r="I181" t="str">
        <f>INDEX(Products!$C$2:$C$37, MATCH(D181, Products!$A$2:$A$37, 0))</f>
        <v>Fashion</v>
      </c>
      <c r="J181">
        <f>INDEX(Products!$E$2:$E$37, MATCH(D181, Products!$A$2:$A$37, 0))</f>
        <v>120</v>
      </c>
      <c r="K181" s="9">
        <f t="shared" si="8"/>
        <v>229</v>
      </c>
      <c r="L181">
        <f t="shared" si="9"/>
        <v>120</v>
      </c>
      <c r="M181" s="9">
        <f t="shared" si="10"/>
        <v>109</v>
      </c>
      <c r="N181" t="str">
        <f t="shared" si="11"/>
        <v>Jan</v>
      </c>
    </row>
    <row r="182" spans="1:14" x14ac:dyDescent="0.3">
      <c r="A182" s="2" t="s">
        <v>248</v>
      </c>
      <c r="B182" s="6">
        <v>45675</v>
      </c>
      <c r="C182" s="2" t="s">
        <v>28</v>
      </c>
      <c r="D182" s="2" t="s">
        <v>115</v>
      </c>
      <c r="E182" s="2">
        <v>1</v>
      </c>
      <c r="F182" s="7">
        <v>129</v>
      </c>
      <c r="G182" s="8">
        <v>0.05</v>
      </c>
      <c r="H182" s="9" t="str">
        <f>INDEX(Products!$B$2:$B$37, MATCH(D182, Products!$A$2:$A$37, 0))</f>
        <v>Electric Kettle</v>
      </c>
      <c r="I182" t="str">
        <f>INDEX(Products!$C$2:$C$37, MATCH(D182, Products!$A$2:$A$37, 0))</f>
        <v>Home &amp; Kitchen</v>
      </c>
      <c r="J182">
        <f>INDEX(Products!$E$2:$E$37, MATCH(D182, Products!$A$2:$A$37, 0))</f>
        <v>60</v>
      </c>
      <c r="K182" s="9">
        <f t="shared" si="8"/>
        <v>122.55</v>
      </c>
      <c r="L182">
        <f t="shared" si="9"/>
        <v>60</v>
      </c>
      <c r="M182" s="9">
        <f t="shared" si="10"/>
        <v>62.55</v>
      </c>
      <c r="N182" t="str">
        <f t="shared" si="11"/>
        <v>Jan</v>
      </c>
    </row>
    <row r="183" spans="1:14" x14ac:dyDescent="0.3">
      <c r="A183" s="2" t="s">
        <v>249</v>
      </c>
      <c r="B183" s="6">
        <v>45675</v>
      </c>
      <c r="C183" s="2" t="s">
        <v>44</v>
      </c>
      <c r="D183" s="2" t="s">
        <v>58</v>
      </c>
      <c r="E183" s="2">
        <v>1</v>
      </c>
      <c r="F183" s="7">
        <v>459</v>
      </c>
      <c r="G183" s="8">
        <v>0</v>
      </c>
      <c r="H183" s="9" t="str">
        <f>INDEX(Products!$B$2:$B$37, MATCH(D183, Products!$A$2:$A$37, 0))</f>
        <v>Women's Abaya Classic</v>
      </c>
      <c r="I183" t="str">
        <f>INDEX(Products!$C$2:$C$37, MATCH(D183, Products!$A$2:$A$37, 0))</f>
        <v>Fashion</v>
      </c>
      <c r="J183">
        <f>INDEX(Products!$E$2:$E$37, MATCH(D183, Products!$A$2:$A$37, 0))</f>
        <v>190</v>
      </c>
      <c r="K183" s="9">
        <f t="shared" si="8"/>
        <v>459</v>
      </c>
      <c r="L183">
        <f t="shared" si="9"/>
        <v>190</v>
      </c>
      <c r="M183" s="9">
        <f t="shared" si="10"/>
        <v>269</v>
      </c>
      <c r="N183" t="str">
        <f t="shared" si="11"/>
        <v>Jan</v>
      </c>
    </row>
    <row r="184" spans="1:14" x14ac:dyDescent="0.3">
      <c r="A184" s="2" t="s">
        <v>250</v>
      </c>
      <c r="B184" s="6">
        <v>45675</v>
      </c>
      <c r="C184" s="2" t="s">
        <v>41</v>
      </c>
      <c r="D184" s="2" t="s">
        <v>42</v>
      </c>
      <c r="E184" s="2">
        <v>2</v>
      </c>
      <c r="F184" s="7">
        <v>399</v>
      </c>
      <c r="G184" s="8">
        <v>0</v>
      </c>
      <c r="H184" s="9" t="str">
        <f>INDEX(Products!$B$2:$B$37, MATCH(D184, Products!$A$2:$A$37, 0))</f>
        <v>Wireless Earbuds Pro</v>
      </c>
      <c r="I184" t="str">
        <f>INDEX(Products!$C$2:$C$37, MATCH(D184, Products!$A$2:$A$37, 0))</f>
        <v>Electronics</v>
      </c>
      <c r="J184">
        <f>INDEX(Products!$E$2:$E$37, MATCH(D184, Products!$A$2:$A$37, 0))</f>
        <v>230</v>
      </c>
      <c r="K184" s="9">
        <f t="shared" si="8"/>
        <v>798</v>
      </c>
      <c r="L184">
        <f t="shared" si="9"/>
        <v>460</v>
      </c>
      <c r="M184" s="9">
        <f t="shared" si="10"/>
        <v>338</v>
      </c>
      <c r="N184" t="str">
        <f t="shared" si="11"/>
        <v>Jan</v>
      </c>
    </row>
    <row r="185" spans="1:14" x14ac:dyDescent="0.3">
      <c r="A185" s="2" t="s">
        <v>251</v>
      </c>
      <c r="B185" s="6">
        <v>45675</v>
      </c>
      <c r="C185" s="2" t="s">
        <v>41</v>
      </c>
      <c r="D185" s="2" t="s">
        <v>194</v>
      </c>
      <c r="E185" s="2">
        <v>2</v>
      </c>
      <c r="F185" s="7">
        <v>699</v>
      </c>
      <c r="G185" s="8">
        <v>0.05</v>
      </c>
      <c r="H185" s="9" t="str">
        <f>INDEX(Products!$B$2:$B$37, MATCH(D185, Products!$A$2:$A$37, 0))</f>
        <v>Leather Handbag</v>
      </c>
      <c r="I185" t="str">
        <f>INDEX(Products!$C$2:$C$37, MATCH(D185, Products!$A$2:$A$37, 0))</f>
        <v>Fashion</v>
      </c>
      <c r="J185">
        <f>INDEX(Products!$E$2:$E$37, MATCH(D185, Products!$A$2:$A$37, 0))</f>
        <v>380</v>
      </c>
      <c r="K185" s="9">
        <f t="shared" si="8"/>
        <v>1328.1</v>
      </c>
      <c r="L185">
        <f t="shared" si="9"/>
        <v>760</v>
      </c>
      <c r="M185" s="9">
        <f t="shared" si="10"/>
        <v>568.09999999999991</v>
      </c>
      <c r="N185" t="str">
        <f t="shared" si="11"/>
        <v>Jan</v>
      </c>
    </row>
    <row r="186" spans="1:14" x14ac:dyDescent="0.3">
      <c r="A186" s="2" t="s">
        <v>252</v>
      </c>
      <c r="B186" s="6">
        <v>45675</v>
      </c>
      <c r="C186" s="2" t="s">
        <v>44</v>
      </c>
      <c r="D186" s="2" t="s">
        <v>49</v>
      </c>
      <c r="E186" s="2">
        <v>1</v>
      </c>
      <c r="F186" s="7">
        <v>149</v>
      </c>
      <c r="G186" s="8">
        <v>0.05</v>
      </c>
      <c r="H186" s="9" t="str">
        <f>INDEX(Products!$B$2:$B$37, MATCH(D186, Products!$A$2:$A$37, 0))</f>
        <v>Kids' Sneakers</v>
      </c>
      <c r="I186" t="str">
        <f>INDEX(Products!$C$2:$C$37, MATCH(D186, Products!$A$2:$A$37, 0))</f>
        <v>Fashion</v>
      </c>
      <c r="J186">
        <f>INDEX(Products!$E$2:$E$37, MATCH(D186, Products!$A$2:$A$37, 0))</f>
        <v>80</v>
      </c>
      <c r="K186" s="9">
        <f t="shared" si="8"/>
        <v>141.54999999999998</v>
      </c>
      <c r="L186">
        <f t="shared" si="9"/>
        <v>80</v>
      </c>
      <c r="M186" s="9">
        <f t="shared" si="10"/>
        <v>61.549999999999983</v>
      </c>
      <c r="N186" t="str">
        <f t="shared" si="11"/>
        <v>Jan</v>
      </c>
    </row>
    <row r="187" spans="1:14" x14ac:dyDescent="0.3">
      <c r="A187" s="2" t="s">
        <v>253</v>
      </c>
      <c r="B187" s="6">
        <v>45675</v>
      </c>
      <c r="C187" s="2" t="s">
        <v>28</v>
      </c>
      <c r="D187" s="2" t="s">
        <v>58</v>
      </c>
      <c r="E187" s="2">
        <v>2</v>
      </c>
      <c r="F187" s="7">
        <v>459</v>
      </c>
      <c r="G187" s="8">
        <v>0</v>
      </c>
      <c r="H187" s="9" t="str">
        <f>INDEX(Products!$B$2:$B$37, MATCH(D187, Products!$A$2:$A$37, 0))</f>
        <v>Women's Abaya Classic</v>
      </c>
      <c r="I187" t="str">
        <f>INDEX(Products!$C$2:$C$37, MATCH(D187, Products!$A$2:$A$37, 0))</f>
        <v>Fashion</v>
      </c>
      <c r="J187">
        <f>INDEX(Products!$E$2:$E$37, MATCH(D187, Products!$A$2:$A$37, 0))</f>
        <v>190</v>
      </c>
      <c r="K187" s="9">
        <f t="shared" si="8"/>
        <v>918</v>
      </c>
      <c r="L187">
        <f t="shared" si="9"/>
        <v>380</v>
      </c>
      <c r="M187" s="9">
        <f t="shared" si="10"/>
        <v>538</v>
      </c>
      <c r="N187" t="str">
        <f t="shared" si="11"/>
        <v>Jan</v>
      </c>
    </row>
    <row r="188" spans="1:14" x14ac:dyDescent="0.3">
      <c r="A188" s="2" t="s">
        <v>254</v>
      </c>
      <c r="B188" s="6">
        <v>45676</v>
      </c>
      <c r="C188" s="2" t="s">
        <v>44</v>
      </c>
      <c r="D188" s="2" t="s">
        <v>56</v>
      </c>
      <c r="E188" s="2">
        <v>1</v>
      </c>
      <c r="F188" s="7">
        <v>289</v>
      </c>
      <c r="G188" s="8">
        <v>0.05</v>
      </c>
      <c r="H188" s="9" t="str">
        <f>INDEX(Products!$B$2:$B$37, MATCH(D188, Products!$A$2:$A$37, 0))</f>
        <v>Ceramic Dinner Set</v>
      </c>
      <c r="I188" t="str">
        <f>INDEX(Products!$C$2:$C$37, MATCH(D188, Products!$A$2:$A$37, 0))</f>
        <v>Home &amp; Kitchen</v>
      </c>
      <c r="J188">
        <f>INDEX(Products!$E$2:$E$37, MATCH(D188, Products!$A$2:$A$37, 0))</f>
        <v>140</v>
      </c>
      <c r="K188" s="9">
        <f t="shared" si="8"/>
        <v>274.55</v>
      </c>
      <c r="L188">
        <f t="shared" si="9"/>
        <v>140</v>
      </c>
      <c r="M188" s="9">
        <f t="shared" si="10"/>
        <v>134.55000000000001</v>
      </c>
      <c r="N188" t="str">
        <f t="shared" si="11"/>
        <v>Jan</v>
      </c>
    </row>
    <row r="189" spans="1:14" x14ac:dyDescent="0.3">
      <c r="A189" s="2" t="s">
        <v>255</v>
      </c>
      <c r="B189" s="6">
        <v>45676</v>
      </c>
      <c r="C189" s="2" t="s">
        <v>41</v>
      </c>
      <c r="D189" s="2" t="s">
        <v>87</v>
      </c>
      <c r="E189" s="2">
        <v>1</v>
      </c>
      <c r="F189" s="7">
        <v>799</v>
      </c>
      <c r="G189" s="8">
        <v>0.15</v>
      </c>
      <c r="H189" s="9" t="str">
        <f>INDEX(Products!$B$2:$B$37, MATCH(D189, Products!$A$2:$A$37, 0))</f>
        <v>Adjustable Dumbbells</v>
      </c>
      <c r="I189" t="str">
        <f>INDEX(Products!$C$2:$C$37, MATCH(D189, Products!$A$2:$A$37, 0))</f>
        <v>Sports</v>
      </c>
      <c r="J189">
        <f>INDEX(Products!$E$2:$E$37, MATCH(D189, Products!$A$2:$A$37, 0))</f>
        <v>700</v>
      </c>
      <c r="K189" s="9">
        <f t="shared" si="8"/>
        <v>679.15</v>
      </c>
      <c r="L189">
        <f t="shared" si="9"/>
        <v>700</v>
      </c>
      <c r="M189" s="9">
        <f t="shared" si="10"/>
        <v>-20.850000000000023</v>
      </c>
      <c r="N189" t="str">
        <f t="shared" si="11"/>
        <v>Jan</v>
      </c>
    </row>
    <row r="190" spans="1:14" x14ac:dyDescent="0.3">
      <c r="A190" s="2" t="s">
        <v>256</v>
      </c>
      <c r="B190" s="6">
        <v>45676</v>
      </c>
      <c r="C190" s="2" t="s">
        <v>31</v>
      </c>
      <c r="D190" s="2" t="s">
        <v>33</v>
      </c>
      <c r="E190" s="2">
        <v>1</v>
      </c>
      <c r="F190" s="7">
        <v>199</v>
      </c>
      <c r="G190" s="8">
        <v>0.2</v>
      </c>
      <c r="H190" s="9" t="str">
        <f>INDEX(Products!$B$2:$B$37, MATCH(D190, Products!$A$2:$A$37, 0))</f>
        <v>Fitness Band Lite</v>
      </c>
      <c r="I190" t="str">
        <f>INDEX(Products!$C$2:$C$37, MATCH(D190, Products!$A$2:$A$37, 0))</f>
        <v>Electronics</v>
      </c>
      <c r="J190">
        <f>INDEX(Products!$E$2:$E$37, MATCH(D190, Products!$A$2:$A$37, 0))</f>
        <v>175</v>
      </c>
      <c r="K190" s="9">
        <f t="shared" si="8"/>
        <v>159.20000000000002</v>
      </c>
      <c r="L190">
        <f t="shared" si="9"/>
        <v>175</v>
      </c>
      <c r="M190" s="9">
        <f t="shared" si="10"/>
        <v>-15.799999999999983</v>
      </c>
      <c r="N190" t="str">
        <f t="shared" si="11"/>
        <v>Jan</v>
      </c>
    </row>
    <row r="191" spans="1:14" x14ac:dyDescent="0.3">
      <c r="A191" s="2" t="s">
        <v>257</v>
      </c>
      <c r="B191" s="6">
        <v>45676</v>
      </c>
      <c r="C191" s="2" t="s">
        <v>28</v>
      </c>
      <c r="D191" s="2" t="s">
        <v>80</v>
      </c>
      <c r="E191" s="2">
        <v>1</v>
      </c>
      <c r="F191" s="7">
        <v>149</v>
      </c>
      <c r="G191" s="8">
        <v>0</v>
      </c>
      <c r="H191" s="9" t="str">
        <f>INDEX(Products!$B$2:$B$37, MATCH(D191, Products!$A$2:$A$37, 0))</f>
        <v>Vitamin C Serum</v>
      </c>
      <c r="I191" t="str">
        <f>INDEX(Products!$C$2:$C$37, MATCH(D191, Products!$A$2:$A$37, 0))</f>
        <v>Beauty</v>
      </c>
      <c r="J191">
        <f>INDEX(Products!$E$2:$E$37, MATCH(D191, Products!$A$2:$A$37, 0))</f>
        <v>55</v>
      </c>
      <c r="K191" s="9">
        <f t="shared" si="8"/>
        <v>149</v>
      </c>
      <c r="L191">
        <f t="shared" si="9"/>
        <v>55</v>
      </c>
      <c r="M191" s="9">
        <f t="shared" si="10"/>
        <v>94</v>
      </c>
      <c r="N191" t="str">
        <f t="shared" si="11"/>
        <v>Jan</v>
      </c>
    </row>
    <row r="192" spans="1:14" x14ac:dyDescent="0.3">
      <c r="A192" s="2" t="s">
        <v>258</v>
      </c>
      <c r="B192" s="6">
        <v>45676</v>
      </c>
      <c r="C192" s="2" t="s">
        <v>41</v>
      </c>
      <c r="D192" s="2" t="s">
        <v>129</v>
      </c>
      <c r="E192" s="2">
        <v>1</v>
      </c>
      <c r="F192" s="7">
        <v>149</v>
      </c>
      <c r="G192" s="8">
        <v>0.1</v>
      </c>
      <c r="H192" s="9" t="str">
        <f>INDEX(Products!$B$2:$B$37, MATCH(D192, Products!$A$2:$A$37, 0))</f>
        <v>Power Bank 20000mAh</v>
      </c>
      <c r="I192" t="str">
        <f>INDEX(Products!$C$2:$C$37, MATCH(D192, Products!$A$2:$A$37, 0))</f>
        <v>Electronics</v>
      </c>
      <c r="J192">
        <f>INDEX(Products!$E$2:$E$37, MATCH(D192, Products!$A$2:$A$37, 0))</f>
        <v>70</v>
      </c>
      <c r="K192" s="9">
        <f t="shared" si="8"/>
        <v>134.1</v>
      </c>
      <c r="L192">
        <f t="shared" si="9"/>
        <v>70</v>
      </c>
      <c r="M192" s="9">
        <f t="shared" si="10"/>
        <v>64.099999999999994</v>
      </c>
      <c r="N192" t="str">
        <f t="shared" si="11"/>
        <v>Jan</v>
      </c>
    </row>
    <row r="193" spans="1:14" x14ac:dyDescent="0.3">
      <c r="A193" s="2" t="s">
        <v>259</v>
      </c>
      <c r="B193" s="6">
        <v>45676</v>
      </c>
      <c r="C193" s="2" t="s">
        <v>28</v>
      </c>
      <c r="D193" s="2" t="s">
        <v>46</v>
      </c>
      <c r="E193" s="2">
        <v>1</v>
      </c>
      <c r="F193" s="7">
        <v>189</v>
      </c>
      <c r="G193" s="8">
        <v>0.1</v>
      </c>
      <c r="H193" s="9" t="str">
        <f>INDEX(Products!$B$2:$B$37, MATCH(D193, Products!$A$2:$A$37, 0))</f>
        <v>Makeup Palette</v>
      </c>
      <c r="I193" t="str">
        <f>INDEX(Products!$C$2:$C$37, MATCH(D193, Products!$A$2:$A$37, 0))</f>
        <v>Beauty</v>
      </c>
      <c r="J193">
        <f>INDEX(Products!$E$2:$E$37, MATCH(D193, Products!$A$2:$A$37, 0))</f>
        <v>85</v>
      </c>
      <c r="K193" s="9">
        <f t="shared" si="8"/>
        <v>170.1</v>
      </c>
      <c r="L193">
        <f t="shared" si="9"/>
        <v>85</v>
      </c>
      <c r="M193" s="9">
        <f t="shared" si="10"/>
        <v>85.1</v>
      </c>
      <c r="N193" t="str">
        <f t="shared" si="11"/>
        <v>Jan</v>
      </c>
    </row>
    <row r="194" spans="1:14" x14ac:dyDescent="0.3">
      <c r="A194" s="2" t="s">
        <v>260</v>
      </c>
      <c r="B194" s="6">
        <v>45676</v>
      </c>
      <c r="C194" s="2" t="s">
        <v>48</v>
      </c>
      <c r="D194" s="2" t="s">
        <v>126</v>
      </c>
      <c r="E194" s="2">
        <v>3</v>
      </c>
      <c r="F194" s="7">
        <v>89</v>
      </c>
      <c r="G194" s="8">
        <v>0.1</v>
      </c>
      <c r="H194" s="9" t="str">
        <f>INDEX(Products!$B$2:$B$37, MATCH(D194, Products!$A$2:$A$37, 0))</f>
        <v>USB-C Fast Charger</v>
      </c>
      <c r="I194" t="str">
        <f>INDEX(Products!$C$2:$C$37, MATCH(D194, Products!$A$2:$A$37, 0))</f>
        <v>Electronics</v>
      </c>
      <c r="J194">
        <f>INDEX(Products!$E$2:$E$37, MATCH(D194, Products!$A$2:$A$37, 0))</f>
        <v>35</v>
      </c>
      <c r="K194" s="9">
        <f t="shared" ref="K194:K257" si="12">E194*F194*(1-G194)</f>
        <v>240.3</v>
      </c>
      <c r="L194">
        <f t="shared" ref="L194:L257" si="13">E194*J194</f>
        <v>105</v>
      </c>
      <c r="M194" s="9">
        <f t="shared" ref="M194:M257" si="14">K194-L194</f>
        <v>135.30000000000001</v>
      </c>
      <c r="N194" t="str">
        <f t="shared" ref="N194:N257" si="15">TEXT(B194,"mmm")</f>
        <v>Jan</v>
      </c>
    </row>
    <row r="195" spans="1:14" x14ac:dyDescent="0.3">
      <c r="A195" s="2" t="s">
        <v>261</v>
      </c>
      <c r="B195" s="6">
        <v>45676</v>
      </c>
      <c r="C195" s="2" t="s">
        <v>31</v>
      </c>
      <c r="D195" s="2" t="s">
        <v>75</v>
      </c>
      <c r="E195" s="2">
        <v>1</v>
      </c>
      <c r="F195" s="7">
        <v>549</v>
      </c>
      <c r="G195" s="8">
        <v>0</v>
      </c>
      <c r="H195" s="9" t="str">
        <f>INDEX(Products!$B$2:$B$37, MATCH(D195, Products!$A$2:$A$37, 0))</f>
        <v>Oud Perfume 100ml</v>
      </c>
      <c r="I195" t="str">
        <f>INDEX(Products!$C$2:$C$37, MATCH(D195, Products!$A$2:$A$37, 0))</f>
        <v>Beauty</v>
      </c>
      <c r="J195">
        <f>INDEX(Products!$E$2:$E$37, MATCH(D195, Products!$A$2:$A$37, 0))</f>
        <v>250</v>
      </c>
      <c r="K195" s="9">
        <f t="shared" si="12"/>
        <v>549</v>
      </c>
      <c r="L195">
        <f t="shared" si="13"/>
        <v>250</v>
      </c>
      <c r="M195" s="9">
        <f t="shared" si="14"/>
        <v>299</v>
      </c>
      <c r="N195" t="str">
        <f t="shared" si="15"/>
        <v>Jan</v>
      </c>
    </row>
    <row r="196" spans="1:14" x14ac:dyDescent="0.3">
      <c r="A196" s="2" t="s">
        <v>262</v>
      </c>
      <c r="B196" s="6">
        <v>45676</v>
      </c>
      <c r="C196" s="2" t="s">
        <v>41</v>
      </c>
      <c r="D196" s="2" t="s">
        <v>37</v>
      </c>
      <c r="E196" s="2">
        <v>2</v>
      </c>
      <c r="F196" s="7">
        <v>249</v>
      </c>
      <c r="G196" s="8">
        <v>0.15</v>
      </c>
      <c r="H196" s="9" t="str">
        <f>INDEX(Products!$B$2:$B$37, MATCH(D196, Products!$A$2:$A$37, 0))</f>
        <v>Sunglasses Polarised</v>
      </c>
      <c r="I196" t="str">
        <f>INDEX(Products!$C$2:$C$37, MATCH(D196, Products!$A$2:$A$37, 0))</f>
        <v>Fashion</v>
      </c>
      <c r="J196">
        <f>INDEX(Products!$E$2:$E$37, MATCH(D196, Products!$A$2:$A$37, 0))</f>
        <v>95</v>
      </c>
      <c r="K196" s="9">
        <f t="shared" si="12"/>
        <v>423.3</v>
      </c>
      <c r="L196">
        <f t="shared" si="13"/>
        <v>190</v>
      </c>
      <c r="M196" s="9">
        <f t="shared" si="14"/>
        <v>233.3</v>
      </c>
      <c r="N196" t="str">
        <f t="shared" si="15"/>
        <v>Jan</v>
      </c>
    </row>
    <row r="197" spans="1:14" x14ac:dyDescent="0.3">
      <c r="A197" s="2" t="s">
        <v>263</v>
      </c>
      <c r="B197" s="6">
        <v>45676</v>
      </c>
      <c r="C197" s="2" t="s">
        <v>41</v>
      </c>
      <c r="D197" s="2" t="s">
        <v>89</v>
      </c>
      <c r="E197" s="2">
        <v>1</v>
      </c>
      <c r="F197" s="7">
        <v>399</v>
      </c>
      <c r="G197" s="8">
        <v>0</v>
      </c>
      <c r="H197" s="9" t="str">
        <f>INDEX(Products!$B$2:$B$37, MATCH(D197, Products!$A$2:$A$37, 0))</f>
        <v>Men's Kandura Premium</v>
      </c>
      <c r="I197" t="str">
        <f>INDEX(Products!$C$2:$C$37, MATCH(D197, Products!$A$2:$A$37, 0))</f>
        <v>Fashion</v>
      </c>
      <c r="J197">
        <f>INDEX(Products!$E$2:$E$37, MATCH(D197, Products!$A$2:$A$37, 0))</f>
        <v>210</v>
      </c>
      <c r="K197" s="9">
        <f t="shared" si="12"/>
        <v>399</v>
      </c>
      <c r="L197">
        <f t="shared" si="13"/>
        <v>210</v>
      </c>
      <c r="M197" s="9">
        <f t="shared" si="14"/>
        <v>189</v>
      </c>
      <c r="N197" t="str">
        <f t="shared" si="15"/>
        <v>Jan</v>
      </c>
    </row>
    <row r="198" spans="1:14" x14ac:dyDescent="0.3">
      <c r="A198" s="2" t="s">
        <v>264</v>
      </c>
      <c r="B198" s="6">
        <v>45676</v>
      </c>
      <c r="C198" s="2" t="s">
        <v>31</v>
      </c>
      <c r="D198" s="2" t="s">
        <v>42</v>
      </c>
      <c r="E198" s="2">
        <v>1</v>
      </c>
      <c r="F198" s="7">
        <v>399</v>
      </c>
      <c r="G198" s="8">
        <v>0</v>
      </c>
      <c r="H198" s="9" t="str">
        <f>INDEX(Products!$B$2:$B$37, MATCH(D198, Products!$A$2:$A$37, 0))</f>
        <v>Wireless Earbuds Pro</v>
      </c>
      <c r="I198" t="str">
        <f>INDEX(Products!$C$2:$C$37, MATCH(D198, Products!$A$2:$A$37, 0))</f>
        <v>Electronics</v>
      </c>
      <c r="J198">
        <f>INDEX(Products!$E$2:$E$37, MATCH(D198, Products!$A$2:$A$37, 0))</f>
        <v>230</v>
      </c>
      <c r="K198" s="9">
        <f t="shared" si="12"/>
        <v>399</v>
      </c>
      <c r="L198">
        <f t="shared" si="13"/>
        <v>230</v>
      </c>
      <c r="M198" s="9">
        <f t="shared" si="14"/>
        <v>169</v>
      </c>
      <c r="N198" t="str">
        <f t="shared" si="15"/>
        <v>Jan</v>
      </c>
    </row>
    <row r="199" spans="1:14" x14ac:dyDescent="0.3">
      <c r="A199" s="2" t="s">
        <v>265</v>
      </c>
      <c r="B199" s="6">
        <v>45676</v>
      </c>
      <c r="C199" s="2" t="s">
        <v>41</v>
      </c>
      <c r="D199" s="2" t="s">
        <v>103</v>
      </c>
      <c r="E199" s="2">
        <v>2</v>
      </c>
      <c r="F199" s="7">
        <v>89</v>
      </c>
      <c r="G199" s="8">
        <v>0.1</v>
      </c>
      <c r="H199" s="9" t="str">
        <f>INDEX(Products!$B$2:$B$37, MATCH(D199, Products!$A$2:$A$37, 0))</f>
        <v>Sunscreen SPF50</v>
      </c>
      <c r="I199" t="str">
        <f>INDEX(Products!$C$2:$C$37, MATCH(D199, Products!$A$2:$A$37, 0))</f>
        <v>Beauty</v>
      </c>
      <c r="J199">
        <f>INDEX(Products!$E$2:$E$37, MATCH(D199, Products!$A$2:$A$37, 0))</f>
        <v>40</v>
      </c>
      <c r="K199" s="9">
        <f t="shared" si="12"/>
        <v>160.20000000000002</v>
      </c>
      <c r="L199">
        <f t="shared" si="13"/>
        <v>80</v>
      </c>
      <c r="M199" s="9">
        <f t="shared" si="14"/>
        <v>80.200000000000017</v>
      </c>
      <c r="N199" t="str">
        <f t="shared" si="15"/>
        <v>Jan</v>
      </c>
    </row>
    <row r="200" spans="1:14" x14ac:dyDescent="0.3">
      <c r="A200" s="2" t="s">
        <v>266</v>
      </c>
      <c r="B200" s="6">
        <v>45677</v>
      </c>
      <c r="C200" s="2" t="s">
        <v>48</v>
      </c>
      <c r="D200" s="2" t="s">
        <v>35</v>
      </c>
      <c r="E200" s="2">
        <v>2</v>
      </c>
      <c r="F200" s="7">
        <v>179</v>
      </c>
      <c r="G200" s="8">
        <v>0.05</v>
      </c>
      <c r="H200" s="9" t="str">
        <f>INDEX(Products!$B$2:$B$37, MATCH(D200, Products!$A$2:$A$37, 0))</f>
        <v>Men's Linen Shirt</v>
      </c>
      <c r="I200" t="str">
        <f>INDEX(Products!$C$2:$C$37, MATCH(D200, Products!$A$2:$A$37, 0))</f>
        <v>Fashion</v>
      </c>
      <c r="J200">
        <f>INDEX(Products!$E$2:$E$37, MATCH(D200, Products!$A$2:$A$37, 0))</f>
        <v>70</v>
      </c>
      <c r="K200" s="9">
        <f t="shared" si="12"/>
        <v>340.09999999999997</v>
      </c>
      <c r="L200">
        <f t="shared" si="13"/>
        <v>140</v>
      </c>
      <c r="M200" s="9">
        <f t="shared" si="14"/>
        <v>200.09999999999997</v>
      </c>
      <c r="N200" t="str">
        <f t="shared" si="15"/>
        <v>Jan</v>
      </c>
    </row>
    <row r="201" spans="1:14" x14ac:dyDescent="0.3">
      <c r="A201" s="2" t="s">
        <v>267</v>
      </c>
      <c r="B201" s="6">
        <v>45677</v>
      </c>
      <c r="C201" s="2" t="s">
        <v>44</v>
      </c>
      <c r="D201" s="2" t="s">
        <v>75</v>
      </c>
      <c r="E201" s="2">
        <v>2</v>
      </c>
      <c r="F201" s="7">
        <v>549</v>
      </c>
      <c r="G201" s="8">
        <v>0.05</v>
      </c>
      <c r="H201" s="9" t="str">
        <f>INDEX(Products!$B$2:$B$37, MATCH(D201, Products!$A$2:$A$37, 0))</f>
        <v>Oud Perfume 100ml</v>
      </c>
      <c r="I201" t="str">
        <f>INDEX(Products!$C$2:$C$37, MATCH(D201, Products!$A$2:$A$37, 0))</f>
        <v>Beauty</v>
      </c>
      <c r="J201">
        <f>INDEX(Products!$E$2:$E$37, MATCH(D201, Products!$A$2:$A$37, 0))</f>
        <v>250</v>
      </c>
      <c r="K201" s="9">
        <f t="shared" si="12"/>
        <v>1043.0999999999999</v>
      </c>
      <c r="L201">
        <f t="shared" si="13"/>
        <v>500</v>
      </c>
      <c r="M201" s="9">
        <f t="shared" si="14"/>
        <v>543.09999999999991</v>
      </c>
      <c r="N201" t="str">
        <f t="shared" si="15"/>
        <v>Jan</v>
      </c>
    </row>
    <row r="202" spans="1:14" x14ac:dyDescent="0.3">
      <c r="A202" s="2" t="s">
        <v>268</v>
      </c>
      <c r="B202" s="6">
        <v>45677</v>
      </c>
      <c r="C202" s="2" t="s">
        <v>44</v>
      </c>
      <c r="D202" s="2" t="s">
        <v>37</v>
      </c>
      <c r="E202" s="2">
        <v>1</v>
      </c>
      <c r="F202" s="7">
        <v>249</v>
      </c>
      <c r="G202" s="8">
        <v>0.05</v>
      </c>
      <c r="H202" s="9" t="str">
        <f>INDEX(Products!$B$2:$B$37, MATCH(D202, Products!$A$2:$A$37, 0))</f>
        <v>Sunglasses Polarised</v>
      </c>
      <c r="I202" t="str">
        <f>INDEX(Products!$C$2:$C$37, MATCH(D202, Products!$A$2:$A$37, 0))</f>
        <v>Fashion</v>
      </c>
      <c r="J202">
        <f>INDEX(Products!$E$2:$E$37, MATCH(D202, Products!$A$2:$A$37, 0))</f>
        <v>95</v>
      </c>
      <c r="K202" s="9">
        <f t="shared" si="12"/>
        <v>236.54999999999998</v>
      </c>
      <c r="L202">
        <f t="shared" si="13"/>
        <v>95</v>
      </c>
      <c r="M202" s="9">
        <f t="shared" si="14"/>
        <v>141.54999999999998</v>
      </c>
      <c r="N202" t="str">
        <f t="shared" si="15"/>
        <v>Jan</v>
      </c>
    </row>
    <row r="203" spans="1:14" x14ac:dyDescent="0.3">
      <c r="A203" s="2" t="s">
        <v>269</v>
      </c>
      <c r="B203" s="6">
        <v>45677</v>
      </c>
      <c r="C203" s="2" t="s">
        <v>28</v>
      </c>
      <c r="D203" s="2" t="s">
        <v>60</v>
      </c>
      <c r="E203" s="2">
        <v>1</v>
      </c>
      <c r="F203" s="7">
        <v>99</v>
      </c>
      <c r="G203" s="8">
        <v>0.2</v>
      </c>
      <c r="H203" s="9" t="str">
        <f>INDEX(Products!$B$2:$B$37, MATCH(D203, Products!$A$2:$A$37, 0))</f>
        <v>Football Size 5</v>
      </c>
      <c r="I203" t="str">
        <f>INDEX(Products!$C$2:$C$37, MATCH(D203, Products!$A$2:$A$37, 0))</f>
        <v>Sports</v>
      </c>
      <c r="J203">
        <f>INDEX(Products!$E$2:$E$37, MATCH(D203, Products!$A$2:$A$37, 0))</f>
        <v>45</v>
      </c>
      <c r="K203" s="9">
        <f t="shared" si="12"/>
        <v>79.2</v>
      </c>
      <c r="L203">
        <f t="shared" si="13"/>
        <v>45</v>
      </c>
      <c r="M203" s="9">
        <f t="shared" si="14"/>
        <v>34.200000000000003</v>
      </c>
      <c r="N203" t="str">
        <f t="shared" si="15"/>
        <v>Jan</v>
      </c>
    </row>
    <row r="204" spans="1:14" x14ac:dyDescent="0.3">
      <c r="A204" s="2" t="s">
        <v>270</v>
      </c>
      <c r="B204" s="6">
        <v>45677</v>
      </c>
      <c r="C204" s="2" t="s">
        <v>41</v>
      </c>
      <c r="D204" s="2" t="s">
        <v>87</v>
      </c>
      <c r="E204" s="2">
        <v>2</v>
      </c>
      <c r="F204" s="7">
        <v>799</v>
      </c>
      <c r="G204" s="8">
        <v>0.2</v>
      </c>
      <c r="H204" s="9" t="str">
        <f>INDEX(Products!$B$2:$B$37, MATCH(D204, Products!$A$2:$A$37, 0))</f>
        <v>Adjustable Dumbbells</v>
      </c>
      <c r="I204" t="str">
        <f>INDEX(Products!$C$2:$C$37, MATCH(D204, Products!$A$2:$A$37, 0))</f>
        <v>Sports</v>
      </c>
      <c r="J204">
        <f>INDEX(Products!$E$2:$E$37, MATCH(D204, Products!$A$2:$A$37, 0))</f>
        <v>700</v>
      </c>
      <c r="K204" s="9">
        <f t="shared" si="12"/>
        <v>1278.4000000000001</v>
      </c>
      <c r="L204">
        <f t="shared" si="13"/>
        <v>1400</v>
      </c>
      <c r="M204" s="9">
        <f t="shared" si="14"/>
        <v>-121.59999999999991</v>
      </c>
      <c r="N204" t="str">
        <f t="shared" si="15"/>
        <v>Jan</v>
      </c>
    </row>
    <row r="205" spans="1:14" x14ac:dyDescent="0.3">
      <c r="A205" s="2" t="s">
        <v>271</v>
      </c>
      <c r="B205" s="6">
        <v>45677</v>
      </c>
      <c r="C205" s="2" t="s">
        <v>41</v>
      </c>
      <c r="D205" s="2" t="s">
        <v>149</v>
      </c>
      <c r="E205" s="2">
        <v>3</v>
      </c>
      <c r="F205" s="7">
        <v>399</v>
      </c>
      <c r="G205" s="8">
        <v>0.15</v>
      </c>
      <c r="H205" s="9" t="str">
        <f>INDEX(Products!$B$2:$B$37, MATCH(D205, Products!$A$2:$A$37, 0))</f>
        <v>Blender Pro 1200W</v>
      </c>
      <c r="I205" t="str">
        <f>INDEX(Products!$C$2:$C$37, MATCH(D205, Products!$A$2:$A$37, 0))</f>
        <v>Home &amp; Kitchen</v>
      </c>
      <c r="J205">
        <f>INDEX(Products!$E$2:$E$37, MATCH(D205, Products!$A$2:$A$37, 0))</f>
        <v>250</v>
      </c>
      <c r="K205" s="9">
        <f t="shared" si="12"/>
        <v>1017.4499999999999</v>
      </c>
      <c r="L205">
        <f t="shared" si="13"/>
        <v>750</v>
      </c>
      <c r="M205" s="9">
        <f t="shared" si="14"/>
        <v>267.44999999999993</v>
      </c>
      <c r="N205" t="str">
        <f t="shared" si="15"/>
        <v>Jan</v>
      </c>
    </row>
    <row r="206" spans="1:14" x14ac:dyDescent="0.3">
      <c r="A206" s="2" t="s">
        <v>272</v>
      </c>
      <c r="B206" s="6">
        <v>45677</v>
      </c>
      <c r="C206" s="2" t="s">
        <v>44</v>
      </c>
      <c r="D206" s="2" t="s">
        <v>115</v>
      </c>
      <c r="E206" s="2">
        <v>2</v>
      </c>
      <c r="F206" s="7">
        <v>129</v>
      </c>
      <c r="G206" s="8">
        <v>0.15</v>
      </c>
      <c r="H206" s="9" t="str">
        <f>INDEX(Products!$B$2:$B$37, MATCH(D206, Products!$A$2:$A$37, 0))</f>
        <v>Electric Kettle</v>
      </c>
      <c r="I206" t="str">
        <f>INDEX(Products!$C$2:$C$37, MATCH(D206, Products!$A$2:$A$37, 0))</f>
        <v>Home &amp; Kitchen</v>
      </c>
      <c r="J206">
        <f>INDEX(Products!$E$2:$E$37, MATCH(D206, Products!$A$2:$A$37, 0))</f>
        <v>60</v>
      </c>
      <c r="K206" s="9">
        <f t="shared" si="12"/>
        <v>219.29999999999998</v>
      </c>
      <c r="L206">
        <f t="shared" si="13"/>
        <v>120</v>
      </c>
      <c r="M206" s="9">
        <f t="shared" si="14"/>
        <v>99.299999999999983</v>
      </c>
      <c r="N206" t="str">
        <f t="shared" si="15"/>
        <v>Jan</v>
      </c>
    </row>
    <row r="207" spans="1:14" x14ac:dyDescent="0.3">
      <c r="A207" s="2" t="s">
        <v>273</v>
      </c>
      <c r="B207" s="6">
        <v>45677</v>
      </c>
      <c r="C207" s="2" t="s">
        <v>31</v>
      </c>
      <c r="D207" s="2" t="s">
        <v>131</v>
      </c>
      <c r="E207" s="2">
        <v>2</v>
      </c>
      <c r="F207" s="7">
        <v>899</v>
      </c>
      <c r="G207" s="8">
        <v>0</v>
      </c>
      <c r="H207" s="9" t="str">
        <f>INDEX(Products!$B$2:$B$37, MATCH(D207, Products!$A$2:$A$37, 0))</f>
        <v>4K Action Camera</v>
      </c>
      <c r="I207" t="str">
        <f>INDEX(Products!$C$2:$C$37, MATCH(D207, Products!$A$2:$A$37, 0))</f>
        <v>Electronics</v>
      </c>
      <c r="J207">
        <f>INDEX(Products!$E$2:$E$37, MATCH(D207, Products!$A$2:$A$37, 0))</f>
        <v>610</v>
      </c>
      <c r="K207" s="9">
        <f t="shared" si="12"/>
        <v>1798</v>
      </c>
      <c r="L207">
        <f t="shared" si="13"/>
        <v>1220</v>
      </c>
      <c r="M207" s="9">
        <f t="shared" si="14"/>
        <v>578</v>
      </c>
      <c r="N207" t="str">
        <f t="shared" si="15"/>
        <v>Jan</v>
      </c>
    </row>
    <row r="208" spans="1:14" x14ac:dyDescent="0.3">
      <c r="A208" s="2" t="s">
        <v>274</v>
      </c>
      <c r="B208" s="6">
        <v>45677</v>
      </c>
      <c r="C208" s="2" t="s">
        <v>48</v>
      </c>
      <c r="D208" s="2" t="s">
        <v>99</v>
      </c>
      <c r="E208" s="2">
        <v>1</v>
      </c>
      <c r="F208" s="7">
        <v>459</v>
      </c>
      <c r="G208" s="8">
        <v>0</v>
      </c>
      <c r="H208" s="9" t="str">
        <f>INDEX(Products!$B$2:$B$37, MATCH(D208, Products!$A$2:$A$37, 0))</f>
        <v>Gaming Headset X</v>
      </c>
      <c r="I208" t="str">
        <f>INDEX(Products!$C$2:$C$37, MATCH(D208, Products!$A$2:$A$37, 0))</f>
        <v>Electronics</v>
      </c>
      <c r="J208">
        <f>INDEX(Products!$E$2:$E$37, MATCH(D208, Products!$A$2:$A$37, 0))</f>
        <v>300</v>
      </c>
      <c r="K208" s="9">
        <f t="shared" si="12"/>
        <v>459</v>
      </c>
      <c r="L208">
        <f t="shared" si="13"/>
        <v>300</v>
      </c>
      <c r="M208" s="9">
        <f t="shared" si="14"/>
        <v>159</v>
      </c>
      <c r="N208" t="str">
        <f t="shared" si="15"/>
        <v>Jan</v>
      </c>
    </row>
    <row r="209" spans="1:14" x14ac:dyDescent="0.3">
      <c r="A209" s="2" t="s">
        <v>275</v>
      </c>
      <c r="B209" s="6">
        <v>45677</v>
      </c>
      <c r="C209" s="2" t="s">
        <v>31</v>
      </c>
      <c r="D209" s="2" t="s">
        <v>65</v>
      </c>
      <c r="E209" s="2">
        <v>1</v>
      </c>
      <c r="F209" s="7">
        <v>129</v>
      </c>
      <c r="G209" s="8">
        <v>0.05</v>
      </c>
      <c r="H209" s="9" t="str">
        <f>INDEX(Products!$B$2:$B$37, MATCH(D209, Products!$A$2:$A$37, 0))</f>
        <v>Yoga Mat Premium</v>
      </c>
      <c r="I209" t="str">
        <f>INDEX(Products!$C$2:$C$37, MATCH(D209, Products!$A$2:$A$37, 0))</f>
        <v>Sports</v>
      </c>
      <c r="J209">
        <f>INDEX(Products!$E$2:$E$37, MATCH(D209, Products!$A$2:$A$37, 0))</f>
        <v>60</v>
      </c>
      <c r="K209" s="9">
        <f t="shared" si="12"/>
        <v>122.55</v>
      </c>
      <c r="L209">
        <f t="shared" si="13"/>
        <v>60</v>
      </c>
      <c r="M209" s="9">
        <f t="shared" si="14"/>
        <v>62.55</v>
      </c>
      <c r="N209" t="str">
        <f t="shared" si="15"/>
        <v>Jan</v>
      </c>
    </row>
    <row r="210" spans="1:14" x14ac:dyDescent="0.3">
      <c r="A210" s="2" t="s">
        <v>276</v>
      </c>
      <c r="B210" s="6">
        <v>45677</v>
      </c>
      <c r="C210" s="2" t="s">
        <v>44</v>
      </c>
      <c r="D210" s="2" t="s">
        <v>39</v>
      </c>
      <c r="E210" s="2">
        <v>1</v>
      </c>
      <c r="F210" s="7">
        <v>199</v>
      </c>
      <c r="G210" s="8">
        <v>0.2</v>
      </c>
      <c r="H210" s="9" t="str">
        <f>INDEX(Products!$B$2:$B$37, MATCH(D210, Products!$A$2:$A$37, 0))</f>
        <v>Bakhoor Gift Set</v>
      </c>
      <c r="I210" t="str">
        <f>INDEX(Products!$C$2:$C$37, MATCH(D210, Products!$A$2:$A$37, 0))</f>
        <v>Beauty</v>
      </c>
      <c r="J210">
        <f>INDEX(Products!$E$2:$E$37, MATCH(D210, Products!$A$2:$A$37, 0))</f>
        <v>90</v>
      </c>
      <c r="K210" s="9">
        <f t="shared" si="12"/>
        <v>159.20000000000002</v>
      </c>
      <c r="L210">
        <f t="shared" si="13"/>
        <v>90</v>
      </c>
      <c r="M210" s="9">
        <f t="shared" si="14"/>
        <v>69.200000000000017</v>
      </c>
      <c r="N210" t="str">
        <f t="shared" si="15"/>
        <v>Jan</v>
      </c>
    </row>
    <row r="211" spans="1:14" x14ac:dyDescent="0.3">
      <c r="A211" s="2" t="s">
        <v>277</v>
      </c>
      <c r="B211" s="6">
        <v>45677</v>
      </c>
      <c r="C211" s="2" t="s">
        <v>41</v>
      </c>
      <c r="D211" s="2" t="s">
        <v>35</v>
      </c>
      <c r="E211" s="2">
        <v>2</v>
      </c>
      <c r="F211" s="7">
        <v>179</v>
      </c>
      <c r="G211" s="8">
        <v>0</v>
      </c>
      <c r="H211" s="9" t="str">
        <f>INDEX(Products!$B$2:$B$37, MATCH(D211, Products!$A$2:$A$37, 0))</f>
        <v>Men's Linen Shirt</v>
      </c>
      <c r="I211" t="str">
        <f>INDEX(Products!$C$2:$C$37, MATCH(D211, Products!$A$2:$A$37, 0))</f>
        <v>Fashion</v>
      </c>
      <c r="J211">
        <f>INDEX(Products!$E$2:$E$37, MATCH(D211, Products!$A$2:$A$37, 0))</f>
        <v>70</v>
      </c>
      <c r="K211" s="9">
        <f t="shared" si="12"/>
        <v>358</v>
      </c>
      <c r="L211">
        <f t="shared" si="13"/>
        <v>140</v>
      </c>
      <c r="M211" s="9">
        <f t="shared" si="14"/>
        <v>218</v>
      </c>
      <c r="N211" t="str">
        <f t="shared" si="15"/>
        <v>Jan</v>
      </c>
    </row>
    <row r="212" spans="1:14" x14ac:dyDescent="0.3">
      <c r="A212" s="2" t="s">
        <v>278</v>
      </c>
      <c r="B212" s="6">
        <v>45677</v>
      </c>
      <c r="C212" s="2" t="s">
        <v>41</v>
      </c>
      <c r="D212" s="2" t="s">
        <v>29</v>
      </c>
      <c r="E212" s="2">
        <v>3</v>
      </c>
      <c r="F212" s="7">
        <v>229</v>
      </c>
      <c r="G212" s="8">
        <v>0</v>
      </c>
      <c r="H212" s="9" t="str">
        <f>INDEX(Products!$B$2:$B$37, MATCH(D212, Products!$A$2:$A$37, 0))</f>
        <v>Women's Summer Dress</v>
      </c>
      <c r="I212" t="str">
        <f>INDEX(Products!$C$2:$C$37, MATCH(D212, Products!$A$2:$A$37, 0))</f>
        <v>Fashion</v>
      </c>
      <c r="J212">
        <f>INDEX(Products!$E$2:$E$37, MATCH(D212, Products!$A$2:$A$37, 0))</f>
        <v>120</v>
      </c>
      <c r="K212" s="9">
        <f t="shared" si="12"/>
        <v>687</v>
      </c>
      <c r="L212">
        <f t="shared" si="13"/>
        <v>360</v>
      </c>
      <c r="M212" s="9">
        <f t="shared" si="14"/>
        <v>327</v>
      </c>
      <c r="N212" t="str">
        <f t="shared" si="15"/>
        <v>Jan</v>
      </c>
    </row>
    <row r="213" spans="1:14" x14ac:dyDescent="0.3">
      <c r="A213" s="2" t="s">
        <v>279</v>
      </c>
      <c r="B213" s="6">
        <v>45677</v>
      </c>
      <c r="C213" s="2" t="s">
        <v>31</v>
      </c>
      <c r="D213" s="2" t="s">
        <v>115</v>
      </c>
      <c r="E213" s="2">
        <v>1</v>
      </c>
      <c r="F213" s="7">
        <v>129</v>
      </c>
      <c r="G213" s="8">
        <v>0.1</v>
      </c>
      <c r="H213" s="9" t="str">
        <f>INDEX(Products!$B$2:$B$37, MATCH(D213, Products!$A$2:$A$37, 0))</f>
        <v>Electric Kettle</v>
      </c>
      <c r="I213" t="str">
        <f>INDEX(Products!$C$2:$C$37, MATCH(D213, Products!$A$2:$A$37, 0))</f>
        <v>Home &amp; Kitchen</v>
      </c>
      <c r="J213">
        <f>INDEX(Products!$E$2:$E$37, MATCH(D213, Products!$A$2:$A$37, 0))</f>
        <v>60</v>
      </c>
      <c r="K213" s="9">
        <f t="shared" si="12"/>
        <v>116.10000000000001</v>
      </c>
      <c r="L213">
        <f t="shared" si="13"/>
        <v>60</v>
      </c>
      <c r="M213" s="9">
        <f t="shared" si="14"/>
        <v>56.100000000000009</v>
      </c>
      <c r="N213" t="str">
        <f t="shared" si="15"/>
        <v>Jan</v>
      </c>
    </row>
    <row r="214" spans="1:14" x14ac:dyDescent="0.3">
      <c r="A214" s="2" t="s">
        <v>280</v>
      </c>
      <c r="B214" s="6">
        <v>45677</v>
      </c>
      <c r="C214" s="2" t="s">
        <v>44</v>
      </c>
      <c r="D214" s="2" t="s">
        <v>68</v>
      </c>
      <c r="E214" s="2">
        <v>2</v>
      </c>
      <c r="F214" s="7">
        <v>249</v>
      </c>
      <c r="G214" s="8">
        <v>0.1</v>
      </c>
      <c r="H214" s="9" t="str">
        <f>INDEX(Products!$B$2:$B$37, MATCH(D214, Products!$A$2:$A$37, 0))</f>
        <v>Bluetooth Speaker Mini</v>
      </c>
      <c r="I214" t="str">
        <f>INDEX(Products!$C$2:$C$37, MATCH(D214, Products!$A$2:$A$37, 0))</f>
        <v>Electronics</v>
      </c>
      <c r="J214">
        <f>INDEX(Products!$E$2:$E$37, MATCH(D214, Products!$A$2:$A$37, 0))</f>
        <v>150</v>
      </c>
      <c r="K214" s="9">
        <f t="shared" si="12"/>
        <v>448.2</v>
      </c>
      <c r="L214">
        <f t="shared" si="13"/>
        <v>300</v>
      </c>
      <c r="M214" s="9">
        <f t="shared" si="14"/>
        <v>148.19999999999999</v>
      </c>
      <c r="N214" t="str">
        <f t="shared" si="15"/>
        <v>Jan</v>
      </c>
    </row>
    <row r="215" spans="1:14" x14ac:dyDescent="0.3">
      <c r="A215" s="2" t="s">
        <v>281</v>
      </c>
      <c r="B215" s="6">
        <v>45677</v>
      </c>
      <c r="C215" s="2" t="s">
        <v>31</v>
      </c>
      <c r="D215" s="2" t="s">
        <v>68</v>
      </c>
      <c r="E215" s="2">
        <v>1</v>
      </c>
      <c r="F215" s="7">
        <v>249</v>
      </c>
      <c r="G215" s="8">
        <v>0.1</v>
      </c>
      <c r="H215" s="9" t="str">
        <f>INDEX(Products!$B$2:$B$37, MATCH(D215, Products!$A$2:$A$37, 0))</f>
        <v>Bluetooth Speaker Mini</v>
      </c>
      <c r="I215" t="str">
        <f>INDEX(Products!$C$2:$C$37, MATCH(D215, Products!$A$2:$A$37, 0))</f>
        <v>Electronics</v>
      </c>
      <c r="J215">
        <f>INDEX(Products!$E$2:$E$37, MATCH(D215, Products!$A$2:$A$37, 0))</f>
        <v>150</v>
      </c>
      <c r="K215" s="9">
        <f t="shared" si="12"/>
        <v>224.1</v>
      </c>
      <c r="L215">
        <f t="shared" si="13"/>
        <v>150</v>
      </c>
      <c r="M215" s="9">
        <f t="shared" si="14"/>
        <v>74.099999999999994</v>
      </c>
      <c r="N215" t="str">
        <f t="shared" si="15"/>
        <v>Jan</v>
      </c>
    </row>
    <row r="216" spans="1:14" x14ac:dyDescent="0.3">
      <c r="A216" s="2" t="s">
        <v>282</v>
      </c>
      <c r="B216" s="6">
        <v>45677</v>
      </c>
      <c r="C216" s="2" t="s">
        <v>28</v>
      </c>
      <c r="D216" s="2" t="s">
        <v>52</v>
      </c>
      <c r="E216" s="2">
        <v>3</v>
      </c>
      <c r="F216" s="7">
        <v>299</v>
      </c>
      <c r="G216" s="8">
        <v>0.2</v>
      </c>
      <c r="H216" s="9" t="str">
        <f>INDEX(Products!$B$2:$B$37, MATCH(D216, Products!$A$2:$A$37, 0))</f>
        <v>Hair Dryer Ionic</v>
      </c>
      <c r="I216" t="str">
        <f>INDEX(Products!$C$2:$C$37, MATCH(D216, Products!$A$2:$A$37, 0))</f>
        <v>Beauty</v>
      </c>
      <c r="J216">
        <f>INDEX(Products!$E$2:$E$37, MATCH(D216, Products!$A$2:$A$37, 0))</f>
        <v>240</v>
      </c>
      <c r="K216" s="9">
        <f t="shared" si="12"/>
        <v>717.6</v>
      </c>
      <c r="L216">
        <f t="shared" si="13"/>
        <v>720</v>
      </c>
      <c r="M216" s="9">
        <f t="shared" si="14"/>
        <v>-2.3999999999999773</v>
      </c>
      <c r="N216" t="str">
        <f t="shared" si="15"/>
        <v>Jan</v>
      </c>
    </row>
    <row r="217" spans="1:14" x14ac:dyDescent="0.3">
      <c r="A217" s="2" t="s">
        <v>283</v>
      </c>
      <c r="B217" s="6">
        <v>45677</v>
      </c>
      <c r="C217" s="2" t="s">
        <v>41</v>
      </c>
      <c r="D217" s="2" t="s">
        <v>65</v>
      </c>
      <c r="E217" s="2">
        <v>2</v>
      </c>
      <c r="F217" s="7">
        <v>129</v>
      </c>
      <c r="G217" s="8">
        <v>0</v>
      </c>
      <c r="H217" s="9" t="str">
        <f>INDEX(Products!$B$2:$B$37, MATCH(D217, Products!$A$2:$A$37, 0))</f>
        <v>Yoga Mat Premium</v>
      </c>
      <c r="I217" t="str">
        <f>INDEX(Products!$C$2:$C$37, MATCH(D217, Products!$A$2:$A$37, 0))</f>
        <v>Sports</v>
      </c>
      <c r="J217">
        <f>INDEX(Products!$E$2:$E$37, MATCH(D217, Products!$A$2:$A$37, 0))</f>
        <v>60</v>
      </c>
      <c r="K217" s="9">
        <f t="shared" si="12"/>
        <v>258</v>
      </c>
      <c r="L217">
        <f t="shared" si="13"/>
        <v>120</v>
      </c>
      <c r="M217" s="9">
        <f t="shared" si="14"/>
        <v>138</v>
      </c>
      <c r="N217" t="str">
        <f t="shared" si="15"/>
        <v>Jan</v>
      </c>
    </row>
    <row r="218" spans="1:14" x14ac:dyDescent="0.3">
      <c r="A218" s="2" t="s">
        <v>284</v>
      </c>
      <c r="B218" s="6">
        <v>45677</v>
      </c>
      <c r="C218" s="2" t="s">
        <v>44</v>
      </c>
      <c r="D218" s="2" t="s">
        <v>70</v>
      </c>
      <c r="E218" s="2">
        <v>1</v>
      </c>
      <c r="F218" s="7">
        <v>429</v>
      </c>
      <c r="G218" s="8">
        <v>0.05</v>
      </c>
      <c r="H218" s="9" t="str">
        <f>INDEX(Products!$B$2:$B$37, MATCH(D218, Products!$A$2:$A$37, 0))</f>
        <v>Running Shoes Elite</v>
      </c>
      <c r="I218" t="str">
        <f>INDEX(Products!$C$2:$C$37, MATCH(D218, Products!$A$2:$A$37, 0))</f>
        <v>Fashion</v>
      </c>
      <c r="J218">
        <f>INDEX(Products!$E$2:$E$37, MATCH(D218, Products!$A$2:$A$37, 0))</f>
        <v>300</v>
      </c>
      <c r="K218" s="9">
        <f t="shared" si="12"/>
        <v>407.54999999999995</v>
      </c>
      <c r="L218">
        <f t="shared" si="13"/>
        <v>300</v>
      </c>
      <c r="M218" s="9">
        <f t="shared" si="14"/>
        <v>107.54999999999995</v>
      </c>
      <c r="N218" t="str">
        <f t="shared" si="15"/>
        <v>Jan</v>
      </c>
    </row>
    <row r="219" spans="1:14" x14ac:dyDescent="0.3">
      <c r="A219" s="2" t="s">
        <v>285</v>
      </c>
      <c r="B219" s="6">
        <v>45677</v>
      </c>
      <c r="C219" s="2" t="s">
        <v>31</v>
      </c>
      <c r="D219" s="2" t="s">
        <v>78</v>
      </c>
      <c r="E219" s="2">
        <v>2</v>
      </c>
      <c r="F219" s="7">
        <v>499</v>
      </c>
      <c r="G219" s="8">
        <v>0</v>
      </c>
      <c r="H219" s="9" t="str">
        <f>INDEX(Products!$B$2:$B$37, MATCH(D219, Products!$A$2:$A$37, 0))</f>
        <v>Air Fryer 5L</v>
      </c>
      <c r="I219" t="str">
        <f>INDEX(Products!$C$2:$C$37, MATCH(D219, Products!$A$2:$A$37, 0))</f>
        <v>Home &amp; Kitchen</v>
      </c>
      <c r="J219">
        <f>INDEX(Products!$E$2:$E$37, MATCH(D219, Products!$A$2:$A$37, 0))</f>
        <v>290</v>
      </c>
      <c r="K219" s="9">
        <f t="shared" si="12"/>
        <v>998</v>
      </c>
      <c r="L219">
        <f t="shared" si="13"/>
        <v>580</v>
      </c>
      <c r="M219" s="9">
        <f t="shared" si="14"/>
        <v>418</v>
      </c>
      <c r="N219" t="str">
        <f t="shared" si="15"/>
        <v>Jan</v>
      </c>
    </row>
    <row r="220" spans="1:14" x14ac:dyDescent="0.3">
      <c r="A220" s="2" t="s">
        <v>286</v>
      </c>
      <c r="B220" s="6">
        <v>45677</v>
      </c>
      <c r="C220" s="2" t="s">
        <v>44</v>
      </c>
      <c r="D220" s="2" t="s">
        <v>29</v>
      </c>
      <c r="E220" s="2">
        <v>1</v>
      </c>
      <c r="F220" s="7">
        <v>229</v>
      </c>
      <c r="G220" s="8">
        <v>0.1</v>
      </c>
      <c r="H220" s="9" t="str">
        <f>INDEX(Products!$B$2:$B$37, MATCH(D220, Products!$A$2:$A$37, 0))</f>
        <v>Women's Summer Dress</v>
      </c>
      <c r="I220" t="str">
        <f>INDEX(Products!$C$2:$C$37, MATCH(D220, Products!$A$2:$A$37, 0))</f>
        <v>Fashion</v>
      </c>
      <c r="J220">
        <f>INDEX(Products!$E$2:$E$37, MATCH(D220, Products!$A$2:$A$37, 0))</f>
        <v>120</v>
      </c>
      <c r="K220" s="9">
        <f t="shared" si="12"/>
        <v>206.1</v>
      </c>
      <c r="L220">
        <f t="shared" si="13"/>
        <v>120</v>
      </c>
      <c r="M220" s="9">
        <f t="shared" si="14"/>
        <v>86.1</v>
      </c>
      <c r="N220" t="str">
        <f t="shared" si="15"/>
        <v>Jan</v>
      </c>
    </row>
    <row r="221" spans="1:14" x14ac:dyDescent="0.3">
      <c r="A221" s="2" t="s">
        <v>287</v>
      </c>
      <c r="B221" s="6">
        <v>45678</v>
      </c>
      <c r="C221" s="2" t="s">
        <v>48</v>
      </c>
      <c r="D221" s="2" t="s">
        <v>129</v>
      </c>
      <c r="E221" s="2">
        <v>4</v>
      </c>
      <c r="F221" s="7">
        <v>149</v>
      </c>
      <c r="G221" s="8">
        <v>0.1</v>
      </c>
      <c r="H221" s="9" t="str">
        <f>INDEX(Products!$B$2:$B$37, MATCH(D221, Products!$A$2:$A$37, 0))</f>
        <v>Power Bank 20000mAh</v>
      </c>
      <c r="I221" t="str">
        <f>INDEX(Products!$C$2:$C$37, MATCH(D221, Products!$A$2:$A$37, 0))</f>
        <v>Electronics</v>
      </c>
      <c r="J221">
        <f>INDEX(Products!$E$2:$E$37, MATCH(D221, Products!$A$2:$A$37, 0))</f>
        <v>70</v>
      </c>
      <c r="K221" s="9">
        <f t="shared" si="12"/>
        <v>536.4</v>
      </c>
      <c r="L221">
        <f t="shared" si="13"/>
        <v>280</v>
      </c>
      <c r="M221" s="9">
        <f t="shared" si="14"/>
        <v>256.39999999999998</v>
      </c>
      <c r="N221" t="str">
        <f t="shared" si="15"/>
        <v>Jan</v>
      </c>
    </row>
    <row r="222" spans="1:14" x14ac:dyDescent="0.3">
      <c r="A222" s="2" t="s">
        <v>288</v>
      </c>
      <c r="B222" s="6">
        <v>45678</v>
      </c>
      <c r="C222" s="2" t="s">
        <v>48</v>
      </c>
      <c r="D222" s="2" t="s">
        <v>126</v>
      </c>
      <c r="E222" s="2">
        <v>1</v>
      </c>
      <c r="F222" s="7">
        <v>89</v>
      </c>
      <c r="G222" s="8">
        <v>0</v>
      </c>
      <c r="H222" s="9" t="str">
        <f>INDEX(Products!$B$2:$B$37, MATCH(D222, Products!$A$2:$A$37, 0))</f>
        <v>USB-C Fast Charger</v>
      </c>
      <c r="I222" t="str">
        <f>INDEX(Products!$C$2:$C$37, MATCH(D222, Products!$A$2:$A$37, 0))</f>
        <v>Electronics</v>
      </c>
      <c r="J222">
        <f>INDEX(Products!$E$2:$E$37, MATCH(D222, Products!$A$2:$A$37, 0))</f>
        <v>35</v>
      </c>
      <c r="K222" s="9">
        <f t="shared" si="12"/>
        <v>89</v>
      </c>
      <c r="L222">
        <f t="shared" si="13"/>
        <v>35</v>
      </c>
      <c r="M222" s="9">
        <f t="shared" si="14"/>
        <v>54</v>
      </c>
      <c r="N222" t="str">
        <f t="shared" si="15"/>
        <v>Jan</v>
      </c>
    </row>
    <row r="223" spans="1:14" x14ac:dyDescent="0.3">
      <c r="A223" s="2" t="s">
        <v>289</v>
      </c>
      <c r="B223" s="6">
        <v>45678</v>
      </c>
      <c r="C223" s="2" t="s">
        <v>31</v>
      </c>
      <c r="D223" s="2" t="s">
        <v>103</v>
      </c>
      <c r="E223" s="2">
        <v>1</v>
      </c>
      <c r="F223" s="7">
        <v>89</v>
      </c>
      <c r="G223" s="8">
        <v>0</v>
      </c>
      <c r="H223" s="9" t="str">
        <f>INDEX(Products!$B$2:$B$37, MATCH(D223, Products!$A$2:$A$37, 0))</f>
        <v>Sunscreen SPF50</v>
      </c>
      <c r="I223" t="str">
        <f>INDEX(Products!$C$2:$C$37, MATCH(D223, Products!$A$2:$A$37, 0))</f>
        <v>Beauty</v>
      </c>
      <c r="J223">
        <f>INDEX(Products!$E$2:$E$37, MATCH(D223, Products!$A$2:$A$37, 0))</f>
        <v>40</v>
      </c>
      <c r="K223" s="9">
        <f t="shared" si="12"/>
        <v>89</v>
      </c>
      <c r="L223">
        <f t="shared" si="13"/>
        <v>40</v>
      </c>
      <c r="M223" s="9">
        <f t="shared" si="14"/>
        <v>49</v>
      </c>
      <c r="N223" t="str">
        <f t="shared" si="15"/>
        <v>Jan</v>
      </c>
    </row>
    <row r="224" spans="1:14" x14ac:dyDescent="0.3">
      <c r="A224" s="2" t="s">
        <v>290</v>
      </c>
      <c r="B224" s="6">
        <v>45678</v>
      </c>
      <c r="C224" s="2" t="s">
        <v>28</v>
      </c>
      <c r="D224" s="2" t="s">
        <v>37</v>
      </c>
      <c r="E224" s="2">
        <v>1</v>
      </c>
      <c r="F224" s="7">
        <v>249</v>
      </c>
      <c r="G224" s="8">
        <v>0.2</v>
      </c>
      <c r="H224" s="9" t="str">
        <f>INDEX(Products!$B$2:$B$37, MATCH(D224, Products!$A$2:$A$37, 0))</f>
        <v>Sunglasses Polarised</v>
      </c>
      <c r="I224" t="str">
        <f>INDEX(Products!$C$2:$C$37, MATCH(D224, Products!$A$2:$A$37, 0))</f>
        <v>Fashion</v>
      </c>
      <c r="J224">
        <f>INDEX(Products!$E$2:$E$37, MATCH(D224, Products!$A$2:$A$37, 0))</f>
        <v>95</v>
      </c>
      <c r="K224" s="9">
        <f t="shared" si="12"/>
        <v>199.20000000000002</v>
      </c>
      <c r="L224">
        <f t="shared" si="13"/>
        <v>95</v>
      </c>
      <c r="M224" s="9">
        <f t="shared" si="14"/>
        <v>104.20000000000002</v>
      </c>
      <c r="N224" t="str">
        <f t="shared" si="15"/>
        <v>Jan</v>
      </c>
    </row>
    <row r="225" spans="1:14" x14ac:dyDescent="0.3">
      <c r="A225" s="2" t="s">
        <v>291</v>
      </c>
      <c r="B225" s="6">
        <v>45678</v>
      </c>
      <c r="C225" s="2" t="s">
        <v>44</v>
      </c>
      <c r="D225" s="2" t="s">
        <v>46</v>
      </c>
      <c r="E225" s="2">
        <v>2</v>
      </c>
      <c r="F225" s="7">
        <v>189</v>
      </c>
      <c r="G225" s="8">
        <v>0.05</v>
      </c>
      <c r="H225" s="9" t="str">
        <f>INDEX(Products!$B$2:$B$37, MATCH(D225, Products!$A$2:$A$37, 0))</f>
        <v>Makeup Palette</v>
      </c>
      <c r="I225" t="str">
        <f>INDEX(Products!$C$2:$C$37, MATCH(D225, Products!$A$2:$A$37, 0))</f>
        <v>Beauty</v>
      </c>
      <c r="J225">
        <f>INDEX(Products!$E$2:$E$37, MATCH(D225, Products!$A$2:$A$37, 0))</f>
        <v>85</v>
      </c>
      <c r="K225" s="9">
        <f t="shared" si="12"/>
        <v>359.09999999999997</v>
      </c>
      <c r="L225">
        <f t="shared" si="13"/>
        <v>170</v>
      </c>
      <c r="M225" s="9">
        <f t="shared" si="14"/>
        <v>189.09999999999997</v>
      </c>
      <c r="N225" t="str">
        <f t="shared" si="15"/>
        <v>Jan</v>
      </c>
    </row>
    <row r="226" spans="1:14" x14ac:dyDescent="0.3">
      <c r="A226" s="2" t="s">
        <v>292</v>
      </c>
      <c r="B226" s="6">
        <v>45678</v>
      </c>
      <c r="C226" s="2" t="s">
        <v>41</v>
      </c>
      <c r="D226" s="2" t="s">
        <v>126</v>
      </c>
      <c r="E226" s="2">
        <v>2</v>
      </c>
      <c r="F226" s="7">
        <v>89</v>
      </c>
      <c r="G226" s="8">
        <v>0.15</v>
      </c>
      <c r="H226" s="9" t="str">
        <f>INDEX(Products!$B$2:$B$37, MATCH(D226, Products!$A$2:$A$37, 0))</f>
        <v>USB-C Fast Charger</v>
      </c>
      <c r="I226" t="str">
        <f>INDEX(Products!$C$2:$C$37, MATCH(D226, Products!$A$2:$A$37, 0))</f>
        <v>Electronics</v>
      </c>
      <c r="J226">
        <f>INDEX(Products!$E$2:$E$37, MATCH(D226, Products!$A$2:$A$37, 0))</f>
        <v>35</v>
      </c>
      <c r="K226" s="9">
        <f t="shared" si="12"/>
        <v>151.29999999999998</v>
      </c>
      <c r="L226">
        <f t="shared" si="13"/>
        <v>70</v>
      </c>
      <c r="M226" s="9">
        <f t="shared" si="14"/>
        <v>81.299999999999983</v>
      </c>
      <c r="N226" t="str">
        <f t="shared" si="15"/>
        <v>Jan</v>
      </c>
    </row>
    <row r="227" spans="1:14" x14ac:dyDescent="0.3">
      <c r="A227" s="2" t="s">
        <v>293</v>
      </c>
      <c r="B227" s="6">
        <v>45678</v>
      </c>
      <c r="C227" s="2" t="s">
        <v>44</v>
      </c>
      <c r="D227" s="2" t="s">
        <v>70</v>
      </c>
      <c r="E227" s="2">
        <v>2</v>
      </c>
      <c r="F227" s="7">
        <v>429</v>
      </c>
      <c r="G227" s="8">
        <v>0</v>
      </c>
      <c r="H227" s="9" t="str">
        <f>INDEX(Products!$B$2:$B$37, MATCH(D227, Products!$A$2:$A$37, 0))</f>
        <v>Running Shoes Elite</v>
      </c>
      <c r="I227" t="str">
        <f>INDEX(Products!$C$2:$C$37, MATCH(D227, Products!$A$2:$A$37, 0))</f>
        <v>Fashion</v>
      </c>
      <c r="J227">
        <f>INDEX(Products!$E$2:$E$37, MATCH(D227, Products!$A$2:$A$37, 0))</f>
        <v>300</v>
      </c>
      <c r="K227" s="9">
        <f t="shared" si="12"/>
        <v>858</v>
      </c>
      <c r="L227">
        <f t="shared" si="13"/>
        <v>600</v>
      </c>
      <c r="M227" s="9">
        <f t="shared" si="14"/>
        <v>258</v>
      </c>
      <c r="N227" t="str">
        <f t="shared" si="15"/>
        <v>Jan</v>
      </c>
    </row>
    <row r="228" spans="1:14" x14ac:dyDescent="0.3">
      <c r="A228" s="2" t="s">
        <v>294</v>
      </c>
      <c r="B228" s="6">
        <v>45678</v>
      </c>
      <c r="C228" s="2" t="s">
        <v>41</v>
      </c>
      <c r="D228" s="2" t="s">
        <v>129</v>
      </c>
      <c r="E228" s="2">
        <v>1</v>
      </c>
      <c r="F228" s="7">
        <v>149</v>
      </c>
      <c r="G228" s="8">
        <v>0</v>
      </c>
      <c r="H228" s="9" t="str">
        <f>INDEX(Products!$B$2:$B$37, MATCH(D228, Products!$A$2:$A$37, 0))</f>
        <v>Power Bank 20000mAh</v>
      </c>
      <c r="I228" t="str">
        <f>INDEX(Products!$C$2:$C$37, MATCH(D228, Products!$A$2:$A$37, 0))</f>
        <v>Electronics</v>
      </c>
      <c r="J228">
        <f>INDEX(Products!$E$2:$E$37, MATCH(D228, Products!$A$2:$A$37, 0))</f>
        <v>70</v>
      </c>
      <c r="K228" s="9">
        <f t="shared" si="12"/>
        <v>149</v>
      </c>
      <c r="L228">
        <f t="shared" si="13"/>
        <v>70</v>
      </c>
      <c r="M228" s="9">
        <f t="shared" si="14"/>
        <v>79</v>
      </c>
      <c r="N228" t="str">
        <f t="shared" si="15"/>
        <v>Jan</v>
      </c>
    </row>
    <row r="229" spans="1:14" x14ac:dyDescent="0.3">
      <c r="A229" s="2" t="s">
        <v>295</v>
      </c>
      <c r="B229" s="6">
        <v>45678</v>
      </c>
      <c r="C229" s="2" t="s">
        <v>48</v>
      </c>
      <c r="D229" s="2" t="s">
        <v>194</v>
      </c>
      <c r="E229" s="2">
        <v>1</v>
      </c>
      <c r="F229" s="7">
        <v>699</v>
      </c>
      <c r="G229" s="8">
        <v>0</v>
      </c>
      <c r="H229" s="9" t="str">
        <f>INDEX(Products!$B$2:$B$37, MATCH(D229, Products!$A$2:$A$37, 0))</f>
        <v>Leather Handbag</v>
      </c>
      <c r="I229" t="str">
        <f>INDEX(Products!$C$2:$C$37, MATCH(D229, Products!$A$2:$A$37, 0))</f>
        <v>Fashion</v>
      </c>
      <c r="J229">
        <f>INDEX(Products!$E$2:$E$37, MATCH(D229, Products!$A$2:$A$37, 0))</f>
        <v>380</v>
      </c>
      <c r="K229" s="9">
        <f t="shared" si="12"/>
        <v>699</v>
      </c>
      <c r="L229">
        <f t="shared" si="13"/>
        <v>380</v>
      </c>
      <c r="M229" s="9">
        <f t="shared" si="14"/>
        <v>319</v>
      </c>
      <c r="N229" t="str">
        <f t="shared" si="15"/>
        <v>Jan</v>
      </c>
    </row>
    <row r="230" spans="1:14" x14ac:dyDescent="0.3">
      <c r="A230" s="2" t="s">
        <v>296</v>
      </c>
      <c r="B230" s="6">
        <v>45678</v>
      </c>
      <c r="C230" s="2" t="s">
        <v>28</v>
      </c>
      <c r="D230" s="2" t="s">
        <v>87</v>
      </c>
      <c r="E230" s="2">
        <v>3</v>
      </c>
      <c r="F230" s="7">
        <v>799</v>
      </c>
      <c r="G230" s="8">
        <v>0.15</v>
      </c>
      <c r="H230" s="9" t="str">
        <f>INDEX(Products!$B$2:$B$37, MATCH(D230, Products!$A$2:$A$37, 0))</f>
        <v>Adjustable Dumbbells</v>
      </c>
      <c r="I230" t="str">
        <f>INDEX(Products!$C$2:$C$37, MATCH(D230, Products!$A$2:$A$37, 0))</f>
        <v>Sports</v>
      </c>
      <c r="J230">
        <f>INDEX(Products!$E$2:$E$37, MATCH(D230, Products!$A$2:$A$37, 0))</f>
        <v>700</v>
      </c>
      <c r="K230" s="9">
        <f t="shared" si="12"/>
        <v>2037.45</v>
      </c>
      <c r="L230">
        <f t="shared" si="13"/>
        <v>2100</v>
      </c>
      <c r="M230" s="9">
        <f t="shared" si="14"/>
        <v>-62.549999999999955</v>
      </c>
      <c r="N230" t="str">
        <f t="shared" si="15"/>
        <v>Jan</v>
      </c>
    </row>
    <row r="231" spans="1:14" x14ac:dyDescent="0.3">
      <c r="A231" s="2" t="s">
        <v>297</v>
      </c>
      <c r="B231" s="6">
        <v>45678</v>
      </c>
      <c r="C231" s="2" t="s">
        <v>44</v>
      </c>
      <c r="D231" s="2" t="s">
        <v>39</v>
      </c>
      <c r="E231" s="2">
        <v>3</v>
      </c>
      <c r="F231" s="7">
        <v>199</v>
      </c>
      <c r="G231" s="8">
        <v>0.05</v>
      </c>
      <c r="H231" s="9" t="str">
        <f>INDEX(Products!$B$2:$B$37, MATCH(D231, Products!$A$2:$A$37, 0))</f>
        <v>Bakhoor Gift Set</v>
      </c>
      <c r="I231" t="str">
        <f>INDEX(Products!$C$2:$C$37, MATCH(D231, Products!$A$2:$A$37, 0))</f>
        <v>Beauty</v>
      </c>
      <c r="J231">
        <f>INDEX(Products!$E$2:$E$37, MATCH(D231, Products!$A$2:$A$37, 0))</f>
        <v>90</v>
      </c>
      <c r="K231" s="9">
        <f t="shared" si="12"/>
        <v>567.15</v>
      </c>
      <c r="L231">
        <f t="shared" si="13"/>
        <v>270</v>
      </c>
      <c r="M231" s="9">
        <f t="shared" si="14"/>
        <v>297.14999999999998</v>
      </c>
      <c r="N231" t="str">
        <f t="shared" si="15"/>
        <v>Jan</v>
      </c>
    </row>
    <row r="232" spans="1:14" x14ac:dyDescent="0.3">
      <c r="A232" s="2" t="s">
        <v>298</v>
      </c>
      <c r="B232" s="6">
        <v>45678</v>
      </c>
      <c r="C232" s="2" t="s">
        <v>31</v>
      </c>
      <c r="D232" s="2" t="s">
        <v>89</v>
      </c>
      <c r="E232" s="2">
        <v>2</v>
      </c>
      <c r="F232" s="7">
        <v>399</v>
      </c>
      <c r="G232" s="8">
        <v>0.1</v>
      </c>
      <c r="H232" s="9" t="str">
        <f>INDEX(Products!$B$2:$B$37, MATCH(D232, Products!$A$2:$A$37, 0))</f>
        <v>Men's Kandura Premium</v>
      </c>
      <c r="I232" t="str">
        <f>INDEX(Products!$C$2:$C$37, MATCH(D232, Products!$A$2:$A$37, 0))</f>
        <v>Fashion</v>
      </c>
      <c r="J232">
        <f>INDEX(Products!$E$2:$E$37, MATCH(D232, Products!$A$2:$A$37, 0))</f>
        <v>210</v>
      </c>
      <c r="K232" s="9">
        <f t="shared" si="12"/>
        <v>718.2</v>
      </c>
      <c r="L232">
        <f t="shared" si="13"/>
        <v>420</v>
      </c>
      <c r="M232" s="9">
        <f t="shared" si="14"/>
        <v>298.20000000000005</v>
      </c>
      <c r="N232" t="str">
        <f t="shared" si="15"/>
        <v>Jan</v>
      </c>
    </row>
    <row r="233" spans="1:14" x14ac:dyDescent="0.3">
      <c r="A233" s="2" t="s">
        <v>299</v>
      </c>
      <c r="B233" s="6">
        <v>45678</v>
      </c>
      <c r="C233" s="2" t="s">
        <v>28</v>
      </c>
      <c r="D233" s="2" t="s">
        <v>42</v>
      </c>
      <c r="E233" s="2">
        <v>1</v>
      </c>
      <c r="F233" s="7">
        <v>399</v>
      </c>
      <c r="G233" s="8">
        <v>0.05</v>
      </c>
      <c r="H233" s="9" t="str">
        <f>INDEX(Products!$B$2:$B$37, MATCH(D233, Products!$A$2:$A$37, 0))</f>
        <v>Wireless Earbuds Pro</v>
      </c>
      <c r="I233" t="str">
        <f>INDEX(Products!$C$2:$C$37, MATCH(D233, Products!$A$2:$A$37, 0))</f>
        <v>Electronics</v>
      </c>
      <c r="J233">
        <f>INDEX(Products!$E$2:$E$37, MATCH(D233, Products!$A$2:$A$37, 0))</f>
        <v>230</v>
      </c>
      <c r="K233" s="9">
        <f t="shared" si="12"/>
        <v>379.04999999999995</v>
      </c>
      <c r="L233">
        <f t="shared" si="13"/>
        <v>230</v>
      </c>
      <c r="M233" s="9">
        <f t="shared" si="14"/>
        <v>149.04999999999995</v>
      </c>
      <c r="N233" t="str">
        <f t="shared" si="15"/>
        <v>Jan</v>
      </c>
    </row>
    <row r="234" spans="1:14" x14ac:dyDescent="0.3">
      <c r="A234" s="2" t="s">
        <v>300</v>
      </c>
      <c r="B234" s="6">
        <v>45678</v>
      </c>
      <c r="C234" s="2" t="s">
        <v>48</v>
      </c>
      <c r="D234" s="2" t="s">
        <v>126</v>
      </c>
      <c r="E234" s="2">
        <v>3</v>
      </c>
      <c r="F234" s="7">
        <v>89</v>
      </c>
      <c r="G234" s="8">
        <v>0.2</v>
      </c>
      <c r="H234" s="9" t="str">
        <f>INDEX(Products!$B$2:$B$37, MATCH(D234, Products!$A$2:$A$37, 0))</f>
        <v>USB-C Fast Charger</v>
      </c>
      <c r="I234" t="str">
        <f>INDEX(Products!$C$2:$C$37, MATCH(D234, Products!$A$2:$A$37, 0))</f>
        <v>Electronics</v>
      </c>
      <c r="J234">
        <f>INDEX(Products!$E$2:$E$37, MATCH(D234, Products!$A$2:$A$37, 0))</f>
        <v>35</v>
      </c>
      <c r="K234" s="9">
        <f t="shared" si="12"/>
        <v>213.60000000000002</v>
      </c>
      <c r="L234">
        <f t="shared" si="13"/>
        <v>105</v>
      </c>
      <c r="M234" s="9">
        <f t="shared" si="14"/>
        <v>108.60000000000002</v>
      </c>
      <c r="N234" t="str">
        <f t="shared" si="15"/>
        <v>Jan</v>
      </c>
    </row>
    <row r="235" spans="1:14" x14ac:dyDescent="0.3">
      <c r="A235" s="2" t="s">
        <v>301</v>
      </c>
      <c r="B235" s="6">
        <v>45678</v>
      </c>
      <c r="C235" s="2" t="s">
        <v>28</v>
      </c>
      <c r="D235" s="2" t="s">
        <v>42</v>
      </c>
      <c r="E235" s="2">
        <v>2</v>
      </c>
      <c r="F235" s="7">
        <v>399</v>
      </c>
      <c r="G235" s="8">
        <v>0</v>
      </c>
      <c r="H235" s="9" t="str">
        <f>INDEX(Products!$B$2:$B$37, MATCH(D235, Products!$A$2:$A$37, 0))</f>
        <v>Wireless Earbuds Pro</v>
      </c>
      <c r="I235" t="str">
        <f>INDEX(Products!$C$2:$C$37, MATCH(D235, Products!$A$2:$A$37, 0))</f>
        <v>Electronics</v>
      </c>
      <c r="J235">
        <f>INDEX(Products!$E$2:$E$37, MATCH(D235, Products!$A$2:$A$37, 0))</f>
        <v>230</v>
      </c>
      <c r="K235" s="9">
        <f t="shared" si="12"/>
        <v>798</v>
      </c>
      <c r="L235">
        <f t="shared" si="13"/>
        <v>460</v>
      </c>
      <c r="M235" s="9">
        <f t="shared" si="14"/>
        <v>338</v>
      </c>
      <c r="N235" t="str">
        <f t="shared" si="15"/>
        <v>Jan</v>
      </c>
    </row>
    <row r="236" spans="1:14" x14ac:dyDescent="0.3">
      <c r="A236" s="2" t="s">
        <v>302</v>
      </c>
      <c r="B236" s="6">
        <v>45678</v>
      </c>
      <c r="C236" s="2" t="s">
        <v>41</v>
      </c>
      <c r="D236" s="2" t="s">
        <v>56</v>
      </c>
      <c r="E236" s="2">
        <v>4</v>
      </c>
      <c r="F236" s="7">
        <v>289</v>
      </c>
      <c r="G236" s="8">
        <v>0</v>
      </c>
      <c r="H236" s="9" t="str">
        <f>INDEX(Products!$B$2:$B$37, MATCH(D236, Products!$A$2:$A$37, 0))</f>
        <v>Ceramic Dinner Set</v>
      </c>
      <c r="I236" t="str">
        <f>INDEX(Products!$C$2:$C$37, MATCH(D236, Products!$A$2:$A$37, 0))</f>
        <v>Home &amp; Kitchen</v>
      </c>
      <c r="J236">
        <f>INDEX(Products!$E$2:$E$37, MATCH(D236, Products!$A$2:$A$37, 0))</f>
        <v>140</v>
      </c>
      <c r="K236" s="9">
        <f t="shared" si="12"/>
        <v>1156</v>
      </c>
      <c r="L236">
        <f t="shared" si="13"/>
        <v>560</v>
      </c>
      <c r="M236" s="9">
        <f t="shared" si="14"/>
        <v>596</v>
      </c>
      <c r="N236" t="str">
        <f t="shared" si="15"/>
        <v>Jan</v>
      </c>
    </row>
    <row r="237" spans="1:14" x14ac:dyDescent="0.3">
      <c r="A237" s="2" t="s">
        <v>303</v>
      </c>
      <c r="B237" s="6">
        <v>45679</v>
      </c>
      <c r="C237" s="2" t="s">
        <v>28</v>
      </c>
      <c r="D237" s="2" t="s">
        <v>37</v>
      </c>
      <c r="E237" s="2">
        <v>1</v>
      </c>
      <c r="F237" s="7">
        <v>249</v>
      </c>
      <c r="G237" s="8">
        <v>0.1</v>
      </c>
      <c r="H237" s="9" t="str">
        <f>INDEX(Products!$B$2:$B$37, MATCH(D237, Products!$A$2:$A$37, 0))</f>
        <v>Sunglasses Polarised</v>
      </c>
      <c r="I237" t="str">
        <f>INDEX(Products!$C$2:$C$37, MATCH(D237, Products!$A$2:$A$37, 0))</f>
        <v>Fashion</v>
      </c>
      <c r="J237">
        <f>INDEX(Products!$E$2:$E$37, MATCH(D237, Products!$A$2:$A$37, 0))</f>
        <v>95</v>
      </c>
      <c r="K237" s="9">
        <f t="shared" si="12"/>
        <v>224.1</v>
      </c>
      <c r="L237">
        <f t="shared" si="13"/>
        <v>95</v>
      </c>
      <c r="M237" s="9">
        <f t="shared" si="14"/>
        <v>129.1</v>
      </c>
      <c r="N237" t="str">
        <f t="shared" si="15"/>
        <v>Jan</v>
      </c>
    </row>
    <row r="238" spans="1:14" x14ac:dyDescent="0.3">
      <c r="A238" s="2" t="s">
        <v>304</v>
      </c>
      <c r="B238" s="6">
        <v>45679</v>
      </c>
      <c r="C238" s="2" t="s">
        <v>41</v>
      </c>
      <c r="D238" s="2" t="s">
        <v>131</v>
      </c>
      <c r="E238" s="2">
        <v>2</v>
      </c>
      <c r="F238" s="7">
        <v>899</v>
      </c>
      <c r="G238" s="8">
        <v>0</v>
      </c>
      <c r="H238" s="9" t="str">
        <f>INDEX(Products!$B$2:$B$37, MATCH(D238, Products!$A$2:$A$37, 0))</f>
        <v>4K Action Camera</v>
      </c>
      <c r="I238" t="str">
        <f>INDEX(Products!$C$2:$C$37, MATCH(D238, Products!$A$2:$A$37, 0))</f>
        <v>Electronics</v>
      </c>
      <c r="J238">
        <f>INDEX(Products!$E$2:$E$37, MATCH(D238, Products!$A$2:$A$37, 0))</f>
        <v>610</v>
      </c>
      <c r="K238" s="9">
        <f t="shared" si="12"/>
        <v>1798</v>
      </c>
      <c r="L238">
        <f t="shared" si="13"/>
        <v>1220</v>
      </c>
      <c r="M238" s="9">
        <f t="shared" si="14"/>
        <v>578</v>
      </c>
      <c r="N238" t="str">
        <f t="shared" si="15"/>
        <v>Jan</v>
      </c>
    </row>
    <row r="239" spans="1:14" x14ac:dyDescent="0.3">
      <c r="A239" s="2" t="s">
        <v>305</v>
      </c>
      <c r="B239" s="6">
        <v>45679</v>
      </c>
      <c r="C239" s="2" t="s">
        <v>44</v>
      </c>
      <c r="D239" s="2" t="s">
        <v>126</v>
      </c>
      <c r="E239" s="2">
        <v>2</v>
      </c>
      <c r="F239" s="7">
        <v>89</v>
      </c>
      <c r="G239" s="8">
        <v>0.2</v>
      </c>
      <c r="H239" s="9" t="str">
        <f>INDEX(Products!$B$2:$B$37, MATCH(D239, Products!$A$2:$A$37, 0))</f>
        <v>USB-C Fast Charger</v>
      </c>
      <c r="I239" t="str">
        <f>INDEX(Products!$C$2:$C$37, MATCH(D239, Products!$A$2:$A$37, 0))</f>
        <v>Electronics</v>
      </c>
      <c r="J239">
        <f>INDEX(Products!$E$2:$E$37, MATCH(D239, Products!$A$2:$A$37, 0))</f>
        <v>35</v>
      </c>
      <c r="K239" s="9">
        <f t="shared" si="12"/>
        <v>142.4</v>
      </c>
      <c r="L239">
        <f t="shared" si="13"/>
        <v>70</v>
      </c>
      <c r="M239" s="9">
        <f t="shared" si="14"/>
        <v>72.400000000000006</v>
      </c>
      <c r="N239" t="str">
        <f t="shared" si="15"/>
        <v>Jan</v>
      </c>
    </row>
    <row r="240" spans="1:14" x14ac:dyDescent="0.3">
      <c r="A240" s="2" t="s">
        <v>306</v>
      </c>
      <c r="B240" s="6">
        <v>45679</v>
      </c>
      <c r="C240" s="2" t="s">
        <v>41</v>
      </c>
      <c r="D240" s="2" t="s">
        <v>56</v>
      </c>
      <c r="E240" s="2">
        <v>1</v>
      </c>
      <c r="F240" s="7">
        <v>289</v>
      </c>
      <c r="G240" s="8">
        <v>0.1</v>
      </c>
      <c r="H240" s="9" t="str">
        <f>INDEX(Products!$B$2:$B$37, MATCH(D240, Products!$A$2:$A$37, 0))</f>
        <v>Ceramic Dinner Set</v>
      </c>
      <c r="I240" t="str">
        <f>INDEX(Products!$C$2:$C$37, MATCH(D240, Products!$A$2:$A$37, 0))</f>
        <v>Home &amp; Kitchen</v>
      </c>
      <c r="J240">
        <f>INDEX(Products!$E$2:$E$37, MATCH(D240, Products!$A$2:$A$37, 0))</f>
        <v>140</v>
      </c>
      <c r="K240" s="9">
        <f t="shared" si="12"/>
        <v>260.10000000000002</v>
      </c>
      <c r="L240">
        <f t="shared" si="13"/>
        <v>140</v>
      </c>
      <c r="M240" s="9">
        <f t="shared" si="14"/>
        <v>120.10000000000002</v>
      </c>
      <c r="N240" t="str">
        <f t="shared" si="15"/>
        <v>Jan</v>
      </c>
    </row>
    <row r="241" spans="1:14" x14ac:dyDescent="0.3">
      <c r="A241" s="2" t="s">
        <v>307</v>
      </c>
      <c r="B241" s="6">
        <v>45679</v>
      </c>
      <c r="C241" s="2" t="s">
        <v>41</v>
      </c>
      <c r="D241" s="2" t="s">
        <v>37</v>
      </c>
      <c r="E241" s="2">
        <v>2</v>
      </c>
      <c r="F241" s="7">
        <v>249</v>
      </c>
      <c r="G241" s="8">
        <v>0.1</v>
      </c>
      <c r="H241" s="9" t="str">
        <f>INDEX(Products!$B$2:$B$37, MATCH(D241, Products!$A$2:$A$37, 0))</f>
        <v>Sunglasses Polarised</v>
      </c>
      <c r="I241" t="str">
        <f>INDEX(Products!$C$2:$C$37, MATCH(D241, Products!$A$2:$A$37, 0))</f>
        <v>Fashion</v>
      </c>
      <c r="J241">
        <f>INDEX(Products!$E$2:$E$37, MATCH(D241, Products!$A$2:$A$37, 0))</f>
        <v>95</v>
      </c>
      <c r="K241" s="9">
        <f t="shared" si="12"/>
        <v>448.2</v>
      </c>
      <c r="L241">
        <f t="shared" si="13"/>
        <v>190</v>
      </c>
      <c r="M241" s="9">
        <f t="shared" si="14"/>
        <v>258.2</v>
      </c>
      <c r="N241" t="str">
        <f t="shared" si="15"/>
        <v>Jan</v>
      </c>
    </row>
    <row r="242" spans="1:14" x14ac:dyDescent="0.3">
      <c r="A242" s="2" t="s">
        <v>308</v>
      </c>
      <c r="B242" s="6">
        <v>45679</v>
      </c>
      <c r="C242" s="2" t="s">
        <v>28</v>
      </c>
      <c r="D242" s="2" t="s">
        <v>46</v>
      </c>
      <c r="E242" s="2">
        <v>2</v>
      </c>
      <c r="F242" s="7">
        <v>189</v>
      </c>
      <c r="G242" s="8">
        <v>0</v>
      </c>
      <c r="H242" s="9" t="str">
        <f>INDEX(Products!$B$2:$B$37, MATCH(D242, Products!$A$2:$A$37, 0))</f>
        <v>Makeup Palette</v>
      </c>
      <c r="I242" t="str">
        <f>INDEX(Products!$C$2:$C$37, MATCH(D242, Products!$A$2:$A$37, 0))</f>
        <v>Beauty</v>
      </c>
      <c r="J242">
        <f>INDEX(Products!$E$2:$E$37, MATCH(D242, Products!$A$2:$A$37, 0))</f>
        <v>85</v>
      </c>
      <c r="K242" s="9">
        <f t="shared" si="12"/>
        <v>378</v>
      </c>
      <c r="L242">
        <f t="shared" si="13"/>
        <v>170</v>
      </c>
      <c r="M242" s="9">
        <f t="shared" si="14"/>
        <v>208</v>
      </c>
      <c r="N242" t="str">
        <f t="shared" si="15"/>
        <v>Jan</v>
      </c>
    </row>
    <row r="243" spans="1:14" x14ac:dyDescent="0.3">
      <c r="A243" s="2" t="s">
        <v>309</v>
      </c>
      <c r="B243" s="6">
        <v>45679</v>
      </c>
      <c r="C243" s="2" t="s">
        <v>44</v>
      </c>
      <c r="D243" s="2" t="s">
        <v>95</v>
      </c>
      <c r="E243" s="2">
        <v>2</v>
      </c>
      <c r="F243" s="7">
        <v>259</v>
      </c>
      <c r="G243" s="8">
        <v>0</v>
      </c>
      <c r="H243" s="9" t="str">
        <f>INDEX(Products!$B$2:$B$37, MATCH(D243, Products!$A$2:$A$37, 0))</f>
        <v>Bed Linen Set (King)</v>
      </c>
      <c r="I243" t="str">
        <f>INDEX(Products!$C$2:$C$37, MATCH(D243, Products!$A$2:$A$37, 0))</f>
        <v>Home &amp; Kitchen</v>
      </c>
      <c r="J243">
        <f>INDEX(Products!$E$2:$E$37, MATCH(D243, Products!$A$2:$A$37, 0))</f>
        <v>115</v>
      </c>
      <c r="K243" s="9">
        <f t="shared" si="12"/>
        <v>518</v>
      </c>
      <c r="L243">
        <f t="shared" si="13"/>
        <v>230</v>
      </c>
      <c r="M243" s="9">
        <f t="shared" si="14"/>
        <v>288</v>
      </c>
      <c r="N243" t="str">
        <f t="shared" si="15"/>
        <v>Jan</v>
      </c>
    </row>
    <row r="244" spans="1:14" x14ac:dyDescent="0.3">
      <c r="A244" s="2" t="s">
        <v>310</v>
      </c>
      <c r="B244" s="6">
        <v>45679</v>
      </c>
      <c r="C244" s="2" t="s">
        <v>44</v>
      </c>
      <c r="D244" s="2" t="s">
        <v>103</v>
      </c>
      <c r="E244" s="2">
        <v>1</v>
      </c>
      <c r="F244" s="7">
        <v>89</v>
      </c>
      <c r="G244" s="8">
        <v>0.2</v>
      </c>
      <c r="H244" s="9" t="str">
        <f>INDEX(Products!$B$2:$B$37, MATCH(D244, Products!$A$2:$A$37, 0))</f>
        <v>Sunscreen SPF50</v>
      </c>
      <c r="I244" t="str">
        <f>INDEX(Products!$C$2:$C$37, MATCH(D244, Products!$A$2:$A$37, 0))</f>
        <v>Beauty</v>
      </c>
      <c r="J244">
        <f>INDEX(Products!$E$2:$E$37, MATCH(D244, Products!$A$2:$A$37, 0))</f>
        <v>40</v>
      </c>
      <c r="K244" s="9">
        <f t="shared" si="12"/>
        <v>71.2</v>
      </c>
      <c r="L244">
        <f t="shared" si="13"/>
        <v>40</v>
      </c>
      <c r="M244" s="9">
        <f t="shared" si="14"/>
        <v>31.200000000000003</v>
      </c>
      <c r="N244" t="str">
        <f t="shared" si="15"/>
        <v>Jan</v>
      </c>
    </row>
    <row r="245" spans="1:14" x14ac:dyDescent="0.3">
      <c r="A245" s="2" t="s">
        <v>311</v>
      </c>
      <c r="B245" s="6">
        <v>45679</v>
      </c>
      <c r="C245" s="2" t="s">
        <v>41</v>
      </c>
      <c r="D245" s="2" t="s">
        <v>39</v>
      </c>
      <c r="E245" s="2">
        <v>2</v>
      </c>
      <c r="F245" s="7">
        <v>199</v>
      </c>
      <c r="G245" s="8">
        <v>0.2</v>
      </c>
      <c r="H245" s="9" t="str">
        <f>INDEX(Products!$B$2:$B$37, MATCH(D245, Products!$A$2:$A$37, 0))</f>
        <v>Bakhoor Gift Set</v>
      </c>
      <c r="I245" t="str">
        <f>INDEX(Products!$C$2:$C$37, MATCH(D245, Products!$A$2:$A$37, 0))</f>
        <v>Beauty</v>
      </c>
      <c r="J245">
        <f>INDEX(Products!$E$2:$E$37, MATCH(D245, Products!$A$2:$A$37, 0))</f>
        <v>90</v>
      </c>
      <c r="K245" s="9">
        <f t="shared" si="12"/>
        <v>318.40000000000003</v>
      </c>
      <c r="L245">
        <f t="shared" si="13"/>
        <v>180</v>
      </c>
      <c r="M245" s="9">
        <f t="shared" si="14"/>
        <v>138.40000000000003</v>
      </c>
      <c r="N245" t="str">
        <f t="shared" si="15"/>
        <v>Jan</v>
      </c>
    </row>
    <row r="246" spans="1:14" x14ac:dyDescent="0.3">
      <c r="A246" s="2" t="s">
        <v>312</v>
      </c>
      <c r="B246" s="6">
        <v>45679</v>
      </c>
      <c r="C246" s="2" t="s">
        <v>44</v>
      </c>
      <c r="D246" s="2" t="s">
        <v>113</v>
      </c>
      <c r="E246" s="2">
        <v>1</v>
      </c>
      <c r="F246" s="7">
        <v>1199</v>
      </c>
      <c r="G246" s="8">
        <v>0.1</v>
      </c>
      <c r="H246" s="9" t="str">
        <f>INDEX(Products!$B$2:$B$37, MATCH(D246, Products!$A$2:$A$37, 0))</f>
        <v>Robot Vacuum S3</v>
      </c>
      <c r="I246" t="str">
        <f>INDEX(Products!$C$2:$C$37, MATCH(D246, Products!$A$2:$A$37, 0))</f>
        <v>Home &amp; Kitchen</v>
      </c>
      <c r="J246">
        <f>INDEX(Products!$E$2:$E$37, MATCH(D246, Products!$A$2:$A$37, 0))</f>
        <v>1080</v>
      </c>
      <c r="K246" s="9">
        <f t="shared" si="12"/>
        <v>1079.1000000000001</v>
      </c>
      <c r="L246">
        <f t="shared" si="13"/>
        <v>1080</v>
      </c>
      <c r="M246" s="9">
        <f t="shared" si="14"/>
        <v>-0.89999999999986358</v>
      </c>
      <c r="N246" t="str">
        <f t="shared" si="15"/>
        <v>Jan</v>
      </c>
    </row>
    <row r="247" spans="1:14" x14ac:dyDescent="0.3">
      <c r="A247" s="2" t="s">
        <v>313</v>
      </c>
      <c r="B247" s="6">
        <v>45679</v>
      </c>
      <c r="C247" s="2" t="s">
        <v>28</v>
      </c>
      <c r="D247" s="2" t="s">
        <v>89</v>
      </c>
      <c r="E247" s="2">
        <v>1</v>
      </c>
      <c r="F247" s="7">
        <v>399</v>
      </c>
      <c r="G247" s="8">
        <v>0.05</v>
      </c>
      <c r="H247" s="9" t="str">
        <f>INDEX(Products!$B$2:$B$37, MATCH(D247, Products!$A$2:$A$37, 0))</f>
        <v>Men's Kandura Premium</v>
      </c>
      <c r="I247" t="str">
        <f>INDEX(Products!$C$2:$C$37, MATCH(D247, Products!$A$2:$A$37, 0))</f>
        <v>Fashion</v>
      </c>
      <c r="J247">
        <f>INDEX(Products!$E$2:$E$37, MATCH(D247, Products!$A$2:$A$37, 0))</f>
        <v>210</v>
      </c>
      <c r="K247" s="9">
        <f t="shared" si="12"/>
        <v>379.04999999999995</v>
      </c>
      <c r="L247">
        <f t="shared" si="13"/>
        <v>210</v>
      </c>
      <c r="M247" s="9">
        <f t="shared" si="14"/>
        <v>169.04999999999995</v>
      </c>
      <c r="N247" t="str">
        <f t="shared" si="15"/>
        <v>Jan</v>
      </c>
    </row>
    <row r="248" spans="1:14" x14ac:dyDescent="0.3">
      <c r="A248" s="2" t="s">
        <v>314</v>
      </c>
      <c r="B248" s="6">
        <v>45679</v>
      </c>
      <c r="C248" s="2" t="s">
        <v>44</v>
      </c>
      <c r="D248" s="2" t="s">
        <v>46</v>
      </c>
      <c r="E248" s="2">
        <v>1</v>
      </c>
      <c r="F248" s="7">
        <v>189</v>
      </c>
      <c r="G248" s="8">
        <v>0.2</v>
      </c>
      <c r="H248" s="9" t="str">
        <f>INDEX(Products!$B$2:$B$37, MATCH(D248, Products!$A$2:$A$37, 0))</f>
        <v>Makeup Palette</v>
      </c>
      <c r="I248" t="str">
        <f>INDEX(Products!$C$2:$C$37, MATCH(D248, Products!$A$2:$A$37, 0))</f>
        <v>Beauty</v>
      </c>
      <c r="J248">
        <f>INDEX(Products!$E$2:$E$37, MATCH(D248, Products!$A$2:$A$37, 0))</f>
        <v>85</v>
      </c>
      <c r="K248" s="9">
        <f t="shared" si="12"/>
        <v>151.20000000000002</v>
      </c>
      <c r="L248">
        <f t="shared" si="13"/>
        <v>85</v>
      </c>
      <c r="M248" s="9">
        <f t="shared" si="14"/>
        <v>66.200000000000017</v>
      </c>
      <c r="N248" t="str">
        <f t="shared" si="15"/>
        <v>Jan</v>
      </c>
    </row>
    <row r="249" spans="1:14" x14ac:dyDescent="0.3">
      <c r="A249" s="2" t="s">
        <v>315</v>
      </c>
      <c r="B249" s="6">
        <v>45680</v>
      </c>
      <c r="C249" s="2" t="s">
        <v>28</v>
      </c>
      <c r="D249" s="2" t="s">
        <v>149</v>
      </c>
      <c r="E249" s="2">
        <v>2</v>
      </c>
      <c r="F249" s="7">
        <v>399</v>
      </c>
      <c r="G249" s="8">
        <v>0.15</v>
      </c>
      <c r="H249" s="9" t="str">
        <f>INDEX(Products!$B$2:$B$37, MATCH(D249, Products!$A$2:$A$37, 0))</f>
        <v>Blender Pro 1200W</v>
      </c>
      <c r="I249" t="str">
        <f>INDEX(Products!$C$2:$C$37, MATCH(D249, Products!$A$2:$A$37, 0))</f>
        <v>Home &amp; Kitchen</v>
      </c>
      <c r="J249">
        <f>INDEX(Products!$E$2:$E$37, MATCH(D249, Products!$A$2:$A$37, 0))</f>
        <v>250</v>
      </c>
      <c r="K249" s="9">
        <f t="shared" si="12"/>
        <v>678.3</v>
      </c>
      <c r="L249">
        <f t="shared" si="13"/>
        <v>500</v>
      </c>
      <c r="M249" s="9">
        <f t="shared" si="14"/>
        <v>178.29999999999995</v>
      </c>
      <c r="N249" t="str">
        <f t="shared" si="15"/>
        <v>Jan</v>
      </c>
    </row>
    <row r="250" spans="1:14" x14ac:dyDescent="0.3">
      <c r="A250" s="2" t="s">
        <v>316</v>
      </c>
      <c r="B250" s="6">
        <v>45680</v>
      </c>
      <c r="C250" s="2" t="s">
        <v>44</v>
      </c>
      <c r="D250" s="2" t="s">
        <v>109</v>
      </c>
      <c r="E250" s="2">
        <v>2</v>
      </c>
      <c r="F250" s="7">
        <v>1499</v>
      </c>
      <c r="G250" s="8">
        <v>0</v>
      </c>
      <c r="H250" s="9" t="str">
        <f>INDEX(Products!$B$2:$B$37, MATCH(D250, Products!$A$2:$A$37, 0))</f>
        <v>Espresso Machine</v>
      </c>
      <c r="I250" t="str">
        <f>INDEX(Products!$C$2:$C$37, MATCH(D250, Products!$A$2:$A$37, 0))</f>
        <v>Home &amp; Kitchen</v>
      </c>
      <c r="J250">
        <f>INDEX(Products!$E$2:$E$37, MATCH(D250, Products!$A$2:$A$37, 0))</f>
        <v>1050</v>
      </c>
      <c r="K250" s="9">
        <f t="shared" si="12"/>
        <v>2998</v>
      </c>
      <c r="L250">
        <f t="shared" si="13"/>
        <v>2100</v>
      </c>
      <c r="M250" s="9">
        <f t="shared" si="14"/>
        <v>898</v>
      </c>
      <c r="N250" t="str">
        <f t="shared" si="15"/>
        <v>Jan</v>
      </c>
    </row>
    <row r="251" spans="1:14" x14ac:dyDescent="0.3">
      <c r="A251" s="2" t="s">
        <v>317</v>
      </c>
      <c r="B251" s="6">
        <v>45680</v>
      </c>
      <c r="C251" s="2" t="s">
        <v>28</v>
      </c>
      <c r="D251" s="2" t="s">
        <v>49</v>
      </c>
      <c r="E251" s="2">
        <v>4</v>
      </c>
      <c r="F251" s="7">
        <v>149</v>
      </c>
      <c r="G251" s="8">
        <v>0.15</v>
      </c>
      <c r="H251" s="9" t="str">
        <f>INDEX(Products!$B$2:$B$37, MATCH(D251, Products!$A$2:$A$37, 0))</f>
        <v>Kids' Sneakers</v>
      </c>
      <c r="I251" t="str">
        <f>INDEX(Products!$C$2:$C$37, MATCH(D251, Products!$A$2:$A$37, 0))</f>
        <v>Fashion</v>
      </c>
      <c r="J251">
        <f>INDEX(Products!$E$2:$E$37, MATCH(D251, Products!$A$2:$A$37, 0))</f>
        <v>80</v>
      </c>
      <c r="K251" s="9">
        <f t="shared" si="12"/>
        <v>506.59999999999997</v>
      </c>
      <c r="L251">
        <f t="shared" si="13"/>
        <v>320</v>
      </c>
      <c r="M251" s="9">
        <f t="shared" si="14"/>
        <v>186.59999999999997</v>
      </c>
      <c r="N251" t="str">
        <f t="shared" si="15"/>
        <v>Jan</v>
      </c>
    </row>
    <row r="252" spans="1:14" x14ac:dyDescent="0.3">
      <c r="A252" s="2" t="s">
        <v>318</v>
      </c>
      <c r="B252" s="6">
        <v>45680</v>
      </c>
      <c r="C252" s="2" t="s">
        <v>28</v>
      </c>
      <c r="D252" s="2" t="s">
        <v>165</v>
      </c>
      <c r="E252" s="2">
        <v>1</v>
      </c>
      <c r="F252" s="7">
        <v>69</v>
      </c>
      <c r="G252" s="8">
        <v>0</v>
      </c>
      <c r="H252" s="9" t="str">
        <f>INDEX(Products!$B$2:$B$37, MATCH(D252, Products!$A$2:$A$37, 0))</f>
        <v>Swim Goggles</v>
      </c>
      <c r="I252" t="str">
        <f>INDEX(Products!$C$2:$C$37, MATCH(D252, Products!$A$2:$A$37, 0))</f>
        <v>Sports</v>
      </c>
      <c r="J252">
        <f>INDEX(Products!$E$2:$E$37, MATCH(D252, Products!$A$2:$A$37, 0))</f>
        <v>25</v>
      </c>
      <c r="K252" s="9">
        <f t="shared" si="12"/>
        <v>69</v>
      </c>
      <c r="L252">
        <f t="shared" si="13"/>
        <v>25</v>
      </c>
      <c r="M252" s="9">
        <f t="shared" si="14"/>
        <v>44</v>
      </c>
      <c r="N252" t="str">
        <f t="shared" si="15"/>
        <v>Jan</v>
      </c>
    </row>
    <row r="253" spans="1:14" x14ac:dyDescent="0.3">
      <c r="A253" s="2" t="s">
        <v>319</v>
      </c>
      <c r="B253" s="6">
        <v>45680</v>
      </c>
      <c r="C253" s="2" t="s">
        <v>44</v>
      </c>
      <c r="D253" s="2" t="s">
        <v>37</v>
      </c>
      <c r="E253" s="2">
        <v>1</v>
      </c>
      <c r="F253" s="7">
        <v>249</v>
      </c>
      <c r="G253" s="8">
        <v>0</v>
      </c>
      <c r="H253" s="9" t="str">
        <f>INDEX(Products!$B$2:$B$37, MATCH(D253, Products!$A$2:$A$37, 0))</f>
        <v>Sunglasses Polarised</v>
      </c>
      <c r="I253" t="str">
        <f>INDEX(Products!$C$2:$C$37, MATCH(D253, Products!$A$2:$A$37, 0))</f>
        <v>Fashion</v>
      </c>
      <c r="J253">
        <f>INDEX(Products!$E$2:$E$37, MATCH(D253, Products!$A$2:$A$37, 0))</f>
        <v>95</v>
      </c>
      <c r="K253" s="9">
        <f t="shared" si="12"/>
        <v>249</v>
      </c>
      <c r="L253">
        <f t="shared" si="13"/>
        <v>95</v>
      </c>
      <c r="M253" s="9">
        <f t="shared" si="14"/>
        <v>154</v>
      </c>
      <c r="N253" t="str">
        <f t="shared" si="15"/>
        <v>Jan</v>
      </c>
    </row>
    <row r="254" spans="1:14" x14ac:dyDescent="0.3">
      <c r="A254" s="2" t="s">
        <v>320</v>
      </c>
      <c r="B254" s="6">
        <v>45680</v>
      </c>
      <c r="C254" s="2" t="s">
        <v>41</v>
      </c>
      <c r="D254" s="2" t="s">
        <v>83</v>
      </c>
      <c r="E254" s="2">
        <v>1</v>
      </c>
      <c r="F254" s="7">
        <v>229</v>
      </c>
      <c r="G254" s="8">
        <v>0.15</v>
      </c>
      <c r="H254" s="9" t="str">
        <f>INDEX(Products!$B$2:$B$37, MATCH(D254, Products!$A$2:$A$37, 0))</f>
        <v>Cycling Helmet</v>
      </c>
      <c r="I254" t="str">
        <f>INDEX(Products!$C$2:$C$37, MATCH(D254, Products!$A$2:$A$37, 0))</f>
        <v>Sports</v>
      </c>
      <c r="J254">
        <f>INDEX(Products!$E$2:$E$37, MATCH(D254, Products!$A$2:$A$37, 0))</f>
        <v>120</v>
      </c>
      <c r="K254" s="9">
        <f t="shared" si="12"/>
        <v>194.65</v>
      </c>
      <c r="L254">
        <f t="shared" si="13"/>
        <v>120</v>
      </c>
      <c r="M254" s="9">
        <f t="shared" si="14"/>
        <v>74.650000000000006</v>
      </c>
      <c r="N254" t="str">
        <f t="shared" si="15"/>
        <v>Jan</v>
      </c>
    </row>
    <row r="255" spans="1:14" x14ac:dyDescent="0.3">
      <c r="A255" s="2" t="s">
        <v>321</v>
      </c>
      <c r="B255" s="6">
        <v>45680</v>
      </c>
      <c r="C255" s="2" t="s">
        <v>48</v>
      </c>
      <c r="D255" s="2" t="s">
        <v>60</v>
      </c>
      <c r="E255" s="2">
        <v>1</v>
      </c>
      <c r="F255" s="7">
        <v>99</v>
      </c>
      <c r="G255" s="8">
        <v>0.15</v>
      </c>
      <c r="H255" s="9" t="str">
        <f>INDEX(Products!$B$2:$B$37, MATCH(D255, Products!$A$2:$A$37, 0))</f>
        <v>Football Size 5</v>
      </c>
      <c r="I255" t="str">
        <f>INDEX(Products!$C$2:$C$37, MATCH(D255, Products!$A$2:$A$37, 0))</f>
        <v>Sports</v>
      </c>
      <c r="J255">
        <f>INDEX(Products!$E$2:$E$37, MATCH(D255, Products!$A$2:$A$37, 0))</f>
        <v>45</v>
      </c>
      <c r="K255" s="9">
        <f t="shared" si="12"/>
        <v>84.149999999999991</v>
      </c>
      <c r="L255">
        <f t="shared" si="13"/>
        <v>45</v>
      </c>
      <c r="M255" s="9">
        <f t="shared" si="14"/>
        <v>39.149999999999991</v>
      </c>
      <c r="N255" t="str">
        <f t="shared" si="15"/>
        <v>Jan</v>
      </c>
    </row>
    <row r="256" spans="1:14" x14ac:dyDescent="0.3">
      <c r="A256" s="2" t="s">
        <v>322</v>
      </c>
      <c r="B256" s="6">
        <v>45680</v>
      </c>
      <c r="C256" s="2" t="s">
        <v>41</v>
      </c>
      <c r="D256" s="2" t="s">
        <v>95</v>
      </c>
      <c r="E256" s="2">
        <v>1</v>
      </c>
      <c r="F256" s="7">
        <v>259</v>
      </c>
      <c r="G256" s="8">
        <v>0</v>
      </c>
      <c r="H256" s="9" t="str">
        <f>INDEX(Products!$B$2:$B$37, MATCH(D256, Products!$A$2:$A$37, 0))</f>
        <v>Bed Linen Set (King)</v>
      </c>
      <c r="I256" t="str">
        <f>INDEX(Products!$C$2:$C$37, MATCH(D256, Products!$A$2:$A$37, 0))</f>
        <v>Home &amp; Kitchen</v>
      </c>
      <c r="J256">
        <f>INDEX(Products!$E$2:$E$37, MATCH(D256, Products!$A$2:$A$37, 0))</f>
        <v>115</v>
      </c>
      <c r="K256" s="9">
        <f t="shared" si="12"/>
        <v>259</v>
      </c>
      <c r="L256">
        <f t="shared" si="13"/>
        <v>115</v>
      </c>
      <c r="M256" s="9">
        <f t="shared" si="14"/>
        <v>144</v>
      </c>
      <c r="N256" t="str">
        <f t="shared" si="15"/>
        <v>Jan</v>
      </c>
    </row>
    <row r="257" spans="1:14" x14ac:dyDescent="0.3">
      <c r="A257" s="2" t="s">
        <v>323</v>
      </c>
      <c r="B257" s="6">
        <v>45680</v>
      </c>
      <c r="C257" s="2" t="s">
        <v>28</v>
      </c>
      <c r="D257" s="2" t="s">
        <v>68</v>
      </c>
      <c r="E257" s="2">
        <v>1</v>
      </c>
      <c r="F257" s="7">
        <v>249</v>
      </c>
      <c r="G257" s="8">
        <v>0.1</v>
      </c>
      <c r="H257" s="9" t="str">
        <f>INDEX(Products!$B$2:$B$37, MATCH(D257, Products!$A$2:$A$37, 0))</f>
        <v>Bluetooth Speaker Mini</v>
      </c>
      <c r="I257" t="str">
        <f>INDEX(Products!$C$2:$C$37, MATCH(D257, Products!$A$2:$A$37, 0))</f>
        <v>Electronics</v>
      </c>
      <c r="J257">
        <f>INDEX(Products!$E$2:$E$37, MATCH(D257, Products!$A$2:$A$37, 0))</f>
        <v>150</v>
      </c>
      <c r="K257" s="9">
        <f t="shared" si="12"/>
        <v>224.1</v>
      </c>
      <c r="L257">
        <f t="shared" si="13"/>
        <v>150</v>
      </c>
      <c r="M257" s="9">
        <f t="shared" si="14"/>
        <v>74.099999999999994</v>
      </c>
      <c r="N257" t="str">
        <f t="shared" si="15"/>
        <v>Jan</v>
      </c>
    </row>
    <row r="258" spans="1:14" x14ac:dyDescent="0.3">
      <c r="A258" s="2" t="s">
        <v>324</v>
      </c>
      <c r="B258" s="6">
        <v>45680</v>
      </c>
      <c r="C258" s="2" t="s">
        <v>31</v>
      </c>
      <c r="D258" s="2" t="s">
        <v>129</v>
      </c>
      <c r="E258" s="2">
        <v>1</v>
      </c>
      <c r="F258" s="7">
        <v>149</v>
      </c>
      <c r="G258" s="8">
        <v>0.2</v>
      </c>
      <c r="H258" s="9" t="str">
        <f>INDEX(Products!$B$2:$B$37, MATCH(D258, Products!$A$2:$A$37, 0))</f>
        <v>Power Bank 20000mAh</v>
      </c>
      <c r="I258" t="str">
        <f>INDEX(Products!$C$2:$C$37, MATCH(D258, Products!$A$2:$A$37, 0))</f>
        <v>Electronics</v>
      </c>
      <c r="J258">
        <f>INDEX(Products!$E$2:$E$37, MATCH(D258, Products!$A$2:$A$37, 0))</f>
        <v>70</v>
      </c>
      <c r="K258" s="9">
        <f t="shared" ref="K258:K321" si="16">E258*F258*(1-G258)</f>
        <v>119.2</v>
      </c>
      <c r="L258">
        <f t="shared" ref="L258:L321" si="17">E258*J258</f>
        <v>70</v>
      </c>
      <c r="M258" s="9">
        <f t="shared" ref="M258:M321" si="18">K258-L258</f>
        <v>49.2</v>
      </c>
      <c r="N258" t="str">
        <f t="shared" ref="N258:N321" si="19">TEXT(B258,"mmm")</f>
        <v>Jan</v>
      </c>
    </row>
    <row r="259" spans="1:14" x14ac:dyDescent="0.3">
      <c r="A259" s="2" t="s">
        <v>325</v>
      </c>
      <c r="B259" s="6">
        <v>45680</v>
      </c>
      <c r="C259" s="2" t="s">
        <v>44</v>
      </c>
      <c r="D259" s="2" t="s">
        <v>46</v>
      </c>
      <c r="E259" s="2">
        <v>1</v>
      </c>
      <c r="F259" s="7">
        <v>189</v>
      </c>
      <c r="G259" s="8">
        <v>0</v>
      </c>
      <c r="H259" s="9" t="str">
        <f>INDEX(Products!$B$2:$B$37, MATCH(D259, Products!$A$2:$A$37, 0))</f>
        <v>Makeup Palette</v>
      </c>
      <c r="I259" t="str">
        <f>INDEX(Products!$C$2:$C$37, MATCH(D259, Products!$A$2:$A$37, 0))</f>
        <v>Beauty</v>
      </c>
      <c r="J259">
        <f>INDEX(Products!$E$2:$E$37, MATCH(D259, Products!$A$2:$A$37, 0))</f>
        <v>85</v>
      </c>
      <c r="K259" s="9">
        <f t="shared" si="16"/>
        <v>189</v>
      </c>
      <c r="L259">
        <f t="shared" si="17"/>
        <v>85</v>
      </c>
      <c r="M259" s="9">
        <f t="shared" si="18"/>
        <v>104</v>
      </c>
      <c r="N259" t="str">
        <f t="shared" si="19"/>
        <v>Jan</v>
      </c>
    </row>
    <row r="260" spans="1:14" x14ac:dyDescent="0.3">
      <c r="A260" s="2" t="s">
        <v>326</v>
      </c>
      <c r="B260" s="6">
        <v>45680</v>
      </c>
      <c r="C260" s="2" t="s">
        <v>44</v>
      </c>
      <c r="D260" s="2" t="s">
        <v>89</v>
      </c>
      <c r="E260" s="2">
        <v>3</v>
      </c>
      <c r="F260" s="7">
        <v>399</v>
      </c>
      <c r="G260" s="8">
        <v>0</v>
      </c>
      <c r="H260" s="9" t="str">
        <f>INDEX(Products!$B$2:$B$37, MATCH(D260, Products!$A$2:$A$37, 0))</f>
        <v>Men's Kandura Premium</v>
      </c>
      <c r="I260" t="str">
        <f>INDEX(Products!$C$2:$C$37, MATCH(D260, Products!$A$2:$A$37, 0))</f>
        <v>Fashion</v>
      </c>
      <c r="J260">
        <f>INDEX(Products!$E$2:$E$37, MATCH(D260, Products!$A$2:$A$37, 0))</f>
        <v>210</v>
      </c>
      <c r="K260" s="9">
        <f t="shared" si="16"/>
        <v>1197</v>
      </c>
      <c r="L260">
        <f t="shared" si="17"/>
        <v>630</v>
      </c>
      <c r="M260" s="9">
        <f t="shared" si="18"/>
        <v>567</v>
      </c>
      <c r="N260" t="str">
        <f t="shared" si="19"/>
        <v>Jan</v>
      </c>
    </row>
    <row r="261" spans="1:14" x14ac:dyDescent="0.3">
      <c r="A261" s="2" t="s">
        <v>327</v>
      </c>
      <c r="B261" s="6">
        <v>45680</v>
      </c>
      <c r="C261" s="2" t="s">
        <v>44</v>
      </c>
      <c r="D261" s="2" t="s">
        <v>37</v>
      </c>
      <c r="E261" s="2">
        <v>1</v>
      </c>
      <c r="F261" s="7">
        <v>249</v>
      </c>
      <c r="G261" s="8">
        <v>0.1</v>
      </c>
      <c r="H261" s="9" t="str">
        <f>INDEX(Products!$B$2:$B$37, MATCH(D261, Products!$A$2:$A$37, 0))</f>
        <v>Sunglasses Polarised</v>
      </c>
      <c r="I261" t="str">
        <f>INDEX(Products!$C$2:$C$37, MATCH(D261, Products!$A$2:$A$37, 0))</f>
        <v>Fashion</v>
      </c>
      <c r="J261">
        <f>INDEX(Products!$E$2:$E$37, MATCH(D261, Products!$A$2:$A$37, 0))</f>
        <v>95</v>
      </c>
      <c r="K261" s="9">
        <f t="shared" si="16"/>
        <v>224.1</v>
      </c>
      <c r="L261">
        <f t="shared" si="17"/>
        <v>95</v>
      </c>
      <c r="M261" s="9">
        <f t="shared" si="18"/>
        <v>129.1</v>
      </c>
      <c r="N261" t="str">
        <f t="shared" si="19"/>
        <v>Jan</v>
      </c>
    </row>
    <row r="262" spans="1:14" x14ac:dyDescent="0.3">
      <c r="A262" s="2" t="s">
        <v>328</v>
      </c>
      <c r="B262" s="6">
        <v>45680</v>
      </c>
      <c r="C262" s="2" t="s">
        <v>44</v>
      </c>
      <c r="D262" s="2" t="s">
        <v>42</v>
      </c>
      <c r="E262" s="2">
        <v>1</v>
      </c>
      <c r="F262" s="7">
        <v>399</v>
      </c>
      <c r="G262" s="8">
        <v>0</v>
      </c>
      <c r="H262" s="9" t="str">
        <f>INDEX(Products!$B$2:$B$37, MATCH(D262, Products!$A$2:$A$37, 0))</f>
        <v>Wireless Earbuds Pro</v>
      </c>
      <c r="I262" t="str">
        <f>INDEX(Products!$C$2:$C$37, MATCH(D262, Products!$A$2:$A$37, 0))</f>
        <v>Electronics</v>
      </c>
      <c r="J262">
        <f>INDEX(Products!$E$2:$E$37, MATCH(D262, Products!$A$2:$A$37, 0))</f>
        <v>230</v>
      </c>
      <c r="K262" s="9">
        <f t="shared" si="16"/>
        <v>399</v>
      </c>
      <c r="L262">
        <f t="shared" si="17"/>
        <v>230</v>
      </c>
      <c r="M262" s="9">
        <f t="shared" si="18"/>
        <v>169</v>
      </c>
      <c r="N262" t="str">
        <f t="shared" si="19"/>
        <v>Jan</v>
      </c>
    </row>
    <row r="263" spans="1:14" x14ac:dyDescent="0.3">
      <c r="A263" s="2" t="s">
        <v>329</v>
      </c>
      <c r="B263" s="6">
        <v>45680</v>
      </c>
      <c r="C263" s="2" t="s">
        <v>28</v>
      </c>
      <c r="D263" s="2" t="s">
        <v>106</v>
      </c>
      <c r="E263" s="2">
        <v>2</v>
      </c>
      <c r="F263" s="7">
        <v>1299</v>
      </c>
      <c r="G263" s="8">
        <v>0.1</v>
      </c>
      <c r="H263" s="9" t="str">
        <f>INDEX(Products!$B$2:$B$37, MATCH(D263, Products!$A$2:$A$37, 0))</f>
        <v>Smart Watch Series 5</v>
      </c>
      <c r="I263" t="str">
        <f>INDEX(Products!$C$2:$C$37, MATCH(D263, Products!$A$2:$A$37, 0))</f>
        <v>Electronics</v>
      </c>
      <c r="J263">
        <f>INDEX(Products!$E$2:$E$37, MATCH(D263, Products!$A$2:$A$37, 0))</f>
        <v>820</v>
      </c>
      <c r="K263" s="9">
        <f t="shared" si="16"/>
        <v>2338.2000000000003</v>
      </c>
      <c r="L263">
        <f t="shared" si="17"/>
        <v>1640</v>
      </c>
      <c r="M263" s="9">
        <f t="shared" si="18"/>
        <v>698.20000000000027</v>
      </c>
      <c r="N263" t="str">
        <f t="shared" si="19"/>
        <v>Jan</v>
      </c>
    </row>
    <row r="264" spans="1:14" x14ac:dyDescent="0.3">
      <c r="A264" s="2" t="s">
        <v>330</v>
      </c>
      <c r="B264" s="6">
        <v>45681</v>
      </c>
      <c r="C264" s="2" t="s">
        <v>28</v>
      </c>
      <c r="D264" s="2" t="s">
        <v>129</v>
      </c>
      <c r="E264" s="2">
        <v>1</v>
      </c>
      <c r="F264" s="7">
        <v>149</v>
      </c>
      <c r="G264" s="8">
        <v>0</v>
      </c>
      <c r="H264" s="9" t="str">
        <f>INDEX(Products!$B$2:$B$37, MATCH(D264, Products!$A$2:$A$37, 0))</f>
        <v>Power Bank 20000mAh</v>
      </c>
      <c r="I264" t="str">
        <f>INDEX(Products!$C$2:$C$37, MATCH(D264, Products!$A$2:$A$37, 0))</f>
        <v>Electronics</v>
      </c>
      <c r="J264">
        <f>INDEX(Products!$E$2:$E$37, MATCH(D264, Products!$A$2:$A$37, 0))</f>
        <v>70</v>
      </c>
      <c r="K264" s="9">
        <f t="shared" si="16"/>
        <v>149</v>
      </c>
      <c r="L264">
        <f t="shared" si="17"/>
        <v>70</v>
      </c>
      <c r="M264" s="9">
        <f t="shared" si="18"/>
        <v>79</v>
      </c>
      <c r="N264" t="str">
        <f t="shared" si="19"/>
        <v>Jan</v>
      </c>
    </row>
    <row r="265" spans="1:14" x14ac:dyDescent="0.3">
      <c r="A265" s="2" t="s">
        <v>331</v>
      </c>
      <c r="B265" s="6">
        <v>45681</v>
      </c>
      <c r="C265" s="2" t="s">
        <v>48</v>
      </c>
      <c r="D265" s="2" t="s">
        <v>33</v>
      </c>
      <c r="E265" s="2">
        <v>1</v>
      </c>
      <c r="F265" s="7">
        <v>199</v>
      </c>
      <c r="G265" s="8">
        <v>0.15</v>
      </c>
      <c r="H265" s="9" t="str">
        <f>INDEX(Products!$B$2:$B$37, MATCH(D265, Products!$A$2:$A$37, 0))</f>
        <v>Fitness Band Lite</v>
      </c>
      <c r="I265" t="str">
        <f>INDEX(Products!$C$2:$C$37, MATCH(D265, Products!$A$2:$A$37, 0))</f>
        <v>Electronics</v>
      </c>
      <c r="J265">
        <f>INDEX(Products!$E$2:$E$37, MATCH(D265, Products!$A$2:$A$37, 0))</f>
        <v>175</v>
      </c>
      <c r="K265" s="9">
        <f t="shared" si="16"/>
        <v>169.15</v>
      </c>
      <c r="L265">
        <f t="shared" si="17"/>
        <v>175</v>
      </c>
      <c r="M265" s="9">
        <f t="shared" si="18"/>
        <v>-5.8499999999999943</v>
      </c>
      <c r="N265" t="str">
        <f t="shared" si="19"/>
        <v>Jan</v>
      </c>
    </row>
    <row r="266" spans="1:14" x14ac:dyDescent="0.3">
      <c r="A266" s="2" t="s">
        <v>332</v>
      </c>
      <c r="B266" s="6">
        <v>45681</v>
      </c>
      <c r="C266" s="2" t="s">
        <v>48</v>
      </c>
      <c r="D266" s="2" t="s">
        <v>29</v>
      </c>
      <c r="E266" s="2">
        <v>4</v>
      </c>
      <c r="F266" s="7">
        <v>229</v>
      </c>
      <c r="G266" s="8">
        <v>0.3</v>
      </c>
      <c r="H266" s="9" t="str">
        <f>INDEX(Products!$B$2:$B$37, MATCH(D266, Products!$A$2:$A$37, 0))</f>
        <v>Women's Summer Dress</v>
      </c>
      <c r="I266" t="str">
        <f>INDEX(Products!$C$2:$C$37, MATCH(D266, Products!$A$2:$A$37, 0))</f>
        <v>Fashion</v>
      </c>
      <c r="J266">
        <f>INDEX(Products!$E$2:$E$37, MATCH(D266, Products!$A$2:$A$37, 0))</f>
        <v>120</v>
      </c>
      <c r="K266" s="9">
        <f t="shared" si="16"/>
        <v>641.19999999999993</v>
      </c>
      <c r="L266">
        <f t="shared" si="17"/>
        <v>480</v>
      </c>
      <c r="M266" s="9">
        <f t="shared" si="18"/>
        <v>161.19999999999993</v>
      </c>
      <c r="N266" t="str">
        <f t="shared" si="19"/>
        <v>Jan</v>
      </c>
    </row>
    <row r="267" spans="1:14" x14ac:dyDescent="0.3">
      <c r="A267" s="2" t="s">
        <v>333</v>
      </c>
      <c r="B267" s="6">
        <v>45681</v>
      </c>
      <c r="C267" s="2" t="s">
        <v>44</v>
      </c>
      <c r="D267" s="2" t="s">
        <v>87</v>
      </c>
      <c r="E267" s="2">
        <v>1</v>
      </c>
      <c r="F267" s="7">
        <v>799</v>
      </c>
      <c r="G267" s="8">
        <v>0.15</v>
      </c>
      <c r="H267" s="9" t="str">
        <f>INDEX(Products!$B$2:$B$37, MATCH(D267, Products!$A$2:$A$37, 0))</f>
        <v>Adjustable Dumbbells</v>
      </c>
      <c r="I267" t="str">
        <f>INDEX(Products!$C$2:$C$37, MATCH(D267, Products!$A$2:$A$37, 0))</f>
        <v>Sports</v>
      </c>
      <c r="J267">
        <f>INDEX(Products!$E$2:$E$37, MATCH(D267, Products!$A$2:$A$37, 0))</f>
        <v>700</v>
      </c>
      <c r="K267" s="9">
        <f t="shared" si="16"/>
        <v>679.15</v>
      </c>
      <c r="L267">
        <f t="shared" si="17"/>
        <v>700</v>
      </c>
      <c r="M267" s="9">
        <f t="shared" si="18"/>
        <v>-20.850000000000023</v>
      </c>
      <c r="N267" t="str">
        <f t="shared" si="19"/>
        <v>Jan</v>
      </c>
    </row>
    <row r="268" spans="1:14" x14ac:dyDescent="0.3">
      <c r="A268" s="2" t="s">
        <v>334</v>
      </c>
      <c r="B268" s="6">
        <v>45681</v>
      </c>
      <c r="C268" s="2" t="s">
        <v>41</v>
      </c>
      <c r="D268" s="2" t="s">
        <v>126</v>
      </c>
      <c r="E268" s="2">
        <v>1</v>
      </c>
      <c r="F268" s="7">
        <v>89</v>
      </c>
      <c r="G268" s="8">
        <v>0</v>
      </c>
      <c r="H268" s="9" t="str">
        <f>INDEX(Products!$B$2:$B$37, MATCH(D268, Products!$A$2:$A$37, 0))</f>
        <v>USB-C Fast Charger</v>
      </c>
      <c r="I268" t="str">
        <f>INDEX(Products!$C$2:$C$37, MATCH(D268, Products!$A$2:$A$37, 0))</f>
        <v>Electronics</v>
      </c>
      <c r="J268">
        <f>INDEX(Products!$E$2:$E$37, MATCH(D268, Products!$A$2:$A$37, 0))</f>
        <v>35</v>
      </c>
      <c r="K268" s="9">
        <f t="shared" si="16"/>
        <v>89</v>
      </c>
      <c r="L268">
        <f t="shared" si="17"/>
        <v>35</v>
      </c>
      <c r="M268" s="9">
        <f t="shared" si="18"/>
        <v>54</v>
      </c>
      <c r="N268" t="str">
        <f t="shared" si="19"/>
        <v>Jan</v>
      </c>
    </row>
    <row r="269" spans="1:14" x14ac:dyDescent="0.3">
      <c r="A269" s="2" t="s">
        <v>335</v>
      </c>
      <c r="B269" s="6">
        <v>45681</v>
      </c>
      <c r="C269" s="2" t="s">
        <v>44</v>
      </c>
      <c r="D269" s="2" t="s">
        <v>68</v>
      </c>
      <c r="E269" s="2">
        <v>1</v>
      </c>
      <c r="F269" s="7">
        <v>249</v>
      </c>
      <c r="G269" s="8">
        <v>0</v>
      </c>
      <c r="H269" s="9" t="str">
        <f>INDEX(Products!$B$2:$B$37, MATCH(D269, Products!$A$2:$A$37, 0))</f>
        <v>Bluetooth Speaker Mini</v>
      </c>
      <c r="I269" t="str">
        <f>INDEX(Products!$C$2:$C$37, MATCH(D269, Products!$A$2:$A$37, 0))</f>
        <v>Electronics</v>
      </c>
      <c r="J269">
        <f>INDEX(Products!$E$2:$E$37, MATCH(D269, Products!$A$2:$A$37, 0))</f>
        <v>150</v>
      </c>
      <c r="K269" s="9">
        <f t="shared" si="16"/>
        <v>249</v>
      </c>
      <c r="L269">
        <f t="shared" si="17"/>
        <v>150</v>
      </c>
      <c r="M269" s="9">
        <f t="shared" si="18"/>
        <v>99</v>
      </c>
      <c r="N269" t="str">
        <f t="shared" si="19"/>
        <v>Jan</v>
      </c>
    </row>
    <row r="270" spans="1:14" x14ac:dyDescent="0.3">
      <c r="A270" s="2" t="s">
        <v>336</v>
      </c>
      <c r="B270" s="6">
        <v>45681</v>
      </c>
      <c r="C270" s="2" t="s">
        <v>41</v>
      </c>
      <c r="D270" s="2" t="s">
        <v>149</v>
      </c>
      <c r="E270" s="2">
        <v>3</v>
      </c>
      <c r="F270" s="7">
        <v>399</v>
      </c>
      <c r="G270" s="8">
        <v>0.15</v>
      </c>
      <c r="H270" s="9" t="str">
        <f>INDEX(Products!$B$2:$B$37, MATCH(D270, Products!$A$2:$A$37, 0))</f>
        <v>Blender Pro 1200W</v>
      </c>
      <c r="I270" t="str">
        <f>INDEX(Products!$C$2:$C$37, MATCH(D270, Products!$A$2:$A$37, 0))</f>
        <v>Home &amp; Kitchen</v>
      </c>
      <c r="J270">
        <f>INDEX(Products!$E$2:$E$37, MATCH(D270, Products!$A$2:$A$37, 0))</f>
        <v>250</v>
      </c>
      <c r="K270" s="9">
        <f t="shared" si="16"/>
        <v>1017.4499999999999</v>
      </c>
      <c r="L270">
        <f t="shared" si="17"/>
        <v>750</v>
      </c>
      <c r="M270" s="9">
        <f t="shared" si="18"/>
        <v>267.44999999999993</v>
      </c>
      <c r="N270" t="str">
        <f t="shared" si="19"/>
        <v>Jan</v>
      </c>
    </row>
    <row r="271" spans="1:14" x14ac:dyDescent="0.3">
      <c r="A271" s="2" t="s">
        <v>337</v>
      </c>
      <c r="B271" s="6">
        <v>45681</v>
      </c>
      <c r="C271" s="2" t="s">
        <v>44</v>
      </c>
      <c r="D271" s="2" t="s">
        <v>33</v>
      </c>
      <c r="E271" s="2">
        <v>2</v>
      </c>
      <c r="F271" s="7">
        <v>199</v>
      </c>
      <c r="G271" s="8">
        <v>0.2</v>
      </c>
      <c r="H271" s="9" t="str">
        <f>INDEX(Products!$B$2:$B$37, MATCH(D271, Products!$A$2:$A$37, 0))</f>
        <v>Fitness Band Lite</v>
      </c>
      <c r="I271" t="str">
        <f>INDEX(Products!$C$2:$C$37, MATCH(D271, Products!$A$2:$A$37, 0))</f>
        <v>Electronics</v>
      </c>
      <c r="J271">
        <f>INDEX(Products!$E$2:$E$37, MATCH(D271, Products!$A$2:$A$37, 0))</f>
        <v>175</v>
      </c>
      <c r="K271" s="9">
        <f t="shared" si="16"/>
        <v>318.40000000000003</v>
      </c>
      <c r="L271">
        <f t="shared" si="17"/>
        <v>350</v>
      </c>
      <c r="M271" s="9">
        <f t="shared" si="18"/>
        <v>-31.599999999999966</v>
      </c>
      <c r="N271" t="str">
        <f t="shared" si="19"/>
        <v>Jan</v>
      </c>
    </row>
    <row r="272" spans="1:14" x14ac:dyDescent="0.3">
      <c r="A272" s="2" t="s">
        <v>338</v>
      </c>
      <c r="B272" s="6">
        <v>45681</v>
      </c>
      <c r="C272" s="2" t="s">
        <v>48</v>
      </c>
      <c r="D272" s="2" t="s">
        <v>58</v>
      </c>
      <c r="E272" s="2">
        <v>1</v>
      </c>
      <c r="F272" s="7">
        <v>459</v>
      </c>
      <c r="G272" s="8">
        <v>0</v>
      </c>
      <c r="H272" s="9" t="str">
        <f>INDEX(Products!$B$2:$B$37, MATCH(D272, Products!$A$2:$A$37, 0))</f>
        <v>Women's Abaya Classic</v>
      </c>
      <c r="I272" t="str">
        <f>INDEX(Products!$C$2:$C$37, MATCH(D272, Products!$A$2:$A$37, 0))</f>
        <v>Fashion</v>
      </c>
      <c r="J272">
        <f>INDEX(Products!$E$2:$E$37, MATCH(D272, Products!$A$2:$A$37, 0))</f>
        <v>190</v>
      </c>
      <c r="K272" s="9">
        <f t="shared" si="16"/>
        <v>459</v>
      </c>
      <c r="L272">
        <f t="shared" si="17"/>
        <v>190</v>
      </c>
      <c r="M272" s="9">
        <f t="shared" si="18"/>
        <v>269</v>
      </c>
      <c r="N272" t="str">
        <f t="shared" si="19"/>
        <v>Jan</v>
      </c>
    </row>
    <row r="273" spans="1:14" x14ac:dyDescent="0.3">
      <c r="A273" s="2" t="s">
        <v>339</v>
      </c>
      <c r="B273" s="6">
        <v>45681</v>
      </c>
      <c r="C273" s="2" t="s">
        <v>41</v>
      </c>
      <c r="D273" s="2" t="s">
        <v>46</v>
      </c>
      <c r="E273" s="2">
        <v>1</v>
      </c>
      <c r="F273" s="7">
        <v>189</v>
      </c>
      <c r="G273" s="8">
        <v>0.2</v>
      </c>
      <c r="H273" s="9" t="str">
        <f>INDEX(Products!$B$2:$B$37, MATCH(D273, Products!$A$2:$A$37, 0))</f>
        <v>Makeup Palette</v>
      </c>
      <c r="I273" t="str">
        <f>INDEX(Products!$C$2:$C$37, MATCH(D273, Products!$A$2:$A$37, 0))</f>
        <v>Beauty</v>
      </c>
      <c r="J273">
        <f>INDEX(Products!$E$2:$E$37, MATCH(D273, Products!$A$2:$A$37, 0))</f>
        <v>85</v>
      </c>
      <c r="K273" s="9">
        <f t="shared" si="16"/>
        <v>151.20000000000002</v>
      </c>
      <c r="L273">
        <f t="shared" si="17"/>
        <v>85</v>
      </c>
      <c r="M273" s="9">
        <f t="shared" si="18"/>
        <v>66.200000000000017</v>
      </c>
      <c r="N273" t="str">
        <f t="shared" si="19"/>
        <v>Jan</v>
      </c>
    </row>
    <row r="274" spans="1:14" x14ac:dyDescent="0.3">
      <c r="A274" s="2" t="s">
        <v>340</v>
      </c>
      <c r="B274" s="6">
        <v>45681</v>
      </c>
      <c r="C274" s="2" t="s">
        <v>44</v>
      </c>
      <c r="D274" s="2" t="s">
        <v>33</v>
      </c>
      <c r="E274" s="2">
        <v>2</v>
      </c>
      <c r="F274" s="7">
        <v>199</v>
      </c>
      <c r="G274" s="8">
        <v>0.15</v>
      </c>
      <c r="H274" s="9" t="str">
        <f>INDEX(Products!$B$2:$B$37, MATCH(D274, Products!$A$2:$A$37, 0))</f>
        <v>Fitness Band Lite</v>
      </c>
      <c r="I274" t="str">
        <f>INDEX(Products!$C$2:$C$37, MATCH(D274, Products!$A$2:$A$37, 0))</f>
        <v>Electronics</v>
      </c>
      <c r="J274">
        <f>INDEX(Products!$E$2:$E$37, MATCH(D274, Products!$A$2:$A$37, 0))</f>
        <v>175</v>
      </c>
      <c r="K274" s="9">
        <f t="shared" si="16"/>
        <v>338.3</v>
      </c>
      <c r="L274">
        <f t="shared" si="17"/>
        <v>350</v>
      </c>
      <c r="M274" s="9">
        <f t="shared" si="18"/>
        <v>-11.699999999999989</v>
      </c>
      <c r="N274" t="str">
        <f t="shared" si="19"/>
        <v>Jan</v>
      </c>
    </row>
    <row r="275" spans="1:14" x14ac:dyDescent="0.3">
      <c r="A275" s="2" t="s">
        <v>341</v>
      </c>
      <c r="B275" s="6">
        <v>45681</v>
      </c>
      <c r="C275" s="2" t="s">
        <v>41</v>
      </c>
      <c r="D275" s="2" t="s">
        <v>46</v>
      </c>
      <c r="E275" s="2">
        <v>1</v>
      </c>
      <c r="F275" s="7">
        <v>189</v>
      </c>
      <c r="G275" s="8">
        <v>0.15</v>
      </c>
      <c r="H275" s="9" t="str">
        <f>INDEX(Products!$B$2:$B$37, MATCH(D275, Products!$A$2:$A$37, 0))</f>
        <v>Makeup Palette</v>
      </c>
      <c r="I275" t="str">
        <f>INDEX(Products!$C$2:$C$37, MATCH(D275, Products!$A$2:$A$37, 0))</f>
        <v>Beauty</v>
      </c>
      <c r="J275">
        <f>INDEX(Products!$E$2:$E$37, MATCH(D275, Products!$A$2:$A$37, 0))</f>
        <v>85</v>
      </c>
      <c r="K275" s="9">
        <f t="shared" si="16"/>
        <v>160.65</v>
      </c>
      <c r="L275">
        <f t="shared" si="17"/>
        <v>85</v>
      </c>
      <c r="M275" s="9">
        <f t="shared" si="18"/>
        <v>75.650000000000006</v>
      </c>
      <c r="N275" t="str">
        <f t="shared" si="19"/>
        <v>Jan</v>
      </c>
    </row>
    <row r="276" spans="1:14" x14ac:dyDescent="0.3">
      <c r="A276" s="2" t="s">
        <v>342</v>
      </c>
      <c r="B276" s="6">
        <v>45681</v>
      </c>
      <c r="C276" s="2" t="s">
        <v>28</v>
      </c>
      <c r="D276" s="2" t="s">
        <v>37</v>
      </c>
      <c r="E276" s="2">
        <v>3</v>
      </c>
      <c r="F276" s="7">
        <v>249</v>
      </c>
      <c r="G276" s="8">
        <v>0.05</v>
      </c>
      <c r="H276" s="9" t="str">
        <f>INDEX(Products!$B$2:$B$37, MATCH(D276, Products!$A$2:$A$37, 0))</f>
        <v>Sunglasses Polarised</v>
      </c>
      <c r="I276" t="str">
        <f>INDEX(Products!$C$2:$C$37, MATCH(D276, Products!$A$2:$A$37, 0))</f>
        <v>Fashion</v>
      </c>
      <c r="J276">
        <f>INDEX(Products!$E$2:$E$37, MATCH(D276, Products!$A$2:$A$37, 0))</f>
        <v>95</v>
      </c>
      <c r="K276" s="9">
        <f t="shared" si="16"/>
        <v>709.65</v>
      </c>
      <c r="L276">
        <f t="shared" si="17"/>
        <v>285</v>
      </c>
      <c r="M276" s="9">
        <f t="shared" si="18"/>
        <v>424.65</v>
      </c>
      <c r="N276" t="str">
        <f t="shared" si="19"/>
        <v>Jan</v>
      </c>
    </row>
    <row r="277" spans="1:14" x14ac:dyDescent="0.3">
      <c r="A277" s="2" t="s">
        <v>343</v>
      </c>
      <c r="B277" s="6">
        <v>45681</v>
      </c>
      <c r="C277" s="2" t="s">
        <v>48</v>
      </c>
      <c r="D277" s="2" t="s">
        <v>58</v>
      </c>
      <c r="E277" s="2">
        <v>3</v>
      </c>
      <c r="F277" s="7">
        <v>459</v>
      </c>
      <c r="G277" s="8">
        <v>0</v>
      </c>
      <c r="H277" s="9" t="str">
        <f>INDEX(Products!$B$2:$B$37, MATCH(D277, Products!$A$2:$A$37, 0))</f>
        <v>Women's Abaya Classic</v>
      </c>
      <c r="I277" t="str">
        <f>INDEX(Products!$C$2:$C$37, MATCH(D277, Products!$A$2:$A$37, 0))</f>
        <v>Fashion</v>
      </c>
      <c r="J277">
        <f>INDEX(Products!$E$2:$E$37, MATCH(D277, Products!$A$2:$A$37, 0))</f>
        <v>190</v>
      </c>
      <c r="K277" s="9">
        <f t="shared" si="16"/>
        <v>1377</v>
      </c>
      <c r="L277">
        <f t="shared" si="17"/>
        <v>570</v>
      </c>
      <c r="M277" s="9">
        <f t="shared" si="18"/>
        <v>807</v>
      </c>
      <c r="N277" t="str">
        <f t="shared" si="19"/>
        <v>Jan</v>
      </c>
    </row>
    <row r="278" spans="1:14" x14ac:dyDescent="0.3">
      <c r="A278" s="2" t="s">
        <v>344</v>
      </c>
      <c r="B278" s="6">
        <v>45681</v>
      </c>
      <c r="C278" s="2" t="s">
        <v>41</v>
      </c>
      <c r="D278" s="2" t="s">
        <v>129</v>
      </c>
      <c r="E278" s="2">
        <v>1</v>
      </c>
      <c r="F278" s="7">
        <v>149</v>
      </c>
      <c r="G278" s="8">
        <v>0.2</v>
      </c>
      <c r="H278" s="9" t="str">
        <f>INDEX(Products!$B$2:$B$37, MATCH(D278, Products!$A$2:$A$37, 0))</f>
        <v>Power Bank 20000mAh</v>
      </c>
      <c r="I278" t="str">
        <f>INDEX(Products!$C$2:$C$37, MATCH(D278, Products!$A$2:$A$37, 0))</f>
        <v>Electronics</v>
      </c>
      <c r="J278">
        <f>INDEX(Products!$E$2:$E$37, MATCH(D278, Products!$A$2:$A$37, 0))</f>
        <v>70</v>
      </c>
      <c r="K278" s="9">
        <f t="shared" si="16"/>
        <v>119.2</v>
      </c>
      <c r="L278">
        <f t="shared" si="17"/>
        <v>70</v>
      </c>
      <c r="M278" s="9">
        <f t="shared" si="18"/>
        <v>49.2</v>
      </c>
      <c r="N278" t="str">
        <f t="shared" si="19"/>
        <v>Jan</v>
      </c>
    </row>
    <row r="279" spans="1:14" x14ac:dyDescent="0.3">
      <c r="A279" s="2" t="s">
        <v>345</v>
      </c>
      <c r="B279" s="6">
        <v>45681</v>
      </c>
      <c r="C279" s="2" t="s">
        <v>41</v>
      </c>
      <c r="D279" s="2" t="s">
        <v>103</v>
      </c>
      <c r="E279" s="2">
        <v>1</v>
      </c>
      <c r="F279" s="7">
        <v>89</v>
      </c>
      <c r="G279" s="8">
        <v>0.05</v>
      </c>
      <c r="H279" s="9" t="str">
        <f>INDEX(Products!$B$2:$B$37, MATCH(D279, Products!$A$2:$A$37, 0))</f>
        <v>Sunscreen SPF50</v>
      </c>
      <c r="I279" t="str">
        <f>INDEX(Products!$C$2:$C$37, MATCH(D279, Products!$A$2:$A$37, 0))</f>
        <v>Beauty</v>
      </c>
      <c r="J279">
        <f>INDEX(Products!$E$2:$E$37, MATCH(D279, Products!$A$2:$A$37, 0))</f>
        <v>40</v>
      </c>
      <c r="K279" s="9">
        <f t="shared" si="16"/>
        <v>84.55</v>
      </c>
      <c r="L279">
        <f t="shared" si="17"/>
        <v>40</v>
      </c>
      <c r="M279" s="9">
        <f t="shared" si="18"/>
        <v>44.55</v>
      </c>
      <c r="N279" t="str">
        <f t="shared" si="19"/>
        <v>Jan</v>
      </c>
    </row>
    <row r="280" spans="1:14" x14ac:dyDescent="0.3">
      <c r="A280" s="2" t="s">
        <v>346</v>
      </c>
      <c r="B280" s="6">
        <v>45681</v>
      </c>
      <c r="C280" s="2" t="s">
        <v>41</v>
      </c>
      <c r="D280" s="2" t="s">
        <v>37</v>
      </c>
      <c r="E280" s="2">
        <v>3</v>
      </c>
      <c r="F280" s="7">
        <v>249</v>
      </c>
      <c r="G280" s="8">
        <v>0</v>
      </c>
      <c r="H280" s="9" t="str">
        <f>INDEX(Products!$B$2:$B$37, MATCH(D280, Products!$A$2:$A$37, 0))</f>
        <v>Sunglasses Polarised</v>
      </c>
      <c r="I280" t="str">
        <f>INDEX(Products!$C$2:$C$37, MATCH(D280, Products!$A$2:$A$37, 0))</f>
        <v>Fashion</v>
      </c>
      <c r="J280">
        <f>INDEX(Products!$E$2:$E$37, MATCH(D280, Products!$A$2:$A$37, 0))</f>
        <v>95</v>
      </c>
      <c r="K280" s="9">
        <f t="shared" si="16"/>
        <v>747</v>
      </c>
      <c r="L280">
        <f t="shared" si="17"/>
        <v>285</v>
      </c>
      <c r="M280" s="9">
        <f t="shared" si="18"/>
        <v>462</v>
      </c>
      <c r="N280" t="str">
        <f t="shared" si="19"/>
        <v>Jan</v>
      </c>
    </row>
    <row r="281" spans="1:14" x14ac:dyDescent="0.3">
      <c r="A281" s="2" t="s">
        <v>347</v>
      </c>
      <c r="B281" s="6">
        <v>45682</v>
      </c>
      <c r="C281" s="2" t="s">
        <v>44</v>
      </c>
      <c r="D281" s="2" t="s">
        <v>129</v>
      </c>
      <c r="E281" s="2">
        <v>1</v>
      </c>
      <c r="F281" s="7">
        <v>149</v>
      </c>
      <c r="G281" s="8">
        <v>0</v>
      </c>
      <c r="H281" s="9" t="str">
        <f>INDEX(Products!$B$2:$B$37, MATCH(D281, Products!$A$2:$A$37, 0))</f>
        <v>Power Bank 20000mAh</v>
      </c>
      <c r="I281" t="str">
        <f>INDEX(Products!$C$2:$C$37, MATCH(D281, Products!$A$2:$A$37, 0))</f>
        <v>Electronics</v>
      </c>
      <c r="J281">
        <f>INDEX(Products!$E$2:$E$37, MATCH(D281, Products!$A$2:$A$37, 0))</f>
        <v>70</v>
      </c>
      <c r="K281" s="9">
        <f t="shared" si="16"/>
        <v>149</v>
      </c>
      <c r="L281">
        <f t="shared" si="17"/>
        <v>70</v>
      </c>
      <c r="M281" s="9">
        <f t="shared" si="18"/>
        <v>79</v>
      </c>
      <c r="N281" t="str">
        <f t="shared" si="19"/>
        <v>Jan</v>
      </c>
    </row>
    <row r="282" spans="1:14" x14ac:dyDescent="0.3">
      <c r="A282" s="2" t="s">
        <v>348</v>
      </c>
      <c r="B282" s="6">
        <v>45682</v>
      </c>
      <c r="C282" s="2" t="s">
        <v>44</v>
      </c>
      <c r="D282" s="2" t="s">
        <v>56</v>
      </c>
      <c r="E282" s="2">
        <v>2</v>
      </c>
      <c r="F282" s="7">
        <v>289</v>
      </c>
      <c r="G282" s="8">
        <v>0</v>
      </c>
      <c r="H282" s="9" t="str">
        <f>INDEX(Products!$B$2:$B$37, MATCH(D282, Products!$A$2:$A$37, 0))</f>
        <v>Ceramic Dinner Set</v>
      </c>
      <c r="I282" t="str">
        <f>INDEX(Products!$C$2:$C$37, MATCH(D282, Products!$A$2:$A$37, 0))</f>
        <v>Home &amp; Kitchen</v>
      </c>
      <c r="J282">
        <f>INDEX(Products!$E$2:$E$37, MATCH(D282, Products!$A$2:$A$37, 0))</f>
        <v>140</v>
      </c>
      <c r="K282" s="9">
        <f t="shared" si="16"/>
        <v>578</v>
      </c>
      <c r="L282">
        <f t="shared" si="17"/>
        <v>280</v>
      </c>
      <c r="M282" s="9">
        <f t="shared" si="18"/>
        <v>298</v>
      </c>
      <c r="N282" t="str">
        <f t="shared" si="19"/>
        <v>Jan</v>
      </c>
    </row>
    <row r="283" spans="1:14" x14ac:dyDescent="0.3">
      <c r="A283" s="2" t="s">
        <v>349</v>
      </c>
      <c r="B283" s="6">
        <v>45682</v>
      </c>
      <c r="C283" s="2" t="s">
        <v>41</v>
      </c>
      <c r="D283" s="2" t="s">
        <v>39</v>
      </c>
      <c r="E283" s="2">
        <v>2</v>
      </c>
      <c r="F283" s="7">
        <v>199</v>
      </c>
      <c r="G283" s="8">
        <v>0</v>
      </c>
      <c r="H283" s="9" t="str">
        <f>INDEX(Products!$B$2:$B$37, MATCH(D283, Products!$A$2:$A$37, 0))</f>
        <v>Bakhoor Gift Set</v>
      </c>
      <c r="I283" t="str">
        <f>INDEX(Products!$C$2:$C$37, MATCH(D283, Products!$A$2:$A$37, 0))</f>
        <v>Beauty</v>
      </c>
      <c r="J283">
        <f>INDEX(Products!$E$2:$E$37, MATCH(D283, Products!$A$2:$A$37, 0))</f>
        <v>90</v>
      </c>
      <c r="K283" s="9">
        <f t="shared" si="16"/>
        <v>398</v>
      </c>
      <c r="L283">
        <f t="shared" si="17"/>
        <v>180</v>
      </c>
      <c r="M283" s="9">
        <f t="shared" si="18"/>
        <v>218</v>
      </c>
      <c r="N283" t="str">
        <f t="shared" si="19"/>
        <v>Jan</v>
      </c>
    </row>
    <row r="284" spans="1:14" x14ac:dyDescent="0.3">
      <c r="A284" s="2" t="s">
        <v>350</v>
      </c>
      <c r="B284" s="6">
        <v>45682</v>
      </c>
      <c r="C284" s="2" t="s">
        <v>41</v>
      </c>
      <c r="D284" s="2" t="s">
        <v>115</v>
      </c>
      <c r="E284" s="2">
        <v>1</v>
      </c>
      <c r="F284" s="7">
        <v>129</v>
      </c>
      <c r="G284" s="8">
        <v>0.2</v>
      </c>
      <c r="H284" s="9" t="str">
        <f>INDEX(Products!$B$2:$B$37, MATCH(D284, Products!$A$2:$A$37, 0))</f>
        <v>Electric Kettle</v>
      </c>
      <c r="I284" t="str">
        <f>INDEX(Products!$C$2:$C$37, MATCH(D284, Products!$A$2:$A$37, 0))</f>
        <v>Home &amp; Kitchen</v>
      </c>
      <c r="J284">
        <f>INDEX(Products!$E$2:$E$37, MATCH(D284, Products!$A$2:$A$37, 0))</f>
        <v>60</v>
      </c>
      <c r="K284" s="9">
        <f t="shared" si="16"/>
        <v>103.2</v>
      </c>
      <c r="L284">
        <f t="shared" si="17"/>
        <v>60</v>
      </c>
      <c r="M284" s="9">
        <f t="shared" si="18"/>
        <v>43.2</v>
      </c>
      <c r="N284" t="str">
        <f t="shared" si="19"/>
        <v>Jan</v>
      </c>
    </row>
    <row r="285" spans="1:14" x14ac:dyDescent="0.3">
      <c r="A285" s="2" t="s">
        <v>351</v>
      </c>
      <c r="B285" s="6">
        <v>45682</v>
      </c>
      <c r="C285" s="2" t="s">
        <v>41</v>
      </c>
      <c r="D285" s="2" t="s">
        <v>33</v>
      </c>
      <c r="E285" s="2">
        <v>3</v>
      </c>
      <c r="F285" s="7">
        <v>199</v>
      </c>
      <c r="G285" s="8">
        <v>0.25</v>
      </c>
      <c r="H285" s="9" t="str">
        <f>INDEX(Products!$B$2:$B$37, MATCH(D285, Products!$A$2:$A$37, 0))</f>
        <v>Fitness Band Lite</v>
      </c>
      <c r="I285" t="str">
        <f>INDEX(Products!$C$2:$C$37, MATCH(D285, Products!$A$2:$A$37, 0))</f>
        <v>Electronics</v>
      </c>
      <c r="J285">
        <f>INDEX(Products!$E$2:$E$37, MATCH(D285, Products!$A$2:$A$37, 0))</f>
        <v>175</v>
      </c>
      <c r="K285" s="9">
        <f t="shared" si="16"/>
        <v>447.75</v>
      </c>
      <c r="L285">
        <f t="shared" si="17"/>
        <v>525</v>
      </c>
      <c r="M285" s="9">
        <f t="shared" si="18"/>
        <v>-77.25</v>
      </c>
      <c r="N285" t="str">
        <f t="shared" si="19"/>
        <v>Jan</v>
      </c>
    </row>
    <row r="286" spans="1:14" x14ac:dyDescent="0.3">
      <c r="A286" s="2" t="s">
        <v>352</v>
      </c>
      <c r="B286" s="6">
        <v>45682</v>
      </c>
      <c r="C286" s="2" t="s">
        <v>41</v>
      </c>
      <c r="D286" s="2" t="s">
        <v>37</v>
      </c>
      <c r="E286" s="2">
        <v>1</v>
      </c>
      <c r="F286" s="7">
        <v>249</v>
      </c>
      <c r="G286" s="8">
        <v>0.15</v>
      </c>
      <c r="H286" s="9" t="str">
        <f>INDEX(Products!$B$2:$B$37, MATCH(D286, Products!$A$2:$A$37, 0))</f>
        <v>Sunglasses Polarised</v>
      </c>
      <c r="I286" t="str">
        <f>INDEX(Products!$C$2:$C$37, MATCH(D286, Products!$A$2:$A$37, 0))</f>
        <v>Fashion</v>
      </c>
      <c r="J286">
        <f>INDEX(Products!$E$2:$E$37, MATCH(D286, Products!$A$2:$A$37, 0))</f>
        <v>95</v>
      </c>
      <c r="K286" s="9">
        <f t="shared" si="16"/>
        <v>211.65</v>
      </c>
      <c r="L286">
        <f t="shared" si="17"/>
        <v>95</v>
      </c>
      <c r="M286" s="9">
        <f t="shared" si="18"/>
        <v>116.65</v>
      </c>
      <c r="N286" t="str">
        <f t="shared" si="19"/>
        <v>Jan</v>
      </c>
    </row>
    <row r="287" spans="1:14" x14ac:dyDescent="0.3">
      <c r="A287" s="2" t="s">
        <v>353</v>
      </c>
      <c r="B287" s="6">
        <v>45682</v>
      </c>
      <c r="C287" s="2" t="s">
        <v>28</v>
      </c>
      <c r="D287" s="2" t="s">
        <v>52</v>
      </c>
      <c r="E287" s="2">
        <v>1</v>
      </c>
      <c r="F287" s="7">
        <v>299</v>
      </c>
      <c r="G287" s="8">
        <v>0.25</v>
      </c>
      <c r="H287" s="9" t="str">
        <f>INDEX(Products!$B$2:$B$37, MATCH(D287, Products!$A$2:$A$37, 0))</f>
        <v>Hair Dryer Ionic</v>
      </c>
      <c r="I287" t="str">
        <f>INDEX(Products!$C$2:$C$37, MATCH(D287, Products!$A$2:$A$37, 0))</f>
        <v>Beauty</v>
      </c>
      <c r="J287">
        <f>INDEX(Products!$E$2:$E$37, MATCH(D287, Products!$A$2:$A$37, 0))</f>
        <v>240</v>
      </c>
      <c r="K287" s="9">
        <f t="shared" si="16"/>
        <v>224.25</v>
      </c>
      <c r="L287">
        <f t="shared" si="17"/>
        <v>240</v>
      </c>
      <c r="M287" s="9">
        <f t="shared" si="18"/>
        <v>-15.75</v>
      </c>
      <c r="N287" t="str">
        <f t="shared" si="19"/>
        <v>Jan</v>
      </c>
    </row>
    <row r="288" spans="1:14" x14ac:dyDescent="0.3">
      <c r="A288" s="2" t="s">
        <v>354</v>
      </c>
      <c r="B288" s="6">
        <v>45682</v>
      </c>
      <c r="C288" s="2" t="s">
        <v>44</v>
      </c>
      <c r="D288" s="2" t="s">
        <v>92</v>
      </c>
      <c r="E288" s="2">
        <v>3</v>
      </c>
      <c r="F288" s="7">
        <v>349</v>
      </c>
      <c r="G288" s="8">
        <v>0</v>
      </c>
      <c r="H288" s="9" t="str">
        <f>INDEX(Products!$B$2:$B$37, MATCH(D288, Products!$A$2:$A$37, 0))</f>
        <v>Non-stick Cookware Set</v>
      </c>
      <c r="I288" t="str">
        <f>INDEX(Products!$C$2:$C$37, MATCH(D288, Products!$A$2:$A$37, 0))</f>
        <v>Home &amp; Kitchen</v>
      </c>
      <c r="J288">
        <f>INDEX(Products!$E$2:$E$37, MATCH(D288, Products!$A$2:$A$37, 0))</f>
        <v>170</v>
      </c>
      <c r="K288" s="9">
        <f t="shared" si="16"/>
        <v>1047</v>
      </c>
      <c r="L288">
        <f t="shared" si="17"/>
        <v>510</v>
      </c>
      <c r="M288" s="9">
        <f t="shared" si="18"/>
        <v>537</v>
      </c>
      <c r="N288" t="str">
        <f t="shared" si="19"/>
        <v>Jan</v>
      </c>
    </row>
    <row r="289" spans="1:14" x14ac:dyDescent="0.3">
      <c r="A289" s="2" t="s">
        <v>355</v>
      </c>
      <c r="B289" s="6">
        <v>45682</v>
      </c>
      <c r="C289" s="2" t="s">
        <v>31</v>
      </c>
      <c r="D289" s="2" t="s">
        <v>37</v>
      </c>
      <c r="E289" s="2">
        <v>1</v>
      </c>
      <c r="F289" s="7">
        <v>249</v>
      </c>
      <c r="G289" s="8">
        <v>0.15</v>
      </c>
      <c r="H289" s="9" t="str">
        <f>INDEX(Products!$B$2:$B$37, MATCH(D289, Products!$A$2:$A$37, 0))</f>
        <v>Sunglasses Polarised</v>
      </c>
      <c r="I289" t="str">
        <f>INDEX(Products!$C$2:$C$37, MATCH(D289, Products!$A$2:$A$37, 0))</f>
        <v>Fashion</v>
      </c>
      <c r="J289">
        <f>INDEX(Products!$E$2:$E$37, MATCH(D289, Products!$A$2:$A$37, 0))</f>
        <v>95</v>
      </c>
      <c r="K289" s="9">
        <f t="shared" si="16"/>
        <v>211.65</v>
      </c>
      <c r="L289">
        <f t="shared" si="17"/>
        <v>95</v>
      </c>
      <c r="M289" s="9">
        <f t="shared" si="18"/>
        <v>116.65</v>
      </c>
      <c r="N289" t="str">
        <f t="shared" si="19"/>
        <v>Jan</v>
      </c>
    </row>
    <row r="290" spans="1:14" x14ac:dyDescent="0.3">
      <c r="A290" s="2" t="s">
        <v>356</v>
      </c>
      <c r="B290" s="6">
        <v>45682</v>
      </c>
      <c r="C290" s="2" t="s">
        <v>48</v>
      </c>
      <c r="D290" s="2" t="s">
        <v>49</v>
      </c>
      <c r="E290" s="2">
        <v>2</v>
      </c>
      <c r="F290" s="7">
        <v>149</v>
      </c>
      <c r="G290" s="8">
        <v>0</v>
      </c>
      <c r="H290" s="9" t="str">
        <f>INDEX(Products!$B$2:$B$37, MATCH(D290, Products!$A$2:$A$37, 0))</f>
        <v>Kids' Sneakers</v>
      </c>
      <c r="I290" t="str">
        <f>INDEX(Products!$C$2:$C$37, MATCH(D290, Products!$A$2:$A$37, 0))</f>
        <v>Fashion</v>
      </c>
      <c r="J290">
        <f>INDEX(Products!$E$2:$E$37, MATCH(D290, Products!$A$2:$A$37, 0))</f>
        <v>80</v>
      </c>
      <c r="K290" s="9">
        <f t="shared" si="16"/>
        <v>298</v>
      </c>
      <c r="L290">
        <f t="shared" si="17"/>
        <v>160</v>
      </c>
      <c r="M290" s="9">
        <f t="shared" si="18"/>
        <v>138</v>
      </c>
      <c r="N290" t="str">
        <f t="shared" si="19"/>
        <v>Jan</v>
      </c>
    </row>
    <row r="291" spans="1:14" x14ac:dyDescent="0.3">
      <c r="A291" s="2" t="s">
        <v>357</v>
      </c>
      <c r="B291" s="6">
        <v>45682</v>
      </c>
      <c r="C291" s="2" t="s">
        <v>41</v>
      </c>
      <c r="D291" s="2" t="s">
        <v>35</v>
      </c>
      <c r="E291" s="2">
        <v>1</v>
      </c>
      <c r="F291" s="7">
        <v>179</v>
      </c>
      <c r="G291" s="8">
        <v>0</v>
      </c>
      <c r="H291" s="9" t="str">
        <f>INDEX(Products!$B$2:$B$37, MATCH(D291, Products!$A$2:$A$37, 0))</f>
        <v>Men's Linen Shirt</v>
      </c>
      <c r="I291" t="str">
        <f>INDEX(Products!$C$2:$C$37, MATCH(D291, Products!$A$2:$A$37, 0))</f>
        <v>Fashion</v>
      </c>
      <c r="J291">
        <f>INDEX(Products!$E$2:$E$37, MATCH(D291, Products!$A$2:$A$37, 0))</f>
        <v>70</v>
      </c>
      <c r="K291" s="9">
        <f t="shared" si="16"/>
        <v>179</v>
      </c>
      <c r="L291">
        <f t="shared" si="17"/>
        <v>70</v>
      </c>
      <c r="M291" s="9">
        <f t="shared" si="18"/>
        <v>109</v>
      </c>
      <c r="N291" t="str">
        <f t="shared" si="19"/>
        <v>Jan</v>
      </c>
    </row>
    <row r="292" spans="1:14" x14ac:dyDescent="0.3">
      <c r="A292" s="2" t="s">
        <v>358</v>
      </c>
      <c r="B292" s="6">
        <v>45682</v>
      </c>
      <c r="C292" s="2" t="s">
        <v>28</v>
      </c>
      <c r="D292" s="2" t="s">
        <v>70</v>
      </c>
      <c r="E292" s="2">
        <v>2</v>
      </c>
      <c r="F292" s="7">
        <v>429</v>
      </c>
      <c r="G292" s="8">
        <v>0</v>
      </c>
      <c r="H292" s="9" t="str">
        <f>INDEX(Products!$B$2:$B$37, MATCH(D292, Products!$A$2:$A$37, 0))</f>
        <v>Running Shoes Elite</v>
      </c>
      <c r="I292" t="str">
        <f>INDEX(Products!$C$2:$C$37, MATCH(D292, Products!$A$2:$A$37, 0))</f>
        <v>Fashion</v>
      </c>
      <c r="J292">
        <f>INDEX(Products!$E$2:$E$37, MATCH(D292, Products!$A$2:$A$37, 0))</f>
        <v>300</v>
      </c>
      <c r="K292" s="9">
        <f t="shared" si="16"/>
        <v>858</v>
      </c>
      <c r="L292">
        <f t="shared" si="17"/>
        <v>600</v>
      </c>
      <c r="M292" s="9">
        <f t="shared" si="18"/>
        <v>258</v>
      </c>
      <c r="N292" t="str">
        <f t="shared" si="19"/>
        <v>Jan</v>
      </c>
    </row>
    <row r="293" spans="1:14" x14ac:dyDescent="0.3">
      <c r="A293" s="2" t="s">
        <v>359</v>
      </c>
      <c r="B293" s="6">
        <v>45682</v>
      </c>
      <c r="C293" s="2" t="s">
        <v>48</v>
      </c>
      <c r="D293" s="2" t="s">
        <v>92</v>
      </c>
      <c r="E293" s="2">
        <v>2</v>
      </c>
      <c r="F293" s="7">
        <v>349</v>
      </c>
      <c r="G293" s="8">
        <v>0.3</v>
      </c>
      <c r="H293" s="9" t="str">
        <f>INDEX(Products!$B$2:$B$37, MATCH(D293, Products!$A$2:$A$37, 0))</f>
        <v>Non-stick Cookware Set</v>
      </c>
      <c r="I293" t="str">
        <f>INDEX(Products!$C$2:$C$37, MATCH(D293, Products!$A$2:$A$37, 0))</f>
        <v>Home &amp; Kitchen</v>
      </c>
      <c r="J293">
        <f>INDEX(Products!$E$2:$E$37, MATCH(D293, Products!$A$2:$A$37, 0))</f>
        <v>170</v>
      </c>
      <c r="K293" s="9">
        <f t="shared" si="16"/>
        <v>488.59999999999997</v>
      </c>
      <c r="L293">
        <f t="shared" si="17"/>
        <v>340</v>
      </c>
      <c r="M293" s="9">
        <f t="shared" si="18"/>
        <v>148.59999999999997</v>
      </c>
      <c r="N293" t="str">
        <f t="shared" si="19"/>
        <v>Jan</v>
      </c>
    </row>
    <row r="294" spans="1:14" x14ac:dyDescent="0.3">
      <c r="A294" s="2" t="s">
        <v>360</v>
      </c>
      <c r="B294" s="6">
        <v>45682</v>
      </c>
      <c r="C294" s="2" t="s">
        <v>44</v>
      </c>
      <c r="D294" s="2" t="s">
        <v>33</v>
      </c>
      <c r="E294" s="2">
        <v>1</v>
      </c>
      <c r="F294" s="7">
        <v>199</v>
      </c>
      <c r="G294" s="8">
        <v>0.1</v>
      </c>
      <c r="H294" s="9" t="str">
        <f>INDEX(Products!$B$2:$B$37, MATCH(D294, Products!$A$2:$A$37, 0))</f>
        <v>Fitness Band Lite</v>
      </c>
      <c r="I294" t="str">
        <f>INDEX(Products!$C$2:$C$37, MATCH(D294, Products!$A$2:$A$37, 0))</f>
        <v>Electronics</v>
      </c>
      <c r="J294">
        <f>INDEX(Products!$E$2:$E$37, MATCH(D294, Products!$A$2:$A$37, 0))</f>
        <v>175</v>
      </c>
      <c r="K294" s="9">
        <f t="shared" si="16"/>
        <v>179.1</v>
      </c>
      <c r="L294">
        <f t="shared" si="17"/>
        <v>175</v>
      </c>
      <c r="M294" s="9">
        <f t="shared" si="18"/>
        <v>4.0999999999999943</v>
      </c>
      <c r="N294" t="str">
        <f t="shared" si="19"/>
        <v>Jan</v>
      </c>
    </row>
    <row r="295" spans="1:14" x14ac:dyDescent="0.3">
      <c r="A295" s="2" t="s">
        <v>361</v>
      </c>
      <c r="B295" s="6">
        <v>45682</v>
      </c>
      <c r="C295" s="2" t="s">
        <v>28</v>
      </c>
      <c r="D295" s="2" t="s">
        <v>37</v>
      </c>
      <c r="E295" s="2">
        <v>1</v>
      </c>
      <c r="F295" s="7">
        <v>249</v>
      </c>
      <c r="G295" s="8">
        <v>0</v>
      </c>
      <c r="H295" s="9" t="str">
        <f>INDEX(Products!$B$2:$B$37, MATCH(D295, Products!$A$2:$A$37, 0))</f>
        <v>Sunglasses Polarised</v>
      </c>
      <c r="I295" t="str">
        <f>INDEX(Products!$C$2:$C$37, MATCH(D295, Products!$A$2:$A$37, 0))</f>
        <v>Fashion</v>
      </c>
      <c r="J295">
        <f>INDEX(Products!$E$2:$E$37, MATCH(D295, Products!$A$2:$A$37, 0))</f>
        <v>95</v>
      </c>
      <c r="K295" s="9">
        <f t="shared" si="16"/>
        <v>249</v>
      </c>
      <c r="L295">
        <f t="shared" si="17"/>
        <v>95</v>
      </c>
      <c r="M295" s="9">
        <f t="shared" si="18"/>
        <v>154</v>
      </c>
      <c r="N295" t="str">
        <f t="shared" si="19"/>
        <v>Jan</v>
      </c>
    </row>
    <row r="296" spans="1:14" x14ac:dyDescent="0.3">
      <c r="A296" s="2" t="s">
        <v>362</v>
      </c>
      <c r="B296" s="6">
        <v>45682</v>
      </c>
      <c r="C296" s="2" t="s">
        <v>44</v>
      </c>
      <c r="D296" s="2" t="s">
        <v>165</v>
      </c>
      <c r="E296" s="2">
        <v>1</v>
      </c>
      <c r="F296" s="7">
        <v>69</v>
      </c>
      <c r="G296" s="8">
        <v>0.05</v>
      </c>
      <c r="H296" s="9" t="str">
        <f>INDEX(Products!$B$2:$B$37, MATCH(D296, Products!$A$2:$A$37, 0))</f>
        <v>Swim Goggles</v>
      </c>
      <c r="I296" t="str">
        <f>INDEX(Products!$C$2:$C$37, MATCH(D296, Products!$A$2:$A$37, 0))</f>
        <v>Sports</v>
      </c>
      <c r="J296">
        <f>INDEX(Products!$E$2:$E$37, MATCH(D296, Products!$A$2:$A$37, 0))</f>
        <v>25</v>
      </c>
      <c r="K296" s="9">
        <f t="shared" si="16"/>
        <v>65.55</v>
      </c>
      <c r="L296">
        <f t="shared" si="17"/>
        <v>25</v>
      </c>
      <c r="M296" s="9">
        <f t="shared" si="18"/>
        <v>40.549999999999997</v>
      </c>
      <c r="N296" t="str">
        <f t="shared" si="19"/>
        <v>Jan</v>
      </c>
    </row>
    <row r="297" spans="1:14" x14ac:dyDescent="0.3">
      <c r="A297" s="2" t="s">
        <v>363</v>
      </c>
      <c r="B297" s="6">
        <v>45683</v>
      </c>
      <c r="C297" s="2" t="s">
        <v>28</v>
      </c>
      <c r="D297" s="2" t="s">
        <v>126</v>
      </c>
      <c r="E297" s="2">
        <v>1</v>
      </c>
      <c r="F297" s="7">
        <v>89</v>
      </c>
      <c r="G297" s="8">
        <v>0.05</v>
      </c>
      <c r="H297" s="9" t="str">
        <f>INDEX(Products!$B$2:$B$37, MATCH(D297, Products!$A$2:$A$37, 0))</f>
        <v>USB-C Fast Charger</v>
      </c>
      <c r="I297" t="str">
        <f>INDEX(Products!$C$2:$C$37, MATCH(D297, Products!$A$2:$A$37, 0))</f>
        <v>Electronics</v>
      </c>
      <c r="J297">
        <f>INDEX(Products!$E$2:$E$37, MATCH(D297, Products!$A$2:$A$37, 0))</f>
        <v>35</v>
      </c>
      <c r="K297" s="9">
        <f t="shared" si="16"/>
        <v>84.55</v>
      </c>
      <c r="L297">
        <f t="shared" si="17"/>
        <v>35</v>
      </c>
      <c r="M297" s="9">
        <f t="shared" si="18"/>
        <v>49.55</v>
      </c>
      <c r="N297" t="str">
        <f t="shared" si="19"/>
        <v>Jan</v>
      </c>
    </row>
    <row r="298" spans="1:14" x14ac:dyDescent="0.3">
      <c r="A298" s="2" t="s">
        <v>364</v>
      </c>
      <c r="B298" s="6">
        <v>45683</v>
      </c>
      <c r="C298" s="2" t="s">
        <v>41</v>
      </c>
      <c r="D298" s="2" t="s">
        <v>99</v>
      </c>
      <c r="E298" s="2">
        <v>2</v>
      </c>
      <c r="F298" s="7">
        <v>459</v>
      </c>
      <c r="G298" s="8">
        <v>0</v>
      </c>
      <c r="H298" s="9" t="str">
        <f>INDEX(Products!$B$2:$B$37, MATCH(D298, Products!$A$2:$A$37, 0))</f>
        <v>Gaming Headset X</v>
      </c>
      <c r="I298" t="str">
        <f>INDEX(Products!$C$2:$C$37, MATCH(D298, Products!$A$2:$A$37, 0))</f>
        <v>Electronics</v>
      </c>
      <c r="J298">
        <f>INDEX(Products!$E$2:$E$37, MATCH(D298, Products!$A$2:$A$37, 0))</f>
        <v>300</v>
      </c>
      <c r="K298" s="9">
        <f t="shared" si="16"/>
        <v>918</v>
      </c>
      <c r="L298">
        <f t="shared" si="17"/>
        <v>600</v>
      </c>
      <c r="M298" s="9">
        <f t="shared" si="18"/>
        <v>318</v>
      </c>
      <c r="N298" t="str">
        <f t="shared" si="19"/>
        <v>Jan</v>
      </c>
    </row>
    <row r="299" spans="1:14" x14ac:dyDescent="0.3">
      <c r="A299" s="2" t="s">
        <v>365</v>
      </c>
      <c r="B299" s="6">
        <v>45683</v>
      </c>
      <c r="C299" s="2" t="s">
        <v>44</v>
      </c>
      <c r="D299" s="2" t="s">
        <v>49</v>
      </c>
      <c r="E299" s="2">
        <v>2</v>
      </c>
      <c r="F299" s="7">
        <v>149</v>
      </c>
      <c r="G299" s="8">
        <v>0.05</v>
      </c>
      <c r="H299" s="9" t="str">
        <f>INDEX(Products!$B$2:$B$37, MATCH(D299, Products!$A$2:$A$37, 0))</f>
        <v>Kids' Sneakers</v>
      </c>
      <c r="I299" t="str">
        <f>INDEX(Products!$C$2:$C$37, MATCH(D299, Products!$A$2:$A$37, 0))</f>
        <v>Fashion</v>
      </c>
      <c r="J299">
        <f>INDEX(Products!$E$2:$E$37, MATCH(D299, Products!$A$2:$A$37, 0))</f>
        <v>80</v>
      </c>
      <c r="K299" s="9">
        <f t="shared" si="16"/>
        <v>283.09999999999997</v>
      </c>
      <c r="L299">
        <f t="shared" si="17"/>
        <v>160</v>
      </c>
      <c r="M299" s="9">
        <f t="shared" si="18"/>
        <v>123.09999999999997</v>
      </c>
      <c r="N299" t="str">
        <f t="shared" si="19"/>
        <v>Jan</v>
      </c>
    </row>
    <row r="300" spans="1:14" x14ac:dyDescent="0.3">
      <c r="A300" s="2" t="s">
        <v>366</v>
      </c>
      <c r="B300" s="6">
        <v>45683</v>
      </c>
      <c r="C300" s="2" t="s">
        <v>31</v>
      </c>
      <c r="D300" s="2" t="s">
        <v>70</v>
      </c>
      <c r="E300" s="2">
        <v>1</v>
      </c>
      <c r="F300" s="7">
        <v>429</v>
      </c>
      <c r="G300" s="8">
        <v>0</v>
      </c>
      <c r="H300" s="9" t="str">
        <f>INDEX(Products!$B$2:$B$37, MATCH(D300, Products!$A$2:$A$37, 0))</f>
        <v>Running Shoes Elite</v>
      </c>
      <c r="I300" t="str">
        <f>INDEX(Products!$C$2:$C$37, MATCH(D300, Products!$A$2:$A$37, 0))</f>
        <v>Fashion</v>
      </c>
      <c r="J300">
        <f>INDEX(Products!$E$2:$E$37, MATCH(D300, Products!$A$2:$A$37, 0))</f>
        <v>300</v>
      </c>
      <c r="K300" s="9">
        <f t="shared" si="16"/>
        <v>429</v>
      </c>
      <c r="L300">
        <f t="shared" si="17"/>
        <v>300</v>
      </c>
      <c r="M300" s="9">
        <f t="shared" si="18"/>
        <v>129</v>
      </c>
      <c r="N300" t="str">
        <f t="shared" si="19"/>
        <v>Jan</v>
      </c>
    </row>
    <row r="301" spans="1:14" x14ac:dyDescent="0.3">
      <c r="A301" s="2" t="s">
        <v>367</v>
      </c>
      <c r="B301" s="6">
        <v>45683</v>
      </c>
      <c r="C301" s="2" t="s">
        <v>41</v>
      </c>
      <c r="D301" s="2" t="s">
        <v>29</v>
      </c>
      <c r="E301" s="2">
        <v>1</v>
      </c>
      <c r="F301" s="7">
        <v>229</v>
      </c>
      <c r="G301" s="8">
        <v>0</v>
      </c>
      <c r="H301" s="9" t="str">
        <f>INDEX(Products!$B$2:$B$37, MATCH(D301, Products!$A$2:$A$37, 0))</f>
        <v>Women's Summer Dress</v>
      </c>
      <c r="I301" t="str">
        <f>INDEX(Products!$C$2:$C$37, MATCH(D301, Products!$A$2:$A$37, 0))</f>
        <v>Fashion</v>
      </c>
      <c r="J301">
        <f>INDEX(Products!$E$2:$E$37, MATCH(D301, Products!$A$2:$A$37, 0))</f>
        <v>120</v>
      </c>
      <c r="K301" s="9">
        <f t="shared" si="16"/>
        <v>229</v>
      </c>
      <c r="L301">
        <f t="shared" si="17"/>
        <v>120</v>
      </c>
      <c r="M301" s="9">
        <f t="shared" si="18"/>
        <v>109</v>
      </c>
      <c r="N301" t="str">
        <f t="shared" si="19"/>
        <v>Jan</v>
      </c>
    </row>
    <row r="302" spans="1:14" x14ac:dyDescent="0.3">
      <c r="A302" s="2" t="s">
        <v>368</v>
      </c>
      <c r="B302" s="6">
        <v>45683</v>
      </c>
      <c r="C302" s="2" t="s">
        <v>44</v>
      </c>
      <c r="D302" s="2" t="s">
        <v>37</v>
      </c>
      <c r="E302" s="2">
        <v>3</v>
      </c>
      <c r="F302" s="7">
        <v>249</v>
      </c>
      <c r="G302" s="8">
        <v>0.1</v>
      </c>
      <c r="H302" s="9" t="str">
        <f>INDEX(Products!$B$2:$B$37, MATCH(D302, Products!$A$2:$A$37, 0))</f>
        <v>Sunglasses Polarised</v>
      </c>
      <c r="I302" t="str">
        <f>INDEX(Products!$C$2:$C$37, MATCH(D302, Products!$A$2:$A$37, 0))</f>
        <v>Fashion</v>
      </c>
      <c r="J302">
        <f>INDEX(Products!$E$2:$E$37, MATCH(D302, Products!$A$2:$A$37, 0))</f>
        <v>95</v>
      </c>
      <c r="K302" s="9">
        <f t="shared" si="16"/>
        <v>672.30000000000007</v>
      </c>
      <c r="L302">
        <f t="shared" si="17"/>
        <v>285</v>
      </c>
      <c r="M302" s="9">
        <f t="shared" si="18"/>
        <v>387.30000000000007</v>
      </c>
      <c r="N302" t="str">
        <f t="shared" si="19"/>
        <v>Jan</v>
      </c>
    </row>
    <row r="303" spans="1:14" x14ac:dyDescent="0.3">
      <c r="A303" s="2" t="s">
        <v>369</v>
      </c>
      <c r="B303" s="6">
        <v>45683</v>
      </c>
      <c r="C303" s="2" t="s">
        <v>31</v>
      </c>
      <c r="D303" s="2" t="s">
        <v>80</v>
      </c>
      <c r="E303" s="2">
        <v>1</v>
      </c>
      <c r="F303" s="7">
        <v>149</v>
      </c>
      <c r="G303" s="8">
        <v>0.05</v>
      </c>
      <c r="H303" s="9" t="str">
        <f>INDEX(Products!$B$2:$B$37, MATCH(D303, Products!$A$2:$A$37, 0))</f>
        <v>Vitamin C Serum</v>
      </c>
      <c r="I303" t="str">
        <f>INDEX(Products!$C$2:$C$37, MATCH(D303, Products!$A$2:$A$37, 0))</f>
        <v>Beauty</v>
      </c>
      <c r="J303">
        <f>INDEX(Products!$E$2:$E$37, MATCH(D303, Products!$A$2:$A$37, 0))</f>
        <v>55</v>
      </c>
      <c r="K303" s="9">
        <f t="shared" si="16"/>
        <v>141.54999999999998</v>
      </c>
      <c r="L303">
        <f t="shared" si="17"/>
        <v>55</v>
      </c>
      <c r="M303" s="9">
        <f t="shared" si="18"/>
        <v>86.549999999999983</v>
      </c>
      <c r="N303" t="str">
        <f t="shared" si="19"/>
        <v>Jan</v>
      </c>
    </row>
    <row r="304" spans="1:14" x14ac:dyDescent="0.3">
      <c r="A304" s="2" t="s">
        <v>370</v>
      </c>
      <c r="B304" s="6">
        <v>45683</v>
      </c>
      <c r="C304" s="2" t="s">
        <v>44</v>
      </c>
      <c r="D304" s="2" t="s">
        <v>29</v>
      </c>
      <c r="E304" s="2">
        <v>1</v>
      </c>
      <c r="F304" s="7">
        <v>229</v>
      </c>
      <c r="G304" s="8">
        <v>0</v>
      </c>
      <c r="H304" s="9" t="str">
        <f>INDEX(Products!$B$2:$B$37, MATCH(D304, Products!$A$2:$A$37, 0))</f>
        <v>Women's Summer Dress</v>
      </c>
      <c r="I304" t="str">
        <f>INDEX(Products!$C$2:$C$37, MATCH(D304, Products!$A$2:$A$37, 0))</f>
        <v>Fashion</v>
      </c>
      <c r="J304">
        <f>INDEX(Products!$E$2:$E$37, MATCH(D304, Products!$A$2:$A$37, 0))</f>
        <v>120</v>
      </c>
      <c r="K304" s="9">
        <f t="shared" si="16"/>
        <v>229</v>
      </c>
      <c r="L304">
        <f t="shared" si="17"/>
        <v>120</v>
      </c>
      <c r="M304" s="9">
        <f t="shared" si="18"/>
        <v>109</v>
      </c>
      <c r="N304" t="str">
        <f t="shared" si="19"/>
        <v>Jan</v>
      </c>
    </row>
    <row r="305" spans="1:14" x14ac:dyDescent="0.3">
      <c r="A305" s="2" t="s">
        <v>371</v>
      </c>
      <c r="B305" s="6">
        <v>45683</v>
      </c>
      <c r="C305" s="2" t="s">
        <v>31</v>
      </c>
      <c r="D305" s="2" t="s">
        <v>129</v>
      </c>
      <c r="E305" s="2">
        <v>3</v>
      </c>
      <c r="F305" s="7">
        <v>149</v>
      </c>
      <c r="G305" s="8">
        <v>0.1</v>
      </c>
      <c r="H305" s="9" t="str">
        <f>INDEX(Products!$B$2:$B$37, MATCH(D305, Products!$A$2:$A$37, 0))</f>
        <v>Power Bank 20000mAh</v>
      </c>
      <c r="I305" t="str">
        <f>INDEX(Products!$C$2:$C$37, MATCH(D305, Products!$A$2:$A$37, 0))</f>
        <v>Electronics</v>
      </c>
      <c r="J305">
        <f>INDEX(Products!$E$2:$E$37, MATCH(D305, Products!$A$2:$A$37, 0))</f>
        <v>70</v>
      </c>
      <c r="K305" s="9">
        <f t="shared" si="16"/>
        <v>402.3</v>
      </c>
      <c r="L305">
        <f t="shared" si="17"/>
        <v>210</v>
      </c>
      <c r="M305" s="9">
        <f t="shared" si="18"/>
        <v>192.3</v>
      </c>
      <c r="N305" t="str">
        <f t="shared" si="19"/>
        <v>Jan</v>
      </c>
    </row>
    <row r="306" spans="1:14" x14ac:dyDescent="0.3">
      <c r="A306" s="2" t="s">
        <v>372</v>
      </c>
      <c r="B306" s="6">
        <v>45683</v>
      </c>
      <c r="C306" s="2" t="s">
        <v>41</v>
      </c>
      <c r="D306" s="2" t="s">
        <v>75</v>
      </c>
      <c r="E306" s="2">
        <v>1</v>
      </c>
      <c r="F306" s="7">
        <v>549</v>
      </c>
      <c r="G306" s="8">
        <v>0.1</v>
      </c>
      <c r="H306" s="9" t="str">
        <f>INDEX(Products!$B$2:$B$37, MATCH(D306, Products!$A$2:$A$37, 0))</f>
        <v>Oud Perfume 100ml</v>
      </c>
      <c r="I306" t="str">
        <f>INDEX(Products!$C$2:$C$37, MATCH(D306, Products!$A$2:$A$37, 0))</f>
        <v>Beauty</v>
      </c>
      <c r="J306">
        <f>INDEX(Products!$E$2:$E$37, MATCH(D306, Products!$A$2:$A$37, 0))</f>
        <v>250</v>
      </c>
      <c r="K306" s="9">
        <f t="shared" si="16"/>
        <v>494.1</v>
      </c>
      <c r="L306">
        <f t="shared" si="17"/>
        <v>250</v>
      </c>
      <c r="M306" s="9">
        <f t="shared" si="18"/>
        <v>244.10000000000002</v>
      </c>
      <c r="N306" t="str">
        <f t="shared" si="19"/>
        <v>Jan</v>
      </c>
    </row>
    <row r="307" spans="1:14" x14ac:dyDescent="0.3">
      <c r="A307" s="2" t="s">
        <v>373</v>
      </c>
      <c r="B307" s="6">
        <v>45683</v>
      </c>
      <c r="C307" s="2" t="s">
        <v>44</v>
      </c>
      <c r="D307" s="2" t="s">
        <v>70</v>
      </c>
      <c r="E307" s="2">
        <v>2</v>
      </c>
      <c r="F307" s="7">
        <v>429</v>
      </c>
      <c r="G307" s="8">
        <v>0.1</v>
      </c>
      <c r="H307" s="9" t="str">
        <f>INDEX(Products!$B$2:$B$37, MATCH(D307, Products!$A$2:$A$37, 0))</f>
        <v>Running Shoes Elite</v>
      </c>
      <c r="I307" t="str">
        <f>INDEX(Products!$C$2:$C$37, MATCH(D307, Products!$A$2:$A$37, 0))</f>
        <v>Fashion</v>
      </c>
      <c r="J307">
        <f>INDEX(Products!$E$2:$E$37, MATCH(D307, Products!$A$2:$A$37, 0))</f>
        <v>300</v>
      </c>
      <c r="K307" s="9">
        <f t="shared" si="16"/>
        <v>772.2</v>
      </c>
      <c r="L307">
        <f t="shared" si="17"/>
        <v>600</v>
      </c>
      <c r="M307" s="9">
        <f t="shared" si="18"/>
        <v>172.20000000000005</v>
      </c>
      <c r="N307" t="str">
        <f t="shared" si="19"/>
        <v>Jan</v>
      </c>
    </row>
    <row r="308" spans="1:14" x14ac:dyDescent="0.3">
      <c r="A308" s="2" t="s">
        <v>374</v>
      </c>
      <c r="B308" s="6">
        <v>45683</v>
      </c>
      <c r="C308" s="2" t="s">
        <v>41</v>
      </c>
      <c r="D308" s="2" t="s">
        <v>46</v>
      </c>
      <c r="E308" s="2">
        <v>4</v>
      </c>
      <c r="F308" s="7">
        <v>189</v>
      </c>
      <c r="G308" s="8">
        <v>0.1</v>
      </c>
      <c r="H308" s="9" t="str">
        <f>INDEX(Products!$B$2:$B$37, MATCH(D308, Products!$A$2:$A$37, 0))</f>
        <v>Makeup Palette</v>
      </c>
      <c r="I308" t="str">
        <f>INDEX(Products!$C$2:$C$37, MATCH(D308, Products!$A$2:$A$37, 0))</f>
        <v>Beauty</v>
      </c>
      <c r="J308">
        <f>INDEX(Products!$E$2:$E$37, MATCH(D308, Products!$A$2:$A$37, 0))</f>
        <v>85</v>
      </c>
      <c r="K308" s="9">
        <f t="shared" si="16"/>
        <v>680.4</v>
      </c>
      <c r="L308">
        <f t="shared" si="17"/>
        <v>340</v>
      </c>
      <c r="M308" s="9">
        <f t="shared" si="18"/>
        <v>340.4</v>
      </c>
      <c r="N308" t="str">
        <f t="shared" si="19"/>
        <v>Jan</v>
      </c>
    </row>
    <row r="309" spans="1:14" x14ac:dyDescent="0.3">
      <c r="A309" s="2" t="s">
        <v>375</v>
      </c>
      <c r="B309" s="6">
        <v>45683</v>
      </c>
      <c r="C309" s="2" t="s">
        <v>44</v>
      </c>
      <c r="D309" s="2" t="s">
        <v>80</v>
      </c>
      <c r="E309" s="2">
        <v>1</v>
      </c>
      <c r="F309" s="7">
        <v>149</v>
      </c>
      <c r="G309" s="8">
        <v>0.1</v>
      </c>
      <c r="H309" s="9" t="str">
        <f>INDEX(Products!$B$2:$B$37, MATCH(D309, Products!$A$2:$A$37, 0))</f>
        <v>Vitamin C Serum</v>
      </c>
      <c r="I309" t="str">
        <f>INDEX(Products!$C$2:$C$37, MATCH(D309, Products!$A$2:$A$37, 0))</f>
        <v>Beauty</v>
      </c>
      <c r="J309">
        <f>INDEX(Products!$E$2:$E$37, MATCH(D309, Products!$A$2:$A$37, 0))</f>
        <v>55</v>
      </c>
      <c r="K309" s="9">
        <f t="shared" si="16"/>
        <v>134.1</v>
      </c>
      <c r="L309">
        <f t="shared" si="17"/>
        <v>55</v>
      </c>
      <c r="M309" s="9">
        <f t="shared" si="18"/>
        <v>79.099999999999994</v>
      </c>
      <c r="N309" t="str">
        <f t="shared" si="19"/>
        <v>Jan</v>
      </c>
    </row>
    <row r="310" spans="1:14" x14ac:dyDescent="0.3">
      <c r="A310" s="2" t="s">
        <v>376</v>
      </c>
      <c r="B310" s="6">
        <v>45683</v>
      </c>
      <c r="C310" s="2" t="s">
        <v>44</v>
      </c>
      <c r="D310" s="2" t="s">
        <v>35</v>
      </c>
      <c r="E310" s="2">
        <v>1</v>
      </c>
      <c r="F310" s="7">
        <v>179</v>
      </c>
      <c r="G310" s="8">
        <v>0.3</v>
      </c>
      <c r="H310" s="9" t="str">
        <f>INDEX(Products!$B$2:$B$37, MATCH(D310, Products!$A$2:$A$37, 0))</f>
        <v>Men's Linen Shirt</v>
      </c>
      <c r="I310" t="str">
        <f>INDEX(Products!$C$2:$C$37, MATCH(D310, Products!$A$2:$A$37, 0))</f>
        <v>Fashion</v>
      </c>
      <c r="J310">
        <f>INDEX(Products!$E$2:$E$37, MATCH(D310, Products!$A$2:$A$37, 0))</f>
        <v>70</v>
      </c>
      <c r="K310" s="9">
        <f t="shared" si="16"/>
        <v>125.3</v>
      </c>
      <c r="L310">
        <f t="shared" si="17"/>
        <v>70</v>
      </c>
      <c r="M310" s="9">
        <f t="shared" si="18"/>
        <v>55.3</v>
      </c>
      <c r="N310" t="str">
        <f t="shared" si="19"/>
        <v>Jan</v>
      </c>
    </row>
    <row r="311" spans="1:14" x14ac:dyDescent="0.3">
      <c r="A311" s="2" t="s">
        <v>377</v>
      </c>
      <c r="B311" s="6">
        <v>45683</v>
      </c>
      <c r="C311" s="2" t="s">
        <v>28</v>
      </c>
      <c r="D311" s="2" t="s">
        <v>80</v>
      </c>
      <c r="E311" s="2">
        <v>1</v>
      </c>
      <c r="F311" s="7">
        <v>149</v>
      </c>
      <c r="G311" s="8">
        <v>0.2</v>
      </c>
      <c r="H311" s="9" t="str">
        <f>INDEX(Products!$B$2:$B$37, MATCH(D311, Products!$A$2:$A$37, 0))</f>
        <v>Vitamin C Serum</v>
      </c>
      <c r="I311" t="str">
        <f>INDEX(Products!$C$2:$C$37, MATCH(D311, Products!$A$2:$A$37, 0))</f>
        <v>Beauty</v>
      </c>
      <c r="J311">
        <f>INDEX(Products!$E$2:$E$37, MATCH(D311, Products!$A$2:$A$37, 0))</f>
        <v>55</v>
      </c>
      <c r="K311" s="9">
        <f t="shared" si="16"/>
        <v>119.2</v>
      </c>
      <c r="L311">
        <f t="shared" si="17"/>
        <v>55</v>
      </c>
      <c r="M311" s="9">
        <f t="shared" si="18"/>
        <v>64.2</v>
      </c>
      <c r="N311" t="str">
        <f t="shared" si="19"/>
        <v>Jan</v>
      </c>
    </row>
    <row r="312" spans="1:14" x14ac:dyDescent="0.3">
      <c r="A312" s="2" t="s">
        <v>378</v>
      </c>
      <c r="B312" s="6">
        <v>45684</v>
      </c>
      <c r="C312" s="2" t="s">
        <v>41</v>
      </c>
      <c r="D312" s="2" t="s">
        <v>58</v>
      </c>
      <c r="E312" s="2">
        <v>1</v>
      </c>
      <c r="F312" s="7">
        <v>459</v>
      </c>
      <c r="G312" s="8">
        <v>0</v>
      </c>
      <c r="H312" s="9" t="str">
        <f>INDEX(Products!$B$2:$B$37, MATCH(D312, Products!$A$2:$A$37, 0))</f>
        <v>Women's Abaya Classic</v>
      </c>
      <c r="I312" t="str">
        <f>INDEX(Products!$C$2:$C$37, MATCH(D312, Products!$A$2:$A$37, 0))</f>
        <v>Fashion</v>
      </c>
      <c r="J312">
        <f>INDEX(Products!$E$2:$E$37, MATCH(D312, Products!$A$2:$A$37, 0))</f>
        <v>190</v>
      </c>
      <c r="K312" s="9">
        <f t="shared" si="16"/>
        <v>459</v>
      </c>
      <c r="L312">
        <f t="shared" si="17"/>
        <v>190</v>
      </c>
      <c r="M312" s="9">
        <f t="shared" si="18"/>
        <v>269</v>
      </c>
      <c r="N312" t="str">
        <f t="shared" si="19"/>
        <v>Jan</v>
      </c>
    </row>
    <row r="313" spans="1:14" x14ac:dyDescent="0.3">
      <c r="A313" s="2" t="s">
        <v>379</v>
      </c>
      <c r="B313" s="6">
        <v>45684</v>
      </c>
      <c r="C313" s="2" t="s">
        <v>44</v>
      </c>
      <c r="D313" s="2" t="s">
        <v>58</v>
      </c>
      <c r="E313" s="2">
        <v>3</v>
      </c>
      <c r="F313" s="7">
        <v>459</v>
      </c>
      <c r="G313" s="8">
        <v>0.05</v>
      </c>
      <c r="H313" s="9" t="str">
        <f>INDEX(Products!$B$2:$B$37, MATCH(D313, Products!$A$2:$A$37, 0))</f>
        <v>Women's Abaya Classic</v>
      </c>
      <c r="I313" t="str">
        <f>INDEX(Products!$C$2:$C$37, MATCH(D313, Products!$A$2:$A$37, 0))</f>
        <v>Fashion</v>
      </c>
      <c r="J313">
        <f>INDEX(Products!$E$2:$E$37, MATCH(D313, Products!$A$2:$A$37, 0))</f>
        <v>190</v>
      </c>
      <c r="K313" s="9">
        <f t="shared" si="16"/>
        <v>1308.1499999999999</v>
      </c>
      <c r="L313">
        <f t="shared" si="17"/>
        <v>570</v>
      </c>
      <c r="M313" s="9">
        <f t="shared" si="18"/>
        <v>738.14999999999986</v>
      </c>
      <c r="N313" t="str">
        <f t="shared" si="19"/>
        <v>Jan</v>
      </c>
    </row>
    <row r="314" spans="1:14" x14ac:dyDescent="0.3">
      <c r="A314" s="2" t="s">
        <v>380</v>
      </c>
      <c r="B314" s="6">
        <v>45684</v>
      </c>
      <c r="C314" s="2" t="s">
        <v>28</v>
      </c>
      <c r="D314" s="2" t="s">
        <v>49</v>
      </c>
      <c r="E314" s="2">
        <v>1</v>
      </c>
      <c r="F314" s="7">
        <v>149</v>
      </c>
      <c r="G314" s="8">
        <v>0.2</v>
      </c>
      <c r="H314" s="9" t="str">
        <f>INDEX(Products!$B$2:$B$37, MATCH(D314, Products!$A$2:$A$37, 0))</f>
        <v>Kids' Sneakers</v>
      </c>
      <c r="I314" t="str">
        <f>INDEX(Products!$C$2:$C$37, MATCH(D314, Products!$A$2:$A$37, 0))</f>
        <v>Fashion</v>
      </c>
      <c r="J314">
        <f>INDEX(Products!$E$2:$E$37, MATCH(D314, Products!$A$2:$A$37, 0))</f>
        <v>80</v>
      </c>
      <c r="K314" s="9">
        <f t="shared" si="16"/>
        <v>119.2</v>
      </c>
      <c r="L314">
        <f t="shared" si="17"/>
        <v>80</v>
      </c>
      <c r="M314" s="9">
        <f t="shared" si="18"/>
        <v>39.200000000000003</v>
      </c>
      <c r="N314" t="str">
        <f t="shared" si="19"/>
        <v>Jan</v>
      </c>
    </row>
    <row r="315" spans="1:14" x14ac:dyDescent="0.3">
      <c r="A315" s="2" t="s">
        <v>381</v>
      </c>
      <c r="B315" s="6">
        <v>45684</v>
      </c>
      <c r="C315" s="2" t="s">
        <v>28</v>
      </c>
      <c r="D315" s="2" t="s">
        <v>106</v>
      </c>
      <c r="E315" s="2">
        <v>2</v>
      </c>
      <c r="F315" s="7">
        <v>1299</v>
      </c>
      <c r="G315" s="8">
        <v>0.1</v>
      </c>
      <c r="H315" s="9" t="str">
        <f>INDEX(Products!$B$2:$B$37, MATCH(D315, Products!$A$2:$A$37, 0))</f>
        <v>Smart Watch Series 5</v>
      </c>
      <c r="I315" t="str">
        <f>INDEX(Products!$C$2:$C$37, MATCH(D315, Products!$A$2:$A$37, 0))</f>
        <v>Electronics</v>
      </c>
      <c r="J315">
        <f>INDEX(Products!$E$2:$E$37, MATCH(D315, Products!$A$2:$A$37, 0))</f>
        <v>820</v>
      </c>
      <c r="K315" s="9">
        <f t="shared" si="16"/>
        <v>2338.2000000000003</v>
      </c>
      <c r="L315">
        <f t="shared" si="17"/>
        <v>1640</v>
      </c>
      <c r="M315" s="9">
        <f t="shared" si="18"/>
        <v>698.20000000000027</v>
      </c>
      <c r="N315" t="str">
        <f t="shared" si="19"/>
        <v>Jan</v>
      </c>
    </row>
    <row r="316" spans="1:14" x14ac:dyDescent="0.3">
      <c r="A316" s="2" t="s">
        <v>382</v>
      </c>
      <c r="B316" s="6">
        <v>45684</v>
      </c>
      <c r="C316" s="2" t="s">
        <v>48</v>
      </c>
      <c r="D316" s="2" t="s">
        <v>35</v>
      </c>
      <c r="E316" s="2">
        <v>1</v>
      </c>
      <c r="F316" s="7">
        <v>179</v>
      </c>
      <c r="G316" s="8">
        <v>0</v>
      </c>
      <c r="H316" s="9" t="str">
        <f>INDEX(Products!$B$2:$B$37, MATCH(D316, Products!$A$2:$A$37, 0))</f>
        <v>Men's Linen Shirt</v>
      </c>
      <c r="I316" t="str">
        <f>INDEX(Products!$C$2:$C$37, MATCH(D316, Products!$A$2:$A$37, 0))</f>
        <v>Fashion</v>
      </c>
      <c r="J316">
        <f>INDEX(Products!$E$2:$E$37, MATCH(D316, Products!$A$2:$A$37, 0))</f>
        <v>70</v>
      </c>
      <c r="K316" s="9">
        <f t="shared" si="16"/>
        <v>179</v>
      </c>
      <c r="L316">
        <f t="shared" si="17"/>
        <v>70</v>
      </c>
      <c r="M316" s="9">
        <f t="shared" si="18"/>
        <v>109</v>
      </c>
      <c r="N316" t="str">
        <f t="shared" si="19"/>
        <v>Jan</v>
      </c>
    </row>
    <row r="317" spans="1:14" x14ac:dyDescent="0.3">
      <c r="A317" s="2" t="s">
        <v>383</v>
      </c>
      <c r="B317" s="6">
        <v>45684</v>
      </c>
      <c r="C317" s="2" t="s">
        <v>44</v>
      </c>
      <c r="D317" s="2" t="s">
        <v>115</v>
      </c>
      <c r="E317" s="2">
        <v>1</v>
      </c>
      <c r="F317" s="7">
        <v>129</v>
      </c>
      <c r="G317" s="8">
        <v>0.15</v>
      </c>
      <c r="H317" s="9" t="str">
        <f>INDEX(Products!$B$2:$B$37, MATCH(D317, Products!$A$2:$A$37, 0))</f>
        <v>Electric Kettle</v>
      </c>
      <c r="I317" t="str">
        <f>INDEX(Products!$C$2:$C$37, MATCH(D317, Products!$A$2:$A$37, 0))</f>
        <v>Home &amp; Kitchen</v>
      </c>
      <c r="J317">
        <f>INDEX(Products!$E$2:$E$37, MATCH(D317, Products!$A$2:$A$37, 0))</f>
        <v>60</v>
      </c>
      <c r="K317" s="9">
        <f t="shared" si="16"/>
        <v>109.64999999999999</v>
      </c>
      <c r="L317">
        <f t="shared" si="17"/>
        <v>60</v>
      </c>
      <c r="M317" s="9">
        <f t="shared" si="18"/>
        <v>49.649999999999991</v>
      </c>
      <c r="N317" t="str">
        <f t="shared" si="19"/>
        <v>Jan</v>
      </c>
    </row>
    <row r="318" spans="1:14" x14ac:dyDescent="0.3">
      <c r="A318" s="2" t="s">
        <v>384</v>
      </c>
      <c r="B318" s="6">
        <v>45684</v>
      </c>
      <c r="C318" s="2" t="s">
        <v>31</v>
      </c>
      <c r="D318" s="2" t="s">
        <v>131</v>
      </c>
      <c r="E318" s="2">
        <v>1</v>
      </c>
      <c r="F318" s="7">
        <v>899</v>
      </c>
      <c r="G318" s="8">
        <v>0.3</v>
      </c>
      <c r="H318" s="9" t="str">
        <f>INDEX(Products!$B$2:$B$37, MATCH(D318, Products!$A$2:$A$37, 0))</f>
        <v>4K Action Camera</v>
      </c>
      <c r="I318" t="str">
        <f>INDEX(Products!$C$2:$C$37, MATCH(D318, Products!$A$2:$A$37, 0))</f>
        <v>Electronics</v>
      </c>
      <c r="J318">
        <f>INDEX(Products!$E$2:$E$37, MATCH(D318, Products!$A$2:$A$37, 0))</f>
        <v>610</v>
      </c>
      <c r="K318" s="9">
        <f t="shared" si="16"/>
        <v>629.29999999999995</v>
      </c>
      <c r="L318">
        <f t="shared" si="17"/>
        <v>610</v>
      </c>
      <c r="M318" s="9">
        <f t="shared" si="18"/>
        <v>19.299999999999955</v>
      </c>
      <c r="N318" t="str">
        <f t="shared" si="19"/>
        <v>Jan</v>
      </c>
    </row>
    <row r="319" spans="1:14" x14ac:dyDescent="0.3">
      <c r="A319" s="2" t="s">
        <v>385</v>
      </c>
      <c r="B319" s="6">
        <v>45684</v>
      </c>
      <c r="C319" s="2" t="s">
        <v>44</v>
      </c>
      <c r="D319" s="2" t="s">
        <v>39</v>
      </c>
      <c r="E319" s="2">
        <v>1</v>
      </c>
      <c r="F319" s="7">
        <v>199</v>
      </c>
      <c r="G319" s="8">
        <v>0</v>
      </c>
      <c r="H319" s="9" t="str">
        <f>INDEX(Products!$B$2:$B$37, MATCH(D319, Products!$A$2:$A$37, 0))</f>
        <v>Bakhoor Gift Set</v>
      </c>
      <c r="I319" t="str">
        <f>INDEX(Products!$C$2:$C$37, MATCH(D319, Products!$A$2:$A$37, 0))</f>
        <v>Beauty</v>
      </c>
      <c r="J319">
        <f>INDEX(Products!$E$2:$E$37, MATCH(D319, Products!$A$2:$A$37, 0))</f>
        <v>90</v>
      </c>
      <c r="K319" s="9">
        <f t="shared" si="16"/>
        <v>199</v>
      </c>
      <c r="L319">
        <f t="shared" si="17"/>
        <v>90</v>
      </c>
      <c r="M319" s="9">
        <f t="shared" si="18"/>
        <v>109</v>
      </c>
      <c r="N319" t="str">
        <f t="shared" si="19"/>
        <v>Jan</v>
      </c>
    </row>
    <row r="320" spans="1:14" x14ac:dyDescent="0.3">
      <c r="A320" s="2" t="s">
        <v>386</v>
      </c>
      <c r="B320" s="6">
        <v>45684</v>
      </c>
      <c r="C320" s="2" t="s">
        <v>28</v>
      </c>
      <c r="D320" s="2" t="s">
        <v>78</v>
      </c>
      <c r="E320" s="2">
        <v>1</v>
      </c>
      <c r="F320" s="7">
        <v>499</v>
      </c>
      <c r="G320" s="8">
        <v>0.1</v>
      </c>
      <c r="H320" s="9" t="str">
        <f>INDEX(Products!$B$2:$B$37, MATCH(D320, Products!$A$2:$A$37, 0))</f>
        <v>Air Fryer 5L</v>
      </c>
      <c r="I320" t="str">
        <f>INDEX(Products!$C$2:$C$37, MATCH(D320, Products!$A$2:$A$37, 0))</f>
        <v>Home &amp; Kitchen</v>
      </c>
      <c r="J320">
        <f>INDEX(Products!$E$2:$E$37, MATCH(D320, Products!$A$2:$A$37, 0))</f>
        <v>290</v>
      </c>
      <c r="K320" s="9">
        <f t="shared" si="16"/>
        <v>449.1</v>
      </c>
      <c r="L320">
        <f t="shared" si="17"/>
        <v>290</v>
      </c>
      <c r="M320" s="9">
        <f t="shared" si="18"/>
        <v>159.10000000000002</v>
      </c>
      <c r="N320" t="str">
        <f t="shared" si="19"/>
        <v>Jan</v>
      </c>
    </row>
    <row r="321" spans="1:14" x14ac:dyDescent="0.3">
      <c r="A321" s="2" t="s">
        <v>387</v>
      </c>
      <c r="B321" s="6">
        <v>45684</v>
      </c>
      <c r="C321" s="2" t="s">
        <v>28</v>
      </c>
      <c r="D321" s="2" t="s">
        <v>35</v>
      </c>
      <c r="E321" s="2">
        <v>2</v>
      </c>
      <c r="F321" s="7">
        <v>179</v>
      </c>
      <c r="G321" s="8">
        <v>0</v>
      </c>
      <c r="H321" s="9" t="str">
        <f>INDEX(Products!$B$2:$B$37, MATCH(D321, Products!$A$2:$A$37, 0))</f>
        <v>Men's Linen Shirt</v>
      </c>
      <c r="I321" t="str">
        <f>INDEX(Products!$C$2:$C$37, MATCH(D321, Products!$A$2:$A$37, 0))</f>
        <v>Fashion</v>
      </c>
      <c r="J321">
        <f>INDEX(Products!$E$2:$E$37, MATCH(D321, Products!$A$2:$A$37, 0))</f>
        <v>70</v>
      </c>
      <c r="K321" s="9">
        <f t="shared" si="16"/>
        <v>358</v>
      </c>
      <c r="L321">
        <f t="shared" si="17"/>
        <v>140</v>
      </c>
      <c r="M321" s="9">
        <f t="shared" si="18"/>
        <v>218</v>
      </c>
      <c r="N321" t="str">
        <f t="shared" si="19"/>
        <v>Jan</v>
      </c>
    </row>
    <row r="322" spans="1:14" x14ac:dyDescent="0.3">
      <c r="A322" s="2" t="s">
        <v>388</v>
      </c>
      <c r="B322" s="6">
        <v>45684</v>
      </c>
      <c r="C322" s="2" t="s">
        <v>31</v>
      </c>
      <c r="D322" s="2" t="s">
        <v>33</v>
      </c>
      <c r="E322" s="2">
        <v>1</v>
      </c>
      <c r="F322" s="7">
        <v>199</v>
      </c>
      <c r="G322" s="8">
        <v>0.2</v>
      </c>
      <c r="H322" s="9" t="str">
        <f>INDEX(Products!$B$2:$B$37, MATCH(D322, Products!$A$2:$A$37, 0))</f>
        <v>Fitness Band Lite</v>
      </c>
      <c r="I322" t="str">
        <f>INDEX(Products!$C$2:$C$37, MATCH(D322, Products!$A$2:$A$37, 0))</f>
        <v>Electronics</v>
      </c>
      <c r="J322">
        <f>INDEX(Products!$E$2:$E$37, MATCH(D322, Products!$A$2:$A$37, 0))</f>
        <v>175</v>
      </c>
      <c r="K322" s="9">
        <f t="shared" ref="K322:K385" si="20">E322*F322*(1-G322)</f>
        <v>159.20000000000002</v>
      </c>
      <c r="L322">
        <f t="shared" ref="L322:L385" si="21">E322*J322</f>
        <v>175</v>
      </c>
      <c r="M322" s="9">
        <f t="shared" ref="M322:M385" si="22">K322-L322</f>
        <v>-15.799999999999983</v>
      </c>
      <c r="N322" t="str">
        <f t="shared" ref="N322:N385" si="23">TEXT(B322,"mmm")</f>
        <v>Jan</v>
      </c>
    </row>
    <row r="323" spans="1:14" x14ac:dyDescent="0.3">
      <c r="A323" s="2" t="s">
        <v>389</v>
      </c>
      <c r="B323" s="6">
        <v>45684</v>
      </c>
      <c r="C323" s="2" t="s">
        <v>44</v>
      </c>
      <c r="D323" s="2" t="s">
        <v>92</v>
      </c>
      <c r="E323" s="2">
        <v>2</v>
      </c>
      <c r="F323" s="7">
        <v>349</v>
      </c>
      <c r="G323" s="8">
        <v>0</v>
      </c>
      <c r="H323" s="9" t="str">
        <f>INDEX(Products!$B$2:$B$37, MATCH(D323, Products!$A$2:$A$37, 0))</f>
        <v>Non-stick Cookware Set</v>
      </c>
      <c r="I323" t="str">
        <f>INDEX(Products!$C$2:$C$37, MATCH(D323, Products!$A$2:$A$37, 0))</f>
        <v>Home &amp; Kitchen</v>
      </c>
      <c r="J323">
        <f>INDEX(Products!$E$2:$E$37, MATCH(D323, Products!$A$2:$A$37, 0))</f>
        <v>170</v>
      </c>
      <c r="K323" s="9">
        <f t="shared" si="20"/>
        <v>698</v>
      </c>
      <c r="L323">
        <f t="shared" si="21"/>
        <v>340</v>
      </c>
      <c r="M323" s="9">
        <f t="shared" si="22"/>
        <v>358</v>
      </c>
      <c r="N323" t="str">
        <f t="shared" si="23"/>
        <v>Jan</v>
      </c>
    </row>
    <row r="324" spans="1:14" x14ac:dyDescent="0.3">
      <c r="A324" s="2" t="s">
        <v>390</v>
      </c>
      <c r="B324" s="6">
        <v>45684</v>
      </c>
      <c r="C324" s="2" t="s">
        <v>28</v>
      </c>
      <c r="D324" s="2" t="s">
        <v>115</v>
      </c>
      <c r="E324" s="2">
        <v>1</v>
      </c>
      <c r="F324" s="7">
        <v>129</v>
      </c>
      <c r="G324" s="8">
        <v>0.1</v>
      </c>
      <c r="H324" s="9" t="str">
        <f>INDEX(Products!$B$2:$B$37, MATCH(D324, Products!$A$2:$A$37, 0))</f>
        <v>Electric Kettle</v>
      </c>
      <c r="I324" t="str">
        <f>INDEX(Products!$C$2:$C$37, MATCH(D324, Products!$A$2:$A$37, 0))</f>
        <v>Home &amp; Kitchen</v>
      </c>
      <c r="J324">
        <f>INDEX(Products!$E$2:$E$37, MATCH(D324, Products!$A$2:$A$37, 0))</f>
        <v>60</v>
      </c>
      <c r="K324" s="9">
        <f t="shared" si="20"/>
        <v>116.10000000000001</v>
      </c>
      <c r="L324">
        <f t="shared" si="21"/>
        <v>60</v>
      </c>
      <c r="M324" s="9">
        <f t="shared" si="22"/>
        <v>56.100000000000009</v>
      </c>
      <c r="N324" t="str">
        <f t="shared" si="23"/>
        <v>Jan</v>
      </c>
    </row>
    <row r="325" spans="1:14" x14ac:dyDescent="0.3">
      <c r="A325" s="2" t="s">
        <v>391</v>
      </c>
      <c r="B325" s="6">
        <v>45684</v>
      </c>
      <c r="C325" s="2" t="s">
        <v>48</v>
      </c>
      <c r="D325" s="2" t="s">
        <v>109</v>
      </c>
      <c r="E325" s="2">
        <v>1</v>
      </c>
      <c r="F325" s="7">
        <v>1499</v>
      </c>
      <c r="G325" s="8">
        <v>0</v>
      </c>
      <c r="H325" s="9" t="str">
        <f>INDEX(Products!$B$2:$B$37, MATCH(D325, Products!$A$2:$A$37, 0))</f>
        <v>Espresso Machine</v>
      </c>
      <c r="I325" t="str">
        <f>INDEX(Products!$C$2:$C$37, MATCH(D325, Products!$A$2:$A$37, 0))</f>
        <v>Home &amp; Kitchen</v>
      </c>
      <c r="J325">
        <f>INDEX(Products!$E$2:$E$37, MATCH(D325, Products!$A$2:$A$37, 0))</f>
        <v>1050</v>
      </c>
      <c r="K325" s="9">
        <f t="shared" si="20"/>
        <v>1499</v>
      </c>
      <c r="L325">
        <f t="shared" si="21"/>
        <v>1050</v>
      </c>
      <c r="M325" s="9">
        <f t="shared" si="22"/>
        <v>449</v>
      </c>
      <c r="N325" t="str">
        <f t="shared" si="23"/>
        <v>Jan</v>
      </c>
    </row>
    <row r="326" spans="1:14" x14ac:dyDescent="0.3">
      <c r="A326" s="2" t="s">
        <v>392</v>
      </c>
      <c r="B326" s="6">
        <v>45684</v>
      </c>
      <c r="C326" s="2" t="s">
        <v>44</v>
      </c>
      <c r="D326" s="2" t="s">
        <v>89</v>
      </c>
      <c r="E326" s="2">
        <v>1</v>
      </c>
      <c r="F326" s="7">
        <v>399</v>
      </c>
      <c r="G326" s="8">
        <v>0</v>
      </c>
      <c r="H326" s="9" t="str">
        <f>INDEX(Products!$B$2:$B$37, MATCH(D326, Products!$A$2:$A$37, 0))</f>
        <v>Men's Kandura Premium</v>
      </c>
      <c r="I326" t="str">
        <f>INDEX(Products!$C$2:$C$37, MATCH(D326, Products!$A$2:$A$37, 0))</f>
        <v>Fashion</v>
      </c>
      <c r="J326">
        <f>INDEX(Products!$E$2:$E$37, MATCH(D326, Products!$A$2:$A$37, 0))</f>
        <v>210</v>
      </c>
      <c r="K326" s="9">
        <f t="shared" si="20"/>
        <v>399</v>
      </c>
      <c r="L326">
        <f t="shared" si="21"/>
        <v>210</v>
      </c>
      <c r="M326" s="9">
        <f t="shared" si="22"/>
        <v>189</v>
      </c>
      <c r="N326" t="str">
        <f t="shared" si="23"/>
        <v>Jan</v>
      </c>
    </row>
    <row r="327" spans="1:14" x14ac:dyDescent="0.3">
      <c r="A327" s="2" t="s">
        <v>393</v>
      </c>
      <c r="B327" s="6">
        <v>45684</v>
      </c>
      <c r="C327" s="2" t="s">
        <v>41</v>
      </c>
      <c r="D327" s="2" t="s">
        <v>83</v>
      </c>
      <c r="E327" s="2">
        <v>1</v>
      </c>
      <c r="F327" s="7">
        <v>229</v>
      </c>
      <c r="G327" s="8">
        <v>0.05</v>
      </c>
      <c r="H327" s="9" t="str">
        <f>INDEX(Products!$B$2:$B$37, MATCH(D327, Products!$A$2:$A$37, 0))</f>
        <v>Cycling Helmet</v>
      </c>
      <c r="I327" t="str">
        <f>INDEX(Products!$C$2:$C$37, MATCH(D327, Products!$A$2:$A$37, 0))</f>
        <v>Sports</v>
      </c>
      <c r="J327">
        <f>INDEX(Products!$E$2:$E$37, MATCH(D327, Products!$A$2:$A$37, 0))</f>
        <v>120</v>
      </c>
      <c r="K327" s="9">
        <f t="shared" si="20"/>
        <v>217.54999999999998</v>
      </c>
      <c r="L327">
        <f t="shared" si="21"/>
        <v>120</v>
      </c>
      <c r="M327" s="9">
        <f t="shared" si="22"/>
        <v>97.549999999999983</v>
      </c>
      <c r="N327" t="str">
        <f t="shared" si="23"/>
        <v>Jan</v>
      </c>
    </row>
    <row r="328" spans="1:14" x14ac:dyDescent="0.3">
      <c r="A328" s="2" t="s">
        <v>394</v>
      </c>
      <c r="B328" s="6">
        <v>45685</v>
      </c>
      <c r="C328" s="2" t="s">
        <v>28</v>
      </c>
      <c r="D328" s="2" t="s">
        <v>65</v>
      </c>
      <c r="E328" s="2">
        <v>4</v>
      </c>
      <c r="F328" s="7">
        <v>129</v>
      </c>
      <c r="G328" s="8">
        <v>0.1</v>
      </c>
      <c r="H328" s="9" t="str">
        <f>INDEX(Products!$B$2:$B$37, MATCH(D328, Products!$A$2:$A$37, 0))</f>
        <v>Yoga Mat Premium</v>
      </c>
      <c r="I328" t="str">
        <f>INDEX(Products!$C$2:$C$37, MATCH(D328, Products!$A$2:$A$37, 0))</f>
        <v>Sports</v>
      </c>
      <c r="J328">
        <f>INDEX(Products!$E$2:$E$37, MATCH(D328, Products!$A$2:$A$37, 0))</f>
        <v>60</v>
      </c>
      <c r="K328" s="9">
        <f t="shared" si="20"/>
        <v>464.40000000000003</v>
      </c>
      <c r="L328">
        <f t="shared" si="21"/>
        <v>240</v>
      </c>
      <c r="M328" s="9">
        <f t="shared" si="22"/>
        <v>224.40000000000003</v>
      </c>
      <c r="N328" t="str">
        <f t="shared" si="23"/>
        <v>Jan</v>
      </c>
    </row>
    <row r="329" spans="1:14" x14ac:dyDescent="0.3">
      <c r="A329" s="2" t="s">
        <v>395</v>
      </c>
      <c r="B329" s="6">
        <v>45685</v>
      </c>
      <c r="C329" s="2" t="s">
        <v>28</v>
      </c>
      <c r="D329" s="2" t="s">
        <v>58</v>
      </c>
      <c r="E329" s="2">
        <v>1</v>
      </c>
      <c r="F329" s="7">
        <v>459</v>
      </c>
      <c r="G329" s="8">
        <v>0</v>
      </c>
      <c r="H329" s="9" t="str">
        <f>INDEX(Products!$B$2:$B$37, MATCH(D329, Products!$A$2:$A$37, 0))</f>
        <v>Women's Abaya Classic</v>
      </c>
      <c r="I329" t="str">
        <f>INDEX(Products!$C$2:$C$37, MATCH(D329, Products!$A$2:$A$37, 0))</f>
        <v>Fashion</v>
      </c>
      <c r="J329">
        <f>INDEX(Products!$E$2:$E$37, MATCH(D329, Products!$A$2:$A$37, 0))</f>
        <v>190</v>
      </c>
      <c r="K329" s="9">
        <f t="shared" si="20"/>
        <v>459</v>
      </c>
      <c r="L329">
        <f t="shared" si="21"/>
        <v>190</v>
      </c>
      <c r="M329" s="9">
        <f t="shared" si="22"/>
        <v>269</v>
      </c>
      <c r="N329" t="str">
        <f t="shared" si="23"/>
        <v>Jan</v>
      </c>
    </row>
    <row r="330" spans="1:14" x14ac:dyDescent="0.3">
      <c r="A330" s="2" t="s">
        <v>396</v>
      </c>
      <c r="B330" s="6">
        <v>45685</v>
      </c>
      <c r="C330" s="2" t="s">
        <v>48</v>
      </c>
      <c r="D330" s="2" t="s">
        <v>103</v>
      </c>
      <c r="E330" s="2">
        <v>1</v>
      </c>
      <c r="F330" s="7">
        <v>89</v>
      </c>
      <c r="G330" s="8">
        <v>0.05</v>
      </c>
      <c r="H330" s="9" t="str">
        <f>INDEX(Products!$B$2:$B$37, MATCH(D330, Products!$A$2:$A$37, 0))</f>
        <v>Sunscreen SPF50</v>
      </c>
      <c r="I330" t="str">
        <f>INDEX(Products!$C$2:$C$37, MATCH(D330, Products!$A$2:$A$37, 0))</f>
        <v>Beauty</v>
      </c>
      <c r="J330">
        <f>INDEX(Products!$E$2:$E$37, MATCH(D330, Products!$A$2:$A$37, 0))</f>
        <v>40</v>
      </c>
      <c r="K330" s="9">
        <f t="shared" si="20"/>
        <v>84.55</v>
      </c>
      <c r="L330">
        <f t="shared" si="21"/>
        <v>40</v>
      </c>
      <c r="M330" s="9">
        <f t="shared" si="22"/>
        <v>44.55</v>
      </c>
      <c r="N330" t="str">
        <f t="shared" si="23"/>
        <v>Jan</v>
      </c>
    </row>
    <row r="331" spans="1:14" x14ac:dyDescent="0.3">
      <c r="A331" s="2" t="s">
        <v>397</v>
      </c>
      <c r="B331" s="6">
        <v>45685</v>
      </c>
      <c r="C331" s="2" t="s">
        <v>44</v>
      </c>
      <c r="D331" s="2" t="s">
        <v>37</v>
      </c>
      <c r="E331" s="2">
        <v>1</v>
      </c>
      <c r="F331" s="7">
        <v>249</v>
      </c>
      <c r="G331" s="8">
        <v>0.3</v>
      </c>
      <c r="H331" s="9" t="str">
        <f>INDEX(Products!$B$2:$B$37, MATCH(D331, Products!$A$2:$A$37, 0))</f>
        <v>Sunglasses Polarised</v>
      </c>
      <c r="I331" t="str">
        <f>INDEX(Products!$C$2:$C$37, MATCH(D331, Products!$A$2:$A$37, 0))</f>
        <v>Fashion</v>
      </c>
      <c r="J331">
        <f>INDEX(Products!$E$2:$E$37, MATCH(D331, Products!$A$2:$A$37, 0))</f>
        <v>95</v>
      </c>
      <c r="K331" s="9">
        <f t="shared" si="20"/>
        <v>174.29999999999998</v>
      </c>
      <c r="L331">
        <f t="shared" si="21"/>
        <v>95</v>
      </c>
      <c r="M331" s="9">
        <f t="shared" si="22"/>
        <v>79.299999999999983</v>
      </c>
      <c r="N331" t="str">
        <f t="shared" si="23"/>
        <v>Jan</v>
      </c>
    </row>
    <row r="332" spans="1:14" x14ac:dyDescent="0.3">
      <c r="A332" s="2" t="s">
        <v>398</v>
      </c>
      <c r="B332" s="6">
        <v>45685</v>
      </c>
      <c r="C332" s="2" t="s">
        <v>28</v>
      </c>
      <c r="D332" s="2" t="s">
        <v>131</v>
      </c>
      <c r="E332" s="2">
        <v>1</v>
      </c>
      <c r="F332" s="7">
        <v>899</v>
      </c>
      <c r="G332" s="8">
        <v>0.05</v>
      </c>
      <c r="H332" s="9" t="str">
        <f>INDEX(Products!$B$2:$B$37, MATCH(D332, Products!$A$2:$A$37, 0))</f>
        <v>4K Action Camera</v>
      </c>
      <c r="I332" t="str">
        <f>INDEX(Products!$C$2:$C$37, MATCH(D332, Products!$A$2:$A$37, 0))</f>
        <v>Electronics</v>
      </c>
      <c r="J332">
        <f>INDEX(Products!$E$2:$E$37, MATCH(D332, Products!$A$2:$A$37, 0))</f>
        <v>610</v>
      </c>
      <c r="K332" s="9">
        <f t="shared" si="20"/>
        <v>854.05</v>
      </c>
      <c r="L332">
        <f t="shared" si="21"/>
        <v>610</v>
      </c>
      <c r="M332" s="9">
        <f t="shared" si="22"/>
        <v>244.04999999999995</v>
      </c>
      <c r="N332" t="str">
        <f t="shared" si="23"/>
        <v>Jan</v>
      </c>
    </row>
    <row r="333" spans="1:14" x14ac:dyDescent="0.3">
      <c r="A333" s="2" t="s">
        <v>399</v>
      </c>
      <c r="B333" s="6">
        <v>45685</v>
      </c>
      <c r="C333" s="2" t="s">
        <v>44</v>
      </c>
      <c r="D333" s="2" t="s">
        <v>194</v>
      </c>
      <c r="E333" s="2">
        <v>1</v>
      </c>
      <c r="F333" s="7">
        <v>699</v>
      </c>
      <c r="G333" s="8">
        <v>0</v>
      </c>
      <c r="H333" s="9" t="str">
        <f>INDEX(Products!$B$2:$B$37, MATCH(D333, Products!$A$2:$A$37, 0))</f>
        <v>Leather Handbag</v>
      </c>
      <c r="I333" t="str">
        <f>INDEX(Products!$C$2:$C$37, MATCH(D333, Products!$A$2:$A$37, 0))</f>
        <v>Fashion</v>
      </c>
      <c r="J333">
        <f>INDEX(Products!$E$2:$E$37, MATCH(D333, Products!$A$2:$A$37, 0))</f>
        <v>380</v>
      </c>
      <c r="K333" s="9">
        <f t="shared" si="20"/>
        <v>699</v>
      </c>
      <c r="L333">
        <f t="shared" si="21"/>
        <v>380</v>
      </c>
      <c r="M333" s="9">
        <f t="shared" si="22"/>
        <v>319</v>
      </c>
      <c r="N333" t="str">
        <f t="shared" si="23"/>
        <v>Jan</v>
      </c>
    </row>
    <row r="334" spans="1:14" x14ac:dyDescent="0.3">
      <c r="A334" s="2" t="s">
        <v>400</v>
      </c>
      <c r="B334" s="6">
        <v>45685</v>
      </c>
      <c r="C334" s="2" t="s">
        <v>41</v>
      </c>
      <c r="D334" s="2" t="s">
        <v>29</v>
      </c>
      <c r="E334" s="2">
        <v>2</v>
      </c>
      <c r="F334" s="7">
        <v>229</v>
      </c>
      <c r="G334" s="8">
        <v>0</v>
      </c>
      <c r="H334" s="9" t="str">
        <f>INDEX(Products!$B$2:$B$37, MATCH(D334, Products!$A$2:$A$37, 0))</f>
        <v>Women's Summer Dress</v>
      </c>
      <c r="I334" t="str">
        <f>INDEX(Products!$C$2:$C$37, MATCH(D334, Products!$A$2:$A$37, 0))</f>
        <v>Fashion</v>
      </c>
      <c r="J334">
        <f>INDEX(Products!$E$2:$E$37, MATCH(D334, Products!$A$2:$A$37, 0))</f>
        <v>120</v>
      </c>
      <c r="K334" s="9">
        <f t="shared" si="20"/>
        <v>458</v>
      </c>
      <c r="L334">
        <f t="shared" si="21"/>
        <v>240</v>
      </c>
      <c r="M334" s="9">
        <f t="shared" si="22"/>
        <v>218</v>
      </c>
      <c r="N334" t="str">
        <f t="shared" si="23"/>
        <v>Jan</v>
      </c>
    </row>
    <row r="335" spans="1:14" x14ac:dyDescent="0.3">
      <c r="A335" s="2" t="s">
        <v>401</v>
      </c>
      <c r="B335" s="6">
        <v>45685</v>
      </c>
      <c r="C335" s="2" t="s">
        <v>48</v>
      </c>
      <c r="D335" s="2" t="s">
        <v>58</v>
      </c>
      <c r="E335" s="2">
        <v>2</v>
      </c>
      <c r="F335" s="7">
        <v>459</v>
      </c>
      <c r="G335" s="8">
        <v>0.05</v>
      </c>
      <c r="H335" s="9" t="str">
        <f>INDEX(Products!$B$2:$B$37, MATCH(D335, Products!$A$2:$A$37, 0))</f>
        <v>Women's Abaya Classic</v>
      </c>
      <c r="I335" t="str">
        <f>INDEX(Products!$C$2:$C$37, MATCH(D335, Products!$A$2:$A$37, 0))</f>
        <v>Fashion</v>
      </c>
      <c r="J335">
        <f>INDEX(Products!$E$2:$E$37, MATCH(D335, Products!$A$2:$A$37, 0))</f>
        <v>190</v>
      </c>
      <c r="K335" s="9">
        <f t="shared" si="20"/>
        <v>872.09999999999991</v>
      </c>
      <c r="L335">
        <f t="shared" si="21"/>
        <v>380</v>
      </c>
      <c r="M335" s="9">
        <f t="shared" si="22"/>
        <v>492.09999999999991</v>
      </c>
      <c r="N335" t="str">
        <f t="shared" si="23"/>
        <v>Jan</v>
      </c>
    </row>
    <row r="336" spans="1:14" x14ac:dyDescent="0.3">
      <c r="A336" s="2" t="s">
        <v>402</v>
      </c>
      <c r="B336" s="6">
        <v>45686</v>
      </c>
      <c r="C336" s="2" t="s">
        <v>28</v>
      </c>
      <c r="D336" s="2" t="s">
        <v>35</v>
      </c>
      <c r="E336" s="2">
        <v>1</v>
      </c>
      <c r="F336" s="7">
        <v>179</v>
      </c>
      <c r="G336" s="8">
        <v>0</v>
      </c>
      <c r="H336" s="9" t="str">
        <f>INDEX(Products!$B$2:$B$37, MATCH(D336, Products!$A$2:$A$37, 0))</f>
        <v>Men's Linen Shirt</v>
      </c>
      <c r="I336" t="str">
        <f>INDEX(Products!$C$2:$C$37, MATCH(D336, Products!$A$2:$A$37, 0))</f>
        <v>Fashion</v>
      </c>
      <c r="J336">
        <f>INDEX(Products!$E$2:$E$37, MATCH(D336, Products!$A$2:$A$37, 0))</f>
        <v>70</v>
      </c>
      <c r="K336" s="9">
        <f t="shared" si="20"/>
        <v>179</v>
      </c>
      <c r="L336">
        <f t="shared" si="21"/>
        <v>70</v>
      </c>
      <c r="M336" s="9">
        <f t="shared" si="22"/>
        <v>109</v>
      </c>
      <c r="N336" t="str">
        <f t="shared" si="23"/>
        <v>Jan</v>
      </c>
    </row>
    <row r="337" spans="1:14" x14ac:dyDescent="0.3">
      <c r="A337" s="2" t="s">
        <v>403</v>
      </c>
      <c r="B337" s="6">
        <v>45686</v>
      </c>
      <c r="C337" s="2" t="s">
        <v>28</v>
      </c>
      <c r="D337" s="2" t="s">
        <v>92</v>
      </c>
      <c r="E337" s="2">
        <v>1</v>
      </c>
      <c r="F337" s="7">
        <v>349</v>
      </c>
      <c r="G337" s="8">
        <v>0.1</v>
      </c>
      <c r="H337" s="9" t="str">
        <f>INDEX(Products!$B$2:$B$37, MATCH(D337, Products!$A$2:$A$37, 0))</f>
        <v>Non-stick Cookware Set</v>
      </c>
      <c r="I337" t="str">
        <f>INDEX(Products!$C$2:$C$37, MATCH(D337, Products!$A$2:$A$37, 0))</f>
        <v>Home &amp; Kitchen</v>
      </c>
      <c r="J337">
        <f>INDEX(Products!$E$2:$E$37, MATCH(D337, Products!$A$2:$A$37, 0))</f>
        <v>170</v>
      </c>
      <c r="K337" s="9">
        <f t="shared" si="20"/>
        <v>314.10000000000002</v>
      </c>
      <c r="L337">
        <f t="shared" si="21"/>
        <v>170</v>
      </c>
      <c r="M337" s="9">
        <f t="shared" si="22"/>
        <v>144.10000000000002</v>
      </c>
      <c r="N337" t="str">
        <f t="shared" si="23"/>
        <v>Jan</v>
      </c>
    </row>
    <row r="338" spans="1:14" x14ac:dyDescent="0.3">
      <c r="A338" s="2" t="s">
        <v>404</v>
      </c>
      <c r="B338" s="6">
        <v>45686</v>
      </c>
      <c r="C338" s="2" t="s">
        <v>44</v>
      </c>
      <c r="D338" s="2" t="s">
        <v>52</v>
      </c>
      <c r="E338" s="2">
        <v>1</v>
      </c>
      <c r="F338" s="7">
        <v>299</v>
      </c>
      <c r="G338" s="8">
        <v>0.1</v>
      </c>
      <c r="H338" s="9" t="str">
        <f>INDEX(Products!$B$2:$B$37, MATCH(D338, Products!$A$2:$A$37, 0))</f>
        <v>Hair Dryer Ionic</v>
      </c>
      <c r="I338" t="str">
        <f>INDEX(Products!$C$2:$C$37, MATCH(D338, Products!$A$2:$A$37, 0))</f>
        <v>Beauty</v>
      </c>
      <c r="J338">
        <f>INDEX(Products!$E$2:$E$37, MATCH(D338, Products!$A$2:$A$37, 0))</f>
        <v>240</v>
      </c>
      <c r="K338" s="9">
        <f t="shared" si="20"/>
        <v>269.10000000000002</v>
      </c>
      <c r="L338">
        <f t="shared" si="21"/>
        <v>240</v>
      </c>
      <c r="M338" s="9">
        <f t="shared" si="22"/>
        <v>29.100000000000023</v>
      </c>
      <c r="N338" t="str">
        <f t="shared" si="23"/>
        <v>Jan</v>
      </c>
    </row>
    <row r="339" spans="1:14" x14ac:dyDescent="0.3">
      <c r="A339" s="2" t="s">
        <v>405</v>
      </c>
      <c r="B339" s="6">
        <v>45686</v>
      </c>
      <c r="C339" s="2" t="s">
        <v>41</v>
      </c>
      <c r="D339" s="2" t="s">
        <v>115</v>
      </c>
      <c r="E339" s="2">
        <v>1</v>
      </c>
      <c r="F339" s="7">
        <v>129</v>
      </c>
      <c r="G339" s="8">
        <v>0</v>
      </c>
      <c r="H339" s="9" t="str">
        <f>INDEX(Products!$B$2:$B$37, MATCH(D339, Products!$A$2:$A$37, 0))</f>
        <v>Electric Kettle</v>
      </c>
      <c r="I339" t="str">
        <f>INDEX(Products!$C$2:$C$37, MATCH(D339, Products!$A$2:$A$37, 0))</f>
        <v>Home &amp; Kitchen</v>
      </c>
      <c r="J339">
        <f>INDEX(Products!$E$2:$E$37, MATCH(D339, Products!$A$2:$A$37, 0))</f>
        <v>60</v>
      </c>
      <c r="K339" s="9">
        <f t="shared" si="20"/>
        <v>129</v>
      </c>
      <c r="L339">
        <f t="shared" si="21"/>
        <v>60</v>
      </c>
      <c r="M339" s="9">
        <f t="shared" si="22"/>
        <v>69</v>
      </c>
      <c r="N339" t="str">
        <f t="shared" si="23"/>
        <v>Jan</v>
      </c>
    </row>
    <row r="340" spans="1:14" x14ac:dyDescent="0.3">
      <c r="A340" s="2" t="s">
        <v>406</v>
      </c>
      <c r="B340" s="6">
        <v>45686</v>
      </c>
      <c r="C340" s="2" t="s">
        <v>28</v>
      </c>
      <c r="D340" s="2" t="s">
        <v>194</v>
      </c>
      <c r="E340" s="2">
        <v>2</v>
      </c>
      <c r="F340" s="7">
        <v>699</v>
      </c>
      <c r="G340" s="8">
        <v>0.05</v>
      </c>
      <c r="H340" s="9" t="str">
        <f>INDEX(Products!$B$2:$B$37, MATCH(D340, Products!$A$2:$A$37, 0))</f>
        <v>Leather Handbag</v>
      </c>
      <c r="I340" t="str">
        <f>INDEX(Products!$C$2:$C$37, MATCH(D340, Products!$A$2:$A$37, 0))</f>
        <v>Fashion</v>
      </c>
      <c r="J340">
        <f>INDEX(Products!$E$2:$E$37, MATCH(D340, Products!$A$2:$A$37, 0))</f>
        <v>380</v>
      </c>
      <c r="K340" s="9">
        <f t="shared" si="20"/>
        <v>1328.1</v>
      </c>
      <c r="L340">
        <f t="shared" si="21"/>
        <v>760</v>
      </c>
      <c r="M340" s="9">
        <f t="shared" si="22"/>
        <v>568.09999999999991</v>
      </c>
      <c r="N340" t="str">
        <f t="shared" si="23"/>
        <v>Jan</v>
      </c>
    </row>
    <row r="341" spans="1:14" x14ac:dyDescent="0.3">
      <c r="A341" s="2" t="s">
        <v>407</v>
      </c>
      <c r="B341" s="6">
        <v>45686</v>
      </c>
      <c r="C341" s="2" t="s">
        <v>41</v>
      </c>
      <c r="D341" s="2" t="s">
        <v>115</v>
      </c>
      <c r="E341" s="2">
        <v>1</v>
      </c>
      <c r="F341" s="7">
        <v>129</v>
      </c>
      <c r="G341" s="8">
        <v>0</v>
      </c>
      <c r="H341" s="9" t="str">
        <f>INDEX(Products!$B$2:$B$37, MATCH(D341, Products!$A$2:$A$37, 0))</f>
        <v>Electric Kettle</v>
      </c>
      <c r="I341" t="str">
        <f>INDEX(Products!$C$2:$C$37, MATCH(D341, Products!$A$2:$A$37, 0))</f>
        <v>Home &amp; Kitchen</v>
      </c>
      <c r="J341">
        <f>INDEX(Products!$E$2:$E$37, MATCH(D341, Products!$A$2:$A$37, 0))</f>
        <v>60</v>
      </c>
      <c r="K341" s="9">
        <f t="shared" si="20"/>
        <v>129</v>
      </c>
      <c r="L341">
        <f t="shared" si="21"/>
        <v>60</v>
      </c>
      <c r="M341" s="9">
        <f t="shared" si="22"/>
        <v>69</v>
      </c>
      <c r="N341" t="str">
        <f t="shared" si="23"/>
        <v>Jan</v>
      </c>
    </row>
    <row r="342" spans="1:14" x14ac:dyDescent="0.3">
      <c r="A342" s="2" t="s">
        <v>408</v>
      </c>
      <c r="B342" s="6">
        <v>45686</v>
      </c>
      <c r="C342" s="2" t="s">
        <v>48</v>
      </c>
      <c r="D342" s="2" t="s">
        <v>87</v>
      </c>
      <c r="E342" s="2">
        <v>2</v>
      </c>
      <c r="F342" s="7">
        <v>799</v>
      </c>
      <c r="G342" s="8">
        <v>0.15</v>
      </c>
      <c r="H342" s="9" t="str">
        <f>INDEX(Products!$B$2:$B$37, MATCH(D342, Products!$A$2:$A$37, 0))</f>
        <v>Adjustable Dumbbells</v>
      </c>
      <c r="I342" t="str">
        <f>INDEX(Products!$C$2:$C$37, MATCH(D342, Products!$A$2:$A$37, 0))</f>
        <v>Sports</v>
      </c>
      <c r="J342">
        <f>INDEX(Products!$E$2:$E$37, MATCH(D342, Products!$A$2:$A$37, 0))</f>
        <v>700</v>
      </c>
      <c r="K342" s="9">
        <f t="shared" si="20"/>
        <v>1358.3</v>
      </c>
      <c r="L342">
        <f t="shared" si="21"/>
        <v>1400</v>
      </c>
      <c r="M342" s="9">
        <f t="shared" si="22"/>
        <v>-41.700000000000045</v>
      </c>
      <c r="N342" t="str">
        <f t="shared" si="23"/>
        <v>Jan</v>
      </c>
    </row>
    <row r="343" spans="1:14" x14ac:dyDescent="0.3">
      <c r="A343" s="2" t="s">
        <v>409</v>
      </c>
      <c r="B343" s="6">
        <v>45686</v>
      </c>
      <c r="C343" s="2" t="s">
        <v>41</v>
      </c>
      <c r="D343" s="2" t="s">
        <v>35</v>
      </c>
      <c r="E343" s="2">
        <v>2</v>
      </c>
      <c r="F343" s="7">
        <v>179</v>
      </c>
      <c r="G343" s="8">
        <v>0.15</v>
      </c>
      <c r="H343" s="9" t="str">
        <f>INDEX(Products!$B$2:$B$37, MATCH(D343, Products!$A$2:$A$37, 0))</f>
        <v>Men's Linen Shirt</v>
      </c>
      <c r="I343" t="str">
        <f>INDEX(Products!$C$2:$C$37, MATCH(D343, Products!$A$2:$A$37, 0))</f>
        <v>Fashion</v>
      </c>
      <c r="J343">
        <f>INDEX(Products!$E$2:$E$37, MATCH(D343, Products!$A$2:$A$37, 0))</f>
        <v>70</v>
      </c>
      <c r="K343" s="9">
        <f t="shared" si="20"/>
        <v>304.3</v>
      </c>
      <c r="L343">
        <f t="shared" si="21"/>
        <v>140</v>
      </c>
      <c r="M343" s="9">
        <f t="shared" si="22"/>
        <v>164.3</v>
      </c>
      <c r="N343" t="str">
        <f t="shared" si="23"/>
        <v>Jan</v>
      </c>
    </row>
    <row r="344" spans="1:14" x14ac:dyDescent="0.3">
      <c r="A344" s="2" t="s">
        <v>410</v>
      </c>
      <c r="B344" s="6">
        <v>45687</v>
      </c>
      <c r="C344" s="2" t="s">
        <v>44</v>
      </c>
      <c r="D344" s="2" t="s">
        <v>37</v>
      </c>
      <c r="E344" s="2">
        <v>4</v>
      </c>
      <c r="F344" s="7">
        <v>249</v>
      </c>
      <c r="G344" s="8">
        <v>0.15</v>
      </c>
      <c r="H344" s="9" t="str">
        <f>INDEX(Products!$B$2:$B$37, MATCH(D344, Products!$A$2:$A$37, 0))</f>
        <v>Sunglasses Polarised</v>
      </c>
      <c r="I344" t="str">
        <f>INDEX(Products!$C$2:$C$37, MATCH(D344, Products!$A$2:$A$37, 0))</f>
        <v>Fashion</v>
      </c>
      <c r="J344">
        <f>INDEX(Products!$E$2:$E$37, MATCH(D344, Products!$A$2:$A$37, 0))</f>
        <v>95</v>
      </c>
      <c r="K344" s="9">
        <f t="shared" si="20"/>
        <v>846.6</v>
      </c>
      <c r="L344">
        <f t="shared" si="21"/>
        <v>380</v>
      </c>
      <c r="M344" s="9">
        <f t="shared" si="22"/>
        <v>466.6</v>
      </c>
      <c r="N344" t="str">
        <f t="shared" si="23"/>
        <v>Jan</v>
      </c>
    </row>
    <row r="345" spans="1:14" x14ac:dyDescent="0.3">
      <c r="A345" s="2" t="s">
        <v>411</v>
      </c>
      <c r="B345" s="6">
        <v>45687</v>
      </c>
      <c r="C345" s="2" t="s">
        <v>44</v>
      </c>
      <c r="D345" s="2" t="s">
        <v>29</v>
      </c>
      <c r="E345" s="2">
        <v>2</v>
      </c>
      <c r="F345" s="7">
        <v>229</v>
      </c>
      <c r="G345" s="8">
        <v>0.2</v>
      </c>
      <c r="H345" s="9" t="str">
        <f>INDEX(Products!$B$2:$B$37, MATCH(D345, Products!$A$2:$A$37, 0))</f>
        <v>Women's Summer Dress</v>
      </c>
      <c r="I345" t="str">
        <f>INDEX(Products!$C$2:$C$37, MATCH(D345, Products!$A$2:$A$37, 0))</f>
        <v>Fashion</v>
      </c>
      <c r="J345">
        <f>INDEX(Products!$E$2:$E$37, MATCH(D345, Products!$A$2:$A$37, 0))</f>
        <v>120</v>
      </c>
      <c r="K345" s="9">
        <f t="shared" si="20"/>
        <v>366.40000000000003</v>
      </c>
      <c r="L345">
        <f t="shared" si="21"/>
        <v>240</v>
      </c>
      <c r="M345" s="9">
        <f t="shared" si="22"/>
        <v>126.40000000000003</v>
      </c>
      <c r="N345" t="str">
        <f t="shared" si="23"/>
        <v>Jan</v>
      </c>
    </row>
    <row r="346" spans="1:14" x14ac:dyDescent="0.3">
      <c r="A346" s="2" t="s">
        <v>412</v>
      </c>
      <c r="B346" s="6">
        <v>45687</v>
      </c>
      <c r="C346" s="2" t="s">
        <v>48</v>
      </c>
      <c r="D346" s="2" t="s">
        <v>165</v>
      </c>
      <c r="E346" s="2">
        <v>2</v>
      </c>
      <c r="F346" s="7">
        <v>69</v>
      </c>
      <c r="G346" s="8">
        <v>0</v>
      </c>
      <c r="H346" s="9" t="str">
        <f>INDEX(Products!$B$2:$B$37, MATCH(D346, Products!$A$2:$A$37, 0))</f>
        <v>Swim Goggles</v>
      </c>
      <c r="I346" t="str">
        <f>INDEX(Products!$C$2:$C$37, MATCH(D346, Products!$A$2:$A$37, 0))</f>
        <v>Sports</v>
      </c>
      <c r="J346">
        <f>INDEX(Products!$E$2:$E$37, MATCH(D346, Products!$A$2:$A$37, 0))</f>
        <v>25</v>
      </c>
      <c r="K346" s="9">
        <f t="shared" si="20"/>
        <v>138</v>
      </c>
      <c r="L346">
        <f t="shared" si="21"/>
        <v>50</v>
      </c>
      <c r="M346" s="9">
        <f t="shared" si="22"/>
        <v>88</v>
      </c>
      <c r="N346" t="str">
        <f t="shared" si="23"/>
        <v>Jan</v>
      </c>
    </row>
    <row r="347" spans="1:14" x14ac:dyDescent="0.3">
      <c r="A347" s="2" t="s">
        <v>413</v>
      </c>
      <c r="B347" s="6">
        <v>45687</v>
      </c>
      <c r="C347" s="2" t="s">
        <v>48</v>
      </c>
      <c r="D347" s="2" t="s">
        <v>80</v>
      </c>
      <c r="E347" s="2">
        <v>3</v>
      </c>
      <c r="F347" s="7">
        <v>149</v>
      </c>
      <c r="G347" s="8">
        <v>0</v>
      </c>
      <c r="H347" s="9" t="str">
        <f>INDEX(Products!$B$2:$B$37, MATCH(D347, Products!$A$2:$A$37, 0))</f>
        <v>Vitamin C Serum</v>
      </c>
      <c r="I347" t="str">
        <f>INDEX(Products!$C$2:$C$37, MATCH(D347, Products!$A$2:$A$37, 0))</f>
        <v>Beauty</v>
      </c>
      <c r="J347">
        <f>INDEX(Products!$E$2:$E$37, MATCH(D347, Products!$A$2:$A$37, 0))</f>
        <v>55</v>
      </c>
      <c r="K347" s="9">
        <f t="shared" si="20"/>
        <v>447</v>
      </c>
      <c r="L347">
        <f t="shared" si="21"/>
        <v>165</v>
      </c>
      <c r="M347" s="9">
        <f t="shared" si="22"/>
        <v>282</v>
      </c>
      <c r="N347" t="str">
        <f t="shared" si="23"/>
        <v>Jan</v>
      </c>
    </row>
    <row r="348" spans="1:14" x14ac:dyDescent="0.3">
      <c r="A348" s="2" t="s">
        <v>414</v>
      </c>
      <c r="B348" s="6">
        <v>45687</v>
      </c>
      <c r="C348" s="2" t="s">
        <v>28</v>
      </c>
      <c r="D348" s="2" t="s">
        <v>129</v>
      </c>
      <c r="E348" s="2">
        <v>1</v>
      </c>
      <c r="F348" s="7">
        <v>149</v>
      </c>
      <c r="G348" s="8">
        <v>0</v>
      </c>
      <c r="H348" s="9" t="str">
        <f>INDEX(Products!$B$2:$B$37, MATCH(D348, Products!$A$2:$A$37, 0))</f>
        <v>Power Bank 20000mAh</v>
      </c>
      <c r="I348" t="str">
        <f>INDEX(Products!$C$2:$C$37, MATCH(D348, Products!$A$2:$A$37, 0))</f>
        <v>Electronics</v>
      </c>
      <c r="J348">
        <f>INDEX(Products!$E$2:$E$37, MATCH(D348, Products!$A$2:$A$37, 0))</f>
        <v>70</v>
      </c>
      <c r="K348" s="9">
        <f t="shared" si="20"/>
        <v>149</v>
      </c>
      <c r="L348">
        <f t="shared" si="21"/>
        <v>70</v>
      </c>
      <c r="M348" s="9">
        <f t="shared" si="22"/>
        <v>79</v>
      </c>
      <c r="N348" t="str">
        <f t="shared" si="23"/>
        <v>Jan</v>
      </c>
    </row>
    <row r="349" spans="1:14" x14ac:dyDescent="0.3">
      <c r="A349" s="2" t="s">
        <v>415</v>
      </c>
      <c r="B349" s="6">
        <v>45687</v>
      </c>
      <c r="C349" s="2" t="s">
        <v>44</v>
      </c>
      <c r="D349" s="2" t="s">
        <v>103</v>
      </c>
      <c r="E349" s="2">
        <v>1</v>
      </c>
      <c r="F349" s="7">
        <v>89</v>
      </c>
      <c r="G349" s="8">
        <v>0.05</v>
      </c>
      <c r="H349" s="9" t="str">
        <f>INDEX(Products!$B$2:$B$37, MATCH(D349, Products!$A$2:$A$37, 0))</f>
        <v>Sunscreen SPF50</v>
      </c>
      <c r="I349" t="str">
        <f>INDEX(Products!$C$2:$C$37, MATCH(D349, Products!$A$2:$A$37, 0))</f>
        <v>Beauty</v>
      </c>
      <c r="J349">
        <f>INDEX(Products!$E$2:$E$37, MATCH(D349, Products!$A$2:$A$37, 0))</f>
        <v>40</v>
      </c>
      <c r="K349" s="9">
        <f t="shared" si="20"/>
        <v>84.55</v>
      </c>
      <c r="L349">
        <f t="shared" si="21"/>
        <v>40</v>
      </c>
      <c r="M349" s="9">
        <f t="shared" si="22"/>
        <v>44.55</v>
      </c>
      <c r="N349" t="str">
        <f t="shared" si="23"/>
        <v>Jan</v>
      </c>
    </row>
    <row r="350" spans="1:14" x14ac:dyDescent="0.3">
      <c r="A350" s="2" t="s">
        <v>416</v>
      </c>
      <c r="B350" s="6">
        <v>45687</v>
      </c>
      <c r="C350" s="2" t="s">
        <v>44</v>
      </c>
      <c r="D350" s="2" t="s">
        <v>87</v>
      </c>
      <c r="E350" s="2">
        <v>1</v>
      </c>
      <c r="F350" s="7">
        <v>799</v>
      </c>
      <c r="G350" s="8">
        <v>0.1</v>
      </c>
      <c r="H350" s="9" t="str">
        <f>INDEX(Products!$B$2:$B$37, MATCH(D350, Products!$A$2:$A$37, 0))</f>
        <v>Adjustable Dumbbells</v>
      </c>
      <c r="I350" t="str">
        <f>INDEX(Products!$C$2:$C$37, MATCH(D350, Products!$A$2:$A$37, 0))</f>
        <v>Sports</v>
      </c>
      <c r="J350">
        <f>INDEX(Products!$E$2:$E$37, MATCH(D350, Products!$A$2:$A$37, 0))</f>
        <v>700</v>
      </c>
      <c r="K350" s="9">
        <f t="shared" si="20"/>
        <v>719.1</v>
      </c>
      <c r="L350">
        <f t="shared" si="21"/>
        <v>700</v>
      </c>
      <c r="M350" s="9">
        <f t="shared" si="22"/>
        <v>19.100000000000023</v>
      </c>
      <c r="N350" t="str">
        <f t="shared" si="23"/>
        <v>Jan</v>
      </c>
    </row>
    <row r="351" spans="1:14" x14ac:dyDescent="0.3">
      <c r="A351" s="2" t="s">
        <v>417</v>
      </c>
      <c r="B351" s="6">
        <v>45687</v>
      </c>
      <c r="C351" s="2" t="s">
        <v>44</v>
      </c>
      <c r="D351" s="2" t="s">
        <v>39</v>
      </c>
      <c r="E351" s="2">
        <v>1</v>
      </c>
      <c r="F351" s="7">
        <v>199</v>
      </c>
      <c r="G351" s="8">
        <v>0</v>
      </c>
      <c r="H351" s="9" t="str">
        <f>INDEX(Products!$B$2:$B$37, MATCH(D351, Products!$A$2:$A$37, 0))</f>
        <v>Bakhoor Gift Set</v>
      </c>
      <c r="I351" t="str">
        <f>INDEX(Products!$C$2:$C$37, MATCH(D351, Products!$A$2:$A$37, 0))</f>
        <v>Beauty</v>
      </c>
      <c r="J351">
        <f>INDEX(Products!$E$2:$E$37, MATCH(D351, Products!$A$2:$A$37, 0))</f>
        <v>90</v>
      </c>
      <c r="K351" s="9">
        <f t="shared" si="20"/>
        <v>199</v>
      </c>
      <c r="L351">
        <f t="shared" si="21"/>
        <v>90</v>
      </c>
      <c r="M351" s="9">
        <f t="shared" si="22"/>
        <v>109</v>
      </c>
      <c r="N351" t="str">
        <f t="shared" si="23"/>
        <v>Jan</v>
      </c>
    </row>
    <row r="352" spans="1:14" x14ac:dyDescent="0.3">
      <c r="A352" s="2" t="s">
        <v>418</v>
      </c>
      <c r="B352" s="6">
        <v>45687</v>
      </c>
      <c r="C352" s="2" t="s">
        <v>28</v>
      </c>
      <c r="D352" s="2" t="s">
        <v>46</v>
      </c>
      <c r="E352" s="2">
        <v>3</v>
      </c>
      <c r="F352" s="7">
        <v>189</v>
      </c>
      <c r="G352" s="8">
        <v>0.2</v>
      </c>
      <c r="H352" s="9" t="str">
        <f>INDEX(Products!$B$2:$B$37, MATCH(D352, Products!$A$2:$A$37, 0))</f>
        <v>Makeup Palette</v>
      </c>
      <c r="I352" t="str">
        <f>INDEX(Products!$C$2:$C$37, MATCH(D352, Products!$A$2:$A$37, 0))</f>
        <v>Beauty</v>
      </c>
      <c r="J352">
        <f>INDEX(Products!$E$2:$E$37, MATCH(D352, Products!$A$2:$A$37, 0))</f>
        <v>85</v>
      </c>
      <c r="K352" s="9">
        <f t="shared" si="20"/>
        <v>453.6</v>
      </c>
      <c r="L352">
        <f t="shared" si="21"/>
        <v>255</v>
      </c>
      <c r="M352" s="9">
        <f t="shared" si="22"/>
        <v>198.60000000000002</v>
      </c>
      <c r="N352" t="str">
        <f t="shared" si="23"/>
        <v>Jan</v>
      </c>
    </row>
    <row r="353" spans="1:14" x14ac:dyDescent="0.3">
      <c r="A353" s="2" t="s">
        <v>419</v>
      </c>
      <c r="B353" s="6">
        <v>45687</v>
      </c>
      <c r="C353" s="2" t="s">
        <v>48</v>
      </c>
      <c r="D353" s="2" t="s">
        <v>129</v>
      </c>
      <c r="E353" s="2">
        <v>1</v>
      </c>
      <c r="F353" s="7">
        <v>149</v>
      </c>
      <c r="G353" s="8">
        <v>0</v>
      </c>
      <c r="H353" s="9" t="str">
        <f>INDEX(Products!$B$2:$B$37, MATCH(D353, Products!$A$2:$A$37, 0))</f>
        <v>Power Bank 20000mAh</v>
      </c>
      <c r="I353" t="str">
        <f>INDEX(Products!$C$2:$C$37, MATCH(D353, Products!$A$2:$A$37, 0))</f>
        <v>Electronics</v>
      </c>
      <c r="J353">
        <f>INDEX(Products!$E$2:$E$37, MATCH(D353, Products!$A$2:$A$37, 0))</f>
        <v>70</v>
      </c>
      <c r="K353" s="9">
        <f t="shared" si="20"/>
        <v>149</v>
      </c>
      <c r="L353">
        <f t="shared" si="21"/>
        <v>70</v>
      </c>
      <c r="M353" s="9">
        <f t="shared" si="22"/>
        <v>79</v>
      </c>
      <c r="N353" t="str">
        <f t="shared" si="23"/>
        <v>Jan</v>
      </c>
    </row>
    <row r="354" spans="1:14" x14ac:dyDescent="0.3">
      <c r="A354" s="2" t="s">
        <v>420</v>
      </c>
      <c r="B354" s="6">
        <v>45687</v>
      </c>
      <c r="C354" s="2" t="s">
        <v>44</v>
      </c>
      <c r="D354" s="2" t="s">
        <v>194</v>
      </c>
      <c r="E354" s="2">
        <v>2</v>
      </c>
      <c r="F354" s="7">
        <v>699</v>
      </c>
      <c r="G354" s="8">
        <v>0.2</v>
      </c>
      <c r="H354" s="9" t="str">
        <f>INDEX(Products!$B$2:$B$37, MATCH(D354, Products!$A$2:$A$37, 0))</f>
        <v>Leather Handbag</v>
      </c>
      <c r="I354" t="str">
        <f>INDEX(Products!$C$2:$C$37, MATCH(D354, Products!$A$2:$A$37, 0))</f>
        <v>Fashion</v>
      </c>
      <c r="J354">
        <f>INDEX(Products!$E$2:$E$37, MATCH(D354, Products!$A$2:$A$37, 0))</f>
        <v>380</v>
      </c>
      <c r="K354" s="9">
        <f t="shared" si="20"/>
        <v>1118.4000000000001</v>
      </c>
      <c r="L354">
        <f t="shared" si="21"/>
        <v>760</v>
      </c>
      <c r="M354" s="9">
        <f t="shared" si="22"/>
        <v>358.40000000000009</v>
      </c>
      <c r="N354" t="str">
        <f t="shared" si="23"/>
        <v>Jan</v>
      </c>
    </row>
    <row r="355" spans="1:14" x14ac:dyDescent="0.3">
      <c r="A355" s="2" t="s">
        <v>421</v>
      </c>
      <c r="B355" s="6">
        <v>45687</v>
      </c>
      <c r="C355" s="2" t="s">
        <v>28</v>
      </c>
      <c r="D355" s="2" t="s">
        <v>163</v>
      </c>
      <c r="E355" s="2">
        <v>1</v>
      </c>
      <c r="F355" s="7">
        <v>2499</v>
      </c>
      <c r="G355" s="8">
        <v>0.15</v>
      </c>
      <c r="H355" s="9" t="str">
        <f>INDEX(Products!$B$2:$B$37, MATCH(D355, Products!$A$2:$A$37, 0))</f>
        <v>Treadmill Compact</v>
      </c>
      <c r="I355" t="str">
        <f>INDEX(Products!$C$2:$C$37, MATCH(D355, Products!$A$2:$A$37, 0))</f>
        <v>Sports</v>
      </c>
      <c r="J355">
        <f>INDEX(Products!$E$2:$E$37, MATCH(D355, Products!$A$2:$A$37, 0))</f>
        <v>2150</v>
      </c>
      <c r="K355" s="9">
        <f t="shared" si="20"/>
        <v>2124.15</v>
      </c>
      <c r="L355">
        <f t="shared" si="21"/>
        <v>2150</v>
      </c>
      <c r="M355" s="9">
        <f t="shared" si="22"/>
        <v>-25.849999999999909</v>
      </c>
      <c r="N355" t="str">
        <f t="shared" si="23"/>
        <v>Jan</v>
      </c>
    </row>
    <row r="356" spans="1:14" x14ac:dyDescent="0.3">
      <c r="A356" s="2" t="s">
        <v>422</v>
      </c>
      <c r="B356" s="6">
        <v>45687</v>
      </c>
      <c r="C356" s="2" t="s">
        <v>28</v>
      </c>
      <c r="D356" s="2" t="s">
        <v>29</v>
      </c>
      <c r="E356" s="2">
        <v>2</v>
      </c>
      <c r="F356" s="7">
        <v>229</v>
      </c>
      <c r="G356" s="8">
        <v>0.05</v>
      </c>
      <c r="H356" s="9" t="str">
        <f>INDEX(Products!$B$2:$B$37, MATCH(D356, Products!$A$2:$A$37, 0))</f>
        <v>Women's Summer Dress</v>
      </c>
      <c r="I356" t="str">
        <f>INDEX(Products!$C$2:$C$37, MATCH(D356, Products!$A$2:$A$37, 0))</f>
        <v>Fashion</v>
      </c>
      <c r="J356">
        <f>INDEX(Products!$E$2:$E$37, MATCH(D356, Products!$A$2:$A$37, 0))</f>
        <v>120</v>
      </c>
      <c r="K356" s="9">
        <f t="shared" si="20"/>
        <v>435.09999999999997</v>
      </c>
      <c r="L356">
        <f t="shared" si="21"/>
        <v>240</v>
      </c>
      <c r="M356" s="9">
        <f t="shared" si="22"/>
        <v>195.09999999999997</v>
      </c>
      <c r="N356" t="str">
        <f t="shared" si="23"/>
        <v>Jan</v>
      </c>
    </row>
    <row r="357" spans="1:14" x14ac:dyDescent="0.3">
      <c r="A357" s="2" t="s">
        <v>423</v>
      </c>
      <c r="B357" s="6">
        <v>45687</v>
      </c>
      <c r="C357" s="2" t="s">
        <v>28</v>
      </c>
      <c r="D357" s="2" t="s">
        <v>35</v>
      </c>
      <c r="E357" s="2">
        <v>1</v>
      </c>
      <c r="F357" s="7">
        <v>179</v>
      </c>
      <c r="G357" s="8">
        <v>0.15</v>
      </c>
      <c r="H357" s="9" t="str">
        <f>INDEX(Products!$B$2:$B$37, MATCH(D357, Products!$A$2:$A$37, 0))</f>
        <v>Men's Linen Shirt</v>
      </c>
      <c r="I357" t="str">
        <f>INDEX(Products!$C$2:$C$37, MATCH(D357, Products!$A$2:$A$37, 0))</f>
        <v>Fashion</v>
      </c>
      <c r="J357">
        <f>INDEX(Products!$E$2:$E$37, MATCH(D357, Products!$A$2:$A$37, 0))</f>
        <v>70</v>
      </c>
      <c r="K357" s="9">
        <f t="shared" si="20"/>
        <v>152.15</v>
      </c>
      <c r="L357">
        <f t="shared" si="21"/>
        <v>70</v>
      </c>
      <c r="M357" s="9">
        <f t="shared" si="22"/>
        <v>82.15</v>
      </c>
      <c r="N357" t="str">
        <f t="shared" si="23"/>
        <v>Jan</v>
      </c>
    </row>
    <row r="358" spans="1:14" x14ac:dyDescent="0.3">
      <c r="A358" s="2" t="s">
        <v>424</v>
      </c>
      <c r="B358" s="6">
        <v>45688</v>
      </c>
      <c r="C358" s="2" t="s">
        <v>48</v>
      </c>
      <c r="D358" s="2" t="s">
        <v>58</v>
      </c>
      <c r="E358" s="2">
        <v>2</v>
      </c>
      <c r="F358" s="7">
        <v>459</v>
      </c>
      <c r="G358" s="8">
        <v>0</v>
      </c>
      <c r="H358" s="9" t="str">
        <f>INDEX(Products!$B$2:$B$37, MATCH(D358, Products!$A$2:$A$37, 0))</f>
        <v>Women's Abaya Classic</v>
      </c>
      <c r="I358" t="str">
        <f>INDEX(Products!$C$2:$C$37, MATCH(D358, Products!$A$2:$A$37, 0))</f>
        <v>Fashion</v>
      </c>
      <c r="J358">
        <f>INDEX(Products!$E$2:$E$37, MATCH(D358, Products!$A$2:$A$37, 0))</f>
        <v>190</v>
      </c>
      <c r="K358" s="9">
        <f t="shared" si="20"/>
        <v>918</v>
      </c>
      <c r="L358">
        <f t="shared" si="21"/>
        <v>380</v>
      </c>
      <c r="M358" s="9">
        <f t="shared" si="22"/>
        <v>538</v>
      </c>
      <c r="N358" t="str">
        <f t="shared" si="23"/>
        <v>Jan</v>
      </c>
    </row>
    <row r="359" spans="1:14" x14ac:dyDescent="0.3">
      <c r="A359" s="2" t="s">
        <v>425</v>
      </c>
      <c r="B359" s="6">
        <v>45688</v>
      </c>
      <c r="C359" s="2" t="s">
        <v>31</v>
      </c>
      <c r="D359" s="2" t="s">
        <v>58</v>
      </c>
      <c r="E359" s="2">
        <v>1</v>
      </c>
      <c r="F359" s="7">
        <v>459</v>
      </c>
      <c r="G359" s="8">
        <v>0</v>
      </c>
      <c r="H359" s="9" t="str">
        <f>INDEX(Products!$B$2:$B$37, MATCH(D359, Products!$A$2:$A$37, 0))</f>
        <v>Women's Abaya Classic</v>
      </c>
      <c r="I359" t="str">
        <f>INDEX(Products!$C$2:$C$37, MATCH(D359, Products!$A$2:$A$37, 0))</f>
        <v>Fashion</v>
      </c>
      <c r="J359">
        <f>INDEX(Products!$E$2:$E$37, MATCH(D359, Products!$A$2:$A$37, 0))</f>
        <v>190</v>
      </c>
      <c r="K359" s="9">
        <f t="shared" si="20"/>
        <v>459</v>
      </c>
      <c r="L359">
        <f t="shared" si="21"/>
        <v>190</v>
      </c>
      <c r="M359" s="9">
        <f t="shared" si="22"/>
        <v>269</v>
      </c>
      <c r="N359" t="str">
        <f t="shared" si="23"/>
        <v>Jan</v>
      </c>
    </row>
    <row r="360" spans="1:14" x14ac:dyDescent="0.3">
      <c r="A360" s="2" t="s">
        <v>426</v>
      </c>
      <c r="B360" s="6">
        <v>45688</v>
      </c>
      <c r="C360" s="2" t="s">
        <v>41</v>
      </c>
      <c r="D360" s="2" t="s">
        <v>126</v>
      </c>
      <c r="E360" s="2">
        <v>1</v>
      </c>
      <c r="F360" s="7">
        <v>89</v>
      </c>
      <c r="G360" s="8">
        <v>0.05</v>
      </c>
      <c r="H360" s="9" t="str">
        <f>INDEX(Products!$B$2:$B$37, MATCH(D360, Products!$A$2:$A$37, 0))</f>
        <v>USB-C Fast Charger</v>
      </c>
      <c r="I360" t="str">
        <f>INDEX(Products!$C$2:$C$37, MATCH(D360, Products!$A$2:$A$37, 0))</f>
        <v>Electronics</v>
      </c>
      <c r="J360">
        <f>INDEX(Products!$E$2:$E$37, MATCH(D360, Products!$A$2:$A$37, 0))</f>
        <v>35</v>
      </c>
      <c r="K360" s="9">
        <f t="shared" si="20"/>
        <v>84.55</v>
      </c>
      <c r="L360">
        <f t="shared" si="21"/>
        <v>35</v>
      </c>
      <c r="M360" s="9">
        <f t="shared" si="22"/>
        <v>49.55</v>
      </c>
      <c r="N360" t="str">
        <f t="shared" si="23"/>
        <v>Jan</v>
      </c>
    </row>
    <row r="361" spans="1:14" x14ac:dyDescent="0.3">
      <c r="A361" s="2" t="s">
        <v>427</v>
      </c>
      <c r="B361" s="6">
        <v>45688</v>
      </c>
      <c r="C361" s="2" t="s">
        <v>44</v>
      </c>
      <c r="D361" s="2" t="s">
        <v>29</v>
      </c>
      <c r="E361" s="2">
        <v>1</v>
      </c>
      <c r="F361" s="7">
        <v>229</v>
      </c>
      <c r="G361" s="8">
        <v>0</v>
      </c>
      <c r="H361" s="9" t="str">
        <f>INDEX(Products!$B$2:$B$37, MATCH(D361, Products!$A$2:$A$37, 0))</f>
        <v>Women's Summer Dress</v>
      </c>
      <c r="I361" t="str">
        <f>INDEX(Products!$C$2:$C$37, MATCH(D361, Products!$A$2:$A$37, 0))</f>
        <v>Fashion</v>
      </c>
      <c r="J361">
        <f>INDEX(Products!$E$2:$E$37, MATCH(D361, Products!$A$2:$A$37, 0))</f>
        <v>120</v>
      </c>
      <c r="K361" s="9">
        <f t="shared" si="20"/>
        <v>229</v>
      </c>
      <c r="L361">
        <f t="shared" si="21"/>
        <v>120</v>
      </c>
      <c r="M361" s="9">
        <f t="shared" si="22"/>
        <v>109</v>
      </c>
      <c r="N361" t="str">
        <f t="shared" si="23"/>
        <v>Jan</v>
      </c>
    </row>
    <row r="362" spans="1:14" x14ac:dyDescent="0.3">
      <c r="A362" s="2" t="s">
        <v>428</v>
      </c>
      <c r="B362" s="6">
        <v>45688</v>
      </c>
      <c r="C362" s="2" t="s">
        <v>41</v>
      </c>
      <c r="D362" s="2" t="s">
        <v>39</v>
      </c>
      <c r="E362" s="2">
        <v>3</v>
      </c>
      <c r="F362" s="7">
        <v>199</v>
      </c>
      <c r="G362" s="8">
        <v>0.1</v>
      </c>
      <c r="H362" s="9" t="str">
        <f>INDEX(Products!$B$2:$B$37, MATCH(D362, Products!$A$2:$A$37, 0))</f>
        <v>Bakhoor Gift Set</v>
      </c>
      <c r="I362" t="str">
        <f>INDEX(Products!$C$2:$C$37, MATCH(D362, Products!$A$2:$A$37, 0))</f>
        <v>Beauty</v>
      </c>
      <c r="J362">
        <f>INDEX(Products!$E$2:$E$37, MATCH(D362, Products!$A$2:$A$37, 0))</f>
        <v>90</v>
      </c>
      <c r="K362" s="9">
        <f t="shared" si="20"/>
        <v>537.30000000000007</v>
      </c>
      <c r="L362">
        <f t="shared" si="21"/>
        <v>270</v>
      </c>
      <c r="M362" s="9">
        <f t="shared" si="22"/>
        <v>267.30000000000007</v>
      </c>
      <c r="N362" t="str">
        <f t="shared" si="23"/>
        <v>Jan</v>
      </c>
    </row>
    <row r="363" spans="1:14" x14ac:dyDescent="0.3">
      <c r="A363" s="2" t="s">
        <v>429</v>
      </c>
      <c r="B363" s="6">
        <v>45688</v>
      </c>
      <c r="C363" s="2" t="s">
        <v>48</v>
      </c>
      <c r="D363" s="2" t="s">
        <v>113</v>
      </c>
      <c r="E363" s="2">
        <v>1</v>
      </c>
      <c r="F363" s="7">
        <v>1199</v>
      </c>
      <c r="G363" s="8">
        <v>0.15</v>
      </c>
      <c r="H363" s="9" t="str">
        <f>INDEX(Products!$B$2:$B$37, MATCH(D363, Products!$A$2:$A$37, 0))</f>
        <v>Robot Vacuum S3</v>
      </c>
      <c r="I363" t="str">
        <f>INDEX(Products!$C$2:$C$37, MATCH(D363, Products!$A$2:$A$37, 0))</f>
        <v>Home &amp; Kitchen</v>
      </c>
      <c r="J363">
        <f>INDEX(Products!$E$2:$E$37, MATCH(D363, Products!$A$2:$A$37, 0))</f>
        <v>1080</v>
      </c>
      <c r="K363" s="9">
        <f t="shared" si="20"/>
        <v>1019.15</v>
      </c>
      <c r="L363">
        <f t="shared" si="21"/>
        <v>1080</v>
      </c>
      <c r="M363" s="9">
        <f t="shared" si="22"/>
        <v>-60.850000000000023</v>
      </c>
      <c r="N363" t="str">
        <f t="shared" si="23"/>
        <v>Jan</v>
      </c>
    </row>
    <row r="364" spans="1:14" x14ac:dyDescent="0.3">
      <c r="A364" s="2" t="s">
        <v>430</v>
      </c>
      <c r="B364" s="6">
        <v>45688</v>
      </c>
      <c r="C364" s="2" t="s">
        <v>31</v>
      </c>
      <c r="D364" s="2" t="s">
        <v>42</v>
      </c>
      <c r="E364" s="2">
        <v>2</v>
      </c>
      <c r="F364" s="7">
        <v>399</v>
      </c>
      <c r="G364" s="8">
        <v>0.2</v>
      </c>
      <c r="H364" s="9" t="str">
        <f>INDEX(Products!$B$2:$B$37, MATCH(D364, Products!$A$2:$A$37, 0))</f>
        <v>Wireless Earbuds Pro</v>
      </c>
      <c r="I364" t="str">
        <f>INDEX(Products!$C$2:$C$37, MATCH(D364, Products!$A$2:$A$37, 0))</f>
        <v>Electronics</v>
      </c>
      <c r="J364">
        <f>INDEX(Products!$E$2:$E$37, MATCH(D364, Products!$A$2:$A$37, 0))</f>
        <v>230</v>
      </c>
      <c r="K364" s="9">
        <f t="shared" si="20"/>
        <v>638.40000000000009</v>
      </c>
      <c r="L364">
        <f t="shared" si="21"/>
        <v>460</v>
      </c>
      <c r="M364" s="9">
        <f t="shared" si="22"/>
        <v>178.40000000000009</v>
      </c>
      <c r="N364" t="str">
        <f t="shared" si="23"/>
        <v>Jan</v>
      </c>
    </row>
    <row r="365" spans="1:14" x14ac:dyDescent="0.3">
      <c r="A365" s="2" t="s">
        <v>431</v>
      </c>
      <c r="B365" s="6">
        <v>45688</v>
      </c>
      <c r="C365" s="2" t="s">
        <v>44</v>
      </c>
      <c r="D365" s="2" t="s">
        <v>83</v>
      </c>
      <c r="E365" s="2">
        <v>1</v>
      </c>
      <c r="F365" s="7">
        <v>229</v>
      </c>
      <c r="G365" s="8">
        <v>0.15</v>
      </c>
      <c r="H365" s="9" t="str">
        <f>INDEX(Products!$B$2:$B$37, MATCH(D365, Products!$A$2:$A$37, 0))</f>
        <v>Cycling Helmet</v>
      </c>
      <c r="I365" t="str">
        <f>INDEX(Products!$C$2:$C$37, MATCH(D365, Products!$A$2:$A$37, 0))</f>
        <v>Sports</v>
      </c>
      <c r="J365">
        <f>INDEX(Products!$E$2:$E$37, MATCH(D365, Products!$A$2:$A$37, 0))</f>
        <v>120</v>
      </c>
      <c r="K365" s="9">
        <f t="shared" si="20"/>
        <v>194.65</v>
      </c>
      <c r="L365">
        <f t="shared" si="21"/>
        <v>120</v>
      </c>
      <c r="M365" s="9">
        <f t="shared" si="22"/>
        <v>74.650000000000006</v>
      </c>
      <c r="N365" t="str">
        <f t="shared" si="23"/>
        <v>Jan</v>
      </c>
    </row>
    <row r="366" spans="1:14" x14ac:dyDescent="0.3">
      <c r="A366" s="2" t="s">
        <v>432</v>
      </c>
      <c r="B366" s="6">
        <v>45688</v>
      </c>
      <c r="C366" s="2" t="s">
        <v>31</v>
      </c>
      <c r="D366" s="2" t="s">
        <v>68</v>
      </c>
      <c r="E366" s="2">
        <v>2</v>
      </c>
      <c r="F366" s="7">
        <v>249</v>
      </c>
      <c r="G366" s="8">
        <v>0</v>
      </c>
      <c r="H366" s="9" t="str">
        <f>INDEX(Products!$B$2:$B$37, MATCH(D366, Products!$A$2:$A$37, 0))</f>
        <v>Bluetooth Speaker Mini</v>
      </c>
      <c r="I366" t="str">
        <f>INDEX(Products!$C$2:$C$37, MATCH(D366, Products!$A$2:$A$37, 0))</f>
        <v>Electronics</v>
      </c>
      <c r="J366">
        <f>INDEX(Products!$E$2:$E$37, MATCH(D366, Products!$A$2:$A$37, 0))</f>
        <v>150</v>
      </c>
      <c r="K366" s="9">
        <f t="shared" si="20"/>
        <v>498</v>
      </c>
      <c r="L366">
        <f t="shared" si="21"/>
        <v>300</v>
      </c>
      <c r="M366" s="9">
        <f t="shared" si="22"/>
        <v>198</v>
      </c>
      <c r="N366" t="str">
        <f t="shared" si="23"/>
        <v>Jan</v>
      </c>
    </row>
    <row r="367" spans="1:14" x14ac:dyDescent="0.3">
      <c r="A367" s="2" t="s">
        <v>433</v>
      </c>
      <c r="B367" s="6">
        <v>45688</v>
      </c>
      <c r="C367" s="2" t="s">
        <v>31</v>
      </c>
      <c r="D367" s="2" t="s">
        <v>42</v>
      </c>
      <c r="E367" s="2">
        <v>3</v>
      </c>
      <c r="F367" s="7">
        <v>399</v>
      </c>
      <c r="G367" s="8">
        <v>0</v>
      </c>
      <c r="H367" s="9" t="str">
        <f>INDEX(Products!$B$2:$B$37, MATCH(D367, Products!$A$2:$A$37, 0))</f>
        <v>Wireless Earbuds Pro</v>
      </c>
      <c r="I367" t="str">
        <f>INDEX(Products!$C$2:$C$37, MATCH(D367, Products!$A$2:$A$37, 0))</f>
        <v>Electronics</v>
      </c>
      <c r="J367">
        <f>INDEX(Products!$E$2:$E$37, MATCH(D367, Products!$A$2:$A$37, 0))</f>
        <v>230</v>
      </c>
      <c r="K367" s="9">
        <f t="shared" si="20"/>
        <v>1197</v>
      </c>
      <c r="L367">
        <f t="shared" si="21"/>
        <v>690</v>
      </c>
      <c r="M367" s="9">
        <f t="shared" si="22"/>
        <v>507</v>
      </c>
      <c r="N367" t="str">
        <f t="shared" si="23"/>
        <v>Jan</v>
      </c>
    </row>
    <row r="368" spans="1:14" x14ac:dyDescent="0.3">
      <c r="A368" s="2" t="s">
        <v>434</v>
      </c>
      <c r="B368" s="6">
        <v>45689</v>
      </c>
      <c r="C368" s="2" t="s">
        <v>41</v>
      </c>
      <c r="D368" s="2" t="s">
        <v>103</v>
      </c>
      <c r="E368" s="2">
        <v>2</v>
      </c>
      <c r="F368" s="7">
        <v>89</v>
      </c>
      <c r="G368" s="8">
        <v>0.2</v>
      </c>
      <c r="H368" s="9" t="str">
        <f>INDEX(Products!$B$2:$B$37, MATCH(D368, Products!$A$2:$A$37, 0))</f>
        <v>Sunscreen SPF50</v>
      </c>
      <c r="I368" t="str">
        <f>INDEX(Products!$C$2:$C$37, MATCH(D368, Products!$A$2:$A$37, 0))</f>
        <v>Beauty</v>
      </c>
      <c r="J368">
        <f>INDEX(Products!$E$2:$E$37, MATCH(D368, Products!$A$2:$A$37, 0))</f>
        <v>40</v>
      </c>
      <c r="K368" s="9">
        <f t="shared" si="20"/>
        <v>142.4</v>
      </c>
      <c r="L368">
        <f t="shared" si="21"/>
        <v>80</v>
      </c>
      <c r="M368" s="9">
        <f t="shared" si="22"/>
        <v>62.400000000000006</v>
      </c>
      <c r="N368" t="str">
        <f t="shared" si="23"/>
        <v>Feb</v>
      </c>
    </row>
    <row r="369" spans="1:14" x14ac:dyDescent="0.3">
      <c r="A369" s="2" t="s">
        <v>435</v>
      </c>
      <c r="B369" s="6">
        <v>45689</v>
      </c>
      <c r="C369" s="2" t="s">
        <v>28</v>
      </c>
      <c r="D369" s="2" t="s">
        <v>49</v>
      </c>
      <c r="E369" s="2">
        <v>2</v>
      </c>
      <c r="F369" s="7">
        <v>149</v>
      </c>
      <c r="G369" s="8">
        <v>0.1</v>
      </c>
      <c r="H369" s="9" t="str">
        <f>INDEX(Products!$B$2:$B$37, MATCH(D369, Products!$A$2:$A$37, 0))</f>
        <v>Kids' Sneakers</v>
      </c>
      <c r="I369" t="str">
        <f>INDEX(Products!$C$2:$C$37, MATCH(D369, Products!$A$2:$A$37, 0))</f>
        <v>Fashion</v>
      </c>
      <c r="J369">
        <f>INDEX(Products!$E$2:$E$37, MATCH(D369, Products!$A$2:$A$37, 0))</f>
        <v>80</v>
      </c>
      <c r="K369" s="9">
        <f t="shared" si="20"/>
        <v>268.2</v>
      </c>
      <c r="L369">
        <f t="shared" si="21"/>
        <v>160</v>
      </c>
      <c r="M369" s="9">
        <f t="shared" si="22"/>
        <v>108.19999999999999</v>
      </c>
      <c r="N369" t="str">
        <f t="shared" si="23"/>
        <v>Feb</v>
      </c>
    </row>
    <row r="370" spans="1:14" x14ac:dyDescent="0.3">
      <c r="A370" s="2" t="s">
        <v>436</v>
      </c>
      <c r="B370" s="6">
        <v>45689</v>
      </c>
      <c r="C370" s="2" t="s">
        <v>48</v>
      </c>
      <c r="D370" s="2" t="s">
        <v>56</v>
      </c>
      <c r="E370" s="2">
        <v>1</v>
      </c>
      <c r="F370" s="7">
        <v>289</v>
      </c>
      <c r="G370" s="8">
        <v>0</v>
      </c>
      <c r="H370" s="9" t="str">
        <f>INDEX(Products!$B$2:$B$37, MATCH(D370, Products!$A$2:$A$37, 0))</f>
        <v>Ceramic Dinner Set</v>
      </c>
      <c r="I370" t="str">
        <f>INDEX(Products!$C$2:$C$37, MATCH(D370, Products!$A$2:$A$37, 0))</f>
        <v>Home &amp; Kitchen</v>
      </c>
      <c r="J370">
        <f>INDEX(Products!$E$2:$E$37, MATCH(D370, Products!$A$2:$A$37, 0))</f>
        <v>140</v>
      </c>
      <c r="K370" s="9">
        <f t="shared" si="20"/>
        <v>289</v>
      </c>
      <c r="L370">
        <f t="shared" si="21"/>
        <v>140</v>
      </c>
      <c r="M370" s="9">
        <f t="shared" si="22"/>
        <v>149</v>
      </c>
      <c r="N370" t="str">
        <f t="shared" si="23"/>
        <v>Feb</v>
      </c>
    </row>
    <row r="371" spans="1:14" x14ac:dyDescent="0.3">
      <c r="A371" s="2" t="s">
        <v>437</v>
      </c>
      <c r="B371" s="6">
        <v>45689</v>
      </c>
      <c r="C371" s="2" t="s">
        <v>41</v>
      </c>
      <c r="D371" s="2" t="s">
        <v>35</v>
      </c>
      <c r="E371" s="2">
        <v>1</v>
      </c>
      <c r="F371" s="7">
        <v>179</v>
      </c>
      <c r="G371" s="8">
        <v>0.3</v>
      </c>
      <c r="H371" s="9" t="str">
        <f>INDEX(Products!$B$2:$B$37, MATCH(D371, Products!$A$2:$A$37, 0))</f>
        <v>Men's Linen Shirt</v>
      </c>
      <c r="I371" t="str">
        <f>INDEX(Products!$C$2:$C$37, MATCH(D371, Products!$A$2:$A$37, 0))</f>
        <v>Fashion</v>
      </c>
      <c r="J371">
        <f>INDEX(Products!$E$2:$E$37, MATCH(D371, Products!$A$2:$A$37, 0))</f>
        <v>70</v>
      </c>
      <c r="K371" s="9">
        <f t="shared" si="20"/>
        <v>125.3</v>
      </c>
      <c r="L371">
        <f t="shared" si="21"/>
        <v>70</v>
      </c>
      <c r="M371" s="9">
        <f t="shared" si="22"/>
        <v>55.3</v>
      </c>
      <c r="N371" t="str">
        <f t="shared" si="23"/>
        <v>Feb</v>
      </c>
    </row>
    <row r="372" spans="1:14" x14ac:dyDescent="0.3">
      <c r="A372" s="2" t="s">
        <v>438</v>
      </c>
      <c r="B372" s="6">
        <v>45689</v>
      </c>
      <c r="C372" s="2" t="s">
        <v>41</v>
      </c>
      <c r="D372" s="2" t="s">
        <v>80</v>
      </c>
      <c r="E372" s="2">
        <v>1</v>
      </c>
      <c r="F372" s="7">
        <v>149</v>
      </c>
      <c r="G372" s="8">
        <v>0.05</v>
      </c>
      <c r="H372" s="9" t="str">
        <f>INDEX(Products!$B$2:$B$37, MATCH(D372, Products!$A$2:$A$37, 0))</f>
        <v>Vitamin C Serum</v>
      </c>
      <c r="I372" t="str">
        <f>INDEX(Products!$C$2:$C$37, MATCH(D372, Products!$A$2:$A$37, 0))</f>
        <v>Beauty</v>
      </c>
      <c r="J372">
        <f>INDEX(Products!$E$2:$E$37, MATCH(D372, Products!$A$2:$A$37, 0))</f>
        <v>55</v>
      </c>
      <c r="K372" s="9">
        <f t="shared" si="20"/>
        <v>141.54999999999998</v>
      </c>
      <c r="L372">
        <f t="shared" si="21"/>
        <v>55</v>
      </c>
      <c r="M372" s="9">
        <f t="shared" si="22"/>
        <v>86.549999999999983</v>
      </c>
      <c r="N372" t="str">
        <f t="shared" si="23"/>
        <v>Feb</v>
      </c>
    </row>
    <row r="373" spans="1:14" x14ac:dyDescent="0.3">
      <c r="A373" s="2" t="s">
        <v>439</v>
      </c>
      <c r="B373" s="6">
        <v>45689</v>
      </c>
      <c r="C373" s="2" t="s">
        <v>44</v>
      </c>
      <c r="D373" s="2" t="s">
        <v>37</v>
      </c>
      <c r="E373" s="2">
        <v>1</v>
      </c>
      <c r="F373" s="7">
        <v>249</v>
      </c>
      <c r="G373" s="8">
        <v>0.15</v>
      </c>
      <c r="H373" s="9" t="str">
        <f>INDEX(Products!$B$2:$B$37, MATCH(D373, Products!$A$2:$A$37, 0))</f>
        <v>Sunglasses Polarised</v>
      </c>
      <c r="I373" t="str">
        <f>INDEX(Products!$C$2:$C$37, MATCH(D373, Products!$A$2:$A$37, 0))</f>
        <v>Fashion</v>
      </c>
      <c r="J373">
        <f>INDEX(Products!$E$2:$E$37, MATCH(D373, Products!$A$2:$A$37, 0))</f>
        <v>95</v>
      </c>
      <c r="K373" s="9">
        <f t="shared" si="20"/>
        <v>211.65</v>
      </c>
      <c r="L373">
        <f t="shared" si="21"/>
        <v>95</v>
      </c>
      <c r="M373" s="9">
        <f t="shared" si="22"/>
        <v>116.65</v>
      </c>
      <c r="N373" t="str">
        <f t="shared" si="23"/>
        <v>Feb</v>
      </c>
    </row>
    <row r="374" spans="1:14" x14ac:dyDescent="0.3">
      <c r="A374" s="2" t="s">
        <v>440</v>
      </c>
      <c r="B374" s="6">
        <v>45689</v>
      </c>
      <c r="C374" s="2" t="s">
        <v>44</v>
      </c>
      <c r="D374" s="2" t="s">
        <v>68</v>
      </c>
      <c r="E374" s="2">
        <v>1</v>
      </c>
      <c r="F374" s="7">
        <v>249</v>
      </c>
      <c r="G374" s="8">
        <v>0.2</v>
      </c>
      <c r="H374" s="9" t="str">
        <f>INDEX(Products!$B$2:$B$37, MATCH(D374, Products!$A$2:$A$37, 0))</f>
        <v>Bluetooth Speaker Mini</v>
      </c>
      <c r="I374" t="str">
        <f>INDEX(Products!$C$2:$C$37, MATCH(D374, Products!$A$2:$A$37, 0))</f>
        <v>Electronics</v>
      </c>
      <c r="J374">
        <f>INDEX(Products!$E$2:$E$37, MATCH(D374, Products!$A$2:$A$37, 0))</f>
        <v>150</v>
      </c>
      <c r="K374" s="9">
        <f t="shared" si="20"/>
        <v>199.20000000000002</v>
      </c>
      <c r="L374">
        <f t="shared" si="21"/>
        <v>150</v>
      </c>
      <c r="M374" s="9">
        <f t="shared" si="22"/>
        <v>49.200000000000017</v>
      </c>
      <c r="N374" t="str">
        <f t="shared" si="23"/>
        <v>Feb</v>
      </c>
    </row>
    <row r="375" spans="1:14" x14ac:dyDescent="0.3">
      <c r="A375" s="2" t="s">
        <v>441</v>
      </c>
      <c r="B375" s="6">
        <v>45689</v>
      </c>
      <c r="C375" s="2" t="s">
        <v>41</v>
      </c>
      <c r="D375" s="2" t="s">
        <v>103</v>
      </c>
      <c r="E375" s="2">
        <v>2</v>
      </c>
      <c r="F375" s="7">
        <v>89</v>
      </c>
      <c r="G375" s="8">
        <v>0.1</v>
      </c>
      <c r="H375" s="9" t="str">
        <f>INDEX(Products!$B$2:$B$37, MATCH(D375, Products!$A$2:$A$37, 0))</f>
        <v>Sunscreen SPF50</v>
      </c>
      <c r="I375" t="str">
        <f>INDEX(Products!$C$2:$C$37, MATCH(D375, Products!$A$2:$A$37, 0))</f>
        <v>Beauty</v>
      </c>
      <c r="J375">
        <f>INDEX(Products!$E$2:$E$37, MATCH(D375, Products!$A$2:$A$37, 0))</f>
        <v>40</v>
      </c>
      <c r="K375" s="9">
        <f t="shared" si="20"/>
        <v>160.20000000000002</v>
      </c>
      <c r="L375">
        <f t="shared" si="21"/>
        <v>80</v>
      </c>
      <c r="M375" s="9">
        <f t="shared" si="22"/>
        <v>80.200000000000017</v>
      </c>
      <c r="N375" t="str">
        <f t="shared" si="23"/>
        <v>Feb</v>
      </c>
    </row>
    <row r="376" spans="1:14" x14ac:dyDescent="0.3">
      <c r="A376" s="2" t="s">
        <v>442</v>
      </c>
      <c r="B376" s="6">
        <v>45689</v>
      </c>
      <c r="C376" s="2" t="s">
        <v>48</v>
      </c>
      <c r="D376" s="2" t="s">
        <v>194</v>
      </c>
      <c r="E376" s="2">
        <v>3</v>
      </c>
      <c r="F376" s="7">
        <v>699</v>
      </c>
      <c r="G376" s="8">
        <v>0</v>
      </c>
      <c r="H376" s="9" t="str">
        <f>INDEX(Products!$B$2:$B$37, MATCH(D376, Products!$A$2:$A$37, 0))</f>
        <v>Leather Handbag</v>
      </c>
      <c r="I376" t="str">
        <f>INDEX(Products!$C$2:$C$37, MATCH(D376, Products!$A$2:$A$37, 0))</f>
        <v>Fashion</v>
      </c>
      <c r="J376">
        <f>INDEX(Products!$E$2:$E$37, MATCH(D376, Products!$A$2:$A$37, 0))</f>
        <v>380</v>
      </c>
      <c r="K376" s="9">
        <f t="shared" si="20"/>
        <v>2097</v>
      </c>
      <c r="L376">
        <f t="shared" si="21"/>
        <v>1140</v>
      </c>
      <c r="M376" s="9">
        <f t="shared" si="22"/>
        <v>957</v>
      </c>
      <c r="N376" t="str">
        <f t="shared" si="23"/>
        <v>Feb</v>
      </c>
    </row>
    <row r="377" spans="1:14" x14ac:dyDescent="0.3">
      <c r="A377" s="2" t="s">
        <v>443</v>
      </c>
      <c r="B377" s="6">
        <v>45689</v>
      </c>
      <c r="C377" s="2" t="s">
        <v>48</v>
      </c>
      <c r="D377" s="2" t="s">
        <v>49</v>
      </c>
      <c r="E377" s="2">
        <v>1</v>
      </c>
      <c r="F377" s="7">
        <v>149</v>
      </c>
      <c r="G377" s="8">
        <v>0</v>
      </c>
      <c r="H377" s="9" t="str">
        <f>INDEX(Products!$B$2:$B$37, MATCH(D377, Products!$A$2:$A$37, 0))</f>
        <v>Kids' Sneakers</v>
      </c>
      <c r="I377" t="str">
        <f>INDEX(Products!$C$2:$C$37, MATCH(D377, Products!$A$2:$A$37, 0))</f>
        <v>Fashion</v>
      </c>
      <c r="J377">
        <f>INDEX(Products!$E$2:$E$37, MATCH(D377, Products!$A$2:$A$37, 0))</f>
        <v>80</v>
      </c>
      <c r="K377" s="9">
        <f t="shared" si="20"/>
        <v>149</v>
      </c>
      <c r="L377">
        <f t="shared" si="21"/>
        <v>80</v>
      </c>
      <c r="M377" s="9">
        <f t="shared" si="22"/>
        <v>69</v>
      </c>
      <c r="N377" t="str">
        <f t="shared" si="23"/>
        <v>Feb</v>
      </c>
    </row>
    <row r="378" spans="1:14" x14ac:dyDescent="0.3">
      <c r="A378" s="2" t="s">
        <v>444</v>
      </c>
      <c r="B378" s="6">
        <v>45690</v>
      </c>
      <c r="C378" s="2" t="s">
        <v>41</v>
      </c>
      <c r="D378" s="2" t="s">
        <v>165</v>
      </c>
      <c r="E378" s="2">
        <v>3</v>
      </c>
      <c r="F378" s="7">
        <v>69</v>
      </c>
      <c r="G378" s="8">
        <v>0</v>
      </c>
      <c r="H378" s="9" t="str">
        <f>INDEX(Products!$B$2:$B$37, MATCH(D378, Products!$A$2:$A$37, 0))</f>
        <v>Swim Goggles</v>
      </c>
      <c r="I378" t="str">
        <f>INDEX(Products!$C$2:$C$37, MATCH(D378, Products!$A$2:$A$37, 0))</f>
        <v>Sports</v>
      </c>
      <c r="J378">
        <f>INDEX(Products!$E$2:$E$37, MATCH(D378, Products!$A$2:$A$37, 0))</f>
        <v>25</v>
      </c>
      <c r="K378" s="9">
        <f t="shared" si="20"/>
        <v>207</v>
      </c>
      <c r="L378">
        <f t="shared" si="21"/>
        <v>75</v>
      </c>
      <c r="M378" s="9">
        <f t="shared" si="22"/>
        <v>132</v>
      </c>
      <c r="N378" t="str">
        <f t="shared" si="23"/>
        <v>Feb</v>
      </c>
    </row>
    <row r="379" spans="1:14" x14ac:dyDescent="0.3">
      <c r="A379" s="2" t="s">
        <v>445</v>
      </c>
      <c r="B379" s="6">
        <v>45690</v>
      </c>
      <c r="C379" s="2" t="s">
        <v>31</v>
      </c>
      <c r="D379" s="2" t="s">
        <v>46</v>
      </c>
      <c r="E379" s="2">
        <v>3</v>
      </c>
      <c r="F379" s="7">
        <v>189</v>
      </c>
      <c r="G379" s="8">
        <v>0</v>
      </c>
      <c r="H379" s="9" t="str">
        <f>INDEX(Products!$B$2:$B$37, MATCH(D379, Products!$A$2:$A$37, 0))</f>
        <v>Makeup Palette</v>
      </c>
      <c r="I379" t="str">
        <f>INDEX(Products!$C$2:$C$37, MATCH(D379, Products!$A$2:$A$37, 0))</f>
        <v>Beauty</v>
      </c>
      <c r="J379">
        <f>INDEX(Products!$E$2:$E$37, MATCH(D379, Products!$A$2:$A$37, 0))</f>
        <v>85</v>
      </c>
      <c r="K379" s="9">
        <f t="shared" si="20"/>
        <v>567</v>
      </c>
      <c r="L379">
        <f t="shared" si="21"/>
        <v>255</v>
      </c>
      <c r="M379" s="9">
        <f t="shared" si="22"/>
        <v>312</v>
      </c>
      <c r="N379" t="str">
        <f t="shared" si="23"/>
        <v>Feb</v>
      </c>
    </row>
    <row r="380" spans="1:14" x14ac:dyDescent="0.3">
      <c r="A380" s="2" t="s">
        <v>446</v>
      </c>
      <c r="B380" s="6">
        <v>45690</v>
      </c>
      <c r="C380" s="2" t="s">
        <v>28</v>
      </c>
      <c r="D380" s="2" t="s">
        <v>126</v>
      </c>
      <c r="E380" s="2">
        <v>2</v>
      </c>
      <c r="F380" s="7">
        <v>89</v>
      </c>
      <c r="G380" s="8">
        <v>0</v>
      </c>
      <c r="H380" s="9" t="str">
        <f>INDEX(Products!$B$2:$B$37, MATCH(D380, Products!$A$2:$A$37, 0))</f>
        <v>USB-C Fast Charger</v>
      </c>
      <c r="I380" t="str">
        <f>INDEX(Products!$C$2:$C$37, MATCH(D380, Products!$A$2:$A$37, 0))</f>
        <v>Electronics</v>
      </c>
      <c r="J380">
        <f>INDEX(Products!$E$2:$E$37, MATCH(D380, Products!$A$2:$A$37, 0))</f>
        <v>35</v>
      </c>
      <c r="K380" s="9">
        <f t="shared" si="20"/>
        <v>178</v>
      </c>
      <c r="L380">
        <f t="shared" si="21"/>
        <v>70</v>
      </c>
      <c r="M380" s="9">
        <f t="shared" si="22"/>
        <v>108</v>
      </c>
      <c r="N380" t="str">
        <f t="shared" si="23"/>
        <v>Feb</v>
      </c>
    </row>
    <row r="381" spans="1:14" x14ac:dyDescent="0.3">
      <c r="A381" s="2" t="s">
        <v>447</v>
      </c>
      <c r="B381" s="6">
        <v>45690</v>
      </c>
      <c r="C381" s="2" t="s">
        <v>44</v>
      </c>
      <c r="D381" s="2" t="s">
        <v>129</v>
      </c>
      <c r="E381" s="2">
        <v>3</v>
      </c>
      <c r="F381" s="7">
        <v>149</v>
      </c>
      <c r="G381" s="8">
        <v>0</v>
      </c>
      <c r="H381" s="9" t="str">
        <f>INDEX(Products!$B$2:$B$37, MATCH(D381, Products!$A$2:$A$37, 0))</f>
        <v>Power Bank 20000mAh</v>
      </c>
      <c r="I381" t="str">
        <f>INDEX(Products!$C$2:$C$37, MATCH(D381, Products!$A$2:$A$37, 0))</f>
        <v>Electronics</v>
      </c>
      <c r="J381">
        <f>INDEX(Products!$E$2:$E$37, MATCH(D381, Products!$A$2:$A$37, 0))</f>
        <v>70</v>
      </c>
      <c r="K381" s="9">
        <f t="shared" si="20"/>
        <v>447</v>
      </c>
      <c r="L381">
        <f t="shared" si="21"/>
        <v>210</v>
      </c>
      <c r="M381" s="9">
        <f t="shared" si="22"/>
        <v>237</v>
      </c>
      <c r="N381" t="str">
        <f t="shared" si="23"/>
        <v>Feb</v>
      </c>
    </row>
    <row r="382" spans="1:14" x14ac:dyDescent="0.3">
      <c r="A382" s="2" t="s">
        <v>448</v>
      </c>
      <c r="B382" s="6">
        <v>45690</v>
      </c>
      <c r="C382" s="2" t="s">
        <v>48</v>
      </c>
      <c r="D382" s="2" t="s">
        <v>103</v>
      </c>
      <c r="E382" s="2">
        <v>1</v>
      </c>
      <c r="F382" s="7">
        <v>89</v>
      </c>
      <c r="G382" s="8">
        <v>0</v>
      </c>
      <c r="H382" s="9" t="str">
        <f>INDEX(Products!$B$2:$B$37, MATCH(D382, Products!$A$2:$A$37, 0))</f>
        <v>Sunscreen SPF50</v>
      </c>
      <c r="I382" t="str">
        <f>INDEX(Products!$C$2:$C$37, MATCH(D382, Products!$A$2:$A$37, 0))</f>
        <v>Beauty</v>
      </c>
      <c r="J382">
        <f>INDEX(Products!$E$2:$E$37, MATCH(D382, Products!$A$2:$A$37, 0))</f>
        <v>40</v>
      </c>
      <c r="K382" s="9">
        <f t="shared" si="20"/>
        <v>89</v>
      </c>
      <c r="L382">
        <f t="shared" si="21"/>
        <v>40</v>
      </c>
      <c r="M382" s="9">
        <f t="shared" si="22"/>
        <v>49</v>
      </c>
      <c r="N382" t="str">
        <f t="shared" si="23"/>
        <v>Feb</v>
      </c>
    </row>
    <row r="383" spans="1:14" x14ac:dyDescent="0.3">
      <c r="A383" s="2" t="s">
        <v>449</v>
      </c>
      <c r="B383" s="6">
        <v>45690</v>
      </c>
      <c r="C383" s="2" t="s">
        <v>41</v>
      </c>
      <c r="D383" s="2" t="s">
        <v>46</v>
      </c>
      <c r="E383" s="2">
        <v>1</v>
      </c>
      <c r="F383" s="7">
        <v>189</v>
      </c>
      <c r="G383" s="8">
        <v>0</v>
      </c>
      <c r="H383" s="9" t="str">
        <f>INDEX(Products!$B$2:$B$37, MATCH(D383, Products!$A$2:$A$37, 0))</f>
        <v>Makeup Palette</v>
      </c>
      <c r="I383" t="str">
        <f>INDEX(Products!$C$2:$C$37, MATCH(D383, Products!$A$2:$A$37, 0))</f>
        <v>Beauty</v>
      </c>
      <c r="J383">
        <f>INDEX(Products!$E$2:$E$37, MATCH(D383, Products!$A$2:$A$37, 0))</f>
        <v>85</v>
      </c>
      <c r="K383" s="9">
        <f t="shared" si="20"/>
        <v>189</v>
      </c>
      <c r="L383">
        <f t="shared" si="21"/>
        <v>85</v>
      </c>
      <c r="M383" s="9">
        <f t="shared" si="22"/>
        <v>104</v>
      </c>
      <c r="N383" t="str">
        <f t="shared" si="23"/>
        <v>Feb</v>
      </c>
    </row>
    <row r="384" spans="1:14" x14ac:dyDescent="0.3">
      <c r="A384" s="2" t="s">
        <v>450</v>
      </c>
      <c r="B384" s="6">
        <v>45690</v>
      </c>
      <c r="C384" s="2" t="s">
        <v>41</v>
      </c>
      <c r="D384" s="2" t="s">
        <v>126</v>
      </c>
      <c r="E384" s="2">
        <v>2</v>
      </c>
      <c r="F384" s="7">
        <v>89</v>
      </c>
      <c r="G384" s="8">
        <v>0.05</v>
      </c>
      <c r="H384" s="9" t="str">
        <f>INDEX(Products!$B$2:$B$37, MATCH(D384, Products!$A$2:$A$37, 0))</f>
        <v>USB-C Fast Charger</v>
      </c>
      <c r="I384" t="str">
        <f>INDEX(Products!$C$2:$C$37, MATCH(D384, Products!$A$2:$A$37, 0))</f>
        <v>Electronics</v>
      </c>
      <c r="J384">
        <f>INDEX(Products!$E$2:$E$37, MATCH(D384, Products!$A$2:$A$37, 0))</f>
        <v>35</v>
      </c>
      <c r="K384" s="9">
        <f t="shared" si="20"/>
        <v>169.1</v>
      </c>
      <c r="L384">
        <f t="shared" si="21"/>
        <v>70</v>
      </c>
      <c r="M384" s="9">
        <f t="shared" si="22"/>
        <v>99.1</v>
      </c>
      <c r="N384" t="str">
        <f t="shared" si="23"/>
        <v>Feb</v>
      </c>
    </row>
    <row r="385" spans="1:14" x14ac:dyDescent="0.3">
      <c r="A385" s="2" t="s">
        <v>451</v>
      </c>
      <c r="B385" s="6">
        <v>45690</v>
      </c>
      <c r="C385" s="2" t="s">
        <v>41</v>
      </c>
      <c r="D385" s="2" t="s">
        <v>163</v>
      </c>
      <c r="E385" s="2">
        <v>1</v>
      </c>
      <c r="F385" s="7">
        <v>2499</v>
      </c>
      <c r="G385" s="8">
        <v>0.2</v>
      </c>
      <c r="H385" s="9" t="str">
        <f>INDEX(Products!$B$2:$B$37, MATCH(D385, Products!$A$2:$A$37, 0))</f>
        <v>Treadmill Compact</v>
      </c>
      <c r="I385" t="str">
        <f>INDEX(Products!$C$2:$C$37, MATCH(D385, Products!$A$2:$A$37, 0))</f>
        <v>Sports</v>
      </c>
      <c r="J385">
        <f>INDEX(Products!$E$2:$E$37, MATCH(D385, Products!$A$2:$A$37, 0))</f>
        <v>2150</v>
      </c>
      <c r="K385" s="9">
        <f t="shared" si="20"/>
        <v>1999.2</v>
      </c>
      <c r="L385">
        <f t="shared" si="21"/>
        <v>2150</v>
      </c>
      <c r="M385" s="9">
        <f t="shared" si="22"/>
        <v>-150.79999999999995</v>
      </c>
      <c r="N385" t="str">
        <f t="shared" si="23"/>
        <v>Feb</v>
      </c>
    </row>
    <row r="386" spans="1:14" x14ac:dyDescent="0.3">
      <c r="A386" s="2" t="s">
        <v>452</v>
      </c>
      <c r="B386" s="6">
        <v>45690</v>
      </c>
      <c r="C386" s="2" t="s">
        <v>31</v>
      </c>
      <c r="D386" s="2" t="s">
        <v>52</v>
      </c>
      <c r="E386" s="2">
        <v>1</v>
      </c>
      <c r="F386" s="7">
        <v>299</v>
      </c>
      <c r="G386" s="8">
        <v>0.2</v>
      </c>
      <c r="H386" s="9" t="str">
        <f>INDEX(Products!$B$2:$B$37, MATCH(D386, Products!$A$2:$A$37, 0))</f>
        <v>Hair Dryer Ionic</v>
      </c>
      <c r="I386" t="str">
        <f>INDEX(Products!$C$2:$C$37, MATCH(D386, Products!$A$2:$A$37, 0))</f>
        <v>Beauty</v>
      </c>
      <c r="J386">
        <f>INDEX(Products!$E$2:$E$37, MATCH(D386, Products!$A$2:$A$37, 0))</f>
        <v>240</v>
      </c>
      <c r="K386" s="9">
        <f t="shared" ref="K386:K449" si="24">E386*F386*(1-G386)</f>
        <v>239.20000000000002</v>
      </c>
      <c r="L386">
        <f t="shared" ref="L386:L449" si="25">E386*J386</f>
        <v>240</v>
      </c>
      <c r="M386" s="9">
        <f t="shared" ref="M386:M449" si="26">K386-L386</f>
        <v>-0.79999999999998295</v>
      </c>
      <c r="N386" t="str">
        <f t="shared" ref="N386:N449" si="27">TEXT(B386,"mmm")</f>
        <v>Feb</v>
      </c>
    </row>
    <row r="387" spans="1:14" x14ac:dyDescent="0.3">
      <c r="A387" s="2" t="s">
        <v>453</v>
      </c>
      <c r="B387" s="6">
        <v>45690</v>
      </c>
      <c r="C387" s="2" t="s">
        <v>44</v>
      </c>
      <c r="D387" s="2" t="s">
        <v>129</v>
      </c>
      <c r="E387" s="2">
        <v>2</v>
      </c>
      <c r="F387" s="7">
        <v>149</v>
      </c>
      <c r="G387" s="8">
        <v>0.3</v>
      </c>
      <c r="H387" s="9" t="str">
        <f>INDEX(Products!$B$2:$B$37, MATCH(D387, Products!$A$2:$A$37, 0))</f>
        <v>Power Bank 20000mAh</v>
      </c>
      <c r="I387" t="str">
        <f>INDEX(Products!$C$2:$C$37, MATCH(D387, Products!$A$2:$A$37, 0))</f>
        <v>Electronics</v>
      </c>
      <c r="J387">
        <f>INDEX(Products!$E$2:$E$37, MATCH(D387, Products!$A$2:$A$37, 0))</f>
        <v>70</v>
      </c>
      <c r="K387" s="9">
        <f t="shared" si="24"/>
        <v>208.6</v>
      </c>
      <c r="L387">
        <f t="shared" si="25"/>
        <v>140</v>
      </c>
      <c r="M387" s="9">
        <f t="shared" si="26"/>
        <v>68.599999999999994</v>
      </c>
      <c r="N387" t="str">
        <f t="shared" si="27"/>
        <v>Feb</v>
      </c>
    </row>
    <row r="388" spans="1:14" x14ac:dyDescent="0.3">
      <c r="A388" s="2" t="s">
        <v>454</v>
      </c>
      <c r="B388" s="6">
        <v>45691</v>
      </c>
      <c r="C388" s="2" t="s">
        <v>44</v>
      </c>
      <c r="D388" s="2" t="s">
        <v>46</v>
      </c>
      <c r="E388" s="2">
        <v>1</v>
      </c>
      <c r="F388" s="7">
        <v>189</v>
      </c>
      <c r="G388" s="8">
        <v>0</v>
      </c>
      <c r="H388" s="9" t="str">
        <f>INDEX(Products!$B$2:$B$37, MATCH(D388, Products!$A$2:$A$37, 0))</f>
        <v>Makeup Palette</v>
      </c>
      <c r="I388" t="str">
        <f>INDEX(Products!$C$2:$C$37, MATCH(D388, Products!$A$2:$A$37, 0))</f>
        <v>Beauty</v>
      </c>
      <c r="J388">
        <f>INDEX(Products!$E$2:$E$37, MATCH(D388, Products!$A$2:$A$37, 0))</f>
        <v>85</v>
      </c>
      <c r="K388" s="9">
        <f t="shared" si="24"/>
        <v>189</v>
      </c>
      <c r="L388">
        <f t="shared" si="25"/>
        <v>85</v>
      </c>
      <c r="M388" s="9">
        <f t="shared" si="26"/>
        <v>104</v>
      </c>
      <c r="N388" t="str">
        <f t="shared" si="27"/>
        <v>Feb</v>
      </c>
    </row>
    <row r="389" spans="1:14" x14ac:dyDescent="0.3">
      <c r="A389" s="2" t="s">
        <v>455</v>
      </c>
      <c r="B389" s="6">
        <v>45691</v>
      </c>
      <c r="C389" s="2" t="s">
        <v>48</v>
      </c>
      <c r="D389" s="2" t="s">
        <v>89</v>
      </c>
      <c r="E389" s="2">
        <v>2</v>
      </c>
      <c r="F389" s="7">
        <v>399</v>
      </c>
      <c r="G389" s="8">
        <v>0.1</v>
      </c>
      <c r="H389" s="9" t="str">
        <f>INDEX(Products!$B$2:$B$37, MATCH(D389, Products!$A$2:$A$37, 0))</f>
        <v>Men's Kandura Premium</v>
      </c>
      <c r="I389" t="str">
        <f>INDEX(Products!$C$2:$C$37, MATCH(D389, Products!$A$2:$A$37, 0))</f>
        <v>Fashion</v>
      </c>
      <c r="J389">
        <f>INDEX(Products!$E$2:$E$37, MATCH(D389, Products!$A$2:$A$37, 0))</f>
        <v>210</v>
      </c>
      <c r="K389" s="9">
        <f t="shared" si="24"/>
        <v>718.2</v>
      </c>
      <c r="L389">
        <f t="shared" si="25"/>
        <v>420</v>
      </c>
      <c r="M389" s="9">
        <f t="shared" si="26"/>
        <v>298.20000000000005</v>
      </c>
      <c r="N389" t="str">
        <f t="shared" si="27"/>
        <v>Feb</v>
      </c>
    </row>
    <row r="390" spans="1:14" x14ac:dyDescent="0.3">
      <c r="A390" s="2" t="s">
        <v>456</v>
      </c>
      <c r="B390" s="6">
        <v>45691</v>
      </c>
      <c r="C390" s="2" t="s">
        <v>28</v>
      </c>
      <c r="D390" s="2" t="s">
        <v>115</v>
      </c>
      <c r="E390" s="2">
        <v>1</v>
      </c>
      <c r="F390" s="7">
        <v>129</v>
      </c>
      <c r="G390" s="8">
        <v>0.2</v>
      </c>
      <c r="H390" s="9" t="str">
        <f>INDEX(Products!$B$2:$B$37, MATCH(D390, Products!$A$2:$A$37, 0))</f>
        <v>Electric Kettle</v>
      </c>
      <c r="I390" t="str">
        <f>INDEX(Products!$C$2:$C$37, MATCH(D390, Products!$A$2:$A$37, 0))</f>
        <v>Home &amp; Kitchen</v>
      </c>
      <c r="J390">
        <f>INDEX(Products!$E$2:$E$37, MATCH(D390, Products!$A$2:$A$37, 0))</f>
        <v>60</v>
      </c>
      <c r="K390" s="9">
        <f t="shared" si="24"/>
        <v>103.2</v>
      </c>
      <c r="L390">
        <f t="shared" si="25"/>
        <v>60</v>
      </c>
      <c r="M390" s="9">
        <f t="shared" si="26"/>
        <v>43.2</v>
      </c>
      <c r="N390" t="str">
        <f t="shared" si="27"/>
        <v>Feb</v>
      </c>
    </row>
    <row r="391" spans="1:14" x14ac:dyDescent="0.3">
      <c r="A391" s="2" t="s">
        <v>457</v>
      </c>
      <c r="B391" s="6">
        <v>45691</v>
      </c>
      <c r="C391" s="2" t="s">
        <v>31</v>
      </c>
      <c r="D391" s="2" t="s">
        <v>149</v>
      </c>
      <c r="E391" s="2">
        <v>2</v>
      </c>
      <c r="F391" s="7">
        <v>399</v>
      </c>
      <c r="G391" s="8">
        <v>0</v>
      </c>
      <c r="H391" s="9" t="str">
        <f>INDEX(Products!$B$2:$B$37, MATCH(D391, Products!$A$2:$A$37, 0))</f>
        <v>Blender Pro 1200W</v>
      </c>
      <c r="I391" t="str">
        <f>INDEX(Products!$C$2:$C$37, MATCH(D391, Products!$A$2:$A$37, 0))</f>
        <v>Home &amp; Kitchen</v>
      </c>
      <c r="J391">
        <f>INDEX(Products!$E$2:$E$37, MATCH(D391, Products!$A$2:$A$37, 0))</f>
        <v>250</v>
      </c>
      <c r="K391" s="9">
        <f t="shared" si="24"/>
        <v>798</v>
      </c>
      <c r="L391">
        <f t="shared" si="25"/>
        <v>500</v>
      </c>
      <c r="M391" s="9">
        <f t="shared" si="26"/>
        <v>298</v>
      </c>
      <c r="N391" t="str">
        <f t="shared" si="27"/>
        <v>Feb</v>
      </c>
    </row>
    <row r="392" spans="1:14" x14ac:dyDescent="0.3">
      <c r="A392" s="2" t="s">
        <v>458</v>
      </c>
      <c r="B392" s="6">
        <v>45691</v>
      </c>
      <c r="C392" s="2" t="s">
        <v>41</v>
      </c>
      <c r="D392" s="2" t="s">
        <v>39</v>
      </c>
      <c r="E392" s="2">
        <v>2</v>
      </c>
      <c r="F392" s="7">
        <v>199</v>
      </c>
      <c r="G392" s="8">
        <v>0</v>
      </c>
      <c r="H392" s="9" t="str">
        <f>INDEX(Products!$B$2:$B$37, MATCH(D392, Products!$A$2:$A$37, 0))</f>
        <v>Bakhoor Gift Set</v>
      </c>
      <c r="I392" t="str">
        <f>INDEX(Products!$C$2:$C$37, MATCH(D392, Products!$A$2:$A$37, 0))</f>
        <v>Beauty</v>
      </c>
      <c r="J392">
        <f>INDEX(Products!$E$2:$E$37, MATCH(D392, Products!$A$2:$A$37, 0))</f>
        <v>90</v>
      </c>
      <c r="K392" s="9">
        <f t="shared" si="24"/>
        <v>398</v>
      </c>
      <c r="L392">
        <f t="shared" si="25"/>
        <v>180</v>
      </c>
      <c r="M392" s="9">
        <f t="shared" si="26"/>
        <v>218</v>
      </c>
      <c r="N392" t="str">
        <f t="shared" si="27"/>
        <v>Feb</v>
      </c>
    </row>
    <row r="393" spans="1:14" x14ac:dyDescent="0.3">
      <c r="A393" s="2" t="s">
        <v>459</v>
      </c>
      <c r="B393" s="6">
        <v>45691</v>
      </c>
      <c r="C393" s="2" t="s">
        <v>31</v>
      </c>
      <c r="D393" s="2" t="s">
        <v>68</v>
      </c>
      <c r="E393" s="2">
        <v>3</v>
      </c>
      <c r="F393" s="7">
        <v>249</v>
      </c>
      <c r="G393" s="8">
        <v>0</v>
      </c>
      <c r="H393" s="9" t="str">
        <f>INDEX(Products!$B$2:$B$37, MATCH(D393, Products!$A$2:$A$37, 0))</f>
        <v>Bluetooth Speaker Mini</v>
      </c>
      <c r="I393" t="str">
        <f>INDEX(Products!$C$2:$C$37, MATCH(D393, Products!$A$2:$A$37, 0))</f>
        <v>Electronics</v>
      </c>
      <c r="J393">
        <f>INDEX(Products!$E$2:$E$37, MATCH(D393, Products!$A$2:$A$37, 0))</f>
        <v>150</v>
      </c>
      <c r="K393" s="9">
        <f t="shared" si="24"/>
        <v>747</v>
      </c>
      <c r="L393">
        <f t="shared" si="25"/>
        <v>450</v>
      </c>
      <c r="M393" s="9">
        <f t="shared" si="26"/>
        <v>297</v>
      </c>
      <c r="N393" t="str">
        <f t="shared" si="27"/>
        <v>Feb</v>
      </c>
    </row>
    <row r="394" spans="1:14" x14ac:dyDescent="0.3">
      <c r="A394" s="2" t="s">
        <v>460</v>
      </c>
      <c r="B394" s="6">
        <v>45691</v>
      </c>
      <c r="C394" s="2" t="s">
        <v>48</v>
      </c>
      <c r="D394" s="2" t="s">
        <v>29</v>
      </c>
      <c r="E394" s="2">
        <v>2</v>
      </c>
      <c r="F394" s="7">
        <v>229</v>
      </c>
      <c r="G394" s="8">
        <v>0.05</v>
      </c>
      <c r="H394" s="9" t="str">
        <f>INDEX(Products!$B$2:$B$37, MATCH(D394, Products!$A$2:$A$37, 0))</f>
        <v>Women's Summer Dress</v>
      </c>
      <c r="I394" t="str">
        <f>INDEX(Products!$C$2:$C$37, MATCH(D394, Products!$A$2:$A$37, 0))</f>
        <v>Fashion</v>
      </c>
      <c r="J394">
        <f>INDEX(Products!$E$2:$E$37, MATCH(D394, Products!$A$2:$A$37, 0))</f>
        <v>120</v>
      </c>
      <c r="K394" s="9">
        <f t="shared" si="24"/>
        <v>435.09999999999997</v>
      </c>
      <c r="L394">
        <f t="shared" si="25"/>
        <v>240</v>
      </c>
      <c r="M394" s="9">
        <f t="shared" si="26"/>
        <v>195.09999999999997</v>
      </c>
      <c r="N394" t="str">
        <f t="shared" si="27"/>
        <v>Feb</v>
      </c>
    </row>
    <row r="395" spans="1:14" x14ac:dyDescent="0.3">
      <c r="A395" s="2" t="s">
        <v>461</v>
      </c>
      <c r="B395" s="6">
        <v>45691</v>
      </c>
      <c r="C395" s="2" t="s">
        <v>41</v>
      </c>
      <c r="D395" s="2" t="s">
        <v>80</v>
      </c>
      <c r="E395" s="2">
        <v>2</v>
      </c>
      <c r="F395" s="7">
        <v>149</v>
      </c>
      <c r="G395" s="8">
        <v>0.15</v>
      </c>
      <c r="H395" s="9" t="str">
        <f>INDEX(Products!$B$2:$B$37, MATCH(D395, Products!$A$2:$A$37, 0))</f>
        <v>Vitamin C Serum</v>
      </c>
      <c r="I395" t="str">
        <f>INDEX(Products!$C$2:$C$37, MATCH(D395, Products!$A$2:$A$37, 0))</f>
        <v>Beauty</v>
      </c>
      <c r="J395">
        <f>INDEX(Products!$E$2:$E$37, MATCH(D395, Products!$A$2:$A$37, 0))</f>
        <v>55</v>
      </c>
      <c r="K395" s="9">
        <f t="shared" si="24"/>
        <v>253.29999999999998</v>
      </c>
      <c r="L395">
        <f t="shared" si="25"/>
        <v>110</v>
      </c>
      <c r="M395" s="9">
        <f t="shared" si="26"/>
        <v>143.29999999999998</v>
      </c>
      <c r="N395" t="str">
        <f t="shared" si="27"/>
        <v>Feb</v>
      </c>
    </row>
    <row r="396" spans="1:14" x14ac:dyDescent="0.3">
      <c r="A396" s="2" t="s">
        <v>462</v>
      </c>
      <c r="B396" s="6">
        <v>45691</v>
      </c>
      <c r="C396" s="2" t="s">
        <v>28</v>
      </c>
      <c r="D396" s="2" t="s">
        <v>56</v>
      </c>
      <c r="E396" s="2">
        <v>3</v>
      </c>
      <c r="F396" s="7">
        <v>289</v>
      </c>
      <c r="G396" s="8">
        <v>0</v>
      </c>
      <c r="H396" s="9" t="str">
        <f>INDEX(Products!$B$2:$B$37, MATCH(D396, Products!$A$2:$A$37, 0))</f>
        <v>Ceramic Dinner Set</v>
      </c>
      <c r="I396" t="str">
        <f>INDEX(Products!$C$2:$C$37, MATCH(D396, Products!$A$2:$A$37, 0))</f>
        <v>Home &amp; Kitchen</v>
      </c>
      <c r="J396">
        <f>INDEX(Products!$E$2:$E$37, MATCH(D396, Products!$A$2:$A$37, 0))</f>
        <v>140</v>
      </c>
      <c r="K396" s="9">
        <f t="shared" si="24"/>
        <v>867</v>
      </c>
      <c r="L396">
        <f t="shared" si="25"/>
        <v>420</v>
      </c>
      <c r="M396" s="9">
        <f t="shared" si="26"/>
        <v>447</v>
      </c>
      <c r="N396" t="str">
        <f t="shared" si="27"/>
        <v>Feb</v>
      </c>
    </row>
    <row r="397" spans="1:14" x14ac:dyDescent="0.3">
      <c r="A397" s="2" t="s">
        <v>463</v>
      </c>
      <c r="B397" s="6">
        <v>45691</v>
      </c>
      <c r="C397" s="2" t="s">
        <v>44</v>
      </c>
      <c r="D397" s="2" t="s">
        <v>65</v>
      </c>
      <c r="E397" s="2">
        <v>3</v>
      </c>
      <c r="F397" s="7">
        <v>129</v>
      </c>
      <c r="G397" s="8">
        <v>0.1</v>
      </c>
      <c r="H397" s="9" t="str">
        <f>INDEX(Products!$B$2:$B$37, MATCH(D397, Products!$A$2:$A$37, 0))</f>
        <v>Yoga Mat Premium</v>
      </c>
      <c r="I397" t="str">
        <f>INDEX(Products!$C$2:$C$37, MATCH(D397, Products!$A$2:$A$37, 0))</f>
        <v>Sports</v>
      </c>
      <c r="J397">
        <f>INDEX(Products!$E$2:$E$37, MATCH(D397, Products!$A$2:$A$37, 0))</f>
        <v>60</v>
      </c>
      <c r="K397" s="9">
        <f t="shared" si="24"/>
        <v>348.3</v>
      </c>
      <c r="L397">
        <f t="shared" si="25"/>
        <v>180</v>
      </c>
      <c r="M397" s="9">
        <f t="shared" si="26"/>
        <v>168.3</v>
      </c>
      <c r="N397" t="str">
        <f t="shared" si="27"/>
        <v>Feb</v>
      </c>
    </row>
    <row r="398" spans="1:14" x14ac:dyDescent="0.3">
      <c r="A398" s="2" t="s">
        <v>464</v>
      </c>
      <c r="B398" s="6">
        <v>45692</v>
      </c>
      <c r="C398" s="2" t="s">
        <v>41</v>
      </c>
      <c r="D398" s="2" t="s">
        <v>60</v>
      </c>
      <c r="E398" s="2">
        <v>1</v>
      </c>
      <c r="F398" s="7">
        <v>99</v>
      </c>
      <c r="G398" s="8">
        <v>0</v>
      </c>
      <c r="H398" s="9" t="str">
        <f>INDEX(Products!$B$2:$B$37, MATCH(D398, Products!$A$2:$A$37, 0))</f>
        <v>Football Size 5</v>
      </c>
      <c r="I398" t="str">
        <f>INDEX(Products!$C$2:$C$37, MATCH(D398, Products!$A$2:$A$37, 0))</f>
        <v>Sports</v>
      </c>
      <c r="J398">
        <f>INDEX(Products!$E$2:$E$37, MATCH(D398, Products!$A$2:$A$37, 0))</f>
        <v>45</v>
      </c>
      <c r="K398" s="9">
        <f t="shared" si="24"/>
        <v>99</v>
      </c>
      <c r="L398">
        <f t="shared" si="25"/>
        <v>45</v>
      </c>
      <c r="M398" s="9">
        <f t="shared" si="26"/>
        <v>54</v>
      </c>
      <c r="N398" t="str">
        <f t="shared" si="27"/>
        <v>Feb</v>
      </c>
    </row>
    <row r="399" spans="1:14" x14ac:dyDescent="0.3">
      <c r="A399" s="2" t="s">
        <v>465</v>
      </c>
      <c r="B399" s="6">
        <v>45692</v>
      </c>
      <c r="C399" s="2" t="s">
        <v>28</v>
      </c>
      <c r="D399" s="2" t="s">
        <v>65</v>
      </c>
      <c r="E399" s="2">
        <v>1</v>
      </c>
      <c r="F399" s="7">
        <v>129</v>
      </c>
      <c r="G399" s="8">
        <v>0</v>
      </c>
      <c r="H399" s="9" t="str">
        <f>INDEX(Products!$B$2:$B$37, MATCH(D399, Products!$A$2:$A$37, 0))</f>
        <v>Yoga Mat Premium</v>
      </c>
      <c r="I399" t="str">
        <f>INDEX(Products!$C$2:$C$37, MATCH(D399, Products!$A$2:$A$37, 0))</f>
        <v>Sports</v>
      </c>
      <c r="J399">
        <f>INDEX(Products!$E$2:$E$37, MATCH(D399, Products!$A$2:$A$37, 0))</f>
        <v>60</v>
      </c>
      <c r="K399" s="9">
        <f t="shared" si="24"/>
        <v>129</v>
      </c>
      <c r="L399">
        <f t="shared" si="25"/>
        <v>60</v>
      </c>
      <c r="M399" s="9">
        <f t="shared" si="26"/>
        <v>69</v>
      </c>
      <c r="N399" t="str">
        <f t="shared" si="27"/>
        <v>Feb</v>
      </c>
    </row>
    <row r="400" spans="1:14" x14ac:dyDescent="0.3">
      <c r="A400" s="2" t="s">
        <v>466</v>
      </c>
      <c r="B400" s="6">
        <v>45692</v>
      </c>
      <c r="C400" s="2" t="s">
        <v>44</v>
      </c>
      <c r="D400" s="2" t="s">
        <v>80</v>
      </c>
      <c r="E400" s="2">
        <v>4</v>
      </c>
      <c r="F400" s="7">
        <v>149</v>
      </c>
      <c r="G400" s="8">
        <v>0</v>
      </c>
      <c r="H400" s="9" t="str">
        <f>INDEX(Products!$B$2:$B$37, MATCH(D400, Products!$A$2:$A$37, 0))</f>
        <v>Vitamin C Serum</v>
      </c>
      <c r="I400" t="str">
        <f>INDEX(Products!$C$2:$C$37, MATCH(D400, Products!$A$2:$A$37, 0))</f>
        <v>Beauty</v>
      </c>
      <c r="J400">
        <f>INDEX(Products!$E$2:$E$37, MATCH(D400, Products!$A$2:$A$37, 0))</f>
        <v>55</v>
      </c>
      <c r="K400" s="9">
        <f t="shared" si="24"/>
        <v>596</v>
      </c>
      <c r="L400">
        <f t="shared" si="25"/>
        <v>220</v>
      </c>
      <c r="M400" s="9">
        <f t="shared" si="26"/>
        <v>376</v>
      </c>
      <c r="N400" t="str">
        <f t="shared" si="27"/>
        <v>Feb</v>
      </c>
    </row>
    <row r="401" spans="1:14" x14ac:dyDescent="0.3">
      <c r="A401" s="2" t="s">
        <v>467</v>
      </c>
      <c r="B401" s="6">
        <v>45692</v>
      </c>
      <c r="C401" s="2" t="s">
        <v>44</v>
      </c>
      <c r="D401" s="2" t="s">
        <v>129</v>
      </c>
      <c r="E401" s="2">
        <v>1</v>
      </c>
      <c r="F401" s="7">
        <v>149</v>
      </c>
      <c r="G401" s="8">
        <v>0</v>
      </c>
      <c r="H401" s="9" t="str">
        <f>INDEX(Products!$B$2:$B$37, MATCH(D401, Products!$A$2:$A$37, 0))</f>
        <v>Power Bank 20000mAh</v>
      </c>
      <c r="I401" t="str">
        <f>INDEX(Products!$C$2:$C$37, MATCH(D401, Products!$A$2:$A$37, 0))</f>
        <v>Electronics</v>
      </c>
      <c r="J401">
        <f>INDEX(Products!$E$2:$E$37, MATCH(D401, Products!$A$2:$A$37, 0))</f>
        <v>70</v>
      </c>
      <c r="K401" s="9">
        <f t="shared" si="24"/>
        <v>149</v>
      </c>
      <c r="L401">
        <f t="shared" si="25"/>
        <v>70</v>
      </c>
      <c r="M401" s="9">
        <f t="shared" si="26"/>
        <v>79</v>
      </c>
      <c r="N401" t="str">
        <f t="shared" si="27"/>
        <v>Feb</v>
      </c>
    </row>
    <row r="402" spans="1:14" x14ac:dyDescent="0.3">
      <c r="A402" s="2" t="s">
        <v>468</v>
      </c>
      <c r="B402" s="6">
        <v>45692</v>
      </c>
      <c r="C402" s="2" t="s">
        <v>31</v>
      </c>
      <c r="D402" s="2" t="s">
        <v>129</v>
      </c>
      <c r="E402" s="2">
        <v>1</v>
      </c>
      <c r="F402" s="7">
        <v>149</v>
      </c>
      <c r="G402" s="8">
        <v>0.2</v>
      </c>
      <c r="H402" s="9" t="str">
        <f>INDEX(Products!$B$2:$B$37, MATCH(D402, Products!$A$2:$A$37, 0))</f>
        <v>Power Bank 20000mAh</v>
      </c>
      <c r="I402" t="str">
        <f>INDEX(Products!$C$2:$C$37, MATCH(D402, Products!$A$2:$A$37, 0))</f>
        <v>Electronics</v>
      </c>
      <c r="J402">
        <f>INDEX(Products!$E$2:$E$37, MATCH(D402, Products!$A$2:$A$37, 0))</f>
        <v>70</v>
      </c>
      <c r="K402" s="9">
        <f t="shared" si="24"/>
        <v>119.2</v>
      </c>
      <c r="L402">
        <f t="shared" si="25"/>
        <v>70</v>
      </c>
      <c r="M402" s="9">
        <f t="shared" si="26"/>
        <v>49.2</v>
      </c>
      <c r="N402" t="str">
        <f t="shared" si="27"/>
        <v>Feb</v>
      </c>
    </row>
    <row r="403" spans="1:14" x14ac:dyDescent="0.3">
      <c r="A403" s="2" t="s">
        <v>469</v>
      </c>
      <c r="B403" s="6">
        <v>45692</v>
      </c>
      <c r="C403" s="2" t="s">
        <v>41</v>
      </c>
      <c r="D403" s="2" t="s">
        <v>33</v>
      </c>
      <c r="E403" s="2">
        <v>1</v>
      </c>
      <c r="F403" s="7">
        <v>199</v>
      </c>
      <c r="G403" s="8">
        <v>0.15</v>
      </c>
      <c r="H403" s="9" t="str">
        <f>INDEX(Products!$B$2:$B$37, MATCH(D403, Products!$A$2:$A$37, 0))</f>
        <v>Fitness Band Lite</v>
      </c>
      <c r="I403" t="str">
        <f>INDEX(Products!$C$2:$C$37, MATCH(D403, Products!$A$2:$A$37, 0))</f>
        <v>Electronics</v>
      </c>
      <c r="J403">
        <f>INDEX(Products!$E$2:$E$37, MATCH(D403, Products!$A$2:$A$37, 0))</f>
        <v>175</v>
      </c>
      <c r="K403" s="9">
        <f t="shared" si="24"/>
        <v>169.15</v>
      </c>
      <c r="L403">
        <f t="shared" si="25"/>
        <v>175</v>
      </c>
      <c r="M403" s="9">
        <f t="shared" si="26"/>
        <v>-5.8499999999999943</v>
      </c>
      <c r="N403" t="str">
        <f t="shared" si="27"/>
        <v>Feb</v>
      </c>
    </row>
    <row r="404" spans="1:14" x14ac:dyDescent="0.3">
      <c r="A404" s="2" t="s">
        <v>470</v>
      </c>
      <c r="B404" s="6">
        <v>45692</v>
      </c>
      <c r="C404" s="2" t="s">
        <v>28</v>
      </c>
      <c r="D404" s="2" t="s">
        <v>52</v>
      </c>
      <c r="E404" s="2">
        <v>2</v>
      </c>
      <c r="F404" s="7">
        <v>299</v>
      </c>
      <c r="G404" s="8">
        <v>0.15</v>
      </c>
      <c r="H404" s="9" t="str">
        <f>INDEX(Products!$B$2:$B$37, MATCH(D404, Products!$A$2:$A$37, 0))</f>
        <v>Hair Dryer Ionic</v>
      </c>
      <c r="I404" t="str">
        <f>INDEX(Products!$C$2:$C$37, MATCH(D404, Products!$A$2:$A$37, 0))</f>
        <v>Beauty</v>
      </c>
      <c r="J404">
        <f>INDEX(Products!$E$2:$E$37, MATCH(D404, Products!$A$2:$A$37, 0))</f>
        <v>240</v>
      </c>
      <c r="K404" s="9">
        <f t="shared" si="24"/>
        <v>508.3</v>
      </c>
      <c r="L404">
        <f t="shared" si="25"/>
        <v>480</v>
      </c>
      <c r="M404" s="9">
        <f t="shared" si="26"/>
        <v>28.300000000000011</v>
      </c>
      <c r="N404" t="str">
        <f t="shared" si="27"/>
        <v>Feb</v>
      </c>
    </row>
    <row r="405" spans="1:14" x14ac:dyDescent="0.3">
      <c r="A405" s="2" t="s">
        <v>471</v>
      </c>
      <c r="B405" s="6">
        <v>45692</v>
      </c>
      <c r="C405" s="2" t="s">
        <v>44</v>
      </c>
      <c r="D405" s="2" t="s">
        <v>33</v>
      </c>
      <c r="E405" s="2">
        <v>1</v>
      </c>
      <c r="F405" s="7">
        <v>199</v>
      </c>
      <c r="G405" s="8">
        <v>0.1</v>
      </c>
      <c r="H405" s="9" t="str">
        <f>INDEX(Products!$B$2:$B$37, MATCH(D405, Products!$A$2:$A$37, 0))</f>
        <v>Fitness Band Lite</v>
      </c>
      <c r="I405" t="str">
        <f>INDEX(Products!$C$2:$C$37, MATCH(D405, Products!$A$2:$A$37, 0))</f>
        <v>Electronics</v>
      </c>
      <c r="J405">
        <f>INDEX(Products!$E$2:$E$37, MATCH(D405, Products!$A$2:$A$37, 0))</f>
        <v>175</v>
      </c>
      <c r="K405" s="9">
        <f t="shared" si="24"/>
        <v>179.1</v>
      </c>
      <c r="L405">
        <f t="shared" si="25"/>
        <v>175</v>
      </c>
      <c r="M405" s="9">
        <f t="shared" si="26"/>
        <v>4.0999999999999943</v>
      </c>
      <c r="N405" t="str">
        <f t="shared" si="27"/>
        <v>Feb</v>
      </c>
    </row>
    <row r="406" spans="1:14" x14ac:dyDescent="0.3">
      <c r="A406" s="2" t="s">
        <v>472</v>
      </c>
      <c r="B406" s="6">
        <v>45692</v>
      </c>
      <c r="C406" s="2" t="s">
        <v>44</v>
      </c>
      <c r="D406" s="2" t="s">
        <v>65</v>
      </c>
      <c r="E406" s="2">
        <v>1</v>
      </c>
      <c r="F406" s="7">
        <v>129</v>
      </c>
      <c r="G406" s="8">
        <v>0.15</v>
      </c>
      <c r="H406" s="9" t="str">
        <f>INDEX(Products!$B$2:$B$37, MATCH(D406, Products!$A$2:$A$37, 0))</f>
        <v>Yoga Mat Premium</v>
      </c>
      <c r="I406" t="str">
        <f>INDEX(Products!$C$2:$C$37, MATCH(D406, Products!$A$2:$A$37, 0))</f>
        <v>Sports</v>
      </c>
      <c r="J406">
        <f>INDEX(Products!$E$2:$E$37, MATCH(D406, Products!$A$2:$A$37, 0))</f>
        <v>60</v>
      </c>
      <c r="K406" s="9">
        <f t="shared" si="24"/>
        <v>109.64999999999999</v>
      </c>
      <c r="L406">
        <f t="shared" si="25"/>
        <v>60</v>
      </c>
      <c r="M406" s="9">
        <f t="shared" si="26"/>
        <v>49.649999999999991</v>
      </c>
      <c r="N406" t="str">
        <f t="shared" si="27"/>
        <v>Feb</v>
      </c>
    </row>
    <row r="407" spans="1:14" x14ac:dyDescent="0.3">
      <c r="A407" s="2" t="s">
        <v>473</v>
      </c>
      <c r="B407" s="6">
        <v>45692</v>
      </c>
      <c r="C407" s="2" t="s">
        <v>28</v>
      </c>
      <c r="D407" s="2" t="s">
        <v>42</v>
      </c>
      <c r="E407" s="2">
        <v>1</v>
      </c>
      <c r="F407" s="7">
        <v>399</v>
      </c>
      <c r="G407" s="8">
        <v>0.1</v>
      </c>
      <c r="H407" s="9" t="str">
        <f>INDEX(Products!$B$2:$B$37, MATCH(D407, Products!$A$2:$A$37, 0))</f>
        <v>Wireless Earbuds Pro</v>
      </c>
      <c r="I407" t="str">
        <f>INDEX(Products!$C$2:$C$37, MATCH(D407, Products!$A$2:$A$37, 0))</f>
        <v>Electronics</v>
      </c>
      <c r="J407">
        <f>INDEX(Products!$E$2:$E$37, MATCH(D407, Products!$A$2:$A$37, 0))</f>
        <v>230</v>
      </c>
      <c r="K407" s="9">
        <f t="shared" si="24"/>
        <v>359.1</v>
      </c>
      <c r="L407">
        <f t="shared" si="25"/>
        <v>230</v>
      </c>
      <c r="M407" s="9">
        <f t="shared" si="26"/>
        <v>129.10000000000002</v>
      </c>
      <c r="N407" t="str">
        <f t="shared" si="27"/>
        <v>Feb</v>
      </c>
    </row>
    <row r="408" spans="1:14" x14ac:dyDescent="0.3">
      <c r="A408" s="2" t="s">
        <v>474</v>
      </c>
      <c r="B408" s="6">
        <v>45692</v>
      </c>
      <c r="C408" s="2" t="s">
        <v>41</v>
      </c>
      <c r="D408" s="2" t="s">
        <v>165</v>
      </c>
      <c r="E408" s="2">
        <v>2</v>
      </c>
      <c r="F408" s="7">
        <v>69</v>
      </c>
      <c r="G408" s="8">
        <v>0</v>
      </c>
      <c r="H408" s="9" t="str">
        <f>INDEX(Products!$B$2:$B$37, MATCH(D408, Products!$A$2:$A$37, 0))</f>
        <v>Swim Goggles</v>
      </c>
      <c r="I408" t="str">
        <f>INDEX(Products!$C$2:$C$37, MATCH(D408, Products!$A$2:$A$37, 0))</f>
        <v>Sports</v>
      </c>
      <c r="J408">
        <f>INDEX(Products!$E$2:$E$37, MATCH(D408, Products!$A$2:$A$37, 0))</f>
        <v>25</v>
      </c>
      <c r="K408" s="9">
        <f t="shared" si="24"/>
        <v>138</v>
      </c>
      <c r="L408">
        <f t="shared" si="25"/>
        <v>50</v>
      </c>
      <c r="M408" s="9">
        <f t="shared" si="26"/>
        <v>88</v>
      </c>
      <c r="N408" t="str">
        <f t="shared" si="27"/>
        <v>Feb</v>
      </c>
    </row>
    <row r="409" spans="1:14" x14ac:dyDescent="0.3">
      <c r="A409" s="2" t="s">
        <v>475</v>
      </c>
      <c r="B409" s="6">
        <v>45692</v>
      </c>
      <c r="C409" s="2" t="s">
        <v>28</v>
      </c>
      <c r="D409" s="2" t="s">
        <v>68</v>
      </c>
      <c r="E409" s="2">
        <v>1</v>
      </c>
      <c r="F409" s="7">
        <v>249</v>
      </c>
      <c r="G409" s="8">
        <v>0</v>
      </c>
      <c r="H409" s="9" t="str">
        <f>INDEX(Products!$B$2:$B$37, MATCH(D409, Products!$A$2:$A$37, 0))</f>
        <v>Bluetooth Speaker Mini</v>
      </c>
      <c r="I409" t="str">
        <f>INDEX(Products!$C$2:$C$37, MATCH(D409, Products!$A$2:$A$37, 0))</f>
        <v>Electronics</v>
      </c>
      <c r="J409">
        <f>INDEX(Products!$E$2:$E$37, MATCH(D409, Products!$A$2:$A$37, 0))</f>
        <v>150</v>
      </c>
      <c r="K409" s="9">
        <f t="shared" si="24"/>
        <v>249</v>
      </c>
      <c r="L409">
        <f t="shared" si="25"/>
        <v>150</v>
      </c>
      <c r="M409" s="9">
        <f t="shared" si="26"/>
        <v>99</v>
      </c>
      <c r="N409" t="str">
        <f t="shared" si="27"/>
        <v>Feb</v>
      </c>
    </row>
    <row r="410" spans="1:14" x14ac:dyDescent="0.3">
      <c r="A410" s="2" t="s">
        <v>476</v>
      </c>
      <c r="B410" s="6">
        <v>45692</v>
      </c>
      <c r="C410" s="2" t="s">
        <v>28</v>
      </c>
      <c r="D410" s="2" t="s">
        <v>95</v>
      </c>
      <c r="E410" s="2">
        <v>1</v>
      </c>
      <c r="F410" s="7">
        <v>259</v>
      </c>
      <c r="G410" s="8">
        <v>0</v>
      </c>
      <c r="H410" s="9" t="str">
        <f>INDEX(Products!$B$2:$B$37, MATCH(D410, Products!$A$2:$A$37, 0))</f>
        <v>Bed Linen Set (King)</v>
      </c>
      <c r="I410" t="str">
        <f>INDEX(Products!$C$2:$C$37, MATCH(D410, Products!$A$2:$A$37, 0))</f>
        <v>Home &amp; Kitchen</v>
      </c>
      <c r="J410">
        <f>INDEX(Products!$E$2:$E$37, MATCH(D410, Products!$A$2:$A$37, 0))</f>
        <v>115</v>
      </c>
      <c r="K410" s="9">
        <f t="shared" si="24"/>
        <v>259</v>
      </c>
      <c r="L410">
        <f t="shared" si="25"/>
        <v>115</v>
      </c>
      <c r="M410" s="9">
        <f t="shared" si="26"/>
        <v>144</v>
      </c>
      <c r="N410" t="str">
        <f t="shared" si="27"/>
        <v>Feb</v>
      </c>
    </row>
    <row r="411" spans="1:14" x14ac:dyDescent="0.3">
      <c r="A411" s="2" t="s">
        <v>477</v>
      </c>
      <c r="B411" s="6">
        <v>45692</v>
      </c>
      <c r="C411" s="2" t="s">
        <v>28</v>
      </c>
      <c r="D411" s="2" t="s">
        <v>60</v>
      </c>
      <c r="E411" s="2">
        <v>1</v>
      </c>
      <c r="F411" s="7">
        <v>99</v>
      </c>
      <c r="G411" s="8">
        <v>0.05</v>
      </c>
      <c r="H411" s="9" t="str">
        <f>INDEX(Products!$B$2:$B$37, MATCH(D411, Products!$A$2:$A$37, 0))</f>
        <v>Football Size 5</v>
      </c>
      <c r="I411" t="str">
        <f>INDEX(Products!$C$2:$C$37, MATCH(D411, Products!$A$2:$A$37, 0))</f>
        <v>Sports</v>
      </c>
      <c r="J411">
        <f>INDEX(Products!$E$2:$E$37, MATCH(D411, Products!$A$2:$A$37, 0))</f>
        <v>45</v>
      </c>
      <c r="K411" s="9">
        <f t="shared" si="24"/>
        <v>94.05</v>
      </c>
      <c r="L411">
        <f t="shared" si="25"/>
        <v>45</v>
      </c>
      <c r="M411" s="9">
        <f t="shared" si="26"/>
        <v>49.05</v>
      </c>
      <c r="N411" t="str">
        <f t="shared" si="27"/>
        <v>Feb</v>
      </c>
    </row>
    <row r="412" spans="1:14" x14ac:dyDescent="0.3">
      <c r="A412" s="2" t="s">
        <v>478</v>
      </c>
      <c r="B412" s="6">
        <v>45692</v>
      </c>
      <c r="C412" s="2" t="s">
        <v>44</v>
      </c>
      <c r="D412" s="2" t="s">
        <v>35</v>
      </c>
      <c r="E412" s="2">
        <v>1</v>
      </c>
      <c r="F412" s="7">
        <v>179</v>
      </c>
      <c r="G412" s="8">
        <v>0.1</v>
      </c>
      <c r="H412" s="9" t="str">
        <f>INDEX(Products!$B$2:$B$37, MATCH(D412, Products!$A$2:$A$37, 0))</f>
        <v>Men's Linen Shirt</v>
      </c>
      <c r="I412" t="str">
        <f>INDEX(Products!$C$2:$C$37, MATCH(D412, Products!$A$2:$A$37, 0))</f>
        <v>Fashion</v>
      </c>
      <c r="J412">
        <f>INDEX(Products!$E$2:$E$37, MATCH(D412, Products!$A$2:$A$37, 0))</f>
        <v>70</v>
      </c>
      <c r="K412" s="9">
        <f t="shared" si="24"/>
        <v>161.1</v>
      </c>
      <c r="L412">
        <f t="shared" si="25"/>
        <v>70</v>
      </c>
      <c r="M412" s="9">
        <f t="shared" si="26"/>
        <v>91.1</v>
      </c>
      <c r="N412" t="str">
        <f t="shared" si="27"/>
        <v>Feb</v>
      </c>
    </row>
    <row r="413" spans="1:14" x14ac:dyDescent="0.3">
      <c r="A413" s="2" t="s">
        <v>479</v>
      </c>
      <c r="B413" s="6">
        <v>45692</v>
      </c>
      <c r="C413" s="2" t="s">
        <v>41</v>
      </c>
      <c r="D413" s="2" t="s">
        <v>37</v>
      </c>
      <c r="E413" s="2">
        <v>3</v>
      </c>
      <c r="F413" s="7">
        <v>249</v>
      </c>
      <c r="G413" s="8">
        <v>0.1</v>
      </c>
      <c r="H413" s="9" t="str">
        <f>INDEX(Products!$B$2:$B$37, MATCH(D413, Products!$A$2:$A$37, 0))</f>
        <v>Sunglasses Polarised</v>
      </c>
      <c r="I413" t="str">
        <f>INDEX(Products!$C$2:$C$37, MATCH(D413, Products!$A$2:$A$37, 0))</f>
        <v>Fashion</v>
      </c>
      <c r="J413">
        <f>INDEX(Products!$E$2:$E$37, MATCH(D413, Products!$A$2:$A$37, 0))</f>
        <v>95</v>
      </c>
      <c r="K413" s="9">
        <f t="shared" si="24"/>
        <v>672.30000000000007</v>
      </c>
      <c r="L413">
        <f t="shared" si="25"/>
        <v>285</v>
      </c>
      <c r="M413" s="9">
        <f t="shared" si="26"/>
        <v>387.30000000000007</v>
      </c>
      <c r="N413" t="str">
        <f t="shared" si="27"/>
        <v>Feb</v>
      </c>
    </row>
    <row r="414" spans="1:14" x14ac:dyDescent="0.3">
      <c r="A414" s="2" t="s">
        <v>480</v>
      </c>
      <c r="B414" s="6">
        <v>45693</v>
      </c>
      <c r="C414" s="2" t="s">
        <v>44</v>
      </c>
      <c r="D414" s="2" t="s">
        <v>194</v>
      </c>
      <c r="E414" s="2">
        <v>1</v>
      </c>
      <c r="F414" s="7">
        <v>699</v>
      </c>
      <c r="G414" s="8">
        <v>0</v>
      </c>
      <c r="H414" s="9" t="str">
        <f>INDEX(Products!$B$2:$B$37, MATCH(D414, Products!$A$2:$A$37, 0))</f>
        <v>Leather Handbag</v>
      </c>
      <c r="I414" t="str">
        <f>INDEX(Products!$C$2:$C$37, MATCH(D414, Products!$A$2:$A$37, 0))</f>
        <v>Fashion</v>
      </c>
      <c r="J414">
        <f>INDEX(Products!$E$2:$E$37, MATCH(D414, Products!$A$2:$A$37, 0))</f>
        <v>380</v>
      </c>
      <c r="K414" s="9">
        <f t="shared" si="24"/>
        <v>699</v>
      </c>
      <c r="L414">
        <f t="shared" si="25"/>
        <v>380</v>
      </c>
      <c r="M414" s="9">
        <f t="shared" si="26"/>
        <v>319</v>
      </c>
      <c r="N414" t="str">
        <f t="shared" si="27"/>
        <v>Feb</v>
      </c>
    </row>
    <row r="415" spans="1:14" x14ac:dyDescent="0.3">
      <c r="A415" s="2" t="s">
        <v>481</v>
      </c>
      <c r="B415" s="6">
        <v>45693</v>
      </c>
      <c r="C415" s="2" t="s">
        <v>41</v>
      </c>
      <c r="D415" s="2" t="s">
        <v>99</v>
      </c>
      <c r="E415" s="2">
        <v>1</v>
      </c>
      <c r="F415" s="7">
        <v>459</v>
      </c>
      <c r="G415" s="8">
        <v>0.2</v>
      </c>
      <c r="H415" s="9" t="str">
        <f>INDEX(Products!$B$2:$B$37, MATCH(D415, Products!$A$2:$A$37, 0))</f>
        <v>Gaming Headset X</v>
      </c>
      <c r="I415" t="str">
        <f>INDEX(Products!$C$2:$C$37, MATCH(D415, Products!$A$2:$A$37, 0))</f>
        <v>Electronics</v>
      </c>
      <c r="J415">
        <f>INDEX(Products!$E$2:$E$37, MATCH(D415, Products!$A$2:$A$37, 0))</f>
        <v>300</v>
      </c>
      <c r="K415" s="9">
        <f t="shared" si="24"/>
        <v>367.20000000000005</v>
      </c>
      <c r="L415">
        <f t="shared" si="25"/>
        <v>300</v>
      </c>
      <c r="M415" s="9">
        <f t="shared" si="26"/>
        <v>67.200000000000045</v>
      </c>
      <c r="N415" t="str">
        <f t="shared" si="27"/>
        <v>Feb</v>
      </c>
    </row>
    <row r="416" spans="1:14" x14ac:dyDescent="0.3">
      <c r="A416" s="2" t="s">
        <v>482</v>
      </c>
      <c r="B416" s="6">
        <v>45693</v>
      </c>
      <c r="C416" s="2" t="s">
        <v>41</v>
      </c>
      <c r="D416" s="2" t="s">
        <v>29</v>
      </c>
      <c r="E416" s="2">
        <v>1</v>
      </c>
      <c r="F416" s="7">
        <v>229</v>
      </c>
      <c r="G416" s="8">
        <v>0</v>
      </c>
      <c r="H416" s="9" t="str">
        <f>INDEX(Products!$B$2:$B$37, MATCH(D416, Products!$A$2:$A$37, 0))</f>
        <v>Women's Summer Dress</v>
      </c>
      <c r="I416" t="str">
        <f>INDEX(Products!$C$2:$C$37, MATCH(D416, Products!$A$2:$A$37, 0))</f>
        <v>Fashion</v>
      </c>
      <c r="J416">
        <f>INDEX(Products!$E$2:$E$37, MATCH(D416, Products!$A$2:$A$37, 0))</f>
        <v>120</v>
      </c>
      <c r="K416" s="9">
        <f t="shared" si="24"/>
        <v>229</v>
      </c>
      <c r="L416">
        <f t="shared" si="25"/>
        <v>120</v>
      </c>
      <c r="M416" s="9">
        <f t="shared" si="26"/>
        <v>109</v>
      </c>
      <c r="N416" t="str">
        <f t="shared" si="27"/>
        <v>Feb</v>
      </c>
    </row>
    <row r="417" spans="1:14" x14ac:dyDescent="0.3">
      <c r="A417" s="2" t="s">
        <v>483</v>
      </c>
      <c r="B417" s="6">
        <v>45693</v>
      </c>
      <c r="C417" s="2" t="s">
        <v>41</v>
      </c>
      <c r="D417" s="2" t="s">
        <v>56</v>
      </c>
      <c r="E417" s="2">
        <v>1</v>
      </c>
      <c r="F417" s="7">
        <v>289</v>
      </c>
      <c r="G417" s="8">
        <v>0.2</v>
      </c>
      <c r="H417" s="9" t="str">
        <f>INDEX(Products!$B$2:$B$37, MATCH(D417, Products!$A$2:$A$37, 0))</f>
        <v>Ceramic Dinner Set</v>
      </c>
      <c r="I417" t="str">
        <f>INDEX(Products!$C$2:$C$37, MATCH(D417, Products!$A$2:$A$37, 0))</f>
        <v>Home &amp; Kitchen</v>
      </c>
      <c r="J417">
        <f>INDEX(Products!$E$2:$E$37, MATCH(D417, Products!$A$2:$A$37, 0))</f>
        <v>140</v>
      </c>
      <c r="K417" s="9">
        <f t="shared" si="24"/>
        <v>231.20000000000002</v>
      </c>
      <c r="L417">
        <f t="shared" si="25"/>
        <v>140</v>
      </c>
      <c r="M417" s="9">
        <f t="shared" si="26"/>
        <v>91.200000000000017</v>
      </c>
      <c r="N417" t="str">
        <f t="shared" si="27"/>
        <v>Feb</v>
      </c>
    </row>
    <row r="418" spans="1:14" x14ac:dyDescent="0.3">
      <c r="A418" s="2" t="s">
        <v>484</v>
      </c>
      <c r="B418" s="6">
        <v>45693</v>
      </c>
      <c r="C418" s="2" t="s">
        <v>48</v>
      </c>
      <c r="D418" s="2" t="s">
        <v>68</v>
      </c>
      <c r="E418" s="2">
        <v>1</v>
      </c>
      <c r="F418" s="7">
        <v>249</v>
      </c>
      <c r="G418" s="8">
        <v>0</v>
      </c>
      <c r="H418" s="9" t="str">
        <f>INDEX(Products!$B$2:$B$37, MATCH(D418, Products!$A$2:$A$37, 0))</f>
        <v>Bluetooth Speaker Mini</v>
      </c>
      <c r="I418" t="str">
        <f>INDEX(Products!$C$2:$C$37, MATCH(D418, Products!$A$2:$A$37, 0))</f>
        <v>Electronics</v>
      </c>
      <c r="J418">
        <f>INDEX(Products!$E$2:$E$37, MATCH(D418, Products!$A$2:$A$37, 0))</f>
        <v>150</v>
      </c>
      <c r="K418" s="9">
        <f t="shared" si="24"/>
        <v>249</v>
      </c>
      <c r="L418">
        <f t="shared" si="25"/>
        <v>150</v>
      </c>
      <c r="M418" s="9">
        <f t="shared" si="26"/>
        <v>99</v>
      </c>
      <c r="N418" t="str">
        <f t="shared" si="27"/>
        <v>Feb</v>
      </c>
    </row>
    <row r="419" spans="1:14" x14ac:dyDescent="0.3">
      <c r="A419" s="2" t="s">
        <v>485</v>
      </c>
      <c r="B419" s="6">
        <v>45693</v>
      </c>
      <c r="C419" s="2" t="s">
        <v>41</v>
      </c>
      <c r="D419" s="2" t="s">
        <v>126</v>
      </c>
      <c r="E419" s="2">
        <v>1</v>
      </c>
      <c r="F419" s="7">
        <v>89</v>
      </c>
      <c r="G419" s="8">
        <v>0</v>
      </c>
      <c r="H419" s="9" t="str">
        <f>INDEX(Products!$B$2:$B$37, MATCH(D419, Products!$A$2:$A$37, 0))</f>
        <v>USB-C Fast Charger</v>
      </c>
      <c r="I419" t="str">
        <f>INDEX(Products!$C$2:$C$37, MATCH(D419, Products!$A$2:$A$37, 0))</f>
        <v>Electronics</v>
      </c>
      <c r="J419">
        <f>INDEX(Products!$E$2:$E$37, MATCH(D419, Products!$A$2:$A$37, 0))</f>
        <v>35</v>
      </c>
      <c r="K419" s="9">
        <f t="shared" si="24"/>
        <v>89</v>
      </c>
      <c r="L419">
        <f t="shared" si="25"/>
        <v>35</v>
      </c>
      <c r="M419" s="9">
        <f t="shared" si="26"/>
        <v>54</v>
      </c>
      <c r="N419" t="str">
        <f t="shared" si="27"/>
        <v>Feb</v>
      </c>
    </row>
    <row r="420" spans="1:14" x14ac:dyDescent="0.3">
      <c r="A420" s="2" t="s">
        <v>486</v>
      </c>
      <c r="B420" s="6">
        <v>45693</v>
      </c>
      <c r="C420" s="2" t="s">
        <v>28</v>
      </c>
      <c r="D420" s="2" t="s">
        <v>89</v>
      </c>
      <c r="E420" s="2">
        <v>2</v>
      </c>
      <c r="F420" s="7">
        <v>399</v>
      </c>
      <c r="G420" s="8">
        <v>0.2</v>
      </c>
      <c r="H420" s="9" t="str">
        <f>INDEX(Products!$B$2:$B$37, MATCH(D420, Products!$A$2:$A$37, 0))</f>
        <v>Men's Kandura Premium</v>
      </c>
      <c r="I420" t="str">
        <f>INDEX(Products!$C$2:$C$37, MATCH(D420, Products!$A$2:$A$37, 0))</f>
        <v>Fashion</v>
      </c>
      <c r="J420">
        <f>INDEX(Products!$E$2:$E$37, MATCH(D420, Products!$A$2:$A$37, 0))</f>
        <v>210</v>
      </c>
      <c r="K420" s="9">
        <f t="shared" si="24"/>
        <v>638.40000000000009</v>
      </c>
      <c r="L420">
        <f t="shared" si="25"/>
        <v>420</v>
      </c>
      <c r="M420" s="9">
        <f t="shared" si="26"/>
        <v>218.40000000000009</v>
      </c>
      <c r="N420" t="str">
        <f t="shared" si="27"/>
        <v>Feb</v>
      </c>
    </row>
    <row r="421" spans="1:14" x14ac:dyDescent="0.3">
      <c r="A421" s="2" t="s">
        <v>487</v>
      </c>
      <c r="B421" s="6">
        <v>45693</v>
      </c>
      <c r="C421" s="2" t="s">
        <v>44</v>
      </c>
      <c r="D421" s="2" t="s">
        <v>68</v>
      </c>
      <c r="E421" s="2">
        <v>1</v>
      </c>
      <c r="F421" s="7">
        <v>249</v>
      </c>
      <c r="G421" s="8">
        <v>0</v>
      </c>
      <c r="H421" s="9" t="str">
        <f>INDEX(Products!$B$2:$B$37, MATCH(D421, Products!$A$2:$A$37, 0))</f>
        <v>Bluetooth Speaker Mini</v>
      </c>
      <c r="I421" t="str">
        <f>INDEX(Products!$C$2:$C$37, MATCH(D421, Products!$A$2:$A$37, 0))</f>
        <v>Electronics</v>
      </c>
      <c r="J421">
        <f>INDEX(Products!$E$2:$E$37, MATCH(D421, Products!$A$2:$A$37, 0))</f>
        <v>150</v>
      </c>
      <c r="K421" s="9">
        <f t="shared" si="24"/>
        <v>249</v>
      </c>
      <c r="L421">
        <f t="shared" si="25"/>
        <v>150</v>
      </c>
      <c r="M421" s="9">
        <f t="shared" si="26"/>
        <v>99</v>
      </c>
      <c r="N421" t="str">
        <f t="shared" si="27"/>
        <v>Feb</v>
      </c>
    </row>
    <row r="422" spans="1:14" x14ac:dyDescent="0.3">
      <c r="A422" s="2" t="s">
        <v>488</v>
      </c>
      <c r="B422" s="6">
        <v>45693</v>
      </c>
      <c r="C422" s="2" t="s">
        <v>44</v>
      </c>
      <c r="D422" s="2" t="s">
        <v>131</v>
      </c>
      <c r="E422" s="2">
        <v>2</v>
      </c>
      <c r="F422" s="7">
        <v>899</v>
      </c>
      <c r="G422" s="8">
        <v>0</v>
      </c>
      <c r="H422" s="9" t="str">
        <f>INDEX(Products!$B$2:$B$37, MATCH(D422, Products!$A$2:$A$37, 0))</f>
        <v>4K Action Camera</v>
      </c>
      <c r="I422" t="str">
        <f>INDEX(Products!$C$2:$C$37, MATCH(D422, Products!$A$2:$A$37, 0))</f>
        <v>Electronics</v>
      </c>
      <c r="J422">
        <f>INDEX(Products!$E$2:$E$37, MATCH(D422, Products!$A$2:$A$37, 0))</f>
        <v>610</v>
      </c>
      <c r="K422" s="9">
        <f t="shared" si="24"/>
        <v>1798</v>
      </c>
      <c r="L422">
        <f t="shared" si="25"/>
        <v>1220</v>
      </c>
      <c r="M422" s="9">
        <f t="shared" si="26"/>
        <v>578</v>
      </c>
      <c r="N422" t="str">
        <f t="shared" si="27"/>
        <v>Feb</v>
      </c>
    </row>
    <row r="423" spans="1:14" x14ac:dyDescent="0.3">
      <c r="A423" s="2" t="s">
        <v>489</v>
      </c>
      <c r="B423" s="6">
        <v>45693</v>
      </c>
      <c r="C423" s="2" t="s">
        <v>44</v>
      </c>
      <c r="D423" s="2" t="s">
        <v>87</v>
      </c>
      <c r="E423" s="2">
        <v>1</v>
      </c>
      <c r="F423" s="7">
        <v>799</v>
      </c>
      <c r="G423" s="8">
        <v>0.2</v>
      </c>
      <c r="H423" s="9" t="str">
        <f>INDEX(Products!$B$2:$B$37, MATCH(D423, Products!$A$2:$A$37, 0))</f>
        <v>Adjustable Dumbbells</v>
      </c>
      <c r="I423" t="str">
        <f>INDEX(Products!$C$2:$C$37, MATCH(D423, Products!$A$2:$A$37, 0))</f>
        <v>Sports</v>
      </c>
      <c r="J423">
        <f>INDEX(Products!$E$2:$E$37, MATCH(D423, Products!$A$2:$A$37, 0))</f>
        <v>700</v>
      </c>
      <c r="K423" s="9">
        <f t="shared" si="24"/>
        <v>639.20000000000005</v>
      </c>
      <c r="L423">
        <f t="shared" si="25"/>
        <v>700</v>
      </c>
      <c r="M423" s="9">
        <f t="shared" si="26"/>
        <v>-60.799999999999955</v>
      </c>
      <c r="N423" t="str">
        <f t="shared" si="27"/>
        <v>Feb</v>
      </c>
    </row>
    <row r="424" spans="1:14" x14ac:dyDescent="0.3">
      <c r="A424" s="2" t="s">
        <v>490</v>
      </c>
      <c r="B424" s="6">
        <v>45693</v>
      </c>
      <c r="C424" s="2" t="s">
        <v>28</v>
      </c>
      <c r="D424" s="2" t="s">
        <v>92</v>
      </c>
      <c r="E424" s="2">
        <v>1</v>
      </c>
      <c r="F424" s="7">
        <v>349</v>
      </c>
      <c r="G424" s="8">
        <v>0</v>
      </c>
      <c r="H424" s="9" t="str">
        <f>INDEX(Products!$B$2:$B$37, MATCH(D424, Products!$A$2:$A$37, 0))</f>
        <v>Non-stick Cookware Set</v>
      </c>
      <c r="I424" t="str">
        <f>INDEX(Products!$C$2:$C$37, MATCH(D424, Products!$A$2:$A$37, 0))</f>
        <v>Home &amp; Kitchen</v>
      </c>
      <c r="J424">
        <f>INDEX(Products!$E$2:$E$37, MATCH(D424, Products!$A$2:$A$37, 0))</f>
        <v>170</v>
      </c>
      <c r="K424" s="9">
        <f t="shared" si="24"/>
        <v>349</v>
      </c>
      <c r="L424">
        <f t="shared" si="25"/>
        <v>170</v>
      </c>
      <c r="M424" s="9">
        <f t="shared" si="26"/>
        <v>179</v>
      </c>
      <c r="N424" t="str">
        <f t="shared" si="27"/>
        <v>Feb</v>
      </c>
    </row>
    <row r="425" spans="1:14" x14ac:dyDescent="0.3">
      <c r="A425" s="2" t="s">
        <v>491</v>
      </c>
      <c r="B425" s="6">
        <v>45693</v>
      </c>
      <c r="C425" s="2" t="s">
        <v>44</v>
      </c>
      <c r="D425" s="2" t="s">
        <v>70</v>
      </c>
      <c r="E425" s="2">
        <v>1</v>
      </c>
      <c r="F425" s="7">
        <v>429</v>
      </c>
      <c r="G425" s="8">
        <v>0</v>
      </c>
      <c r="H425" s="9" t="str">
        <f>INDEX(Products!$B$2:$B$37, MATCH(D425, Products!$A$2:$A$37, 0))</f>
        <v>Running Shoes Elite</v>
      </c>
      <c r="I425" t="str">
        <f>INDEX(Products!$C$2:$C$37, MATCH(D425, Products!$A$2:$A$37, 0))</f>
        <v>Fashion</v>
      </c>
      <c r="J425">
        <f>INDEX(Products!$E$2:$E$37, MATCH(D425, Products!$A$2:$A$37, 0))</f>
        <v>300</v>
      </c>
      <c r="K425" s="9">
        <f t="shared" si="24"/>
        <v>429</v>
      </c>
      <c r="L425">
        <f t="shared" si="25"/>
        <v>300</v>
      </c>
      <c r="M425" s="9">
        <f t="shared" si="26"/>
        <v>129</v>
      </c>
      <c r="N425" t="str">
        <f t="shared" si="27"/>
        <v>Feb</v>
      </c>
    </row>
    <row r="426" spans="1:14" x14ac:dyDescent="0.3">
      <c r="A426" s="2" t="s">
        <v>492</v>
      </c>
      <c r="B426" s="6">
        <v>45693</v>
      </c>
      <c r="C426" s="2" t="s">
        <v>41</v>
      </c>
      <c r="D426" s="2" t="s">
        <v>113</v>
      </c>
      <c r="E426" s="2">
        <v>1</v>
      </c>
      <c r="F426" s="7">
        <v>1199</v>
      </c>
      <c r="G426" s="8">
        <v>0.25</v>
      </c>
      <c r="H426" s="9" t="str">
        <f>INDEX(Products!$B$2:$B$37, MATCH(D426, Products!$A$2:$A$37, 0))</f>
        <v>Robot Vacuum S3</v>
      </c>
      <c r="I426" t="str">
        <f>INDEX(Products!$C$2:$C$37, MATCH(D426, Products!$A$2:$A$37, 0))</f>
        <v>Home &amp; Kitchen</v>
      </c>
      <c r="J426">
        <f>INDEX(Products!$E$2:$E$37, MATCH(D426, Products!$A$2:$A$37, 0))</f>
        <v>1080</v>
      </c>
      <c r="K426" s="9">
        <f t="shared" si="24"/>
        <v>899.25</v>
      </c>
      <c r="L426">
        <f t="shared" si="25"/>
        <v>1080</v>
      </c>
      <c r="M426" s="9">
        <f t="shared" si="26"/>
        <v>-180.75</v>
      </c>
      <c r="N426" t="str">
        <f t="shared" si="27"/>
        <v>Feb</v>
      </c>
    </row>
    <row r="427" spans="1:14" x14ac:dyDescent="0.3">
      <c r="A427" s="2" t="s">
        <v>493</v>
      </c>
      <c r="B427" s="6">
        <v>45694</v>
      </c>
      <c r="C427" s="2" t="s">
        <v>31</v>
      </c>
      <c r="D427" s="2" t="s">
        <v>33</v>
      </c>
      <c r="E427" s="2">
        <v>4</v>
      </c>
      <c r="F427" s="7">
        <v>199</v>
      </c>
      <c r="G427" s="8">
        <v>0.2</v>
      </c>
      <c r="H427" s="9" t="str">
        <f>INDEX(Products!$B$2:$B$37, MATCH(D427, Products!$A$2:$A$37, 0))</f>
        <v>Fitness Band Lite</v>
      </c>
      <c r="I427" t="str">
        <f>INDEX(Products!$C$2:$C$37, MATCH(D427, Products!$A$2:$A$37, 0))</f>
        <v>Electronics</v>
      </c>
      <c r="J427">
        <f>INDEX(Products!$E$2:$E$37, MATCH(D427, Products!$A$2:$A$37, 0))</f>
        <v>175</v>
      </c>
      <c r="K427" s="9">
        <f t="shared" si="24"/>
        <v>636.80000000000007</v>
      </c>
      <c r="L427">
        <f t="shared" si="25"/>
        <v>700</v>
      </c>
      <c r="M427" s="9">
        <f t="shared" si="26"/>
        <v>-63.199999999999932</v>
      </c>
      <c r="N427" t="str">
        <f t="shared" si="27"/>
        <v>Feb</v>
      </c>
    </row>
    <row r="428" spans="1:14" x14ac:dyDescent="0.3">
      <c r="A428" s="2" t="s">
        <v>494</v>
      </c>
      <c r="B428" s="6">
        <v>45694</v>
      </c>
      <c r="C428" s="2" t="s">
        <v>28</v>
      </c>
      <c r="D428" s="2" t="s">
        <v>37</v>
      </c>
      <c r="E428" s="2">
        <v>2</v>
      </c>
      <c r="F428" s="7">
        <v>249</v>
      </c>
      <c r="G428" s="8">
        <v>0</v>
      </c>
      <c r="H428" s="9" t="str">
        <f>INDEX(Products!$B$2:$B$37, MATCH(D428, Products!$A$2:$A$37, 0))</f>
        <v>Sunglasses Polarised</v>
      </c>
      <c r="I428" t="str">
        <f>INDEX(Products!$C$2:$C$37, MATCH(D428, Products!$A$2:$A$37, 0))</f>
        <v>Fashion</v>
      </c>
      <c r="J428">
        <f>INDEX(Products!$E$2:$E$37, MATCH(D428, Products!$A$2:$A$37, 0))</f>
        <v>95</v>
      </c>
      <c r="K428" s="9">
        <f t="shared" si="24"/>
        <v>498</v>
      </c>
      <c r="L428">
        <f t="shared" si="25"/>
        <v>190</v>
      </c>
      <c r="M428" s="9">
        <f t="shared" si="26"/>
        <v>308</v>
      </c>
      <c r="N428" t="str">
        <f t="shared" si="27"/>
        <v>Feb</v>
      </c>
    </row>
    <row r="429" spans="1:14" x14ac:dyDescent="0.3">
      <c r="A429" s="2" t="s">
        <v>495</v>
      </c>
      <c r="B429" s="6">
        <v>45694</v>
      </c>
      <c r="C429" s="2" t="s">
        <v>31</v>
      </c>
      <c r="D429" s="2" t="s">
        <v>165</v>
      </c>
      <c r="E429" s="2">
        <v>2</v>
      </c>
      <c r="F429" s="7">
        <v>69</v>
      </c>
      <c r="G429" s="8">
        <v>0</v>
      </c>
      <c r="H429" s="9" t="str">
        <f>INDEX(Products!$B$2:$B$37, MATCH(D429, Products!$A$2:$A$37, 0))</f>
        <v>Swim Goggles</v>
      </c>
      <c r="I429" t="str">
        <f>INDEX(Products!$C$2:$C$37, MATCH(D429, Products!$A$2:$A$37, 0))</f>
        <v>Sports</v>
      </c>
      <c r="J429">
        <f>INDEX(Products!$E$2:$E$37, MATCH(D429, Products!$A$2:$A$37, 0))</f>
        <v>25</v>
      </c>
      <c r="K429" s="9">
        <f t="shared" si="24"/>
        <v>138</v>
      </c>
      <c r="L429">
        <f t="shared" si="25"/>
        <v>50</v>
      </c>
      <c r="M429" s="9">
        <f t="shared" si="26"/>
        <v>88</v>
      </c>
      <c r="N429" t="str">
        <f t="shared" si="27"/>
        <v>Feb</v>
      </c>
    </row>
    <row r="430" spans="1:14" x14ac:dyDescent="0.3">
      <c r="A430" s="2" t="s">
        <v>496</v>
      </c>
      <c r="B430" s="6">
        <v>45694</v>
      </c>
      <c r="C430" s="2" t="s">
        <v>48</v>
      </c>
      <c r="D430" s="2" t="s">
        <v>78</v>
      </c>
      <c r="E430" s="2">
        <v>1</v>
      </c>
      <c r="F430" s="7">
        <v>499</v>
      </c>
      <c r="G430" s="8">
        <v>0.2</v>
      </c>
      <c r="H430" s="9" t="str">
        <f>INDEX(Products!$B$2:$B$37, MATCH(D430, Products!$A$2:$A$37, 0))</f>
        <v>Air Fryer 5L</v>
      </c>
      <c r="I430" t="str">
        <f>INDEX(Products!$C$2:$C$37, MATCH(D430, Products!$A$2:$A$37, 0))</f>
        <v>Home &amp; Kitchen</v>
      </c>
      <c r="J430">
        <f>INDEX(Products!$E$2:$E$37, MATCH(D430, Products!$A$2:$A$37, 0))</f>
        <v>290</v>
      </c>
      <c r="K430" s="9">
        <f t="shared" si="24"/>
        <v>399.20000000000005</v>
      </c>
      <c r="L430">
        <f t="shared" si="25"/>
        <v>290</v>
      </c>
      <c r="M430" s="9">
        <f t="shared" si="26"/>
        <v>109.20000000000005</v>
      </c>
      <c r="N430" t="str">
        <f t="shared" si="27"/>
        <v>Feb</v>
      </c>
    </row>
    <row r="431" spans="1:14" x14ac:dyDescent="0.3">
      <c r="A431" s="2" t="s">
        <v>497</v>
      </c>
      <c r="B431" s="6">
        <v>45694</v>
      </c>
      <c r="C431" s="2" t="s">
        <v>41</v>
      </c>
      <c r="D431" s="2" t="s">
        <v>35</v>
      </c>
      <c r="E431" s="2">
        <v>1</v>
      </c>
      <c r="F431" s="7">
        <v>179</v>
      </c>
      <c r="G431" s="8">
        <v>0</v>
      </c>
      <c r="H431" s="9" t="str">
        <f>INDEX(Products!$B$2:$B$37, MATCH(D431, Products!$A$2:$A$37, 0))</f>
        <v>Men's Linen Shirt</v>
      </c>
      <c r="I431" t="str">
        <f>INDEX(Products!$C$2:$C$37, MATCH(D431, Products!$A$2:$A$37, 0))</f>
        <v>Fashion</v>
      </c>
      <c r="J431">
        <f>INDEX(Products!$E$2:$E$37, MATCH(D431, Products!$A$2:$A$37, 0))</f>
        <v>70</v>
      </c>
      <c r="K431" s="9">
        <f t="shared" si="24"/>
        <v>179</v>
      </c>
      <c r="L431">
        <f t="shared" si="25"/>
        <v>70</v>
      </c>
      <c r="M431" s="9">
        <f t="shared" si="26"/>
        <v>109</v>
      </c>
      <c r="N431" t="str">
        <f t="shared" si="27"/>
        <v>Feb</v>
      </c>
    </row>
    <row r="432" spans="1:14" x14ac:dyDescent="0.3">
      <c r="A432" s="2" t="s">
        <v>498</v>
      </c>
      <c r="B432" s="6">
        <v>45694</v>
      </c>
      <c r="C432" s="2" t="s">
        <v>28</v>
      </c>
      <c r="D432" s="2" t="s">
        <v>58</v>
      </c>
      <c r="E432" s="2">
        <v>3</v>
      </c>
      <c r="F432" s="7">
        <v>459</v>
      </c>
      <c r="G432" s="8">
        <v>0.3</v>
      </c>
      <c r="H432" s="9" t="str">
        <f>INDEX(Products!$B$2:$B$37, MATCH(D432, Products!$A$2:$A$37, 0))</f>
        <v>Women's Abaya Classic</v>
      </c>
      <c r="I432" t="str">
        <f>INDEX(Products!$C$2:$C$37, MATCH(D432, Products!$A$2:$A$37, 0))</f>
        <v>Fashion</v>
      </c>
      <c r="J432">
        <f>INDEX(Products!$E$2:$E$37, MATCH(D432, Products!$A$2:$A$37, 0))</f>
        <v>190</v>
      </c>
      <c r="K432" s="9">
        <f t="shared" si="24"/>
        <v>963.9</v>
      </c>
      <c r="L432">
        <f t="shared" si="25"/>
        <v>570</v>
      </c>
      <c r="M432" s="9">
        <f t="shared" si="26"/>
        <v>393.9</v>
      </c>
      <c r="N432" t="str">
        <f t="shared" si="27"/>
        <v>Feb</v>
      </c>
    </row>
    <row r="433" spans="1:14" x14ac:dyDescent="0.3">
      <c r="A433" s="2" t="s">
        <v>499</v>
      </c>
      <c r="B433" s="6">
        <v>45694</v>
      </c>
      <c r="C433" s="2" t="s">
        <v>28</v>
      </c>
      <c r="D433" s="2" t="s">
        <v>37</v>
      </c>
      <c r="E433" s="2">
        <v>1</v>
      </c>
      <c r="F433" s="7">
        <v>249</v>
      </c>
      <c r="G433" s="8">
        <v>0</v>
      </c>
      <c r="H433" s="9" t="str">
        <f>INDEX(Products!$B$2:$B$37, MATCH(D433, Products!$A$2:$A$37, 0))</f>
        <v>Sunglasses Polarised</v>
      </c>
      <c r="I433" t="str">
        <f>INDEX(Products!$C$2:$C$37, MATCH(D433, Products!$A$2:$A$37, 0))</f>
        <v>Fashion</v>
      </c>
      <c r="J433">
        <f>INDEX(Products!$E$2:$E$37, MATCH(D433, Products!$A$2:$A$37, 0))</f>
        <v>95</v>
      </c>
      <c r="K433" s="9">
        <f t="shared" si="24"/>
        <v>249</v>
      </c>
      <c r="L433">
        <f t="shared" si="25"/>
        <v>95</v>
      </c>
      <c r="M433" s="9">
        <f t="shared" si="26"/>
        <v>154</v>
      </c>
      <c r="N433" t="str">
        <f t="shared" si="27"/>
        <v>Feb</v>
      </c>
    </row>
    <row r="434" spans="1:14" x14ac:dyDescent="0.3">
      <c r="A434" s="2" t="s">
        <v>500</v>
      </c>
      <c r="B434" s="6">
        <v>45694</v>
      </c>
      <c r="C434" s="2" t="s">
        <v>44</v>
      </c>
      <c r="D434" s="2" t="s">
        <v>52</v>
      </c>
      <c r="E434" s="2">
        <v>3</v>
      </c>
      <c r="F434" s="7">
        <v>299</v>
      </c>
      <c r="G434" s="8">
        <v>0.25</v>
      </c>
      <c r="H434" s="9" t="str">
        <f>INDEX(Products!$B$2:$B$37, MATCH(D434, Products!$A$2:$A$37, 0))</f>
        <v>Hair Dryer Ionic</v>
      </c>
      <c r="I434" t="str">
        <f>INDEX(Products!$C$2:$C$37, MATCH(D434, Products!$A$2:$A$37, 0))</f>
        <v>Beauty</v>
      </c>
      <c r="J434">
        <f>INDEX(Products!$E$2:$E$37, MATCH(D434, Products!$A$2:$A$37, 0))</f>
        <v>240</v>
      </c>
      <c r="K434" s="9">
        <f t="shared" si="24"/>
        <v>672.75</v>
      </c>
      <c r="L434">
        <f t="shared" si="25"/>
        <v>720</v>
      </c>
      <c r="M434" s="9">
        <f t="shared" si="26"/>
        <v>-47.25</v>
      </c>
      <c r="N434" t="str">
        <f t="shared" si="27"/>
        <v>Feb</v>
      </c>
    </row>
    <row r="435" spans="1:14" x14ac:dyDescent="0.3">
      <c r="A435" s="2" t="s">
        <v>501</v>
      </c>
      <c r="B435" s="6">
        <v>45694</v>
      </c>
      <c r="C435" s="2" t="s">
        <v>28</v>
      </c>
      <c r="D435" s="2" t="s">
        <v>49</v>
      </c>
      <c r="E435" s="2">
        <v>1</v>
      </c>
      <c r="F435" s="7">
        <v>149</v>
      </c>
      <c r="G435" s="8">
        <v>0.05</v>
      </c>
      <c r="H435" s="9" t="str">
        <f>INDEX(Products!$B$2:$B$37, MATCH(D435, Products!$A$2:$A$37, 0))</f>
        <v>Kids' Sneakers</v>
      </c>
      <c r="I435" t="str">
        <f>INDEX(Products!$C$2:$C$37, MATCH(D435, Products!$A$2:$A$37, 0))</f>
        <v>Fashion</v>
      </c>
      <c r="J435">
        <f>INDEX(Products!$E$2:$E$37, MATCH(D435, Products!$A$2:$A$37, 0))</f>
        <v>80</v>
      </c>
      <c r="K435" s="9">
        <f t="shared" si="24"/>
        <v>141.54999999999998</v>
      </c>
      <c r="L435">
        <f t="shared" si="25"/>
        <v>80</v>
      </c>
      <c r="M435" s="9">
        <f t="shared" si="26"/>
        <v>61.549999999999983</v>
      </c>
      <c r="N435" t="str">
        <f t="shared" si="27"/>
        <v>Feb</v>
      </c>
    </row>
    <row r="436" spans="1:14" x14ac:dyDescent="0.3">
      <c r="A436" s="2" t="s">
        <v>502</v>
      </c>
      <c r="B436" s="6">
        <v>45695</v>
      </c>
      <c r="C436" s="2" t="s">
        <v>28</v>
      </c>
      <c r="D436" s="2" t="s">
        <v>165</v>
      </c>
      <c r="E436" s="2">
        <v>1</v>
      </c>
      <c r="F436" s="7">
        <v>69</v>
      </c>
      <c r="G436" s="8">
        <v>0.15</v>
      </c>
      <c r="H436" s="9" t="str">
        <f>INDEX(Products!$B$2:$B$37, MATCH(D436, Products!$A$2:$A$37, 0))</f>
        <v>Swim Goggles</v>
      </c>
      <c r="I436" t="str">
        <f>INDEX(Products!$C$2:$C$37, MATCH(D436, Products!$A$2:$A$37, 0))</f>
        <v>Sports</v>
      </c>
      <c r="J436">
        <f>INDEX(Products!$E$2:$E$37, MATCH(D436, Products!$A$2:$A$37, 0))</f>
        <v>25</v>
      </c>
      <c r="K436" s="9">
        <f t="shared" si="24"/>
        <v>58.65</v>
      </c>
      <c r="L436">
        <f t="shared" si="25"/>
        <v>25</v>
      </c>
      <c r="M436" s="9">
        <f t="shared" si="26"/>
        <v>33.65</v>
      </c>
      <c r="N436" t="str">
        <f t="shared" si="27"/>
        <v>Feb</v>
      </c>
    </row>
    <row r="437" spans="1:14" x14ac:dyDescent="0.3">
      <c r="A437" s="2" t="s">
        <v>503</v>
      </c>
      <c r="B437" s="6">
        <v>45695</v>
      </c>
      <c r="C437" s="2" t="s">
        <v>31</v>
      </c>
      <c r="D437" s="2" t="s">
        <v>99</v>
      </c>
      <c r="E437" s="2">
        <v>3</v>
      </c>
      <c r="F437" s="7">
        <v>459</v>
      </c>
      <c r="G437" s="8">
        <v>0.1</v>
      </c>
      <c r="H437" s="9" t="str">
        <f>INDEX(Products!$B$2:$B$37, MATCH(D437, Products!$A$2:$A$37, 0))</f>
        <v>Gaming Headset X</v>
      </c>
      <c r="I437" t="str">
        <f>INDEX(Products!$C$2:$C$37, MATCH(D437, Products!$A$2:$A$37, 0))</f>
        <v>Electronics</v>
      </c>
      <c r="J437">
        <f>INDEX(Products!$E$2:$E$37, MATCH(D437, Products!$A$2:$A$37, 0))</f>
        <v>300</v>
      </c>
      <c r="K437" s="9">
        <f t="shared" si="24"/>
        <v>1239.3</v>
      </c>
      <c r="L437">
        <f t="shared" si="25"/>
        <v>900</v>
      </c>
      <c r="M437" s="9">
        <f t="shared" si="26"/>
        <v>339.29999999999995</v>
      </c>
      <c r="N437" t="str">
        <f t="shared" si="27"/>
        <v>Feb</v>
      </c>
    </row>
    <row r="438" spans="1:14" x14ac:dyDescent="0.3">
      <c r="A438" s="2" t="s">
        <v>504</v>
      </c>
      <c r="B438" s="6">
        <v>45695</v>
      </c>
      <c r="C438" s="2" t="s">
        <v>48</v>
      </c>
      <c r="D438" s="2" t="s">
        <v>78</v>
      </c>
      <c r="E438" s="2">
        <v>1</v>
      </c>
      <c r="F438" s="7">
        <v>499</v>
      </c>
      <c r="G438" s="8">
        <v>0.1</v>
      </c>
      <c r="H438" s="9" t="str">
        <f>INDEX(Products!$B$2:$B$37, MATCH(D438, Products!$A$2:$A$37, 0))</f>
        <v>Air Fryer 5L</v>
      </c>
      <c r="I438" t="str">
        <f>INDEX(Products!$C$2:$C$37, MATCH(D438, Products!$A$2:$A$37, 0))</f>
        <v>Home &amp; Kitchen</v>
      </c>
      <c r="J438">
        <f>INDEX(Products!$E$2:$E$37, MATCH(D438, Products!$A$2:$A$37, 0))</f>
        <v>290</v>
      </c>
      <c r="K438" s="9">
        <f t="shared" si="24"/>
        <v>449.1</v>
      </c>
      <c r="L438">
        <f t="shared" si="25"/>
        <v>290</v>
      </c>
      <c r="M438" s="9">
        <f t="shared" si="26"/>
        <v>159.10000000000002</v>
      </c>
      <c r="N438" t="str">
        <f t="shared" si="27"/>
        <v>Feb</v>
      </c>
    </row>
    <row r="439" spans="1:14" x14ac:dyDescent="0.3">
      <c r="A439" s="2" t="s">
        <v>505</v>
      </c>
      <c r="B439" s="6">
        <v>45695</v>
      </c>
      <c r="C439" s="2" t="s">
        <v>44</v>
      </c>
      <c r="D439" s="2" t="s">
        <v>129</v>
      </c>
      <c r="E439" s="2">
        <v>2</v>
      </c>
      <c r="F439" s="7">
        <v>149</v>
      </c>
      <c r="G439" s="8">
        <v>0</v>
      </c>
      <c r="H439" s="9" t="str">
        <f>INDEX(Products!$B$2:$B$37, MATCH(D439, Products!$A$2:$A$37, 0))</f>
        <v>Power Bank 20000mAh</v>
      </c>
      <c r="I439" t="str">
        <f>INDEX(Products!$C$2:$C$37, MATCH(D439, Products!$A$2:$A$37, 0))</f>
        <v>Electronics</v>
      </c>
      <c r="J439">
        <f>INDEX(Products!$E$2:$E$37, MATCH(D439, Products!$A$2:$A$37, 0))</f>
        <v>70</v>
      </c>
      <c r="K439" s="9">
        <f t="shared" si="24"/>
        <v>298</v>
      </c>
      <c r="L439">
        <f t="shared" si="25"/>
        <v>140</v>
      </c>
      <c r="M439" s="9">
        <f t="shared" si="26"/>
        <v>158</v>
      </c>
      <c r="N439" t="str">
        <f t="shared" si="27"/>
        <v>Feb</v>
      </c>
    </row>
    <row r="440" spans="1:14" x14ac:dyDescent="0.3">
      <c r="A440" s="2" t="s">
        <v>506</v>
      </c>
      <c r="B440" s="6">
        <v>45695</v>
      </c>
      <c r="C440" s="2" t="s">
        <v>41</v>
      </c>
      <c r="D440" s="2" t="s">
        <v>129</v>
      </c>
      <c r="E440" s="2">
        <v>3</v>
      </c>
      <c r="F440" s="7">
        <v>149</v>
      </c>
      <c r="G440" s="8">
        <v>0</v>
      </c>
      <c r="H440" s="9" t="str">
        <f>INDEX(Products!$B$2:$B$37, MATCH(D440, Products!$A$2:$A$37, 0))</f>
        <v>Power Bank 20000mAh</v>
      </c>
      <c r="I440" t="str">
        <f>INDEX(Products!$C$2:$C$37, MATCH(D440, Products!$A$2:$A$37, 0))</f>
        <v>Electronics</v>
      </c>
      <c r="J440">
        <f>INDEX(Products!$E$2:$E$37, MATCH(D440, Products!$A$2:$A$37, 0))</f>
        <v>70</v>
      </c>
      <c r="K440" s="9">
        <f t="shared" si="24"/>
        <v>447</v>
      </c>
      <c r="L440">
        <f t="shared" si="25"/>
        <v>210</v>
      </c>
      <c r="M440" s="9">
        <f t="shared" si="26"/>
        <v>237</v>
      </c>
      <c r="N440" t="str">
        <f t="shared" si="27"/>
        <v>Feb</v>
      </c>
    </row>
    <row r="441" spans="1:14" x14ac:dyDescent="0.3">
      <c r="A441" s="2" t="s">
        <v>507</v>
      </c>
      <c r="B441" s="6">
        <v>45695</v>
      </c>
      <c r="C441" s="2" t="s">
        <v>28</v>
      </c>
      <c r="D441" s="2" t="s">
        <v>68</v>
      </c>
      <c r="E441" s="2">
        <v>1</v>
      </c>
      <c r="F441" s="7">
        <v>249</v>
      </c>
      <c r="G441" s="8">
        <v>0.05</v>
      </c>
      <c r="H441" s="9" t="str">
        <f>INDEX(Products!$B$2:$B$37, MATCH(D441, Products!$A$2:$A$37, 0))</f>
        <v>Bluetooth Speaker Mini</v>
      </c>
      <c r="I441" t="str">
        <f>INDEX(Products!$C$2:$C$37, MATCH(D441, Products!$A$2:$A$37, 0))</f>
        <v>Electronics</v>
      </c>
      <c r="J441">
        <f>INDEX(Products!$E$2:$E$37, MATCH(D441, Products!$A$2:$A$37, 0))</f>
        <v>150</v>
      </c>
      <c r="K441" s="9">
        <f t="shared" si="24"/>
        <v>236.54999999999998</v>
      </c>
      <c r="L441">
        <f t="shared" si="25"/>
        <v>150</v>
      </c>
      <c r="M441" s="9">
        <f t="shared" si="26"/>
        <v>86.549999999999983</v>
      </c>
      <c r="N441" t="str">
        <f t="shared" si="27"/>
        <v>Feb</v>
      </c>
    </row>
    <row r="442" spans="1:14" x14ac:dyDescent="0.3">
      <c r="A442" s="2" t="s">
        <v>508</v>
      </c>
      <c r="B442" s="6">
        <v>45695</v>
      </c>
      <c r="C442" s="2" t="s">
        <v>41</v>
      </c>
      <c r="D442" s="2" t="s">
        <v>56</v>
      </c>
      <c r="E442" s="2">
        <v>2</v>
      </c>
      <c r="F442" s="7">
        <v>289</v>
      </c>
      <c r="G442" s="8">
        <v>0.1</v>
      </c>
      <c r="H442" s="9" t="str">
        <f>INDEX(Products!$B$2:$B$37, MATCH(D442, Products!$A$2:$A$37, 0))</f>
        <v>Ceramic Dinner Set</v>
      </c>
      <c r="I442" t="str">
        <f>INDEX(Products!$C$2:$C$37, MATCH(D442, Products!$A$2:$A$37, 0))</f>
        <v>Home &amp; Kitchen</v>
      </c>
      <c r="J442">
        <f>INDEX(Products!$E$2:$E$37, MATCH(D442, Products!$A$2:$A$37, 0))</f>
        <v>140</v>
      </c>
      <c r="K442" s="9">
        <f t="shared" si="24"/>
        <v>520.20000000000005</v>
      </c>
      <c r="L442">
        <f t="shared" si="25"/>
        <v>280</v>
      </c>
      <c r="M442" s="9">
        <f t="shared" si="26"/>
        <v>240.20000000000005</v>
      </c>
      <c r="N442" t="str">
        <f t="shared" si="27"/>
        <v>Feb</v>
      </c>
    </row>
    <row r="443" spans="1:14" x14ac:dyDescent="0.3">
      <c r="A443" s="2" t="s">
        <v>509</v>
      </c>
      <c r="B443" s="6">
        <v>45695</v>
      </c>
      <c r="C443" s="2" t="s">
        <v>28</v>
      </c>
      <c r="D443" s="2" t="s">
        <v>49</v>
      </c>
      <c r="E443" s="2">
        <v>1</v>
      </c>
      <c r="F443" s="7">
        <v>149</v>
      </c>
      <c r="G443" s="8">
        <v>0</v>
      </c>
      <c r="H443" s="9" t="str">
        <f>INDEX(Products!$B$2:$B$37, MATCH(D443, Products!$A$2:$A$37, 0))</f>
        <v>Kids' Sneakers</v>
      </c>
      <c r="I443" t="str">
        <f>INDEX(Products!$C$2:$C$37, MATCH(D443, Products!$A$2:$A$37, 0))</f>
        <v>Fashion</v>
      </c>
      <c r="J443">
        <f>INDEX(Products!$E$2:$E$37, MATCH(D443, Products!$A$2:$A$37, 0))</f>
        <v>80</v>
      </c>
      <c r="K443" s="9">
        <f t="shared" si="24"/>
        <v>149</v>
      </c>
      <c r="L443">
        <f t="shared" si="25"/>
        <v>80</v>
      </c>
      <c r="M443" s="9">
        <f t="shared" si="26"/>
        <v>69</v>
      </c>
      <c r="N443" t="str">
        <f t="shared" si="27"/>
        <v>Feb</v>
      </c>
    </row>
    <row r="444" spans="1:14" x14ac:dyDescent="0.3">
      <c r="A444" s="2" t="s">
        <v>510</v>
      </c>
      <c r="B444" s="6">
        <v>45695</v>
      </c>
      <c r="C444" s="2" t="s">
        <v>41</v>
      </c>
      <c r="D444" s="2" t="s">
        <v>80</v>
      </c>
      <c r="E444" s="2">
        <v>1</v>
      </c>
      <c r="F444" s="7">
        <v>149</v>
      </c>
      <c r="G444" s="8">
        <v>0</v>
      </c>
      <c r="H444" s="9" t="str">
        <f>INDEX(Products!$B$2:$B$37, MATCH(D444, Products!$A$2:$A$37, 0))</f>
        <v>Vitamin C Serum</v>
      </c>
      <c r="I444" t="str">
        <f>INDEX(Products!$C$2:$C$37, MATCH(D444, Products!$A$2:$A$37, 0))</f>
        <v>Beauty</v>
      </c>
      <c r="J444">
        <f>INDEX(Products!$E$2:$E$37, MATCH(D444, Products!$A$2:$A$37, 0))</f>
        <v>55</v>
      </c>
      <c r="K444" s="9">
        <f t="shared" si="24"/>
        <v>149</v>
      </c>
      <c r="L444">
        <f t="shared" si="25"/>
        <v>55</v>
      </c>
      <c r="M444" s="9">
        <f t="shared" si="26"/>
        <v>94</v>
      </c>
      <c r="N444" t="str">
        <f t="shared" si="27"/>
        <v>Feb</v>
      </c>
    </row>
    <row r="445" spans="1:14" x14ac:dyDescent="0.3">
      <c r="A445" s="2" t="s">
        <v>511</v>
      </c>
      <c r="B445" s="6">
        <v>45695</v>
      </c>
      <c r="C445" s="2" t="s">
        <v>28</v>
      </c>
      <c r="D445" s="2" t="s">
        <v>49</v>
      </c>
      <c r="E445" s="2">
        <v>3</v>
      </c>
      <c r="F445" s="7">
        <v>149</v>
      </c>
      <c r="G445" s="8">
        <v>0.2</v>
      </c>
      <c r="H445" s="9" t="str">
        <f>INDEX(Products!$B$2:$B$37, MATCH(D445, Products!$A$2:$A$37, 0))</f>
        <v>Kids' Sneakers</v>
      </c>
      <c r="I445" t="str">
        <f>INDEX(Products!$C$2:$C$37, MATCH(D445, Products!$A$2:$A$37, 0))</f>
        <v>Fashion</v>
      </c>
      <c r="J445">
        <f>INDEX(Products!$E$2:$E$37, MATCH(D445, Products!$A$2:$A$37, 0))</f>
        <v>80</v>
      </c>
      <c r="K445" s="9">
        <f t="shared" si="24"/>
        <v>357.6</v>
      </c>
      <c r="L445">
        <f t="shared" si="25"/>
        <v>240</v>
      </c>
      <c r="M445" s="9">
        <f t="shared" si="26"/>
        <v>117.60000000000002</v>
      </c>
      <c r="N445" t="str">
        <f t="shared" si="27"/>
        <v>Feb</v>
      </c>
    </row>
    <row r="446" spans="1:14" x14ac:dyDescent="0.3">
      <c r="A446" s="2" t="s">
        <v>512</v>
      </c>
      <c r="B446" s="6">
        <v>45695</v>
      </c>
      <c r="C446" s="2" t="s">
        <v>41</v>
      </c>
      <c r="D446" s="2" t="s">
        <v>83</v>
      </c>
      <c r="E446" s="2">
        <v>1</v>
      </c>
      <c r="F446" s="7">
        <v>229</v>
      </c>
      <c r="G446" s="8">
        <v>0</v>
      </c>
      <c r="H446" s="9" t="str">
        <f>INDEX(Products!$B$2:$B$37, MATCH(D446, Products!$A$2:$A$37, 0))</f>
        <v>Cycling Helmet</v>
      </c>
      <c r="I446" t="str">
        <f>INDEX(Products!$C$2:$C$37, MATCH(D446, Products!$A$2:$A$37, 0))</f>
        <v>Sports</v>
      </c>
      <c r="J446">
        <f>INDEX(Products!$E$2:$E$37, MATCH(D446, Products!$A$2:$A$37, 0))</f>
        <v>120</v>
      </c>
      <c r="K446" s="9">
        <f t="shared" si="24"/>
        <v>229</v>
      </c>
      <c r="L446">
        <f t="shared" si="25"/>
        <v>120</v>
      </c>
      <c r="M446" s="9">
        <f t="shared" si="26"/>
        <v>109</v>
      </c>
      <c r="N446" t="str">
        <f t="shared" si="27"/>
        <v>Feb</v>
      </c>
    </row>
    <row r="447" spans="1:14" x14ac:dyDescent="0.3">
      <c r="A447" s="2" t="s">
        <v>513</v>
      </c>
      <c r="B447" s="6">
        <v>45696</v>
      </c>
      <c r="C447" s="2" t="s">
        <v>31</v>
      </c>
      <c r="D447" s="2" t="s">
        <v>37</v>
      </c>
      <c r="E447" s="2">
        <v>1</v>
      </c>
      <c r="F447" s="7">
        <v>249</v>
      </c>
      <c r="G447" s="8">
        <v>0</v>
      </c>
      <c r="H447" s="9" t="str">
        <f>INDEX(Products!$B$2:$B$37, MATCH(D447, Products!$A$2:$A$37, 0))</f>
        <v>Sunglasses Polarised</v>
      </c>
      <c r="I447" t="str">
        <f>INDEX(Products!$C$2:$C$37, MATCH(D447, Products!$A$2:$A$37, 0))</f>
        <v>Fashion</v>
      </c>
      <c r="J447">
        <f>INDEX(Products!$E$2:$E$37, MATCH(D447, Products!$A$2:$A$37, 0))</f>
        <v>95</v>
      </c>
      <c r="K447" s="9">
        <f t="shared" si="24"/>
        <v>249</v>
      </c>
      <c r="L447">
        <f t="shared" si="25"/>
        <v>95</v>
      </c>
      <c r="M447" s="9">
        <f t="shared" si="26"/>
        <v>154</v>
      </c>
      <c r="N447" t="str">
        <f t="shared" si="27"/>
        <v>Feb</v>
      </c>
    </row>
    <row r="448" spans="1:14" x14ac:dyDescent="0.3">
      <c r="A448" s="2" t="s">
        <v>514</v>
      </c>
      <c r="B448" s="6">
        <v>45696</v>
      </c>
      <c r="C448" s="2" t="s">
        <v>44</v>
      </c>
      <c r="D448" s="2" t="s">
        <v>109</v>
      </c>
      <c r="E448" s="2">
        <v>1</v>
      </c>
      <c r="F448" s="7">
        <v>1499</v>
      </c>
      <c r="G448" s="8">
        <v>0</v>
      </c>
      <c r="H448" s="9" t="str">
        <f>INDEX(Products!$B$2:$B$37, MATCH(D448, Products!$A$2:$A$37, 0))</f>
        <v>Espresso Machine</v>
      </c>
      <c r="I448" t="str">
        <f>INDEX(Products!$C$2:$C$37, MATCH(D448, Products!$A$2:$A$37, 0))</f>
        <v>Home &amp; Kitchen</v>
      </c>
      <c r="J448">
        <f>INDEX(Products!$E$2:$E$37, MATCH(D448, Products!$A$2:$A$37, 0))</f>
        <v>1050</v>
      </c>
      <c r="K448" s="9">
        <f t="shared" si="24"/>
        <v>1499</v>
      </c>
      <c r="L448">
        <f t="shared" si="25"/>
        <v>1050</v>
      </c>
      <c r="M448" s="9">
        <f t="shared" si="26"/>
        <v>449</v>
      </c>
      <c r="N448" t="str">
        <f t="shared" si="27"/>
        <v>Feb</v>
      </c>
    </row>
    <row r="449" spans="1:14" x14ac:dyDescent="0.3">
      <c r="A449" s="2" t="s">
        <v>515</v>
      </c>
      <c r="B449" s="6">
        <v>45696</v>
      </c>
      <c r="C449" s="2" t="s">
        <v>44</v>
      </c>
      <c r="D449" s="2" t="s">
        <v>49</v>
      </c>
      <c r="E449" s="2">
        <v>3</v>
      </c>
      <c r="F449" s="7">
        <v>149</v>
      </c>
      <c r="G449" s="8">
        <v>0.15</v>
      </c>
      <c r="H449" s="9" t="str">
        <f>INDEX(Products!$B$2:$B$37, MATCH(D449, Products!$A$2:$A$37, 0))</f>
        <v>Kids' Sneakers</v>
      </c>
      <c r="I449" t="str">
        <f>INDEX(Products!$C$2:$C$37, MATCH(D449, Products!$A$2:$A$37, 0))</f>
        <v>Fashion</v>
      </c>
      <c r="J449">
        <f>INDEX(Products!$E$2:$E$37, MATCH(D449, Products!$A$2:$A$37, 0))</f>
        <v>80</v>
      </c>
      <c r="K449" s="9">
        <f t="shared" si="24"/>
        <v>379.95</v>
      </c>
      <c r="L449">
        <f t="shared" si="25"/>
        <v>240</v>
      </c>
      <c r="M449" s="9">
        <f t="shared" si="26"/>
        <v>139.94999999999999</v>
      </c>
      <c r="N449" t="str">
        <f t="shared" si="27"/>
        <v>Feb</v>
      </c>
    </row>
    <row r="450" spans="1:14" x14ac:dyDescent="0.3">
      <c r="A450" s="2" t="s">
        <v>516</v>
      </c>
      <c r="B450" s="6">
        <v>45696</v>
      </c>
      <c r="C450" s="2" t="s">
        <v>41</v>
      </c>
      <c r="D450" s="2" t="s">
        <v>39</v>
      </c>
      <c r="E450" s="2">
        <v>2</v>
      </c>
      <c r="F450" s="7">
        <v>199</v>
      </c>
      <c r="G450" s="8">
        <v>0</v>
      </c>
      <c r="H450" s="9" t="str">
        <f>INDEX(Products!$B$2:$B$37, MATCH(D450, Products!$A$2:$A$37, 0))</f>
        <v>Bakhoor Gift Set</v>
      </c>
      <c r="I450" t="str">
        <f>INDEX(Products!$C$2:$C$37, MATCH(D450, Products!$A$2:$A$37, 0))</f>
        <v>Beauty</v>
      </c>
      <c r="J450">
        <f>INDEX(Products!$E$2:$E$37, MATCH(D450, Products!$A$2:$A$37, 0))</f>
        <v>90</v>
      </c>
      <c r="K450" s="9">
        <f t="shared" ref="K450:K513" si="28">E450*F450*(1-G450)</f>
        <v>398</v>
      </c>
      <c r="L450">
        <f t="shared" ref="L450:L513" si="29">E450*J450</f>
        <v>180</v>
      </c>
      <c r="M450" s="9">
        <f t="shared" ref="M450:M513" si="30">K450-L450</f>
        <v>218</v>
      </c>
      <c r="N450" t="str">
        <f t="shared" ref="N450:N513" si="31">TEXT(B450,"mmm")</f>
        <v>Feb</v>
      </c>
    </row>
    <row r="451" spans="1:14" x14ac:dyDescent="0.3">
      <c r="A451" s="2" t="s">
        <v>517</v>
      </c>
      <c r="B451" s="6">
        <v>45696</v>
      </c>
      <c r="C451" s="2" t="s">
        <v>31</v>
      </c>
      <c r="D451" s="2" t="s">
        <v>33</v>
      </c>
      <c r="E451" s="2">
        <v>1</v>
      </c>
      <c r="F451" s="7">
        <v>199</v>
      </c>
      <c r="G451" s="8">
        <v>0.15</v>
      </c>
      <c r="H451" s="9" t="str">
        <f>INDEX(Products!$B$2:$B$37, MATCH(D451, Products!$A$2:$A$37, 0))</f>
        <v>Fitness Band Lite</v>
      </c>
      <c r="I451" t="str">
        <f>INDEX(Products!$C$2:$C$37, MATCH(D451, Products!$A$2:$A$37, 0))</f>
        <v>Electronics</v>
      </c>
      <c r="J451">
        <f>INDEX(Products!$E$2:$E$37, MATCH(D451, Products!$A$2:$A$37, 0))</f>
        <v>175</v>
      </c>
      <c r="K451" s="9">
        <f t="shared" si="28"/>
        <v>169.15</v>
      </c>
      <c r="L451">
        <f t="shared" si="29"/>
        <v>175</v>
      </c>
      <c r="M451" s="9">
        <f t="shared" si="30"/>
        <v>-5.8499999999999943</v>
      </c>
      <c r="N451" t="str">
        <f t="shared" si="31"/>
        <v>Feb</v>
      </c>
    </row>
    <row r="452" spans="1:14" x14ac:dyDescent="0.3">
      <c r="A452" s="2" t="s">
        <v>518</v>
      </c>
      <c r="B452" s="6">
        <v>45696</v>
      </c>
      <c r="C452" s="2" t="s">
        <v>44</v>
      </c>
      <c r="D452" s="2" t="s">
        <v>60</v>
      </c>
      <c r="E452" s="2">
        <v>1</v>
      </c>
      <c r="F452" s="7">
        <v>99</v>
      </c>
      <c r="G452" s="8">
        <v>0.1</v>
      </c>
      <c r="H452" s="9" t="str">
        <f>INDEX(Products!$B$2:$B$37, MATCH(D452, Products!$A$2:$A$37, 0))</f>
        <v>Football Size 5</v>
      </c>
      <c r="I452" t="str">
        <f>INDEX(Products!$C$2:$C$37, MATCH(D452, Products!$A$2:$A$37, 0))</f>
        <v>Sports</v>
      </c>
      <c r="J452">
        <f>INDEX(Products!$E$2:$E$37, MATCH(D452, Products!$A$2:$A$37, 0))</f>
        <v>45</v>
      </c>
      <c r="K452" s="9">
        <f t="shared" si="28"/>
        <v>89.100000000000009</v>
      </c>
      <c r="L452">
        <f t="shared" si="29"/>
        <v>45</v>
      </c>
      <c r="M452" s="9">
        <f t="shared" si="30"/>
        <v>44.100000000000009</v>
      </c>
      <c r="N452" t="str">
        <f t="shared" si="31"/>
        <v>Feb</v>
      </c>
    </row>
    <row r="453" spans="1:14" x14ac:dyDescent="0.3">
      <c r="A453" s="2" t="s">
        <v>519</v>
      </c>
      <c r="B453" s="6">
        <v>45696</v>
      </c>
      <c r="C453" s="2" t="s">
        <v>48</v>
      </c>
      <c r="D453" s="2" t="s">
        <v>60</v>
      </c>
      <c r="E453" s="2">
        <v>1</v>
      </c>
      <c r="F453" s="7">
        <v>99</v>
      </c>
      <c r="G453" s="8">
        <v>0.15</v>
      </c>
      <c r="H453" s="9" t="str">
        <f>INDEX(Products!$B$2:$B$37, MATCH(D453, Products!$A$2:$A$37, 0))</f>
        <v>Football Size 5</v>
      </c>
      <c r="I453" t="str">
        <f>INDEX(Products!$C$2:$C$37, MATCH(D453, Products!$A$2:$A$37, 0))</f>
        <v>Sports</v>
      </c>
      <c r="J453">
        <f>INDEX(Products!$E$2:$E$37, MATCH(D453, Products!$A$2:$A$37, 0))</f>
        <v>45</v>
      </c>
      <c r="K453" s="9">
        <f t="shared" si="28"/>
        <v>84.149999999999991</v>
      </c>
      <c r="L453">
        <f t="shared" si="29"/>
        <v>45</v>
      </c>
      <c r="M453" s="9">
        <f t="shared" si="30"/>
        <v>39.149999999999991</v>
      </c>
      <c r="N453" t="str">
        <f t="shared" si="31"/>
        <v>Feb</v>
      </c>
    </row>
    <row r="454" spans="1:14" x14ac:dyDescent="0.3">
      <c r="A454" s="2" t="s">
        <v>520</v>
      </c>
      <c r="B454" s="6">
        <v>45696</v>
      </c>
      <c r="C454" s="2" t="s">
        <v>44</v>
      </c>
      <c r="D454" s="2" t="s">
        <v>99</v>
      </c>
      <c r="E454" s="2">
        <v>1</v>
      </c>
      <c r="F454" s="7">
        <v>459</v>
      </c>
      <c r="G454" s="8">
        <v>0.3</v>
      </c>
      <c r="H454" s="9" t="str">
        <f>INDEX(Products!$B$2:$B$37, MATCH(D454, Products!$A$2:$A$37, 0))</f>
        <v>Gaming Headset X</v>
      </c>
      <c r="I454" t="str">
        <f>INDEX(Products!$C$2:$C$37, MATCH(D454, Products!$A$2:$A$37, 0))</f>
        <v>Electronics</v>
      </c>
      <c r="J454">
        <f>INDEX(Products!$E$2:$E$37, MATCH(D454, Products!$A$2:$A$37, 0))</f>
        <v>300</v>
      </c>
      <c r="K454" s="9">
        <f t="shared" si="28"/>
        <v>321.29999999999995</v>
      </c>
      <c r="L454">
        <f t="shared" si="29"/>
        <v>300</v>
      </c>
      <c r="M454" s="9">
        <f t="shared" si="30"/>
        <v>21.299999999999955</v>
      </c>
      <c r="N454" t="str">
        <f t="shared" si="31"/>
        <v>Feb</v>
      </c>
    </row>
    <row r="455" spans="1:14" x14ac:dyDescent="0.3">
      <c r="A455" s="2" t="s">
        <v>521</v>
      </c>
      <c r="B455" s="6">
        <v>45696</v>
      </c>
      <c r="C455" s="2" t="s">
        <v>41</v>
      </c>
      <c r="D455" s="2" t="s">
        <v>33</v>
      </c>
      <c r="E455" s="2">
        <v>1</v>
      </c>
      <c r="F455" s="7">
        <v>199</v>
      </c>
      <c r="G455" s="8">
        <v>0.25</v>
      </c>
      <c r="H455" s="9" t="str">
        <f>INDEX(Products!$B$2:$B$37, MATCH(D455, Products!$A$2:$A$37, 0))</f>
        <v>Fitness Band Lite</v>
      </c>
      <c r="I455" t="str">
        <f>INDEX(Products!$C$2:$C$37, MATCH(D455, Products!$A$2:$A$37, 0))</f>
        <v>Electronics</v>
      </c>
      <c r="J455">
        <f>INDEX(Products!$E$2:$E$37, MATCH(D455, Products!$A$2:$A$37, 0))</f>
        <v>175</v>
      </c>
      <c r="K455" s="9">
        <f t="shared" si="28"/>
        <v>149.25</v>
      </c>
      <c r="L455">
        <f t="shared" si="29"/>
        <v>175</v>
      </c>
      <c r="M455" s="9">
        <f t="shared" si="30"/>
        <v>-25.75</v>
      </c>
      <c r="N455" t="str">
        <f t="shared" si="31"/>
        <v>Feb</v>
      </c>
    </row>
    <row r="456" spans="1:14" x14ac:dyDescent="0.3">
      <c r="A456" s="2" t="s">
        <v>522</v>
      </c>
      <c r="B456" s="6">
        <v>45696</v>
      </c>
      <c r="C456" s="2" t="s">
        <v>48</v>
      </c>
      <c r="D456" s="2" t="s">
        <v>58</v>
      </c>
      <c r="E456" s="2">
        <v>2</v>
      </c>
      <c r="F456" s="7">
        <v>459</v>
      </c>
      <c r="G456" s="8">
        <v>0.15</v>
      </c>
      <c r="H456" s="9" t="str">
        <f>INDEX(Products!$B$2:$B$37, MATCH(D456, Products!$A$2:$A$37, 0))</f>
        <v>Women's Abaya Classic</v>
      </c>
      <c r="I456" t="str">
        <f>INDEX(Products!$C$2:$C$37, MATCH(D456, Products!$A$2:$A$37, 0))</f>
        <v>Fashion</v>
      </c>
      <c r="J456">
        <f>INDEX(Products!$E$2:$E$37, MATCH(D456, Products!$A$2:$A$37, 0))</f>
        <v>190</v>
      </c>
      <c r="K456" s="9">
        <f t="shared" si="28"/>
        <v>780.3</v>
      </c>
      <c r="L456">
        <f t="shared" si="29"/>
        <v>380</v>
      </c>
      <c r="M456" s="9">
        <f t="shared" si="30"/>
        <v>400.29999999999995</v>
      </c>
      <c r="N456" t="str">
        <f t="shared" si="31"/>
        <v>Feb</v>
      </c>
    </row>
    <row r="457" spans="1:14" x14ac:dyDescent="0.3">
      <c r="A457" s="2" t="s">
        <v>523</v>
      </c>
      <c r="B457" s="6">
        <v>45696</v>
      </c>
      <c r="C457" s="2" t="s">
        <v>44</v>
      </c>
      <c r="D457" s="2" t="s">
        <v>103</v>
      </c>
      <c r="E457" s="2">
        <v>2</v>
      </c>
      <c r="F457" s="7">
        <v>89</v>
      </c>
      <c r="G457" s="8">
        <v>0</v>
      </c>
      <c r="H457" s="9" t="str">
        <f>INDEX(Products!$B$2:$B$37, MATCH(D457, Products!$A$2:$A$37, 0))</f>
        <v>Sunscreen SPF50</v>
      </c>
      <c r="I457" t="str">
        <f>INDEX(Products!$C$2:$C$37, MATCH(D457, Products!$A$2:$A$37, 0))</f>
        <v>Beauty</v>
      </c>
      <c r="J457">
        <f>INDEX(Products!$E$2:$E$37, MATCH(D457, Products!$A$2:$A$37, 0))</f>
        <v>40</v>
      </c>
      <c r="K457" s="9">
        <f t="shared" si="28"/>
        <v>178</v>
      </c>
      <c r="L457">
        <f t="shared" si="29"/>
        <v>80</v>
      </c>
      <c r="M457" s="9">
        <f t="shared" si="30"/>
        <v>98</v>
      </c>
      <c r="N457" t="str">
        <f t="shared" si="31"/>
        <v>Feb</v>
      </c>
    </row>
    <row r="458" spans="1:14" x14ac:dyDescent="0.3">
      <c r="A458" s="2" t="s">
        <v>524</v>
      </c>
      <c r="B458" s="6">
        <v>45696</v>
      </c>
      <c r="C458" s="2" t="s">
        <v>28</v>
      </c>
      <c r="D458" s="2" t="s">
        <v>126</v>
      </c>
      <c r="E458" s="2">
        <v>2</v>
      </c>
      <c r="F458" s="7">
        <v>89</v>
      </c>
      <c r="G458" s="8">
        <v>0</v>
      </c>
      <c r="H458" s="9" t="str">
        <f>INDEX(Products!$B$2:$B$37, MATCH(D458, Products!$A$2:$A$37, 0))</f>
        <v>USB-C Fast Charger</v>
      </c>
      <c r="I458" t="str">
        <f>INDEX(Products!$C$2:$C$37, MATCH(D458, Products!$A$2:$A$37, 0))</f>
        <v>Electronics</v>
      </c>
      <c r="J458">
        <f>INDEX(Products!$E$2:$E$37, MATCH(D458, Products!$A$2:$A$37, 0))</f>
        <v>35</v>
      </c>
      <c r="K458" s="9">
        <f t="shared" si="28"/>
        <v>178</v>
      </c>
      <c r="L458">
        <f t="shared" si="29"/>
        <v>70</v>
      </c>
      <c r="M458" s="9">
        <f t="shared" si="30"/>
        <v>108</v>
      </c>
      <c r="N458" t="str">
        <f t="shared" si="31"/>
        <v>Feb</v>
      </c>
    </row>
    <row r="459" spans="1:14" x14ac:dyDescent="0.3">
      <c r="A459" s="2" t="s">
        <v>525</v>
      </c>
      <c r="B459" s="6">
        <v>45696</v>
      </c>
      <c r="C459" s="2" t="s">
        <v>48</v>
      </c>
      <c r="D459" s="2" t="s">
        <v>33</v>
      </c>
      <c r="E459" s="2">
        <v>2</v>
      </c>
      <c r="F459" s="7">
        <v>199</v>
      </c>
      <c r="G459" s="8">
        <v>0.1</v>
      </c>
      <c r="H459" s="9" t="str">
        <f>INDEX(Products!$B$2:$B$37, MATCH(D459, Products!$A$2:$A$37, 0))</f>
        <v>Fitness Band Lite</v>
      </c>
      <c r="I459" t="str">
        <f>INDEX(Products!$C$2:$C$37, MATCH(D459, Products!$A$2:$A$37, 0))</f>
        <v>Electronics</v>
      </c>
      <c r="J459">
        <f>INDEX(Products!$E$2:$E$37, MATCH(D459, Products!$A$2:$A$37, 0))</f>
        <v>175</v>
      </c>
      <c r="K459" s="9">
        <f t="shared" si="28"/>
        <v>358.2</v>
      </c>
      <c r="L459">
        <f t="shared" si="29"/>
        <v>350</v>
      </c>
      <c r="M459" s="9">
        <f t="shared" si="30"/>
        <v>8.1999999999999886</v>
      </c>
      <c r="N459" t="str">
        <f t="shared" si="31"/>
        <v>Feb</v>
      </c>
    </row>
    <row r="460" spans="1:14" x14ac:dyDescent="0.3">
      <c r="A460" s="2" t="s">
        <v>526</v>
      </c>
      <c r="B460" s="6">
        <v>45696</v>
      </c>
      <c r="C460" s="2" t="s">
        <v>48</v>
      </c>
      <c r="D460" s="2" t="s">
        <v>39</v>
      </c>
      <c r="E460" s="2">
        <v>1</v>
      </c>
      <c r="F460" s="7">
        <v>199</v>
      </c>
      <c r="G460" s="8">
        <v>0</v>
      </c>
      <c r="H460" s="9" t="str">
        <f>INDEX(Products!$B$2:$B$37, MATCH(D460, Products!$A$2:$A$37, 0))</f>
        <v>Bakhoor Gift Set</v>
      </c>
      <c r="I460" t="str">
        <f>INDEX(Products!$C$2:$C$37, MATCH(D460, Products!$A$2:$A$37, 0))</f>
        <v>Beauty</v>
      </c>
      <c r="J460">
        <f>INDEX(Products!$E$2:$E$37, MATCH(D460, Products!$A$2:$A$37, 0))</f>
        <v>90</v>
      </c>
      <c r="K460" s="9">
        <f t="shared" si="28"/>
        <v>199</v>
      </c>
      <c r="L460">
        <f t="shared" si="29"/>
        <v>90</v>
      </c>
      <c r="M460" s="9">
        <f t="shared" si="30"/>
        <v>109</v>
      </c>
      <c r="N460" t="str">
        <f t="shared" si="31"/>
        <v>Feb</v>
      </c>
    </row>
    <row r="461" spans="1:14" x14ac:dyDescent="0.3">
      <c r="A461" s="2" t="s">
        <v>527</v>
      </c>
      <c r="B461" s="6">
        <v>45696</v>
      </c>
      <c r="C461" s="2" t="s">
        <v>44</v>
      </c>
      <c r="D461" s="2" t="s">
        <v>33</v>
      </c>
      <c r="E461" s="2">
        <v>1</v>
      </c>
      <c r="F461" s="7">
        <v>199</v>
      </c>
      <c r="G461" s="8">
        <v>0.25</v>
      </c>
      <c r="H461" s="9" t="str">
        <f>INDEX(Products!$B$2:$B$37, MATCH(D461, Products!$A$2:$A$37, 0))</f>
        <v>Fitness Band Lite</v>
      </c>
      <c r="I461" t="str">
        <f>INDEX(Products!$C$2:$C$37, MATCH(D461, Products!$A$2:$A$37, 0))</f>
        <v>Electronics</v>
      </c>
      <c r="J461">
        <f>INDEX(Products!$E$2:$E$37, MATCH(D461, Products!$A$2:$A$37, 0))</f>
        <v>175</v>
      </c>
      <c r="K461" s="9">
        <f t="shared" si="28"/>
        <v>149.25</v>
      </c>
      <c r="L461">
        <f t="shared" si="29"/>
        <v>175</v>
      </c>
      <c r="M461" s="9">
        <f t="shared" si="30"/>
        <v>-25.75</v>
      </c>
      <c r="N461" t="str">
        <f t="shared" si="31"/>
        <v>Feb</v>
      </c>
    </row>
    <row r="462" spans="1:14" x14ac:dyDescent="0.3">
      <c r="A462" s="2" t="s">
        <v>528</v>
      </c>
      <c r="B462" s="6">
        <v>45696</v>
      </c>
      <c r="C462" s="2" t="s">
        <v>28</v>
      </c>
      <c r="D462" s="2" t="s">
        <v>46</v>
      </c>
      <c r="E462" s="2">
        <v>1</v>
      </c>
      <c r="F462" s="7">
        <v>189</v>
      </c>
      <c r="G462" s="8">
        <v>0.3</v>
      </c>
      <c r="H462" s="9" t="str">
        <f>INDEX(Products!$B$2:$B$37, MATCH(D462, Products!$A$2:$A$37, 0))</f>
        <v>Makeup Palette</v>
      </c>
      <c r="I462" t="str">
        <f>INDEX(Products!$C$2:$C$37, MATCH(D462, Products!$A$2:$A$37, 0))</f>
        <v>Beauty</v>
      </c>
      <c r="J462">
        <f>INDEX(Products!$E$2:$E$37, MATCH(D462, Products!$A$2:$A$37, 0))</f>
        <v>85</v>
      </c>
      <c r="K462" s="9">
        <f t="shared" si="28"/>
        <v>132.29999999999998</v>
      </c>
      <c r="L462">
        <f t="shared" si="29"/>
        <v>85</v>
      </c>
      <c r="M462" s="9">
        <f t="shared" si="30"/>
        <v>47.299999999999983</v>
      </c>
      <c r="N462" t="str">
        <f t="shared" si="31"/>
        <v>Feb</v>
      </c>
    </row>
    <row r="463" spans="1:14" x14ac:dyDescent="0.3">
      <c r="A463" s="2" t="s">
        <v>529</v>
      </c>
      <c r="B463" s="6">
        <v>45696</v>
      </c>
      <c r="C463" s="2" t="s">
        <v>44</v>
      </c>
      <c r="D463" s="2" t="s">
        <v>42</v>
      </c>
      <c r="E463" s="2">
        <v>2</v>
      </c>
      <c r="F463" s="7">
        <v>399</v>
      </c>
      <c r="G463" s="8">
        <v>0</v>
      </c>
      <c r="H463" s="9" t="str">
        <f>INDEX(Products!$B$2:$B$37, MATCH(D463, Products!$A$2:$A$37, 0))</f>
        <v>Wireless Earbuds Pro</v>
      </c>
      <c r="I463" t="str">
        <f>INDEX(Products!$C$2:$C$37, MATCH(D463, Products!$A$2:$A$37, 0))</f>
        <v>Electronics</v>
      </c>
      <c r="J463">
        <f>INDEX(Products!$E$2:$E$37, MATCH(D463, Products!$A$2:$A$37, 0))</f>
        <v>230</v>
      </c>
      <c r="K463" s="9">
        <f t="shared" si="28"/>
        <v>798</v>
      </c>
      <c r="L463">
        <f t="shared" si="29"/>
        <v>460</v>
      </c>
      <c r="M463" s="9">
        <f t="shared" si="30"/>
        <v>338</v>
      </c>
      <c r="N463" t="str">
        <f t="shared" si="31"/>
        <v>Feb</v>
      </c>
    </row>
    <row r="464" spans="1:14" x14ac:dyDescent="0.3">
      <c r="A464" s="2" t="s">
        <v>530</v>
      </c>
      <c r="B464" s="6">
        <v>45696</v>
      </c>
      <c r="C464" s="2" t="s">
        <v>31</v>
      </c>
      <c r="D464" s="2" t="s">
        <v>52</v>
      </c>
      <c r="E464" s="2">
        <v>1</v>
      </c>
      <c r="F464" s="7">
        <v>299</v>
      </c>
      <c r="G464" s="8">
        <v>0.15</v>
      </c>
      <c r="H464" s="9" t="str">
        <f>INDEX(Products!$B$2:$B$37, MATCH(D464, Products!$A$2:$A$37, 0))</f>
        <v>Hair Dryer Ionic</v>
      </c>
      <c r="I464" t="str">
        <f>INDEX(Products!$C$2:$C$37, MATCH(D464, Products!$A$2:$A$37, 0))</f>
        <v>Beauty</v>
      </c>
      <c r="J464">
        <f>INDEX(Products!$E$2:$E$37, MATCH(D464, Products!$A$2:$A$37, 0))</f>
        <v>240</v>
      </c>
      <c r="K464" s="9">
        <f t="shared" si="28"/>
        <v>254.15</v>
      </c>
      <c r="L464">
        <f t="shared" si="29"/>
        <v>240</v>
      </c>
      <c r="M464" s="9">
        <f t="shared" si="30"/>
        <v>14.150000000000006</v>
      </c>
      <c r="N464" t="str">
        <f t="shared" si="31"/>
        <v>Feb</v>
      </c>
    </row>
    <row r="465" spans="1:14" x14ac:dyDescent="0.3">
      <c r="A465" s="2" t="s">
        <v>531</v>
      </c>
      <c r="B465" s="6">
        <v>45696</v>
      </c>
      <c r="C465" s="2" t="s">
        <v>41</v>
      </c>
      <c r="D465" s="2" t="s">
        <v>149</v>
      </c>
      <c r="E465" s="2">
        <v>1</v>
      </c>
      <c r="F465" s="7">
        <v>399</v>
      </c>
      <c r="G465" s="8">
        <v>0</v>
      </c>
      <c r="H465" s="9" t="str">
        <f>INDEX(Products!$B$2:$B$37, MATCH(D465, Products!$A$2:$A$37, 0))</f>
        <v>Blender Pro 1200W</v>
      </c>
      <c r="I465" t="str">
        <f>INDEX(Products!$C$2:$C$37, MATCH(D465, Products!$A$2:$A$37, 0))</f>
        <v>Home &amp; Kitchen</v>
      </c>
      <c r="J465">
        <f>INDEX(Products!$E$2:$E$37, MATCH(D465, Products!$A$2:$A$37, 0))</f>
        <v>250</v>
      </c>
      <c r="K465" s="9">
        <f t="shared" si="28"/>
        <v>399</v>
      </c>
      <c r="L465">
        <f t="shared" si="29"/>
        <v>250</v>
      </c>
      <c r="M465" s="9">
        <f t="shared" si="30"/>
        <v>149</v>
      </c>
      <c r="N465" t="str">
        <f t="shared" si="31"/>
        <v>Feb</v>
      </c>
    </row>
    <row r="466" spans="1:14" x14ac:dyDescent="0.3">
      <c r="A466" s="2" t="s">
        <v>532</v>
      </c>
      <c r="B466" s="6">
        <v>45696</v>
      </c>
      <c r="C466" s="2" t="s">
        <v>31</v>
      </c>
      <c r="D466" s="2" t="s">
        <v>37</v>
      </c>
      <c r="E466" s="2">
        <v>2</v>
      </c>
      <c r="F466" s="7">
        <v>249</v>
      </c>
      <c r="G466" s="8">
        <v>0</v>
      </c>
      <c r="H466" s="9" t="str">
        <f>INDEX(Products!$B$2:$B$37, MATCH(D466, Products!$A$2:$A$37, 0))</f>
        <v>Sunglasses Polarised</v>
      </c>
      <c r="I466" t="str">
        <f>INDEX(Products!$C$2:$C$37, MATCH(D466, Products!$A$2:$A$37, 0))</f>
        <v>Fashion</v>
      </c>
      <c r="J466">
        <f>INDEX(Products!$E$2:$E$37, MATCH(D466, Products!$A$2:$A$37, 0))</f>
        <v>95</v>
      </c>
      <c r="K466" s="9">
        <f t="shared" si="28"/>
        <v>498</v>
      </c>
      <c r="L466">
        <f t="shared" si="29"/>
        <v>190</v>
      </c>
      <c r="M466" s="9">
        <f t="shared" si="30"/>
        <v>308</v>
      </c>
      <c r="N466" t="str">
        <f t="shared" si="31"/>
        <v>Feb</v>
      </c>
    </row>
    <row r="467" spans="1:14" x14ac:dyDescent="0.3">
      <c r="A467" s="2" t="s">
        <v>533</v>
      </c>
      <c r="B467" s="6">
        <v>45697</v>
      </c>
      <c r="C467" s="2" t="s">
        <v>28</v>
      </c>
      <c r="D467" s="2" t="s">
        <v>39</v>
      </c>
      <c r="E467" s="2">
        <v>2</v>
      </c>
      <c r="F467" s="7">
        <v>199</v>
      </c>
      <c r="G467" s="8">
        <v>0.2</v>
      </c>
      <c r="H467" s="9" t="str">
        <f>INDEX(Products!$B$2:$B$37, MATCH(D467, Products!$A$2:$A$37, 0))</f>
        <v>Bakhoor Gift Set</v>
      </c>
      <c r="I467" t="str">
        <f>INDEX(Products!$C$2:$C$37, MATCH(D467, Products!$A$2:$A$37, 0))</f>
        <v>Beauty</v>
      </c>
      <c r="J467">
        <f>INDEX(Products!$E$2:$E$37, MATCH(D467, Products!$A$2:$A$37, 0))</f>
        <v>90</v>
      </c>
      <c r="K467" s="9">
        <f t="shared" si="28"/>
        <v>318.40000000000003</v>
      </c>
      <c r="L467">
        <f t="shared" si="29"/>
        <v>180</v>
      </c>
      <c r="M467" s="9">
        <f t="shared" si="30"/>
        <v>138.40000000000003</v>
      </c>
      <c r="N467" t="str">
        <f t="shared" si="31"/>
        <v>Feb</v>
      </c>
    </row>
    <row r="468" spans="1:14" x14ac:dyDescent="0.3">
      <c r="A468" s="2" t="s">
        <v>534</v>
      </c>
      <c r="B468" s="6">
        <v>45697</v>
      </c>
      <c r="C468" s="2" t="s">
        <v>31</v>
      </c>
      <c r="D468" s="2" t="s">
        <v>194</v>
      </c>
      <c r="E468" s="2">
        <v>4</v>
      </c>
      <c r="F468" s="7">
        <v>699</v>
      </c>
      <c r="G468" s="8">
        <v>0</v>
      </c>
      <c r="H468" s="9" t="str">
        <f>INDEX(Products!$B$2:$B$37, MATCH(D468, Products!$A$2:$A$37, 0))</f>
        <v>Leather Handbag</v>
      </c>
      <c r="I468" t="str">
        <f>INDEX(Products!$C$2:$C$37, MATCH(D468, Products!$A$2:$A$37, 0))</f>
        <v>Fashion</v>
      </c>
      <c r="J468">
        <f>INDEX(Products!$E$2:$E$37, MATCH(D468, Products!$A$2:$A$37, 0))</f>
        <v>380</v>
      </c>
      <c r="K468" s="9">
        <f t="shared" si="28"/>
        <v>2796</v>
      </c>
      <c r="L468">
        <f t="shared" si="29"/>
        <v>1520</v>
      </c>
      <c r="M468" s="9">
        <f t="shared" si="30"/>
        <v>1276</v>
      </c>
      <c r="N468" t="str">
        <f t="shared" si="31"/>
        <v>Feb</v>
      </c>
    </row>
    <row r="469" spans="1:14" x14ac:dyDescent="0.3">
      <c r="A469" s="2" t="s">
        <v>535</v>
      </c>
      <c r="B469" s="6">
        <v>45697</v>
      </c>
      <c r="C469" s="2" t="s">
        <v>28</v>
      </c>
      <c r="D469" s="2" t="s">
        <v>35</v>
      </c>
      <c r="E469" s="2">
        <v>2</v>
      </c>
      <c r="F469" s="7">
        <v>179</v>
      </c>
      <c r="G469" s="8">
        <v>0.2</v>
      </c>
      <c r="H469" s="9" t="str">
        <f>INDEX(Products!$B$2:$B$37, MATCH(D469, Products!$A$2:$A$37, 0))</f>
        <v>Men's Linen Shirt</v>
      </c>
      <c r="I469" t="str">
        <f>INDEX(Products!$C$2:$C$37, MATCH(D469, Products!$A$2:$A$37, 0))</f>
        <v>Fashion</v>
      </c>
      <c r="J469">
        <f>INDEX(Products!$E$2:$E$37, MATCH(D469, Products!$A$2:$A$37, 0))</f>
        <v>70</v>
      </c>
      <c r="K469" s="9">
        <f t="shared" si="28"/>
        <v>286.40000000000003</v>
      </c>
      <c r="L469">
        <f t="shared" si="29"/>
        <v>140</v>
      </c>
      <c r="M469" s="9">
        <f t="shared" si="30"/>
        <v>146.40000000000003</v>
      </c>
      <c r="N469" t="str">
        <f t="shared" si="31"/>
        <v>Feb</v>
      </c>
    </row>
    <row r="470" spans="1:14" x14ac:dyDescent="0.3">
      <c r="A470" s="2" t="s">
        <v>536</v>
      </c>
      <c r="B470" s="6">
        <v>45697</v>
      </c>
      <c r="C470" s="2" t="s">
        <v>48</v>
      </c>
      <c r="D470" s="2" t="s">
        <v>35</v>
      </c>
      <c r="E470" s="2">
        <v>1</v>
      </c>
      <c r="F470" s="7">
        <v>179</v>
      </c>
      <c r="G470" s="8">
        <v>0</v>
      </c>
      <c r="H470" s="9" t="str">
        <f>INDEX(Products!$B$2:$B$37, MATCH(D470, Products!$A$2:$A$37, 0))</f>
        <v>Men's Linen Shirt</v>
      </c>
      <c r="I470" t="str">
        <f>INDEX(Products!$C$2:$C$37, MATCH(D470, Products!$A$2:$A$37, 0))</f>
        <v>Fashion</v>
      </c>
      <c r="J470">
        <f>INDEX(Products!$E$2:$E$37, MATCH(D470, Products!$A$2:$A$37, 0))</f>
        <v>70</v>
      </c>
      <c r="K470" s="9">
        <f t="shared" si="28"/>
        <v>179</v>
      </c>
      <c r="L470">
        <f t="shared" si="29"/>
        <v>70</v>
      </c>
      <c r="M470" s="9">
        <f t="shared" si="30"/>
        <v>109</v>
      </c>
      <c r="N470" t="str">
        <f t="shared" si="31"/>
        <v>Feb</v>
      </c>
    </row>
    <row r="471" spans="1:14" x14ac:dyDescent="0.3">
      <c r="A471" s="2" t="s">
        <v>537</v>
      </c>
      <c r="B471" s="6">
        <v>45697</v>
      </c>
      <c r="C471" s="2" t="s">
        <v>31</v>
      </c>
      <c r="D471" s="2" t="s">
        <v>60</v>
      </c>
      <c r="E471" s="2">
        <v>2</v>
      </c>
      <c r="F471" s="7">
        <v>99</v>
      </c>
      <c r="G471" s="8">
        <v>0.3</v>
      </c>
      <c r="H471" s="9" t="str">
        <f>INDEX(Products!$B$2:$B$37, MATCH(D471, Products!$A$2:$A$37, 0))</f>
        <v>Football Size 5</v>
      </c>
      <c r="I471" t="str">
        <f>INDEX(Products!$C$2:$C$37, MATCH(D471, Products!$A$2:$A$37, 0))</f>
        <v>Sports</v>
      </c>
      <c r="J471">
        <f>INDEX(Products!$E$2:$E$37, MATCH(D471, Products!$A$2:$A$37, 0))</f>
        <v>45</v>
      </c>
      <c r="K471" s="9">
        <f t="shared" si="28"/>
        <v>138.6</v>
      </c>
      <c r="L471">
        <f t="shared" si="29"/>
        <v>90</v>
      </c>
      <c r="M471" s="9">
        <f t="shared" si="30"/>
        <v>48.599999999999994</v>
      </c>
      <c r="N471" t="str">
        <f t="shared" si="31"/>
        <v>Feb</v>
      </c>
    </row>
    <row r="472" spans="1:14" x14ac:dyDescent="0.3">
      <c r="A472" s="2" t="s">
        <v>538</v>
      </c>
      <c r="B472" s="6">
        <v>45697</v>
      </c>
      <c r="C472" s="2" t="s">
        <v>31</v>
      </c>
      <c r="D472" s="2" t="s">
        <v>33</v>
      </c>
      <c r="E472" s="2">
        <v>1</v>
      </c>
      <c r="F472" s="7">
        <v>199</v>
      </c>
      <c r="G472" s="8">
        <v>0.15</v>
      </c>
      <c r="H472" s="9" t="str">
        <f>INDEX(Products!$B$2:$B$37, MATCH(D472, Products!$A$2:$A$37, 0))</f>
        <v>Fitness Band Lite</v>
      </c>
      <c r="I472" t="str">
        <f>INDEX(Products!$C$2:$C$37, MATCH(D472, Products!$A$2:$A$37, 0))</f>
        <v>Electronics</v>
      </c>
      <c r="J472">
        <f>INDEX(Products!$E$2:$E$37, MATCH(D472, Products!$A$2:$A$37, 0))</f>
        <v>175</v>
      </c>
      <c r="K472" s="9">
        <f t="shared" si="28"/>
        <v>169.15</v>
      </c>
      <c r="L472">
        <f t="shared" si="29"/>
        <v>175</v>
      </c>
      <c r="M472" s="9">
        <f t="shared" si="30"/>
        <v>-5.8499999999999943</v>
      </c>
      <c r="N472" t="str">
        <f t="shared" si="31"/>
        <v>Feb</v>
      </c>
    </row>
    <row r="473" spans="1:14" x14ac:dyDescent="0.3">
      <c r="A473" s="2" t="s">
        <v>539</v>
      </c>
      <c r="B473" s="6">
        <v>45697</v>
      </c>
      <c r="C473" s="2" t="s">
        <v>28</v>
      </c>
      <c r="D473" s="2" t="s">
        <v>52</v>
      </c>
      <c r="E473" s="2">
        <v>1</v>
      </c>
      <c r="F473" s="7">
        <v>299</v>
      </c>
      <c r="G473" s="8">
        <v>0.1</v>
      </c>
      <c r="H473" s="9" t="str">
        <f>INDEX(Products!$B$2:$B$37, MATCH(D473, Products!$A$2:$A$37, 0))</f>
        <v>Hair Dryer Ionic</v>
      </c>
      <c r="I473" t="str">
        <f>INDEX(Products!$C$2:$C$37, MATCH(D473, Products!$A$2:$A$37, 0))</f>
        <v>Beauty</v>
      </c>
      <c r="J473">
        <f>INDEX(Products!$E$2:$E$37, MATCH(D473, Products!$A$2:$A$37, 0))</f>
        <v>240</v>
      </c>
      <c r="K473" s="9">
        <f t="shared" si="28"/>
        <v>269.10000000000002</v>
      </c>
      <c r="L473">
        <f t="shared" si="29"/>
        <v>240</v>
      </c>
      <c r="M473" s="9">
        <f t="shared" si="30"/>
        <v>29.100000000000023</v>
      </c>
      <c r="N473" t="str">
        <f t="shared" si="31"/>
        <v>Feb</v>
      </c>
    </row>
    <row r="474" spans="1:14" x14ac:dyDescent="0.3">
      <c r="A474" s="2" t="s">
        <v>540</v>
      </c>
      <c r="B474" s="6">
        <v>45697</v>
      </c>
      <c r="C474" s="2" t="s">
        <v>44</v>
      </c>
      <c r="D474" s="2" t="s">
        <v>42</v>
      </c>
      <c r="E474" s="2">
        <v>1</v>
      </c>
      <c r="F474" s="7">
        <v>399</v>
      </c>
      <c r="G474" s="8">
        <v>0</v>
      </c>
      <c r="H474" s="9" t="str">
        <f>INDEX(Products!$B$2:$B$37, MATCH(D474, Products!$A$2:$A$37, 0))</f>
        <v>Wireless Earbuds Pro</v>
      </c>
      <c r="I474" t="str">
        <f>INDEX(Products!$C$2:$C$37, MATCH(D474, Products!$A$2:$A$37, 0))</f>
        <v>Electronics</v>
      </c>
      <c r="J474">
        <f>INDEX(Products!$E$2:$E$37, MATCH(D474, Products!$A$2:$A$37, 0))</f>
        <v>230</v>
      </c>
      <c r="K474" s="9">
        <f t="shared" si="28"/>
        <v>399</v>
      </c>
      <c r="L474">
        <f t="shared" si="29"/>
        <v>230</v>
      </c>
      <c r="M474" s="9">
        <f t="shared" si="30"/>
        <v>169</v>
      </c>
      <c r="N474" t="str">
        <f t="shared" si="31"/>
        <v>Feb</v>
      </c>
    </row>
    <row r="475" spans="1:14" x14ac:dyDescent="0.3">
      <c r="A475" s="2" t="s">
        <v>541</v>
      </c>
      <c r="B475" s="6">
        <v>45697</v>
      </c>
      <c r="C475" s="2" t="s">
        <v>44</v>
      </c>
      <c r="D475" s="2" t="s">
        <v>126</v>
      </c>
      <c r="E475" s="2">
        <v>1</v>
      </c>
      <c r="F475" s="7">
        <v>89</v>
      </c>
      <c r="G475" s="8">
        <v>0.2</v>
      </c>
      <c r="H475" s="9" t="str">
        <f>INDEX(Products!$B$2:$B$37, MATCH(D475, Products!$A$2:$A$37, 0))</f>
        <v>USB-C Fast Charger</v>
      </c>
      <c r="I475" t="str">
        <f>INDEX(Products!$C$2:$C$37, MATCH(D475, Products!$A$2:$A$37, 0))</f>
        <v>Electronics</v>
      </c>
      <c r="J475">
        <f>INDEX(Products!$E$2:$E$37, MATCH(D475, Products!$A$2:$A$37, 0))</f>
        <v>35</v>
      </c>
      <c r="K475" s="9">
        <f t="shared" si="28"/>
        <v>71.2</v>
      </c>
      <c r="L475">
        <f t="shared" si="29"/>
        <v>35</v>
      </c>
      <c r="M475" s="9">
        <f t="shared" si="30"/>
        <v>36.200000000000003</v>
      </c>
      <c r="N475" t="str">
        <f t="shared" si="31"/>
        <v>Feb</v>
      </c>
    </row>
    <row r="476" spans="1:14" x14ac:dyDescent="0.3">
      <c r="A476" s="2" t="s">
        <v>542</v>
      </c>
      <c r="B476" s="6">
        <v>45697</v>
      </c>
      <c r="C476" s="2" t="s">
        <v>41</v>
      </c>
      <c r="D476" s="2" t="s">
        <v>52</v>
      </c>
      <c r="E476" s="2">
        <v>1</v>
      </c>
      <c r="F476" s="7">
        <v>299</v>
      </c>
      <c r="G476" s="8">
        <v>0.1</v>
      </c>
      <c r="H476" s="9" t="str">
        <f>INDEX(Products!$B$2:$B$37, MATCH(D476, Products!$A$2:$A$37, 0))</f>
        <v>Hair Dryer Ionic</v>
      </c>
      <c r="I476" t="str">
        <f>INDEX(Products!$C$2:$C$37, MATCH(D476, Products!$A$2:$A$37, 0))</f>
        <v>Beauty</v>
      </c>
      <c r="J476">
        <f>INDEX(Products!$E$2:$E$37, MATCH(D476, Products!$A$2:$A$37, 0))</f>
        <v>240</v>
      </c>
      <c r="K476" s="9">
        <f t="shared" si="28"/>
        <v>269.10000000000002</v>
      </c>
      <c r="L476">
        <f t="shared" si="29"/>
        <v>240</v>
      </c>
      <c r="M476" s="9">
        <f t="shared" si="30"/>
        <v>29.100000000000023</v>
      </c>
      <c r="N476" t="str">
        <f t="shared" si="31"/>
        <v>Feb</v>
      </c>
    </row>
    <row r="477" spans="1:14" x14ac:dyDescent="0.3">
      <c r="A477" s="2" t="s">
        <v>543</v>
      </c>
      <c r="B477" s="6">
        <v>45697</v>
      </c>
      <c r="C477" s="2" t="s">
        <v>28</v>
      </c>
      <c r="D477" s="2" t="s">
        <v>103</v>
      </c>
      <c r="E477" s="2">
        <v>1</v>
      </c>
      <c r="F477" s="7">
        <v>89</v>
      </c>
      <c r="G477" s="8">
        <v>0</v>
      </c>
      <c r="H477" s="9" t="str">
        <f>INDEX(Products!$B$2:$B$37, MATCH(D477, Products!$A$2:$A$37, 0))</f>
        <v>Sunscreen SPF50</v>
      </c>
      <c r="I477" t="str">
        <f>INDEX(Products!$C$2:$C$37, MATCH(D477, Products!$A$2:$A$37, 0))</f>
        <v>Beauty</v>
      </c>
      <c r="J477">
        <f>INDEX(Products!$E$2:$E$37, MATCH(D477, Products!$A$2:$A$37, 0))</f>
        <v>40</v>
      </c>
      <c r="K477" s="9">
        <f t="shared" si="28"/>
        <v>89</v>
      </c>
      <c r="L477">
        <f t="shared" si="29"/>
        <v>40</v>
      </c>
      <c r="M477" s="9">
        <f t="shared" si="30"/>
        <v>49</v>
      </c>
      <c r="N477" t="str">
        <f t="shared" si="31"/>
        <v>Feb</v>
      </c>
    </row>
    <row r="478" spans="1:14" x14ac:dyDescent="0.3">
      <c r="A478" s="2" t="s">
        <v>544</v>
      </c>
      <c r="B478" s="6">
        <v>45697</v>
      </c>
      <c r="C478" s="2" t="s">
        <v>41</v>
      </c>
      <c r="D478" s="2" t="s">
        <v>33</v>
      </c>
      <c r="E478" s="2">
        <v>1</v>
      </c>
      <c r="F478" s="7">
        <v>199</v>
      </c>
      <c r="G478" s="8">
        <v>0.15</v>
      </c>
      <c r="H478" s="9" t="str">
        <f>INDEX(Products!$B$2:$B$37, MATCH(D478, Products!$A$2:$A$37, 0))</f>
        <v>Fitness Band Lite</v>
      </c>
      <c r="I478" t="str">
        <f>INDEX(Products!$C$2:$C$37, MATCH(D478, Products!$A$2:$A$37, 0))</f>
        <v>Electronics</v>
      </c>
      <c r="J478">
        <f>INDEX(Products!$E$2:$E$37, MATCH(D478, Products!$A$2:$A$37, 0))</f>
        <v>175</v>
      </c>
      <c r="K478" s="9">
        <f t="shared" si="28"/>
        <v>169.15</v>
      </c>
      <c r="L478">
        <f t="shared" si="29"/>
        <v>175</v>
      </c>
      <c r="M478" s="9">
        <f t="shared" si="30"/>
        <v>-5.8499999999999943</v>
      </c>
      <c r="N478" t="str">
        <f t="shared" si="31"/>
        <v>Feb</v>
      </c>
    </row>
    <row r="479" spans="1:14" x14ac:dyDescent="0.3">
      <c r="A479" s="2" t="s">
        <v>545</v>
      </c>
      <c r="B479" s="6">
        <v>45697</v>
      </c>
      <c r="C479" s="2" t="s">
        <v>41</v>
      </c>
      <c r="D479" s="2" t="s">
        <v>39</v>
      </c>
      <c r="E479" s="2">
        <v>1</v>
      </c>
      <c r="F479" s="7">
        <v>199</v>
      </c>
      <c r="G479" s="8">
        <v>0.05</v>
      </c>
      <c r="H479" s="9" t="str">
        <f>INDEX(Products!$B$2:$B$37, MATCH(D479, Products!$A$2:$A$37, 0))</f>
        <v>Bakhoor Gift Set</v>
      </c>
      <c r="I479" t="str">
        <f>INDEX(Products!$C$2:$C$37, MATCH(D479, Products!$A$2:$A$37, 0))</f>
        <v>Beauty</v>
      </c>
      <c r="J479">
        <f>INDEX(Products!$E$2:$E$37, MATCH(D479, Products!$A$2:$A$37, 0))</f>
        <v>90</v>
      </c>
      <c r="K479" s="9">
        <f t="shared" si="28"/>
        <v>189.04999999999998</v>
      </c>
      <c r="L479">
        <f t="shared" si="29"/>
        <v>90</v>
      </c>
      <c r="M479" s="9">
        <f t="shared" si="30"/>
        <v>99.049999999999983</v>
      </c>
      <c r="N479" t="str">
        <f t="shared" si="31"/>
        <v>Feb</v>
      </c>
    </row>
    <row r="480" spans="1:14" x14ac:dyDescent="0.3">
      <c r="A480" s="2" t="s">
        <v>546</v>
      </c>
      <c r="B480" s="6">
        <v>45697</v>
      </c>
      <c r="C480" s="2" t="s">
        <v>28</v>
      </c>
      <c r="D480" s="2" t="s">
        <v>56</v>
      </c>
      <c r="E480" s="2">
        <v>2</v>
      </c>
      <c r="F480" s="7">
        <v>289</v>
      </c>
      <c r="G480" s="8">
        <v>0.05</v>
      </c>
      <c r="H480" s="9" t="str">
        <f>INDEX(Products!$B$2:$B$37, MATCH(D480, Products!$A$2:$A$37, 0))</f>
        <v>Ceramic Dinner Set</v>
      </c>
      <c r="I480" t="str">
        <f>INDEX(Products!$C$2:$C$37, MATCH(D480, Products!$A$2:$A$37, 0))</f>
        <v>Home &amp; Kitchen</v>
      </c>
      <c r="J480">
        <f>INDEX(Products!$E$2:$E$37, MATCH(D480, Products!$A$2:$A$37, 0))</f>
        <v>140</v>
      </c>
      <c r="K480" s="9">
        <f t="shared" si="28"/>
        <v>549.1</v>
      </c>
      <c r="L480">
        <f t="shared" si="29"/>
        <v>280</v>
      </c>
      <c r="M480" s="9">
        <f t="shared" si="30"/>
        <v>269.10000000000002</v>
      </c>
      <c r="N480" t="str">
        <f t="shared" si="31"/>
        <v>Feb</v>
      </c>
    </row>
    <row r="481" spans="1:14" x14ac:dyDescent="0.3">
      <c r="A481" s="2" t="s">
        <v>547</v>
      </c>
      <c r="B481" s="6">
        <v>45697</v>
      </c>
      <c r="C481" s="2" t="s">
        <v>41</v>
      </c>
      <c r="D481" s="2" t="s">
        <v>68</v>
      </c>
      <c r="E481" s="2">
        <v>3</v>
      </c>
      <c r="F481" s="7">
        <v>249</v>
      </c>
      <c r="G481" s="8">
        <v>0</v>
      </c>
      <c r="H481" s="9" t="str">
        <f>INDEX(Products!$B$2:$B$37, MATCH(D481, Products!$A$2:$A$37, 0))</f>
        <v>Bluetooth Speaker Mini</v>
      </c>
      <c r="I481" t="str">
        <f>INDEX(Products!$C$2:$C$37, MATCH(D481, Products!$A$2:$A$37, 0))</f>
        <v>Electronics</v>
      </c>
      <c r="J481">
        <f>INDEX(Products!$E$2:$E$37, MATCH(D481, Products!$A$2:$A$37, 0))</f>
        <v>150</v>
      </c>
      <c r="K481" s="9">
        <f t="shared" si="28"/>
        <v>747</v>
      </c>
      <c r="L481">
        <f t="shared" si="29"/>
        <v>450</v>
      </c>
      <c r="M481" s="9">
        <f t="shared" si="30"/>
        <v>297</v>
      </c>
      <c r="N481" t="str">
        <f t="shared" si="31"/>
        <v>Feb</v>
      </c>
    </row>
    <row r="482" spans="1:14" x14ac:dyDescent="0.3">
      <c r="A482" s="2" t="s">
        <v>548</v>
      </c>
      <c r="B482" s="6">
        <v>45697</v>
      </c>
      <c r="C482" s="2" t="s">
        <v>41</v>
      </c>
      <c r="D482" s="2" t="s">
        <v>39</v>
      </c>
      <c r="E482" s="2">
        <v>2</v>
      </c>
      <c r="F482" s="7">
        <v>199</v>
      </c>
      <c r="G482" s="8">
        <v>0.05</v>
      </c>
      <c r="H482" s="9" t="str">
        <f>INDEX(Products!$B$2:$B$37, MATCH(D482, Products!$A$2:$A$37, 0))</f>
        <v>Bakhoor Gift Set</v>
      </c>
      <c r="I482" t="str">
        <f>INDEX(Products!$C$2:$C$37, MATCH(D482, Products!$A$2:$A$37, 0))</f>
        <v>Beauty</v>
      </c>
      <c r="J482">
        <f>INDEX(Products!$E$2:$E$37, MATCH(D482, Products!$A$2:$A$37, 0))</f>
        <v>90</v>
      </c>
      <c r="K482" s="9">
        <f t="shared" si="28"/>
        <v>378.09999999999997</v>
      </c>
      <c r="L482">
        <f t="shared" si="29"/>
        <v>180</v>
      </c>
      <c r="M482" s="9">
        <f t="shared" si="30"/>
        <v>198.09999999999997</v>
      </c>
      <c r="N482" t="str">
        <f t="shared" si="31"/>
        <v>Feb</v>
      </c>
    </row>
    <row r="483" spans="1:14" x14ac:dyDescent="0.3">
      <c r="A483" s="2" t="s">
        <v>549</v>
      </c>
      <c r="B483" s="6">
        <v>45697</v>
      </c>
      <c r="C483" s="2" t="s">
        <v>44</v>
      </c>
      <c r="D483" s="2" t="s">
        <v>92</v>
      </c>
      <c r="E483" s="2">
        <v>4</v>
      </c>
      <c r="F483" s="7">
        <v>349</v>
      </c>
      <c r="G483" s="8">
        <v>0</v>
      </c>
      <c r="H483" s="9" t="str">
        <f>INDEX(Products!$B$2:$B$37, MATCH(D483, Products!$A$2:$A$37, 0))</f>
        <v>Non-stick Cookware Set</v>
      </c>
      <c r="I483" t="str">
        <f>INDEX(Products!$C$2:$C$37, MATCH(D483, Products!$A$2:$A$37, 0))</f>
        <v>Home &amp; Kitchen</v>
      </c>
      <c r="J483">
        <f>INDEX(Products!$E$2:$E$37, MATCH(D483, Products!$A$2:$A$37, 0))</f>
        <v>170</v>
      </c>
      <c r="K483" s="9">
        <f t="shared" si="28"/>
        <v>1396</v>
      </c>
      <c r="L483">
        <f t="shared" si="29"/>
        <v>680</v>
      </c>
      <c r="M483" s="9">
        <f t="shared" si="30"/>
        <v>716</v>
      </c>
      <c r="N483" t="str">
        <f t="shared" si="31"/>
        <v>Feb</v>
      </c>
    </row>
    <row r="484" spans="1:14" x14ac:dyDescent="0.3">
      <c r="A484" s="2" t="s">
        <v>550</v>
      </c>
      <c r="B484" s="6">
        <v>45698</v>
      </c>
      <c r="C484" s="2" t="s">
        <v>48</v>
      </c>
      <c r="D484" s="2" t="s">
        <v>37</v>
      </c>
      <c r="E484" s="2">
        <v>2</v>
      </c>
      <c r="F484" s="7">
        <v>249</v>
      </c>
      <c r="G484" s="8">
        <v>0.3</v>
      </c>
      <c r="H484" s="9" t="str">
        <f>INDEX(Products!$B$2:$B$37, MATCH(D484, Products!$A$2:$A$37, 0))</f>
        <v>Sunglasses Polarised</v>
      </c>
      <c r="I484" t="str">
        <f>INDEX(Products!$C$2:$C$37, MATCH(D484, Products!$A$2:$A$37, 0))</f>
        <v>Fashion</v>
      </c>
      <c r="J484">
        <f>INDEX(Products!$E$2:$E$37, MATCH(D484, Products!$A$2:$A$37, 0))</f>
        <v>95</v>
      </c>
      <c r="K484" s="9">
        <f t="shared" si="28"/>
        <v>348.59999999999997</v>
      </c>
      <c r="L484">
        <f t="shared" si="29"/>
        <v>190</v>
      </c>
      <c r="M484" s="9">
        <f t="shared" si="30"/>
        <v>158.59999999999997</v>
      </c>
      <c r="N484" t="str">
        <f t="shared" si="31"/>
        <v>Feb</v>
      </c>
    </row>
    <row r="485" spans="1:14" x14ac:dyDescent="0.3">
      <c r="A485" s="2" t="s">
        <v>551</v>
      </c>
      <c r="B485" s="6">
        <v>45698</v>
      </c>
      <c r="C485" s="2" t="s">
        <v>48</v>
      </c>
      <c r="D485" s="2" t="s">
        <v>126</v>
      </c>
      <c r="E485" s="2">
        <v>2</v>
      </c>
      <c r="F485" s="7">
        <v>89</v>
      </c>
      <c r="G485" s="8">
        <v>0</v>
      </c>
      <c r="H485" s="9" t="str">
        <f>INDEX(Products!$B$2:$B$37, MATCH(D485, Products!$A$2:$A$37, 0))</f>
        <v>USB-C Fast Charger</v>
      </c>
      <c r="I485" t="str">
        <f>INDEX(Products!$C$2:$C$37, MATCH(D485, Products!$A$2:$A$37, 0))</f>
        <v>Electronics</v>
      </c>
      <c r="J485">
        <f>INDEX(Products!$E$2:$E$37, MATCH(D485, Products!$A$2:$A$37, 0))</f>
        <v>35</v>
      </c>
      <c r="K485" s="9">
        <f t="shared" si="28"/>
        <v>178</v>
      </c>
      <c r="L485">
        <f t="shared" si="29"/>
        <v>70</v>
      </c>
      <c r="M485" s="9">
        <f t="shared" si="30"/>
        <v>108</v>
      </c>
      <c r="N485" t="str">
        <f t="shared" si="31"/>
        <v>Feb</v>
      </c>
    </row>
    <row r="486" spans="1:14" x14ac:dyDescent="0.3">
      <c r="A486" s="2" t="s">
        <v>552</v>
      </c>
      <c r="B486" s="6">
        <v>45698</v>
      </c>
      <c r="C486" s="2" t="s">
        <v>28</v>
      </c>
      <c r="D486" s="2" t="s">
        <v>131</v>
      </c>
      <c r="E486" s="2">
        <v>2</v>
      </c>
      <c r="F486" s="7">
        <v>899</v>
      </c>
      <c r="G486" s="8">
        <v>0.15</v>
      </c>
      <c r="H486" s="9" t="str">
        <f>INDEX(Products!$B$2:$B$37, MATCH(D486, Products!$A$2:$A$37, 0))</f>
        <v>4K Action Camera</v>
      </c>
      <c r="I486" t="str">
        <f>INDEX(Products!$C$2:$C$37, MATCH(D486, Products!$A$2:$A$37, 0))</f>
        <v>Electronics</v>
      </c>
      <c r="J486">
        <f>INDEX(Products!$E$2:$E$37, MATCH(D486, Products!$A$2:$A$37, 0))</f>
        <v>610</v>
      </c>
      <c r="K486" s="9">
        <f t="shared" si="28"/>
        <v>1528.3</v>
      </c>
      <c r="L486">
        <f t="shared" si="29"/>
        <v>1220</v>
      </c>
      <c r="M486" s="9">
        <f t="shared" si="30"/>
        <v>308.29999999999995</v>
      </c>
      <c r="N486" t="str">
        <f t="shared" si="31"/>
        <v>Feb</v>
      </c>
    </row>
    <row r="487" spans="1:14" x14ac:dyDescent="0.3">
      <c r="A487" s="2" t="s">
        <v>553</v>
      </c>
      <c r="B487" s="6">
        <v>45698</v>
      </c>
      <c r="C487" s="2" t="s">
        <v>31</v>
      </c>
      <c r="D487" s="2" t="s">
        <v>46</v>
      </c>
      <c r="E487" s="2">
        <v>2</v>
      </c>
      <c r="F487" s="7">
        <v>189</v>
      </c>
      <c r="G487" s="8">
        <v>0.15</v>
      </c>
      <c r="H487" s="9" t="str">
        <f>INDEX(Products!$B$2:$B$37, MATCH(D487, Products!$A$2:$A$37, 0))</f>
        <v>Makeup Palette</v>
      </c>
      <c r="I487" t="str">
        <f>INDEX(Products!$C$2:$C$37, MATCH(D487, Products!$A$2:$A$37, 0))</f>
        <v>Beauty</v>
      </c>
      <c r="J487">
        <f>INDEX(Products!$E$2:$E$37, MATCH(D487, Products!$A$2:$A$37, 0))</f>
        <v>85</v>
      </c>
      <c r="K487" s="9">
        <f t="shared" si="28"/>
        <v>321.3</v>
      </c>
      <c r="L487">
        <f t="shared" si="29"/>
        <v>170</v>
      </c>
      <c r="M487" s="9">
        <f t="shared" si="30"/>
        <v>151.30000000000001</v>
      </c>
      <c r="N487" t="str">
        <f t="shared" si="31"/>
        <v>Feb</v>
      </c>
    </row>
    <row r="488" spans="1:14" x14ac:dyDescent="0.3">
      <c r="A488" s="2" t="s">
        <v>554</v>
      </c>
      <c r="B488" s="6">
        <v>45698</v>
      </c>
      <c r="C488" s="2" t="s">
        <v>31</v>
      </c>
      <c r="D488" s="2" t="s">
        <v>60</v>
      </c>
      <c r="E488" s="2">
        <v>1</v>
      </c>
      <c r="F488" s="7">
        <v>99</v>
      </c>
      <c r="G488" s="8">
        <v>0</v>
      </c>
      <c r="H488" s="9" t="str">
        <f>INDEX(Products!$B$2:$B$37, MATCH(D488, Products!$A$2:$A$37, 0))</f>
        <v>Football Size 5</v>
      </c>
      <c r="I488" t="str">
        <f>INDEX(Products!$C$2:$C$37, MATCH(D488, Products!$A$2:$A$37, 0))</f>
        <v>Sports</v>
      </c>
      <c r="J488">
        <f>INDEX(Products!$E$2:$E$37, MATCH(D488, Products!$A$2:$A$37, 0))</f>
        <v>45</v>
      </c>
      <c r="K488" s="9">
        <f t="shared" si="28"/>
        <v>99</v>
      </c>
      <c r="L488">
        <f t="shared" si="29"/>
        <v>45</v>
      </c>
      <c r="M488" s="9">
        <f t="shared" si="30"/>
        <v>54</v>
      </c>
      <c r="N488" t="str">
        <f t="shared" si="31"/>
        <v>Feb</v>
      </c>
    </row>
    <row r="489" spans="1:14" x14ac:dyDescent="0.3">
      <c r="A489" s="2" t="s">
        <v>555</v>
      </c>
      <c r="B489" s="6">
        <v>45698</v>
      </c>
      <c r="C489" s="2" t="s">
        <v>44</v>
      </c>
      <c r="D489" s="2" t="s">
        <v>129</v>
      </c>
      <c r="E489" s="2">
        <v>2</v>
      </c>
      <c r="F489" s="7">
        <v>149</v>
      </c>
      <c r="G489" s="8">
        <v>0.05</v>
      </c>
      <c r="H489" s="9" t="str">
        <f>INDEX(Products!$B$2:$B$37, MATCH(D489, Products!$A$2:$A$37, 0))</f>
        <v>Power Bank 20000mAh</v>
      </c>
      <c r="I489" t="str">
        <f>INDEX(Products!$C$2:$C$37, MATCH(D489, Products!$A$2:$A$37, 0))</f>
        <v>Electronics</v>
      </c>
      <c r="J489">
        <f>INDEX(Products!$E$2:$E$37, MATCH(D489, Products!$A$2:$A$37, 0))</f>
        <v>70</v>
      </c>
      <c r="K489" s="9">
        <f t="shared" si="28"/>
        <v>283.09999999999997</v>
      </c>
      <c r="L489">
        <f t="shared" si="29"/>
        <v>140</v>
      </c>
      <c r="M489" s="9">
        <f t="shared" si="30"/>
        <v>143.09999999999997</v>
      </c>
      <c r="N489" t="str">
        <f t="shared" si="31"/>
        <v>Feb</v>
      </c>
    </row>
    <row r="490" spans="1:14" x14ac:dyDescent="0.3">
      <c r="A490" s="2" t="s">
        <v>556</v>
      </c>
      <c r="B490" s="6">
        <v>45698</v>
      </c>
      <c r="C490" s="2" t="s">
        <v>41</v>
      </c>
      <c r="D490" s="2" t="s">
        <v>113</v>
      </c>
      <c r="E490" s="2">
        <v>1</v>
      </c>
      <c r="F490" s="7">
        <v>1199</v>
      </c>
      <c r="G490" s="8">
        <v>0.25</v>
      </c>
      <c r="H490" s="9" t="str">
        <f>INDEX(Products!$B$2:$B$37, MATCH(D490, Products!$A$2:$A$37, 0))</f>
        <v>Robot Vacuum S3</v>
      </c>
      <c r="I490" t="str">
        <f>INDEX(Products!$C$2:$C$37, MATCH(D490, Products!$A$2:$A$37, 0))</f>
        <v>Home &amp; Kitchen</v>
      </c>
      <c r="J490">
        <f>INDEX(Products!$E$2:$E$37, MATCH(D490, Products!$A$2:$A$37, 0))</f>
        <v>1080</v>
      </c>
      <c r="K490" s="9">
        <f t="shared" si="28"/>
        <v>899.25</v>
      </c>
      <c r="L490">
        <f t="shared" si="29"/>
        <v>1080</v>
      </c>
      <c r="M490" s="9">
        <f t="shared" si="30"/>
        <v>-180.75</v>
      </c>
      <c r="N490" t="str">
        <f t="shared" si="31"/>
        <v>Feb</v>
      </c>
    </row>
    <row r="491" spans="1:14" x14ac:dyDescent="0.3">
      <c r="A491" s="2" t="s">
        <v>557</v>
      </c>
      <c r="B491" s="6">
        <v>45698</v>
      </c>
      <c r="C491" s="2" t="s">
        <v>44</v>
      </c>
      <c r="D491" s="2" t="s">
        <v>163</v>
      </c>
      <c r="E491" s="2">
        <v>1</v>
      </c>
      <c r="F491" s="7">
        <v>2499</v>
      </c>
      <c r="G491" s="8">
        <v>0.25</v>
      </c>
      <c r="H491" s="9" t="str">
        <f>INDEX(Products!$B$2:$B$37, MATCH(D491, Products!$A$2:$A$37, 0))</f>
        <v>Treadmill Compact</v>
      </c>
      <c r="I491" t="str">
        <f>INDEX(Products!$C$2:$C$37, MATCH(D491, Products!$A$2:$A$37, 0))</f>
        <v>Sports</v>
      </c>
      <c r="J491">
        <f>INDEX(Products!$E$2:$E$37, MATCH(D491, Products!$A$2:$A$37, 0))</f>
        <v>2150</v>
      </c>
      <c r="K491" s="9">
        <f t="shared" si="28"/>
        <v>1874.25</v>
      </c>
      <c r="L491">
        <f t="shared" si="29"/>
        <v>2150</v>
      </c>
      <c r="M491" s="9">
        <f t="shared" si="30"/>
        <v>-275.75</v>
      </c>
      <c r="N491" t="str">
        <f t="shared" si="31"/>
        <v>Feb</v>
      </c>
    </row>
    <row r="492" spans="1:14" x14ac:dyDescent="0.3">
      <c r="A492" s="2" t="s">
        <v>558</v>
      </c>
      <c r="B492" s="6">
        <v>45698</v>
      </c>
      <c r="C492" s="2" t="s">
        <v>44</v>
      </c>
      <c r="D492" s="2" t="s">
        <v>129</v>
      </c>
      <c r="E492" s="2">
        <v>1</v>
      </c>
      <c r="F492" s="7">
        <v>149</v>
      </c>
      <c r="G492" s="8">
        <v>0.05</v>
      </c>
      <c r="H492" s="9" t="str">
        <f>INDEX(Products!$B$2:$B$37, MATCH(D492, Products!$A$2:$A$37, 0))</f>
        <v>Power Bank 20000mAh</v>
      </c>
      <c r="I492" t="str">
        <f>INDEX(Products!$C$2:$C$37, MATCH(D492, Products!$A$2:$A$37, 0))</f>
        <v>Electronics</v>
      </c>
      <c r="J492">
        <f>INDEX(Products!$E$2:$E$37, MATCH(D492, Products!$A$2:$A$37, 0))</f>
        <v>70</v>
      </c>
      <c r="K492" s="9">
        <f t="shared" si="28"/>
        <v>141.54999999999998</v>
      </c>
      <c r="L492">
        <f t="shared" si="29"/>
        <v>70</v>
      </c>
      <c r="M492" s="9">
        <f t="shared" si="30"/>
        <v>71.549999999999983</v>
      </c>
      <c r="N492" t="str">
        <f t="shared" si="31"/>
        <v>Feb</v>
      </c>
    </row>
    <row r="493" spans="1:14" x14ac:dyDescent="0.3">
      <c r="A493" s="2" t="s">
        <v>559</v>
      </c>
      <c r="B493" s="6">
        <v>45698</v>
      </c>
      <c r="C493" s="2" t="s">
        <v>31</v>
      </c>
      <c r="D493" s="2" t="s">
        <v>95</v>
      </c>
      <c r="E493" s="2">
        <v>1</v>
      </c>
      <c r="F493" s="7">
        <v>259</v>
      </c>
      <c r="G493" s="8">
        <v>0.2</v>
      </c>
      <c r="H493" s="9" t="str">
        <f>INDEX(Products!$B$2:$B$37, MATCH(D493, Products!$A$2:$A$37, 0))</f>
        <v>Bed Linen Set (King)</v>
      </c>
      <c r="I493" t="str">
        <f>INDEX(Products!$C$2:$C$37, MATCH(D493, Products!$A$2:$A$37, 0))</f>
        <v>Home &amp; Kitchen</v>
      </c>
      <c r="J493">
        <f>INDEX(Products!$E$2:$E$37, MATCH(D493, Products!$A$2:$A$37, 0))</f>
        <v>115</v>
      </c>
      <c r="K493" s="9">
        <f t="shared" si="28"/>
        <v>207.20000000000002</v>
      </c>
      <c r="L493">
        <f t="shared" si="29"/>
        <v>115</v>
      </c>
      <c r="M493" s="9">
        <f t="shared" si="30"/>
        <v>92.200000000000017</v>
      </c>
      <c r="N493" t="str">
        <f t="shared" si="31"/>
        <v>Feb</v>
      </c>
    </row>
    <row r="494" spans="1:14" x14ac:dyDescent="0.3">
      <c r="A494" s="2" t="s">
        <v>560</v>
      </c>
      <c r="B494" s="6">
        <v>45698</v>
      </c>
      <c r="C494" s="2" t="s">
        <v>48</v>
      </c>
      <c r="D494" s="2" t="s">
        <v>163</v>
      </c>
      <c r="E494" s="2">
        <v>1</v>
      </c>
      <c r="F494" s="7">
        <v>2499</v>
      </c>
      <c r="G494" s="8">
        <v>0.2</v>
      </c>
      <c r="H494" s="9" t="str">
        <f>INDEX(Products!$B$2:$B$37, MATCH(D494, Products!$A$2:$A$37, 0))</f>
        <v>Treadmill Compact</v>
      </c>
      <c r="I494" t="str">
        <f>INDEX(Products!$C$2:$C$37, MATCH(D494, Products!$A$2:$A$37, 0))</f>
        <v>Sports</v>
      </c>
      <c r="J494">
        <f>INDEX(Products!$E$2:$E$37, MATCH(D494, Products!$A$2:$A$37, 0))</f>
        <v>2150</v>
      </c>
      <c r="K494" s="9">
        <f t="shared" si="28"/>
        <v>1999.2</v>
      </c>
      <c r="L494">
        <f t="shared" si="29"/>
        <v>2150</v>
      </c>
      <c r="M494" s="9">
        <f t="shared" si="30"/>
        <v>-150.79999999999995</v>
      </c>
      <c r="N494" t="str">
        <f t="shared" si="31"/>
        <v>Feb</v>
      </c>
    </row>
    <row r="495" spans="1:14" x14ac:dyDescent="0.3">
      <c r="A495" s="2" t="s">
        <v>561</v>
      </c>
      <c r="B495" s="6">
        <v>45698</v>
      </c>
      <c r="C495" s="2" t="s">
        <v>31</v>
      </c>
      <c r="D495" s="2" t="s">
        <v>78</v>
      </c>
      <c r="E495" s="2">
        <v>3</v>
      </c>
      <c r="F495" s="7">
        <v>499</v>
      </c>
      <c r="G495" s="8">
        <v>0.15</v>
      </c>
      <c r="H495" s="9" t="str">
        <f>INDEX(Products!$B$2:$B$37, MATCH(D495, Products!$A$2:$A$37, 0))</f>
        <v>Air Fryer 5L</v>
      </c>
      <c r="I495" t="str">
        <f>INDEX(Products!$C$2:$C$37, MATCH(D495, Products!$A$2:$A$37, 0))</f>
        <v>Home &amp; Kitchen</v>
      </c>
      <c r="J495">
        <f>INDEX(Products!$E$2:$E$37, MATCH(D495, Products!$A$2:$A$37, 0))</f>
        <v>290</v>
      </c>
      <c r="K495" s="9">
        <f t="shared" si="28"/>
        <v>1272.45</v>
      </c>
      <c r="L495">
        <f t="shared" si="29"/>
        <v>870</v>
      </c>
      <c r="M495" s="9">
        <f t="shared" si="30"/>
        <v>402.45000000000005</v>
      </c>
      <c r="N495" t="str">
        <f t="shared" si="31"/>
        <v>Feb</v>
      </c>
    </row>
    <row r="496" spans="1:14" x14ac:dyDescent="0.3">
      <c r="A496" s="2" t="s">
        <v>562</v>
      </c>
      <c r="B496" s="6">
        <v>45699</v>
      </c>
      <c r="C496" s="2" t="s">
        <v>44</v>
      </c>
      <c r="D496" s="2" t="s">
        <v>109</v>
      </c>
      <c r="E496" s="2">
        <v>1</v>
      </c>
      <c r="F496" s="7">
        <v>1499</v>
      </c>
      <c r="G496" s="8">
        <v>0</v>
      </c>
      <c r="H496" s="9" t="str">
        <f>INDEX(Products!$B$2:$B$37, MATCH(D496, Products!$A$2:$A$37, 0))</f>
        <v>Espresso Machine</v>
      </c>
      <c r="I496" t="str">
        <f>INDEX(Products!$C$2:$C$37, MATCH(D496, Products!$A$2:$A$37, 0))</f>
        <v>Home &amp; Kitchen</v>
      </c>
      <c r="J496">
        <f>INDEX(Products!$E$2:$E$37, MATCH(D496, Products!$A$2:$A$37, 0))</f>
        <v>1050</v>
      </c>
      <c r="K496" s="9">
        <f t="shared" si="28"/>
        <v>1499</v>
      </c>
      <c r="L496">
        <f t="shared" si="29"/>
        <v>1050</v>
      </c>
      <c r="M496" s="9">
        <f t="shared" si="30"/>
        <v>449</v>
      </c>
      <c r="N496" t="str">
        <f t="shared" si="31"/>
        <v>Feb</v>
      </c>
    </row>
    <row r="497" spans="1:14" x14ac:dyDescent="0.3">
      <c r="A497" s="2" t="s">
        <v>563</v>
      </c>
      <c r="B497" s="6">
        <v>45699</v>
      </c>
      <c r="C497" s="2" t="s">
        <v>44</v>
      </c>
      <c r="D497" s="2" t="s">
        <v>106</v>
      </c>
      <c r="E497" s="2">
        <v>1</v>
      </c>
      <c r="F497" s="7">
        <v>1299</v>
      </c>
      <c r="G497" s="8">
        <v>0.15</v>
      </c>
      <c r="H497" s="9" t="str">
        <f>INDEX(Products!$B$2:$B$37, MATCH(D497, Products!$A$2:$A$37, 0))</f>
        <v>Smart Watch Series 5</v>
      </c>
      <c r="I497" t="str">
        <f>INDEX(Products!$C$2:$C$37, MATCH(D497, Products!$A$2:$A$37, 0))</f>
        <v>Electronics</v>
      </c>
      <c r="J497">
        <f>INDEX(Products!$E$2:$E$37, MATCH(D497, Products!$A$2:$A$37, 0))</f>
        <v>820</v>
      </c>
      <c r="K497" s="9">
        <f t="shared" si="28"/>
        <v>1104.1499999999999</v>
      </c>
      <c r="L497">
        <f t="shared" si="29"/>
        <v>820</v>
      </c>
      <c r="M497" s="9">
        <f t="shared" si="30"/>
        <v>284.14999999999986</v>
      </c>
      <c r="N497" t="str">
        <f t="shared" si="31"/>
        <v>Feb</v>
      </c>
    </row>
    <row r="498" spans="1:14" x14ac:dyDescent="0.3">
      <c r="A498" s="2" t="s">
        <v>564</v>
      </c>
      <c r="B498" s="6">
        <v>45699</v>
      </c>
      <c r="C498" s="2" t="s">
        <v>31</v>
      </c>
      <c r="D498" s="2" t="s">
        <v>37</v>
      </c>
      <c r="E498" s="2">
        <v>1</v>
      </c>
      <c r="F498" s="7">
        <v>249</v>
      </c>
      <c r="G498" s="8">
        <v>0.05</v>
      </c>
      <c r="H498" s="9" t="str">
        <f>INDEX(Products!$B$2:$B$37, MATCH(D498, Products!$A$2:$A$37, 0))</f>
        <v>Sunglasses Polarised</v>
      </c>
      <c r="I498" t="str">
        <f>INDEX(Products!$C$2:$C$37, MATCH(D498, Products!$A$2:$A$37, 0))</f>
        <v>Fashion</v>
      </c>
      <c r="J498">
        <f>INDEX(Products!$E$2:$E$37, MATCH(D498, Products!$A$2:$A$37, 0))</f>
        <v>95</v>
      </c>
      <c r="K498" s="9">
        <f t="shared" si="28"/>
        <v>236.54999999999998</v>
      </c>
      <c r="L498">
        <f t="shared" si="29"/>
        <v>95</v>
      </c>
      <c r="M498" s="9">
        <f t="shared" si="30"/>
        <v>141.54999999999998</v>
      </c>
      <c r="N498" t="str">
        <f t="shared" si="31"/>
        <v>Feb</v>
      </c>
    </row>
    <row r="499" spans="1:14" x14ac:dyDescent="0.3">
      <c r="A499" s="2" t="s">
        <v>565</v>
      </c>
      <c r="B499" s="6">
        <v>45699</v>
      </c>
      <c r="C499" s="2" t="s">
        <v>28</v>
      </c>
      <c r="D499" s="2" t="s">
        <v>68</v>
      </c>
      <c r="E499" s="2">
        <v>3</v>
      </c>
      <c r="F499" s="7">
        <v>249</v>
      </c>
      <c r="G499" s="8">
        <v>0.2</v>
      </c>
      <c r="H499" s="9" t="str">
        <f>INDEX(Products!$B$2:$B$37, MATCH(D499, Products!$A$2:$A$37, 0))</f>
        <v>Bluetooth Speaker Mini</v>
      </c>
      <c r="I499" t="str">
        <f>INDEX(Products!$C$2:$C$37, MATCH(D499, Products!$A$2:$A$37, 0))</f>
        <v>Electronics</v>
      </c>
      <c r="J499">
        <f>INDEX(Products!$E$2:$E$37, MATCH(D499, Products!$A$2:$A$37, 0))</f>
        <v>150</v>
      </c>
      <c r="K499" s="9">
        <f t="shared" si="28"/>
        <v>597.6</v>
      </c>
      <c r="L499">
        <f t="shared" si="29"/>
        <v>450</v>
      </c>
      <c r="M499" s="9">
        <f t="shared" si="30"/>
        <v>147.60000000000002</v>
      </c>
      <c r="N499" t="str">
        <f t="shared" si="31"/>
        <v>Feb</v>
      </c>
    </row>
    <row r="500" spans="1:14" x14ac:dyDescent="0.3">
      <c r="A500" s="2" t="s">
        <v>566</v>
      </c>
      <c r="B500" s="6">
        <v>45699</v>
      </c>
      <c r="C500" s="2" t="s">
        <v>41</v>
      </c>
      <c r="D500" s="2" t="s">
        <v>95</v>
      </c>
      <c r="E500" s="2">
        <v>1</v>
      </c>
      <c r="F500" s="7">
        <v>259</v>
      </c>
      <c r="G500" s="8">
        <v>0</v>
      </c>
      <c r="H500" s="9" t="str">
        <f>INDEX(Products!$B$2:$B$37, MATCH(D500, Products!$A$2:$A$37, 0))</f>
        <v>Bed Linen Set (King)</v>
      </c>
      <c r="I500" t="str">
        <f>INDEX(Products!$C$2:$C$37, MATCH(D500, Products!$A$2:$A$37, 0))</f>
        <v>Home &amp; Kitchen</v>
      </c>
      <c r="J500">
        <f>INDEX(Products!$E$2:$E$37, MATCH(D500, Products!$A$2:$A$37, 0))</f>
        <v>115</v>
      </c>
      <c r="K500" s="9">
        <f t="shared" si="28"/>
        <v>259</v>
      </c>
      <c r="L500">
        <f t="shared" si="29"/>
        <v>115</v>
      </c>
      <c r="M500" s="9">
        <f t="shared" si="30"/>
        <v>144</v>
      </c>
      <c r="N500" t="str">
        <f t="shared" si="31"/>
        <v>Feb</v>
      </c>
    </row>
    <row r="501" spans="1:14" x14ac:dyDescent="0.3">
      <c r="A501" s="2" t="s">
        <v>567</v>
      </c>
      <c r="B501" s="6">
        <v>45699</v>
      </c>
      <c r="C501" s="2" t="s">
        <v>44</v>
      </c>
      <c r="D501" s="2" t="s">
        <v>46</v>
      </c>
      <c r="E501" s="2">
        <v>3</v>
      </c>
      <c r="F501" s="7">
        <v>189</v>
      </c>
      <c r="G501" s="8">
        <v>0.15</v>
      </c>
      <c r="H501" s="9" t="str">
        <f>INDEX(Products!$B$2:$B$37, MATCH(D501, Products!$A$2:$A$37, 0))</f>
        <v>Makeup Palette</v>
      </c>
      <c r="I501" t="str">
        <f>INDEX(Products!$C$2:$C$37, MATCH(D501, Products!$A$2:$A$37, 0))</f>
        <v>Beauty</v>
      </c>
      <c r="J501">
        <f>INDEX(Products!$E$2:$E$37, MATCH(D501, Products!$A$2:$A$37, 0))</f>
        <v>85</v>
      </c>
      <c r="K501" s="9">
        <f t="shared" si="28"/>
        <v>481.95</v>
      </c>
      <c r="L501">
        <f t="shared" si="29"/>
        <v>255</v>
      </c>
      <c r="M501" s="9">
        <f t="shared" si="30"/>
        <v>226.95</v>
      </c>
      <c r="N501" t="str">
        <f t="shared" si="31"/>
        <v>Feb</v>
      </c>
    </row>
    <row r="502" spans="1:14" x14ac:dyDescent="0.3">
      <c r="A502" s="2" t="s">
        <v>568</v>
      </c>
      <c r="B502" s="6">
        <v>45699</v>
      </c>
      <c r="C502" s="2" t="s">
        <v>41</v>
      </c>
      <c r="D502" s="2" t="s">
        <v>65</v>
      </c>
      <c r="E502" s="2">
        <v>2</v>
      </c>
      <c r="F502" s="7">
        <v>129</v>
      </c>
      <c r="G502" s="8">
        <v>0</v>
      </c>
      <c r="H502" s="9" t="str">
        <f>INDEX(Products!$B$2:$B$37, MATCH(D502, Products!$A$2:$A$37, 0))</f>
        <v>Yoga Mat Premium</v>
      </c>
      <c r="I502" t="str">
        <f>INDEX(Products!$C$2:$C$37, MATCH(D502, Products!$A$2:$A$37, 0))</f>
        <v>Sports</v>
      </c>
      <c r="J502">
        <f>INDEX(Products!$E$2:$E$37, MATCH(D502, Products!$A$2:$A$37, 0))</f>
        <v>60</v>
      </c>
      <c r="K502" s="9">
        <f t="shared" si="28"/>
        <v>258</v>
      </c>
      <c r="L502">
        <f t="shared" si="29"/>
        <v>120</v>
      </c>
      <c r="M502" s="9">
        <f t="shared" si="30"/>
        <v>138</v>
      </c>
      <c r="N502" t="str">
        <f t="shared" si="31"/>
        <v>Feb</v>
      </c>
    </row>
    <row r="503" spans="1:14" x14ac:dyDescent="0.3">
      <c r="A503" s="2" t="s">
        <v>569</v>
      </c>
      <c r="B503" s="6">
        <v>45699</v>
      </c>
      <c r="C503" s="2" t="s">
        <v>48</v>
      </c>
      <c r="D503" s="2" t="s">
        <v>65</v>
      </c>
      <c r="E503" s="2">
        <v>1</v>
      </c>
      <c r="F503" s="7">
        <v>129</v>
      </c>
      <c r="G503" s="8">
        <v>0.1</v>
      </c>
      <c r="H503" s="9" t="str">
        <f>INDEX(Products!$B$2:$B$37, MATCH(D503, Products!$A$2:$A$37, 0))</f>
        <v>Yoga Mat Premium</v>
      </c>
      <c r="I503" t="str">
        <f>INDEX(Products!$C$2:$C$37, MATCH(D503, Products!$A$2:$A$37, 0))</f>
        <v>Sports</v>
      </c>
      <c r="J503">
        <f>INDEX(Products!$E$2:$E$37, MATCH(D503, Products!$A$2:$A$37, 0))</f>
        <v>60</v>
      </c>
      <c r="K503" s="9">
        <f t="shared" si="28"/>
        <v>116.10000000000001</v>
      </c>
      <c r="L503">
        <f t="shared" si="29"/>
        <v>60</v>
      </c>
      <c r="M503" s="9">
        <f t="shared" si="30"/>
        <v>56.100000000000009</v>
      </c>
      <c r="N503" t="str">
        <f t="shared" si="31"/>
        <v>Feb</v>
      </c>
    </row>
    <row r="504" spans="1:14" x14ac:dyDescent="0.3">
      <c r="A504" s="2" t="s">
        <v>570</v>
      </c>
      <c r="B504" s="6">
        <v>45699</v>
      </c>
      <c r="C504" s="2" t="s">
        <v>44</v>
      </c>
      <c r="D504" s="2" t="s">
        <v>126</v>
      </c>
      <c r="E504" s="2">
        <v>4</v>
      </c>
      <c r="F504" s="7">
        <v>89</v>
      </c>
      <c r="G504" s="8">
        <v>0</v>
      </c>
      <c r="H504" s="9" t="str">
        <f>INDEX(Products!$B$2:$B$37, MATCH(D504, Products!$A$2:$A$37, 0))</f>
        <v>USB-C Fast Charger</v>
      </c>
      <c r="I504" t="str">
        <f>INDEX(Products!$C$2:$C$37, MATCH(D504, Products!$A$2:$A$37, 0))</f>
        <v>Electronics</v>
      </c>
      <c r="J504">
        <f>INDEX(Products!$E$2:$E$37, MATCH(D504, Products!$A$2:$A$37, 0))</f>
        <v>35</v>
      </c>
      <c r="K504" s="9">
        <f t="shared" si="28"/>
        <v>356</v>
      </c>
      <c r="L504">
        <f t="shared" si="29"/>
        <v>140</v>
      </c>
      <c r="M504" s="9">
        <f t="shared" si="30"/>
        <v>216</v>
      </c>
      <c r="N504" t="str">
        <f t="shared" si="31"/>
        <v>Feb</v>
      </c>
    </row>
    <row r="505" spans="1:14" x14ac:dyDescent="0.3">
      <c r="A505" s="2" t="s">
        <v>571</v>
      </c>
      <c r="B505" s="6">
        <v>45699</v>
      </c>
      <c r="C505" s="2" t="s">
        <v>31</v>
      </c>
      <c r="D505" s="2" t="s">
        <v>89</v>
      </c>
      <c r="E505" s="2">
        <v>1</v>
      </c>
      <c r="F505" s="7">
        <v>399</v>
      </c>
      <c r="G505" s="8">
        <v>0.05</v>
      </c>
      <c r="H505" s="9" t="str">
        <f>INDEX(Products!$B$2:$B$37, MATCH(D505, Products!$A$2:$A$37, 0))</f>
        <v>Men's Kandura Premium</v>
      </c>
      <c r="I505" t="str">
        <f>INDEX(Products!$C$2:$C$37, MATCH(D505, Products!$A$2:$A$37, 0))</f>
        <v>Fashion</v>
      </c>
      <c r="J505">
        <f>INDEX(Products!$E$2:$E$37, MATCH(D505, Products!$A$2:$A$37, 0))</f>
        <v>210</v>
      </c>
      <c r="K505" s="9">
        <f t="shared" si="28"/>
        <v>379.04999999999995</v>
      </c>
      <c r="L505">
        <f t="shared" si="29"/>
        <v>210</v>
      </c>
      <c r="M505" s="9">
        <f t="shared" si="30"/>
        <v>169.04999999999995</v>
      </c>
      <c r="N505" t="str">
        <f t="shared" si="31"/>
        <v>Feb</v>
      </c>
    </row>
    <row r="506" spans="1:14" x14ac:dyDescent="0.3">
      <c r="A506" s="2" t="s">
        <v>572</v>
      </c>
      <c r="B506" s="6">
        <v>45700</v>
      </c>
      <c r="C506" s="2" t="s">
        <v>28</v>
      </c>
      <c r="D506" s="2" t="s">
        <v>75</v>
      </c>
      <c r="E506" s="2">
        <v>1</v>
      </c>
      <c r="F506" s="7">
        <v>549</v>
      </c>
      <c r="G506" s="8">
        <v>0</v>
      </c>
      <c r="H506" s="9" t="str">
        <f>INDEX(Products!$B$2:$B$37, MATCH(D506, Products!$A$2:$A$37, 0))</f>
        <v>Oud Perfume 100ml</v>
      </c>
      <c r="I506" t="str">
        <f>INDEX(Products!$C$2:$C$37, MATCH(D506, Products!$A$2:$A$37, 0))</f>
        <v>Beauty</v>
      </c>
      <c r="J506">
        <f>INDEX(Products!$E$2:$E$37, MATCH(D506, Products!$A$2:$A$37, 0))</f>
        <v>250</v>
      </c>
      <c r="K506" s="9">
        <f t="shared" si="28"/>
        <v>549</v>
      </c>
      <c r="L506">
        <f t="shared" si="29"/>
        <v>250</v>
      </c>
      <c r="M506" s="9">
        <f t="shared" si="30"/>
        <v>299</v>
      </c>
      <c r="N506" t="str">
        <f t="shared" si="31"/>
        <v>Feb</v>
      </c>
    </row>
    <row r="507" spans="1:14" x14ac:dyDescent="0.3">
      <c r="A507" s="2" t="s">
        <v>573</v>
      </c>
      <c r="B507" s="6">
        <v>45700</v>
      </c>
      <c r="C507" s="2" t="s">
        <v>28</v>
      </c>
      <c r="D507" s="2" t="s">
        <v>131</v>
      </c>
      <c r="E507" s="2">
        <v>1</v>
      </c>
      <c r="F507" s="7">
        <v>899</v>
      </c>
      <c r="G507" s="8">
        <v>0</v>
      </c>
      <c r="H507" s="9" t="str">
        <f>INDEX(Products!$B$2:$B$37, MATCH(D507, Products!$A$2:$A$37, 0))</f>
        <v>4K Action Camera</v>
      </c>
      <c r="I507" t="str">
        <f>INDEX(Products!$C$2:$C$37, MATCH(D507, Products!$A$2:$A$37, 0))</f>
        <v>Electronics</v>
      </c>
      <c r="J507">
        <f>INDEX(Products!$E$2:$E$37, MATCH(D507, Products!$A$2:$A$37, 0))</f>
        <v>610</v>
      </c>
      <c r="K507" s="9">
        <f t="shared" si="28"/>
        <v>899</v>
      </c>
      <c r="L507">
        <f t="shared" si="29"/>
        <v>610</v>
      </c>
      <c r="M507" s="9">
        <f t="shared" si="30"/>
        <v>289</v>
      </c>
      <c r="N507" t="str">
        <f t="shared" si="31"/>
        <v>Feb</v>
      </c>
    </row>
    <row r="508" spans="1:14" x14ac:dyDescent="0.3">
      <c r="A508" s="2" t="s">
        <v>574</v>
      </c>
      <c r="B508" s="6">
        <v>45700</v>
      </c>
      <c r="C508" s="2" t="s">
        <v>44</v>
      </c>
      <c r="D508" s="2" t="s">
        <v>42</v>
      </c>
      <c r="E508" s="2">
        <v>2</v>
      </c>
      <c r="F508" s="7">
        <v>399</v>
      </c>
      <c r="G508" s="8">
        <v>0.3</v>
      </c>
      <c r="H508" s="9" t="str">
        <f>INDEX(Products!$B$2:$B$37, MATCH(D508, Products!$A$2:$A$37, 0))</f>
        <v>Wireless Earbuds Pro</v>
      </c>
      <c r="I508" t="str">
        <f>INDEX(Products!$C$2:$C$37, MATCH(D508, Products!$A$2:$A$37, 0))</f>
        <v>Electronics</v>
      </c>
      <c r="J508">
        <f>INDEX(Products!$E$2:$E$37, MATCH(D508, Products!$A$2:$A$37, 0))</f>
        <v>230</v>
      </c>
      <c r="K508" s="9">
        <f t="shared" si="28"/>
        <v>558.59999999999991</v>
      </c>
      <c r="L508">
        <f t="shared" si="29"/>
        <v>460</v>
      </c>
      <c r="M508" s="9">
        <f t="shared" si="30"/>
        <v>98.599999999999909</v>
      </c>
      <c r="N508" t="str">
        <f t="shared" si="31"/>
        <v>Feb</v>
      </c>
    </row>
    <row r="509" spans="1:14" x14ac:dyDescent="0.3">
      <c r="A509" s="2" t="s">
        <v>575</v>
      </c>
      <c r="B509" s="6">
        <v>45700</v>
      </c>
      <c r="C509" s="2" t="s">
        <v>28</v>
      </c>
      <c r="D509" s="2" t="s">
        <v>126</v>
      </c>
      <c r="E509" s="2">
        <v>1</v>
      </c>
      <c r="F509" s="7">
        <v>89</v>
      </c>
      <c r="G509" s="8">
        <v>0</v>
      </c>
      <c r="H509" s="9" t="str">
        <f>INDEX(Products!$B$2:$B$37, MATCH(D509, Products!$A$2:$A$37, 0))</f>
        <v>USB-C Fast Charger</v>
      </c>
      <c r="I509" t="str">
        <f>INDEX(Products!$C$2:$C$37, MATCH(D509, Products!$A$2:$A$37, 0))</f>
        <v>Electronics</v>
      </c>
      <c r="J509">
        <f>INDEX(Products!$E$2:$E$37, MATCH(D509, Products!$A$2:$A$37, 0))</f>
        <v>35</v>
      </c>
      <c r="K509" s="9">
        <f t="shared" si="28"/>
        <v>89</v>
      </c>
      <c r="L509">
        <f t="shared" si="29"/>
        <v>35</v>
      </c>
      <c r="M509" s="9">
        <f t="shared" si="30"/>
        <v>54</v>
      </c>
      <c r="N509" t="str">
        <f t="shared" si="31"/>
        <v>Feb</v>
      </c>
    </row>
    <row r="510" spans="1:14" x14ac:dyDescent="0.3">
      <c r="A510" s="2" t="s">
        <v>576</v>
      </c>
      <c r="B510" s="6">
        <v>45700</v>
      </c>
      <c r="C510" s="2" t="s">
        <v>44</v>
      </c>
      <c r="D510" s="2" t="s">
        <v>39</v>
      </c>
      <c r="E510" s="2">
        <v>3</v>
      </c>
      <c r="F510" s="7">
        <v>199</v>
      </c>
      <c r="G510" s="8">
        <v>0</v>
      </c>
      <c r="H510" s="9" t="str">
        <f>INDEX(Products!$B$2:$B$37, MATCH(D510, Products!$A$2:$A$37, 0))</f>
        <v>Bakhoor Gift Set</v>
      </c>
      <c r="I510" t="str">
        <f>INDEX(Products!$C$2:$C$37, MATCH(D510, Products!$A$2:$A$37, 0))</f>
        <v>Beauty</v>
      </c>
      <c r="J510">
        <f>INDEX(Products!$E$2:$E$37, MATCH(D510, Products!$A$2:$A$37, 0))</f>
        <v>90</v>
      </c>
      <c r="K510" s="9">
        <f t="shared" si="28"/>
        <v>597</v>
      </c>
      <c r="L510">
        <f t="shared" si="29"/>
        <v>270</v>
      </c>
      <c r="M510" s="9">
        <f t="shared" si="30"/>
        <v>327</v>
      </c>
      <c r="N510" t="str">
        <f t="shared" si="31"/>
        <v>Feb</v>
      </c>
    </row>
    <row r="511" spans="1:14" x14ac:dyDescent="0.3">
      <c r="A511" s="2" t="s">
        <v>577</v>
      </c>
      <c r="B511" s="6">
        <v>45700</v>
      </c>
      <c r="C511" s="2" t="s">
        <v>48</v>
      </c>
      <c r="D511" s="2" t="s">
        <v>99</v>
      </c>
      <c r="E511" s="2">
        <v>2</v>
      </c>
      <c r="F511" s="7">
        <v>459</v>
      </c>
      <c r="G511" s="8">
        <v>0</v>
      </c>
      <c r="H511" s="9" t="str">
        <f>INDEX(Products!$B$2:$B$37, MATCH(D511, Products!$A$2:$A$37, 0))</f>
        <v>Gaming Headset X</v>
      </c>
      <c r="I511" t="str">
        <f>INDEX(Products!$C$2:$C$37, MATCH(D511, Products!$A$2:$A$37, 0))</f>
        <v>Electronics</v>
      </c>
      <c r="J511">
        <f>INDEX(Products!$E$2:$E$37, MATCH(D511, Products!$A$2:$A$37, 0))</f>
        <v>300</v>
      </c>
      <c r="K511" s="9">
        <f t="shared" si="28"/>
        <v>918</v>
      </c>
      <c r="L511">
        <f t="shared" si="29"/>
        <v>600</v>
      </c>
      <c r="M511" s="9">
        <f t="shared" si="30"/>
        <v>318</v>
      </c>
      <c r="N511" t="str">
        <f t="shared" si="31"/>
        <v>Feb</v>
      </c>
    </row>
    <row r="512" spans="1:14" x14ac:dyDescent="0.3">
      <c r="A512" s="2" t="s">
        <v>578</v>
      </c>
      <c r="B512" s="6">
        <v>45700</v>
      </c>
      <c r="C512" s="2" t="s">
        <v>41</v>
      </c>
      <c r="D512" s="2" t="s">
        <v>29</v>
      </c>
      <c r="E512" s="2">
        <v>4</v>
      </c>
      <c r="F512" s="7">
        <v>229</v>
      </c>
      <c r="G512" s="8">
        <v>0.3</v>
      </c>
      <c r="H512" s="9" t="str">
        <f>INDEX(Products!$B$2:$B$37, MATCH(D512, Products!$A$2:$A$37, 0))</f>
        <v>Women's Summer Dress</v>
      </c>
      <c r="I512" t="str">
        <f>INDEX(Products!$C$2:$C$37, MATCH(D512, Products!$A$2:$A$37, 0))</f>
        <v>Fashion</v>
      </c>
      <c r="J512">
        <f>INDEX(Products!$E$2:$E$37, MATCH(D512, Products!$A$2:$A$37, 0))</f>
        <v>120</v>
      </c>
      <c r="K512" s="9">
        <f t="shared" si="28"/>
        <v>641.19999999999993</v>
      </c>
      <c r="L512">
        <f t="shared" si="29"/>
        <v>480</v>
      </c>
      <c r="M512" s="9">
        <f t="shared" si="30"/>
        <v>161.19999999999993</v>
      </c>
      <c r="N512" t="str">
        <f t="shared" si="31"/>
        <v>Feb</v>
      </c>
    </row>
    <row r="513" spans="1:14" x14ac:dyDescent="0.3">
      <c r="A513" s="2" t="s">
        <v>579</v>
      </c>
      <c r="B513" s="6">
        <v>45701</v>
      </c>
      <c r="C513" s="2" t="s">
        <v>44</v>
      </c>
      <c r="D513" s="2" t="s">
        <v>89</v>
      </c>
      <c r="E513" s="2">
        <v>1</v>
      </c>
      <c r="F513" s="7">
        <v>399</v>
      </c>
      <c r="G513" s="8">
        <v>0</v>
      </c>
      <c r="H513" s="9" t="str">
        <f>INDEX(Products!$B$2:$B$37, MATCH(D513, Products!$A$2:$A$37, 0))</f>
        <v>Men's Kandura Premium</v>
      </c>
      <c r="I513" t="str">
        <f>INDEX(Products!$C$2:$C$37, MATCH(D513, Products!$A$2:$A$37, 0))</f>
        <v>Fashion</v>
      </c>
      <c r="J513">
        <f>INDEX(Products!$E$2:$E$37, MATCH(D513, Products!$A$2:$A$37, 0))</f>
        <v>210</v>
      </c>
      <c r="K513" s="9">
        <f t="shared" si="28"/>
        <v>399</v>
      </c>
      <c r="L513">
        <f t="shared" si="29"/>
        <v>210</v>
      </c>
      <c r="M513" s="9">
        <f t="shared" si="30"/>
        <v>189</v>
      </c>
      <c r="N513" t="str">
        <f t="shared" si="31"/>
        <v>Feb</v>
      </c>
    </row>
    <row r="514" spans="1:14" x14ac:dyDescent="0.3">
      <c r="A514" s="2" t="s">
        <v>580</v>
      </c>
      <c r="B514" s="6">
        <v>45701</v>
      </c>
      <c r="C514" s="2" t="s">
        <v>44</v>
      </c>
      <c r="D514" s="2" t="s">
        <v>35</v>
      </c>
      <c r="E514" s="2">
        <v>4</v>
      </c>
      <c r="F514" s="7">
        <v>179</v>
      </c>
      <c r="G514" s="8">
        <v>0.1</v>
      </c>
      <c r="H514" s="9" t="str">
        <f>INDEX(Products!$B$2:$B$37, MATCH(D514, Products!$A$2:$A$37, 0))</f>
        <v>Men's Linen Shirt</v>
      </c>
      <c r="I514" t="str">
        <f>INDEX(Products!$C$2:$C$37, MATCH(D514, Products!$A$2:$A$37, 0))</f>
        <v>Fashion</v>
      </c>
      <c r="J514">
        <f>INDEX(Products!$E$2:$E$37, MATCH(D514, Products!$A$2:$A$37, 0))</f>
        <v>70</v>
      </c>
      <c r="K514" s="9">
        <f t="shared" ref="K514:K577" si="32">E514*F514*(1-G514)</f>
        <v>644.4</v>
      </c>
      <c r="L514">
        <f t="shared" ref="L514:L577" si="33">E514*J514</f>
        <v>280</v>
      </c>
      <c r="M514" s="9">
        <f t="shared" ref="M514:M577" si="34">K514-L514</f>
        <v>364.4</v>
      </c>
      <c r="N514" t="str">
        <f t="shared" ref="N514:N577" si="35">TEXT(B514,"mmm")</f>
        <v>Feb</v>
      </c>
    </row>
    <row r="515" spans="1:14" x14ac:dyDescent="0.3">
      <c r="A515" s="2" t="s">
        <v>581</v>
      </c>
      <c r="B515" s="6">
        <v>45701</v>
      </c>
      <c r="C515" s="2" t="s">
        <v>44</v>
      </c>
      <c r="D515" s="2" t="s">
        <v>33</v>
      </c>
      <c r="E515" s="2">
        <v>1</v>
      </c>
      <c r="F515" s="7">
        <v>199</v>
      </c>
      <c r="G515" s="8">
        <v>0.25</v>
      </c>
      <c r="H515" s="9" t="str">
        <f>INDEX(Products!$B$2:$B$37, MATCH(D515, Products!$A$2:$A$37, 0))</f>
        <v>Fitness Band Lite</v>
      </c>
      <c r="I515" t="str">
        <f>INDEX(Products!$C$2:$C$37, MATCH(D515, Products!$A$2:$A$37, 0))</f>
        <v>Electronics</v>
      </c>
      <c r="J515">
        <f>INDEX(Products!$E$2:$E$37, MATCH(D515, Products!$A$2:$A$37, 0))</f>
        <v>175</v>
      </c>
      <c r="K515" s="9">
        <f t="shared" si="32"/>
        <v>149.25</v>
      </c>
      <c r="L515">
        <f t="shared" si="33"/>
        <v>175</v>
      </c>
      <c r="M515" s="9">
        <f t="shared" si="34"/>
        <v>-25.75</v>
      </c>
      <c r="N515" t="str">
        <f t="shared" si="35"/>
        <v>Feb</v>
      </c>
    </row>
    <row r="516" spans="1:14" x14ac:dyDescent="0.3">
      <c r="A516" s="2" t="s">
        <v>582</v>
      </c>
      <c r="B516" s="6">
        <v>45701</v>
      </c>
      <c r="C516" s="2" t="s">
        <v>28</v>
      </c>
      <c r="D516" s="2" t="s">
        <v>129</v>
      </c>
      <c r="E516" s="2">
        <v>1</v>
      </c>
      <c r="F516" s="7">
        <v>149</v>
      </c>
      <c r="G516" s="8">
        <v>0.2</v>
      </c>
      <c r="H516" s="9" t="str">
        <f>INDEX(Products!$B$2:$B$37, MATCH(D516, Products!$A$2:$A$37, 0))</f>
        <v>Power Bank 20000mAh</v>
      </c>
      <c r="I516" t="str">
        <f>INDEX(Products!$C$2:$C$37, MATCH(D516, Products!$A$2:$A$37, 0))</f>
        <v>Electronics</v>
      </c>
      <c r="J516">
        <f>INDEX(Products!$E$2:$E$37, MATCH(D516, Products!$A$2:$A$37, 0))</f>
        <v>70</v>
      </c>
      <c r="K516" s="9">
        <f t="shared" si="32"/>
        <v>119.2</v>
      </c>
      <c r="L516">
        <f t="shared" si="33"/>
        <v>70</v>
      </c>
      <c r="M516" s="9">
        <f t="shared" si="34"/>
        <v>49.2</v>
      </c>
      <c r="N516" t="str">
        <f t="shared" si="35"/>
        <v>Feb</v>
      </c>
    </row>
    <row r="517" spans="1:14" x14ac:dyDescent="0.3">
      <c r="A517" s="2" t="s">
        <v>583</v>
      </c>
      <c r="B517" s="6">
        <v>45701</v>
      </c>
      <c r="C517" s="2" t="s">
        <v>31</v>
      </c>
      <c r="D517" s="2" t="s">
        <v>29</v>
      </c>
      <c r="E517" s="2">
        <v>1</v>
      </c>
      <c r="F517" s="7">
        <v>229</v>
      </c>
      <c r="G517" s="8">
        <v>0</v>
      </c>
      <c r="H517" s="9" t="str">
        <f>INDEX(Products!$B$2:$B$37, MATCH(D517, Products!$A$2:$A$37, 0))</f>
        <v>Women's Summer Dress</v>
      </c>
      <c r="I517" t="str">
        <f>INDEX(Products!$C$2:$C$37, MATCH(D517, Products!$A$2:$A$37, 0))</f>
        <v>Fashion</v>
      </c>
      <c r="J517">
        <f>INDEX(Products!$E$2:$E$37, MATCH(D517, Products!$A$2:$A$37, 0))</f>
        <v>120</v>
      </c>
      <c r="K517" s="9">
        <f t="shared" si="32"/>
        <v>229</v>
      </c>
      <c r="L517">
        <f t="shared" si="33"/>
        <v>120</v>
      </c>
      <c r="M517" s="9">
        <f t="shared" si="34"/>
        <v>109</v>
      </c>
      <c r="N517" t="str">
        <f t="shared" si="35"/>
        <v>Feb</v>
      </c>
    </row>
    <row r="518" spans="1:14" x14ac:dyDescent="0.3">
      <c r="A518" s="2" t="s">
        <v>584</v>
      </c>
      <c r="B518" s="6">
        <v>45701</v>
      </c>
      <c r="C518" s="2" t="s">
        <v>31</v>
      </c>
      <c r="D518" s="2" t="s">
        <v>163</v>
      </c>
      <c r="E518" s="2">
        <v>1</v>
      </c>
      <c r="F518" s="7">
        <v>2499</v>
      </c>
      <c r="G518" s="8">
        <v>0.25</v>
      </c>
      <c r="H518" s="9" t="str">
        <f>INDEX(Products!$B$2:$B$37, MATCH(D518, Products!$A$2:$A$37, 0))</f>
        <v>Treadmill Compact</v>
      </c>
      <c r="I518" t="str">
        <f>INDEX(Products!$C$2:$C$37, MATCH(D518, Products!$A$2:$A$37, 0))</f>
        <v>Sports</v>
      </c>
      <c r="J518">
        <f>INDEX(Products!$E$2:$E$37, MATCH(D518, Products!$A$2:$A$37, 0))</f>
        <v>2150</v>
      </c>
      <c r="K518" s="9">
        <f t="shared" si="32"/>
        <v>1874.25</v>
      </c>
      <c r="L518">
        <f t="shared" si="33"/>
        <v>2150</v>
      </c>
      <c r="M518" s="9">
        <f t="shared" si="34"/>
        <v>-275.75</v>
      </c>
      <c r="N518" t="str">
        <f t="shared" si="35"/>
        <v>Feb</v>
      </c>
    </row>
    <row r="519" spans="1:14" x14ac:dyDescent="0.3">
      <c r="A519" s="2" t="s">
        <v>585</v>
      </c>
      <c r="B519" s="6">
        <v>45701</v>
      </c>
      <c r="C519" s="2" t="s">
        <v>44</v>
      </c>
      <c r="D519" s="2" t="s">
        <v>35</v>
      </c>
      <c r="E519" s="2">
        <v>2</v>
      </c>
      <c r="F519" s="7">
        <v>179</v>
      </c>
      <c r="G519" s="8">
        <v>0</v>
      </c>
      <c r="H519" s="9" t="str">
        <f>INDEX(Products!$B$2:$B$37, MATCH(D519, Products!$A$2:$A$37, 0))</f>
        <v>Men's Linen Shirt</v>
      </c>
      <c r="I519" t="str">
        <f>INDEX(Products!$C$2:$C$37, MATCH(D519, Products!$A$2:$A$37, 0))</f>
        <v>Fashion</v>
      </c>
      <c r="J519">
        <f>INDEX(Products!$E$2:$E$37, MATCH(D519, Products!$A$2:$A$37, 0))</f>
        <v>70</v>
      </c>
      <c r="K519" s="9">
        <f t="shared" si="32"/>
        <v>358</v>
      </c>
      <c r="L519">
        <f t="shared" si="33"/>
        <v>140</v>
      </c>
      <c r="M519" s="9">
        <f t="shared" si="34"/>
        <v>218</v>
      </c>
      <c r="N519" t="str">
        <f t="shared" si="35"/>
        <v>Feb</v>
      </c>
    </row>
    <row r="520" spans="1:14" x14ac:dyDescent="0.3">
      <c r="A520" s="2" t="s">
        <v>586</v>
      </c>
      <c r="B520" s="6">
        <v>45701</v>
      </c>
      <c r="C520" s="2" t="s">
        <v>41</v>
      </c>
      <c r="D520" s="2" t="s">
        <v>68</v>
      </c>
      <c r="E520" s="2">
        <v>1</v>
      </c>
      <c r="F520" s="7">
        <v>249</v>
      </c>
      <c r="G520" s="8">
        <v>0.3</v>
      </c>
      <c r="H520" s="9" t="str">
        <f>INDEX(Products!$B$2:$B$37, MATCH(D520, Products!$A$2:$A$37, 0))</f>
        <v>Bluetooth Speaker Mini</v>
      </c>
      <c r="I520" t="str">
        <f>INDEX(Products!$C$2:$C$37, MATCH(D520, Products!$A$2:$A$37, 0))</f>
        <v>Electronics</v>
      </c>
      <c r="J520">
        <f>INDEX(Products!$E$2:$E$37, MATCH(D520, Products!$A$2:$A$37, 0))</f>
        <v>150</v>
      </c>
      <c r="K520" s="9">
        <f t="shared" si="32"/>
        <v>174.29999999999998</v>
      </c>
      <c r="L520">
        <f t="shared" si="33"/>
        <v>150</v>
      </c>
      <c r="M520" s="9">
        <f t="shared" si="34"/>
        <v>24.299999999999983</v>
      </c>
      <c r="N520" t="str">
        <f t="shared" si="35"/>
        <v>Feb</v>
      </c>
    </row>
    <row r="521" spans="1:14" x14ac:dyDescent="0.3">
      <c r="A521" s="2" t="s">
        <v>587</v>
      </c>
      <c r="B521" s="6">
        <v>45701</v>
      </c>
      <c r="C521" s="2" t="s">
        <v>44</v>
      </c>
      <c r="D521" s="2" t="s">
        <v>35</v>
      </c>
      <c r="E521" s="2">
        <v>1</v>
      </c>
      <c r="F521" s="7">
        <v>179</v>
      </c>
      <c r="G521" s="8">
        <v>0</v>
      </c>
      <c r="H521" s="9" t="str">
        <f>INDEX(Products!$B$2:$B$37, MATCH(D521, Products!$A$2:$A$37, 0))</f>
        <v>Men's Linen Shirt</v>
      </c>
      <c r="I521" t="str">
        <f>INDEX(Products!$C$2:$C$37, MATCH(D521, Products!$A$2:$A$37, 0))</f>
        <v>Fashion</v>
      </c>
      <c r="J521">
        <f>INDEX(Products!$E$2:$E$37, MATCH(D521, Products!$A$2:$A$37, 0))</f>
        <v>70</v>
      </c>
      <c r="K521" s="9">
        <f t="shared" si="32"/>
        <v>179</v>
      </c>
      <c r="L521">
        <f t="shared" si="33"/>
        <v>70</v>
      </c>
      <c r="M521" s="9">
        <f t="shared" si="34"/>
        <v>109</v>
      </c>
      <c r="N521" t="str">
        <f t="shared" si="35"/>
        <v>Feb</v>
      </c>
    </row>
    <row r="522" spans="1:14" x14ac:dyDescent="0.3">
      <c r="A522" s="2" t="s">
        <v>588</v>
      </c>
      <c r="B522" s="6">
        <v>45701</v>
      </c>
      <c r="C522" s="2" t="s">
        <v>48</v>
      </c>
      <c r="D522" s="2" t="s">
        <v>52</v>
      </c>
      <c r="E522" s="2">
        <v>1</v>
      </c>
      <c r="F522" s="7">
        <v>299</v>
      </c>
      <c r="G522" s="8">
        <v>0.2</v>
      </c>
      <c r="H522" s="9" t="str">
        <f>INDEX(Products!$B$2:$B$37, MATCH(D522, Products!$A$2:$A$37, 0))</f>
        <v>Hair Dryer Ionic</v>
      </c>
      <c r="I522" t="str">
        <f>INDEX(Products!$C$2:$C$37, MATCH(D522, Products!$A$2:$A$37, 0))</f>
        <v>Beauty</v>
      </c>
      <c r="J522">
        <f>INDEX(Products!$E$2:$E$37, MATCH(D522, Products!$A$2:$A$37, 0))</f>
        <v>240</v>
      </c>
      <c r="K522" s="9">
        <f t="shared" si="32"/>
        <v>239.20000000000002</v>
      </c>
      <c r="L522">
        <f t="shared" si="33"/>
        <v>240</v>
      </c>
      <c r="M522" s="9">
        <f t="shared" si="34"/>
        <v>-0.79999999999998295</v>
      </c>
      <c r="N522" t="str">
        <f t="shared" si="35"/>
        <v>Feb</v>
      </c>
    </row>
    <row r="523" spans="1:14" x14ac:dyDescent="0.3">
      <c r="A523" s="2" t="s">
        <v>589</v>
      </c>
      <c r="B523" s="6">
        <v>45701</v>
      </c>
      <c r="C523" s="2" t="s">
        <v>28</v>
      </c>
      <c r="D523" s="2" t="s">
        <v>33</v>
      </c>
      <c r="E523" s="2">
        <v>3</v>
      </c>
      <c r="F523" s="7">
        <v>199</v>
      </c>
      <c r="G523" s="8">
        <v>0.1</v>
      </c>
      <c r="H523" s="9" t="str">
        <f>INDEX(Products!$B$2:$B$37, MATCH(D523, Products!$A$2:$A$37, 0))</f>
        <v>Fitness Band Lite</v>
      </c>
      <c r="I523" t="str">
        <f>INDEX(Products!$C$2:$C$37, MATCH(D523, Products!$A$2:$A$37, 0))</f>
        <v>Electronics</v>
      </c>
      <c r="J523">
        <f>INDEX(Products!$E$2:$E$37, MATCH(D523, Products!$A$2:$A$37, 0))</f>
        <v>175</v>
      </c>
      <c r="K523" s="9">
        <f t="shared" si="32"/>
        <v>537.30000000000007</v>
      </c>
      <c r="L523">
        <f t="shared" si="33"/>
        <v>525</v>
      </c>
      <c r="M523" s="9">
        <f t="shared" si="34"/>
        <v>12.300000000000068</v>
      </c>
      <c r="N523" t="str">
        <f t="shared" si="35"/>
        <v>Feb</v>
      </c>
    </row>
    <row r="524" spans="1:14" x14ac:dyDescent="0.3">
      <c r="A524" s="2" t="s">
        <v>590</v>
      </c>
      <c r="B524" s="6">
        <v>45701</v>
      </c>
      <c r="C524" s="2" t="s">
        <v>28</v>
      </c>
      <c r="D524" s="2" t="s">
        <v>109</v>
      </c>
      <c r="E524" s="2">
        <v>1</v>
      </c>
      <c r="F524" s="7">
        <v>1499</v>
      </c>
      <c r="G524" s="8">
        <v>0.2</v>
      </c>
      <c r="H524" s="9" t="str">
        <f>INDEX(Products!$B$2:$B$37, MATCH(D524, Products!$A$2:$A$37, 0))</f>
        <v>Espresso Machine</v>
      </c>
      <c r="I524" t="str">
        <f>INDEX(Products!$C$2:$C$37, MATCH(D524, Products!$A$2:$A$37, 0))</f>
        <v>Home &amp; Kitchen</v>
      </c>
      <c r="J524">
        <f>INDEX(Products!$E$2:$E$37, MATCH(D524, Products!$A$2:$A$37, 0))</f>
        <v>1050</v>
      </c>
      <c r="K524" s="9">
        <f t="shared" si="32"/>
        <v>1199.2</v>
      </c>
      <c r="L524">
        <f t="shared" si="33"/>
        <v>1050</v>
      </c>
      <c r="M524" s="9">
        <f t="shared" si="34"/>
        <v>149.20000000000005</v>
      </c>
      <c r="N524" t="str">
        <f t="shared" si="35"/>
        <v>Feb</v>
      </c>
    </row>
    <row r="525" spans="1:14" x14ac:dyDescent="0.3">
      <c r="A525" s="2" t="s">
        <v>591</v>
      </c>
      <c r="B525" s="6">
        <v>45701</v>
      </c>
      <c r="C525" s="2" t="s">
        <v>48</v>
      </c>
      <c r="D525" s="2" t="s">
        <v>70</v>
      </c>
      <c r="E525" s="2">
        <v>1</v>
      </c>
      <c r="F525" s="7">
        <v>429</v>
      </c>
      <c r="G525" s="8">
        <v>0</v>
      </c>
      <c r="H525" s="9" t="str">
        <f>INDEX(Products!$B$2:$B$37, MATCH(D525, Products!$A$2:$A$37, 0))</f>
        <v>Running Shoes Elite</v>
      </c>
      <c r="I525" t="str">
        <f>INDEX(Products!$C$2:$C$37, MATCH(D525, Products!$A$2:$A$37, 0))</f>
        <v>Fashion</v>
      </c>
      <c r="J525">
        <f>INDEX(Products!$E$2:$E$37, MATCH(D525, Products!$A$2:$A$37, 0))</f>
        <v>300</v>
      </c>
      <c r="K525" s="9">
        <f t="shared" si="32"/>
        <v>429</v>
      </c>
      <c r="L525">
        <f t="shared" si="33"/>
        <v>300</v>
      </c>
      <c r="M525" s="9">
        <f t="shared" si="34"/>
        <v>129</v>
      </c>
      <c r="N525" t="str">
        <f t="shared" si="35"/>
        <v>Feb</v>
      </c>
    </row>
    <row r="526" spans="1:14" x14ac:dyDescent="0.3">
      <c r="A526" s="2" t="s">
        <v>592</v>
      </c>
      <c r="B526" s="6">
        <v>45702</v>
      </c>
      <c r="C526" s="2" t="s">
        <v>28</v>
      </c>
      <c r="D526" s="2" t="s">
        <v>131</v>
      </c>
      <c r="E526" s="2">
        <v>2</v>
      </c>
      <c r="F526" s="7">
        <v>899</v>
      </c>
      <c r="G526" s="8">
        <v>0.2</v>
      </c>
      <c r="H526" s="9" t="str">
        <f>INDEX(Products!$B$2:$B$37, MATCH(D526, Products!$A$2:$A$37, 0))</f>
        <v>4K Action Camera</v>
      </c>
      <c r="I526" t="str">
        <f>INDEX(Products!$C$2:$C$37, MATCH(D526, Products!$A$2:$A$37, 0))</f>
        <v>Electronics</v>
      </c>
      <c r="J526">
        <f>INDEX(Products!$E$2:$E$37, MATCH(D526, Products!$A$2:$A$37, 0))</f>
        <v>610</v>
      </c>
      <c r="K526" s="9">
        <f t="shared" si="32"/>
        <v>1438.4</v>
      </c>
      <c r="L526">
        <f t="shared" si="33"/>
        <v>1220</v>
      </c>
      <c r="M526" s="9">
        <f t="shared" si="34"/>
        <v>218.40000000000009</v>
      </c>
      <c r="N526" t="str">
        <f t="shared" si="35"/>
        <v>Feb</v>
      </c>
    </row>
    <row r="527" spans="1:14" x14ac:dyDescent="0.3">
      <c r="A527" s="2" t="s">
        <v>593</v>
      </c>
      <c r="B527" s="6">
        <v>45702</v>
      </c>
      <c r="C527" s="2" t="s">
        <v>28</v>
      </c>
      <c r="D527" s="2" t="s">
        <v>194</v>
      </c>
      <c r="E527" s="2">
        <v>1</v>
      </c>
      <c r="F527" s="7">
        <v>699</v>
      </c>
      <c r="G527" s="8">
        <v>0.15</v>
      </c>
      <c r="H527" s="9" t="str">
        <f>INDEX(Products!$B$2:$B$37, MATCH(D527, Products!$A$2:$A$37, 0))</f>
        <v>Leather Handbag</v>
      </c>
      <c r="I527" t="str">
        <f>INDEX(Products!$C$2:$C$37, MATCH(D527, Products!$A$2:$A$37, 0))</f>
        <v>Fashion</v>
      </c>
      <c r="J527">
        <f>INDEX(Products!$E$2:$E$37, MATCH(D527, Products!$A$2:$A$37, 0))</f>
        <v>380</v>
      </c>
      <c r="K527" s="9">
        <f t="shared" si="32"/>
        <v>594.15</v>
      </c>
      <c r="L527">
        <f t="shared" si="33"/>
        <v>380</v>
      </c>
      <c r="M527" s="9">
        <f t="shared" si="34"/>
        <v>214.14999999999998</v>
      </c>
      <c r="N527" t="str">
        <f t="shared" si="35"/>
        <v>Feb</v>
      </c>
    </row>
    <row r="528" spans="1:14" x14ac:dyDescent="0.3">
      <c r="A528" s="2" t="s">
        <v>594</v>
      </c>
      <c r="B528" s="6">
        <v>45702</v>
      </c>
      <c r="C528" s="2" t="s">
        <v>41</v>
      </c>
      <c r="D528" s="2" t="s">
        <v>56</v>
      </c>
      <c r="E528" s="2">
        <v>1</v>
      </c>
      <c r="F528" s="7">
        <v>289</v>
      </c>
      <c r="G528" s="8">
        <v>0.15</v>
      </c>
      <c r="H528" s="9" t="str">
        <f>INDEX(Products!$B$2:$B$37, MATCH(D528, Products!$A$2:$A$37, 0))</f>
        <v>Ceramic Dinner Set</v>
      </c>
      <c r="I528" t="str">
        <f>INDEX(Products!$C$2:$C$37, MATCH(D528, Products!$A$2:$A$37, 0))</f>
        <v>Home &amp; Kitchen</v>
      </c>
      <c r="J528">
        <f>INDEX(Products!$E$2:$E$37, MATCH(D528, Products!$A$2:$A$37, 0))</f>
        <v>140</v>
      </c>
      <c r="K528" s="9">
        <f t="shared" si="32"/>
        <v>245.65</v>
      </c>
      <c r="L528">
        <f t="shared" si="33"/>
        <v>140</v>
      </c>
      <c r="M528" s="9">
        <f t="shared" si="34"/>
        <v>105.65</v>
      </c>
      <c r="N528" t="str">
        <f t="shared" si="35"/>
        <v>Feb</v>
      </c>
    </row>
    <row r="529" spans="1:14" x14ac:dyDescent="0.3">
      <c r="A529" s="2" t="s">
        <v>595</v>
      </c>
      <c r="B529" s="6">
        <v>45702</v>
      </c>
      <c r="C529" s="2" t="s">
        <v>28</v>
      </c>
      <c r="D529" s="2" t="s">
        <v>37</v>
      </c>
      <c r="E529" s="2">
        <v>1</v>
      </c>
      <c r="F529" s="7">
        <v>249</v>
      </c>
      <c r="G529" s="8">
        <v>0.05</v>
      </c>
      <c r="H529" s="9" t="str">
        <f>INDEX(Products!$B$2:$B$37, MATCH(D529, Products!$A$2:$A$37, 0))</f>
        <v>Sunglasses Polarised</v>
      </c>
      <c r="I529" t="str">
        <f>INDEX(Products!$C$2:$C$37, MATCH(D529, Products!$A$2:$A$37, 0))</f>
        <v>Fashion</v>
      </c>
      <c r="J529">
        <f>INDEX(Products!$E$2:$E$37, MATCH(D529, Products!$A$2:$A$37, 0))</f>
        <v>95</v>
      </c>
      <c r="K529" s="9">
        <f t="shared" si="32"/>
        <v>236.54999999999998</v>
      </c>
      <c r="L529">
        <f t="shared" si="33"/>
        <v>95</v>
      </c>
      <c r="M529" s="9">
        <f t="shared" si="34"/>
        <v>141.54999999999998</v>
      </c>
      <c r="N529" t="str">
        <f t="shared" si="35"/>
        <v>Feb</v>
      </c>
    </row>
    <row r="530" spans="1:14" x14ac:dyDescent="0.3">
      <c r="A530" s="2" t="s">
        <v>596</v>
      </c>
      <c r="B530" s="6">
        <v>45702</v>
      </c>
      <c r="C530" s="2" t="s">
        <v>44</v>
      </c>
      <c r="D530" s="2" t="s">
        <v>29</v>
      </c>
      <c r="E530" s="2">
        <v>1</v>
      </c>
      <c r="F530" s="7">
        <v>229</v>
      </c>
      <c r="G530" s="8">
        <v>0</v>
      </c>
      <c r="H530" s="9" t="str">
        <f>INDEX(Products!$B$2:$B$37, MATCH(D530, Products!$A$2:$A$37, 0))</f>
        <v>Women's Summer Dress</v>
      </c>
      <c r="I530" t="str">
        <f>INDEX(Products!$C$2:$C$37, MATCH(D530, Products!$A$2:$A$37, 0))</f>
        <v>Fashion</v>
      </c>
      <c r="J530">
        <f>INDEX(Products!$E$2:$E$37, MATCH(D530, Products!$A$2:$A$37, 0))</f>
        <v>120</v>
      </c>
      <c r="K530" s="9">
        <f t="shared" si="32"/>
        <v>229</v>
      </c>
      <c r="L530">
        <f t="shared" si="33"/>
        <v>120</v>
      </c>
      <c r="M530" s="9">
        <f t="shared" si="34"/>
        <v>109</v>
      </c>
      <c r="N530" t="str">
        <f t="shared" si="35"/>
        <v>Feb</v>
      </c>
    </row>
    <row r="531" spans="1:14" x14ac:dyDescent="0.3">
      <c r="A531" s="2" t="s">
        <v>597</v>
      </c>
      <c r="B531" s="6">
        <v>45702</v>
      </c>
      <c r="C531" s="2" t="s">
        <v>48</v>
      </c>
      <c r="D531" s="2" t="s">
        <v>70</v>
      </c>
      <c r="E531" s="2">
        <v>1</v>
      </c>
      <c r="F531" s="7">
        <v>429</v>
      </c>
      <c r="G531" s="8">
        <v>0</v>
      </c>
      <c r="H531" s="9" t="str">
        <f>INDEX(Products!$B$2:$B$37, MATCH(D531, Products!$A$2:$A$37, 0))</f>
        <v>Running Shoes Elite</v>
      </c>
      <c r="I531" t="str">
        <f>INDEX(Products!$C$2:$C$37, MATCH(D531, Products!$A$2:$A$37, 0))</f>
        <v>Fashion</v>
      </c>
      <c r="J531">
        <f>INDEX(Products!$E$2:$E$37, MATCH(D531, Products!$A$2:$A$37, 0))</f>
        <v>300</v>
      </c>
      <c r="K531" s="9">
        <f t="shared" si="32"/>
        <v>429</v>
      </c>
      <c r="L531">
        <f t="shared" si="33"/>
        <v>300</v>
      </c>
      <c r="M531" s="9">
        <f t="shared" si="34"/>
        <v>129</v>
      </c>
      <c r="N531" t="str">
        <f t="shared" si="35"/>
        <v>Feb</v>
      </c>
    </row>
    <row r="532" spans="1:14" x14ac:dyDescent="0.3">
      <c r="A532" s="2" t="s">
        <v>598</v>
      </c>
      <c r="B532" s="6">
        <v>45702</v>
      </c>
      <c r="C532" s="2" t="s">
        <v>41</v>
      </c>
      <c r="D532" s="2" t="s">
        <v>99</v>
      </c>
      <c r="E532" s="2">
        <v>1</v>
      </c>
      <c r="F532" s="7">
        <v>459</v>
      </c>
      <c r="G532" s="8">
        <v>0</v>
      </c>
      <c r="H532" s="9" t="str">
        <f>INDEX(Products!$B$2:$B$37, MATCH(D532, Products!$A$2:$A$37, 0))</f>
        <v>Gaming Headset X</v>
      </c>
      <c r="I532" t="str">
        <f>INDEX(Products!$C$2:$C$37, MATCH(D532, Products!$A$2:$A$37, 0))</f>
        <v>Electronics</v>
      </c>
      <c r="J532">
        <f>INDEX(Products!$E$2:$E$37, MATCH(D532, Products!$A$2:$A$37, 0))</f>
        <v>300</v>
      </c>
      <c r="K532" s="9">
        <f t="shared" si="32"/>
        <v>459</v>
      </c>
      <c r="L532">
        <f t="shared" si="33"/>
        <v>300</v>
      </c>
      <c r="M532" s="9">
        <f t="shared" si="34"/>
        <v>159</v>
      </c>
      <c r="N532" t="str">
        <f t="shared" si="35"/>
        <v>Feb</v>
      </c>
    </row>
    <row r="533" spans="1:14" x14ac:dyDescent="0.3">
      <c r="A533" s="2" t="s">
        <v>599</v>
      </c>
      <c r="B533" s="6">
        <v>45702</v>
      </c>
      <c r="C533" s="2" t="s">
        <v>44</v>
      </c>
      <c r="D533" s="2" t="s">
        <v>131</v>
      </c>
      <c r="E533" s="2">
        <v>1</v>
      </c>
      <c r="F533" s="7">
        <v>899</v>
      </c>
      <c r="G533" s="8">
        <v>0</v>
      </c>
      <c r="H533" s="9" t="str">
        <f>INDEX(Products!$B$2:$B$37, MATCH(D533, Products!$A$2:$A$37, 0))</f>
        <v>4K Action Camera</v>
      </c>
      <c r="I533" t="str">
        <f>INDEX(Products!$C$2:$C$37, MATCH(D533, Products!$A$2:$A$37, 0))</f>
        <v>Electronics</v>
      </c>
      <c r="J533">
        <f>INDEX(Products!$E$2:$E$37, MATCH(D533, Products!$A$2:$A$37, 0))</f>
        <v>610</v>
      </c>
      <c r="K533" s="9">
        <f t="shared" si="32"/>
        <v>899</v>
      </c>
      <c r="L533">
        <f t="shared" si="33"/>
        <v>610</v>
      </c>
      <c r="M533" s="9">
        <f t="shared" si="34"/>
        <v>289</v>
      </c>
      <c r="N533" t="str">
        <f t="shared" si="35"/>
        <v>Feb</v>
      </c>
    </row>
    <row r="534" spans="1:14" x14ac:dyDescent="0.3">
      <c r="A534" s="2" t="s">
        <v>600</v>
      </c>
      <c r="B534" s="6">
        <v>45702</v>
      </c>
      <c r="C534" s="2" t="s">
        <v>41</v>
      </c>
      <c r="D534" s="2" t="s">
        <v>75</v>
      </c>
      <c r="E534" s="2">
        <v>4</v>
      </c>
      <c r="F534" s="7">
        <v>549</v>
      </c>
      <c r="G534" s="8">
        <v>0.05</v>
      </c>
      <c r="H534" s="9" t="str">
        <f>INDEX(Products!$B$2:$B$37, MATCH(D534, Products!$A$2:$A$37, 0))</f>
        <v>Oud Perfume 100ml</v>
      </c>
      <c r="I534" t="str">
        <f>INDEX(Products!$C$2:$C$37, MATCH(D534, Products!$A$2:$A$37, 0))</f>
        <v>Beauty</v>
      </c>
      <c r="J534">
        <f>INDEX(Products!$E$2:$E$37, MATCH(D534, Products!$A$2:$A$37, 0))</f>
        <v>250</v>
      </c>
      <c r="K534" s="9">
        <f t="shared" si="32"/>
        <v>2086.1999999999998</v>
      </c>
      <c r="L534">
        <f t="shared" si="33"/>
        <v>1000</v>
      </c>
      <c r="M534" s="9">
        <f t="shared" si="34"/>
        <v>1086.1999999999998</v>
      </c>
      <c r="N534" t="str">
        <f t="shared" si="35"/>
        <v>Feb</v>
      </c>
    </row>
    <row r="535" spans="1:14" x14ac:dyDescent="0.3">
      <c r="A535" s="2" t="s">
        <v>601</v>
      </c>
      <c r="B535" s="6">
        <v>45702</v>
      </c>
      <c r="C535" s="2" t="s">
        <v>31</v>
      </c>
      <c r="D535" s="2" t="s">
        <v>103</v>
      </c>
      <c r="E535" s="2">
        <v>2</v>
      </c>
      <c r="F535" s="7">
        <v>89</v>
      </c>
      <c r="G535" s="8">
        <v>0.1</v>
      </c>
      <c r="H535" s="9" t="str">
        <f>INDEX(Products!$B$2:$B$37, MATCH(D535, Products!$A$2:$A$37, 0))</f>
        <v>Sunscreen SPF50</v>
      </c>
      <c r="I535" t="str">
        <f>INDEX(Products!$C$2:$C$37, MATCH(D535, Products!$A$2:$A$37, 0))</f>
        <v>Beauty</v>
      </c>
      <c r="J535">
        <f>INDEX(Products!$E$2:$E$37, MATCH(D535, Products!$A$2:$A$37, 0))</f>
        <v>40</v>
      </c>
      <c r="K535" s="9">
        <f t="shared" si="32"/>
        <v>160.20000000000002</v>
      </c>
      <c r="L535">
        <f t="shared" si="33"/>
        <v>80</v>
      </c>
      <c r="M535" s="9">
        <f t="shared" si="34"/>
        <v>80.200000000000017</v>
      </c>
      <c r="N535" t="str">
        <f t="shared" si="35"/>
        <v>Feb</v>
      </c>
    </row>
    <row r="536" spans="1:14" x14ac:dyDescent="0.3">
      <c r="A536" s="2" t="s">
        <v>602</v>
      </c>
      <c r="B536" s="6">
        <v>45702</v>
      </c>
      <c r="C536" s="2" t="s">
        <v>31</v>
      </c>
      <c r="D536" s="2" t="s">
        <v>80</v>
      </c>
      <c r="E536" s="2">
        <v>1</v>
      </c>
      <c r="F536" s="7">
        <v>149</v>
      </c>
      <c r="G536" s="8">
        <v>0</v>
      </c>
      <c r="H536" s="9" t="str">
        <f>INDEX(Products!$B$2:$B$37, MATCH(D536, Products!$A$2:$A$37, 0))</f>
        <v>Vitamin C Serum</v>
      </c>
      <c r="I536" t="str">
        <f>INDEX(Products!$C$2:$C$37, MATCH(D536, Products!$A$2:$A$37, 0))</f>
        <v>Beauty</v>
      </c>
      <c r="J536">
        <f>INDEX(Products!$E$2:$E$37, MATCH(D536, Products!$A$2:$A$37, 0))</f>
        <v>55</v>
      </c>
      <c r="K536" s="9">
        <f t="shared" si="32"/>
        <v>149</v>
      </c>
      <c r="L536">
        <f t="shared" si="33"/>
        <v>55</v>
      </c>
      <c r="M536" s="9">
        <f t="shared" si="34"/>
        <v>94</v>
      </c>
      <c r="N536" t="str">
        <f t="shared" si="35"/>
        <v>Feb</v>
      </c>
    </row>
    <row r="537" spans="1:14" x14ac:dyDescent="0.3">
      <c r="A537" s="2" t="s">
        <v>603</v>
      </c>
      <c r="B537" s="6">
        <v>45702</v>
      </c>
      <c r="C537" s="2" t="s">
        <v>31</v>
      </c>
      <c r="D537" s="2" t="s">
        <v>126</v>
      </c>
      <c r="E537" s="2">
        <v>2</v>
      </c>
      <c r="F537" s="7">
        <v>89</v>
      </c>
      <c r="G537" s="8">
        <v>0</v>
      </c>
      <c r="H537" s="9" t="str">
        <f>INDEX(Products!$B$2:$B$37, MATCH(D537, Products!$A$2:$A$37, 0))</f>
        <v>USB-C Fast Charger</v>
      </c>
      <c r="I537" t="str">
        <f>INDEX(Products!$C$2:$C$37, MATCH(D537, Products!$A$2:$A$37, 0))</f>
        <v>Electronics</v>
      </c>
      <c r="J537">
        <f>INDEX(Products!$E$2:$E$37, MATCH(D537, Products!$A$2:$A$37, 0))</f>
        <v>35</v>
      </c>
      <c r="K537" s="9">
        <f t="shared" si="32"/>
        <v>178</v>
      </c>
      <c r="L537">
        <f t="shared" si="33"/>
        <v>70</v>
      </c>
      <c r="M537" s="9">
        <f t="shared" si="34"/>
        <v>108</v>
      </c>
      <c r="N537" t="str">
        <f t="shared" si="35"/>
        <v>Feb</v>
      </c>
    </row>
    <row r="538" spans="1:14" x14ac:dyDescent="0.3">
      <c r="A538" s="2" t="s">
        <v>604</v>
      </c>
      <c r="B538" s="6">
        <v>45702</v>
      </c>
      <c r="C538" s="2" t="s">
        <v>44</v>
      </c>
      <c r="D538" s="2" t="s">
        <v>29</v>
      </c>
      <c r="E538" s="2">
        <v>4</v>
      </c>
      <c r="F538" s="7">
        <v>229</v>
      </c>
      <c r="G538" s="8">
        <v>0</v>
      </c>
      <c r="H538" s="9" t="str">
        <f>INDEX(Products!$B$2:$B$37, MATCH(D538, Products!$A$2:$A$37, 0))</f>
        <v>Women's Summer Dress</v>
      </c>
      <c r="I538" t="str">
        <f>INDEX(Products!$C$2:$C$37, MATCH(D538, Products!$A$2:$A$37, 0))</f>
        <v>Fashion</v>
      </c>
      <c r="J538">
        <f>INDEX(Products!$E$2:$E$37, MATCH(D538, Products!$A$2:$A$37, 0))</f>
        <v>120</v>
      </c>
      <c r="K538" s="9">
        <f t="shared" si="32"/>
        <v>916</v>
      </c>
      <c r="L538">
        <f t="shared" si="33"/>
        <v>480</v>
      </c>
      <c r="M538" s="9">
        <f t="shared" si="34"/>
        <v>436</v>
      </c>
      <c r="N538" t="str">
        <f t="shared" si="35"/>
        <v>Feb</v>
      </c>
    </row>
    <row r="539" spans="1:14" x14ac:dyDescent="0.3">
      <c r="A539" s="2" t="s">
        <v>605</v>
      </c>
      <c r="B539" s="6">
        <v>45702</v>
      </c>
      <c r="C539" s="2" t="s">
        <v>28</v>
      </c>
      <c r="D539" s="2" t="s">
        <v>80</v>
      </c>
      <c r="E539" s="2">
        <v>1</v>
      </c>
      <c r="F539" s="7">
        <v>149</v>
      </c>
      <c r="G539" s="8">
        <v>0</v>
      </c>
      <c r="H539" s="9" t="str">
        <f>INDEX(Products!$B$2:$B$37, MATCH(D539, Products!$A$2:$A$37, 0))</f>
        <v>Vitamin C Serum</v>
      </c>
      <c r="I539" t="str">
        <f>INDEX(Products!$C$2:$C$37, MATCH(D539, Products!$A$2:$A$37, 0))</f>
        <v>Beauty</v>
      </c>
      <c r="J539">
        <f>INDEX(Products!$E$2:$E$37, MATCH(D539, Products!$A$2:$A$37, 0))</f>
        <v>55</v>
      </c>
      <c r="K539" s="9">
        <f t="shared" si="32"/>
        <v>149</v>
      </c>
      <c r="L539">
        <f t="shared" si="33"/>
        <v>55</v>
      </c>
      <c r="M539" s="9">
        <f t="shared" si="34"/>
        <v>94</v>
      </c>
      <c r="N539" t="str">
        <f t="shared" si="35"/>
        <v>Feb</v>
      </c>
    </row>
    <row r="540" spans="1:14" x14ac:dyDescent="0.3">
      <c r="A540" s="2" t="s">
        <v>606</v>
      </c>
      <c r="B540" s="6">
        <v>45702</v>
      </c>
      <c r="C540" s="2" t="s">
        <v>44</v>
      </c>
      <c r="D540" s="2" t="s">
        <v>113</v>
      </c>
      <c r="E540" s="2">
        <v>2</v>
      </c>
      <c r="F540" s="7">
        <v>1199</v>
      </c>
      <c r="G540" s="8">
        <v>0.1</v>
      </c>
      <c r="H540" s="9" t="str">
        <f>INDEX(Products!$B$2:$B$37, MATCH(D540, Products!$A$2:$A$37, 0))</f>
        <v>Robot Vacuum S3</v>
      </c>
      <c r="I540" t="str">
        <f>INDEX(Products!$C$2:$C$37, MATCH(D540, Products!$A$2:$A$37, 0))</f>
        <v>Home &amp; Kitchen</v>
      </c>
      <c r="J540">
        <f>INDEX(Products!$E$2:$E$37, MATCH(D540, Products!$A$2:$A$37, 0))</f>
        <v>1080</v>
      </c>
      <c r="K540" s="9">
        <f t="shared" si="32"/>
        <v>2158.2000000000003</v>
      </c>
      <c r="L540">
        <f t="shared" si="33"/>
        <v>2160</v>
      </c>
      <c r="M540" s="9">
        <f t="shared" si="34"/>
        <v>-1.7999999999997272</v>
      </c>
      <c r="N540" t="str">
        <f t="shared" si="35"/>
        <v>Feb</v>
      </c>
    </row>
    <row r="541" spans="1:14" x14ac:dyDescent="0.3">
      <c r="A541" s="2" t="s">
        <v>607</v>
      </c>
      <c r="B541" s="6">
        <v>45703</v>
      </c>
      <c r="C541" s="2" t="s">
        <v>28</v>
      </c>
      <c r="D541" s="2" t="s">
        <v>49</v>
      </c>
      <c r="E541" s="2">
        <v>1</v>
      </c>
      <c r="F541" s="7">
        <v>149</v>
      </c>
      <c r="G541" s="8">
        <v>0</v>
      </c>
      <c r="H541" s="9" t="str">
        <f>INDEX(Products!$B$2:$B$37, MATCH(D541, Products!$A$2:$A$37, 0))</f>
        <v>Kids' Sneakers</v>
      </c>
      <c r="I541" t="str">
        <f>INDEX(Products!$C$2:$C$37, MATCH(D541, Products!$A$2:$A$37, 0))</f>
        <v>Fashion</v>
      </c>
      <c r="J541">
        <f>INDEX(Products!$E$2:$E$37, MATCH(D541, Products!$A$2:$A$37, 0))</f>
        <v>80</v>
      </c>
      <c r="K541" s="9">
        <f t="shared" si="32"/>
        <v>149</v>
      </c>
      <c r="L541">
        <f t="shared" si="33"/>
        <v>80</v>
      </c>
      <c r="M541" s="9">
        <f t="shared" si="34"/>
        <v>69</v>
      </c>
      <c r="N541" t="str">
        <f t="shared" si="35"/>
        <v>Feb</v>
      </c>
    </row>
    <row r="542" spans="1:14" x14ac:dyDescent="0.3">
      <c r="A542" s="2" t="s">
        <v>608</v>
      </c>
      <c r="B542" s="6">
        <v>45703</v>
      </c>
      <c r="C542" s="2" t="s">
        <v>41</v>
      </c>
      <c r="D542" s="2" t="s">
        <v>37</v>
      </c>
      <c r="E542" s="2">
        <v>1</v>
      </c>
      <c r="F542" s="7">
        <v>249</v>
      </c>
      <c r="G542" s="8">
        <v>0.05</v>
      </c>
      <c r="H542" s="9" t="str">
        <f>INDEX(Products!$B$2:$B$37, MATCH(D542, Products!$A$2:$A$37, 0))</f>
        <v>Sunglasses Polarised</v>
      </c>
      <c r="I542" t="str">
        <f>INDEX(Products!$C$2:$C$37, MATCH(D542, Products!$A$2:$A$37, 0))</f>
        <v>Fashion</v>
      </c>
      <c r="J542">
        <f>INDEX(Products!$E$2:$E$37, MATCH(D542, Products!$A$2:$A$37, 0))</f>
        <v>95</v>
      </c>
      <c r="K542" s="9">
        <f t="shared" si="32"/>
        <v>236.54999999999998</v>
      </c>
      <c r="L542">
        <f t="shared" si="33"/>
        <v>95</v>
      </c>
      <c r="M542" s="9">
        <f t="shared" si="34"/>
        <v>141.54999999999998</v>
      </c>
      <c r="N542" t="str">
        <f t="shared" si="35"/>
        <v>Feb</v>
      </c>
    </row>
    <row r="543" spans="1:14" x14ac:dyDescent="0.3">
      <c r="A543" s="2" t="s">
        <v>609</v>
      </c>
      <c r="B543" s="6">
        <v>45703</v>
      </c>
      <c r="C543" s="2" t="s">
        <v>41</v>
      </c>
      <c r="D543" s="2" t="s">
        <v>99</v>
      </c>
      <c r="E543" s="2">
        <v>1</v>
      </c>
      <c r="F543" s="7">
        <v>459</v>
      </c>
      <c r="G543" s="8">
        <v>0.05</v>
      </c>
      <c r="H543" s="9" t="str">
        <f>INDEX(Products!$B$2:$B$37, MATCH(D543, Products!$A$2:$A$37, 0))</f>
        <v>Gaming Headset X</v>
      </c>
      <c r="I543" t="str">
        <f>INDEX(Products!$C$2:$C$37, MATCH(D543, Products!$A$2:$A$37, 0))</f>
        <v>Electronics</v>
      </c>
      <c r="J543">
        <f>INDEX(Products!$E$2:$E$37, MATCH(D543, Products!$A$2:$A$37, 0))</f>
        <v>300</v>
      </c>
      <c r="K543" s="9">
        <f t="shared" si="32"/>
        <v>436.04999999999995</v>
      </c>
      <c r="L543">
        <f t="shared" si="33"/>
        <v>300</v>
      </c>
      <c r="M543" s="9">
        <f t="shared" si="34"/>
        <v>136.04999999999995</v>
      </c>
      <c r="N543" t="str">
        <f t="shared" si="35"/>
        <v>Feb</v>
      </c>
    </row>
    <row r="544" spans="1:14" x14ac:dyDescent="0.3">
      <c r="A544" s="2" t="s">
        <v>610</v>
      </c>
      <c r="B544" s="6">
        <v>45703</v>
      </c>
      <c r="C544" s="2" t="s">
        <v>44</v>
      </c>
      <c r="D544" s="2" t="s">
        <v>29</v>
      </c>
      <c r="E544" s="2">
        <v>3</v>
      </c>
      <c r="F544" s="7">
        <v>229</v>
      </c>
      <c r="G544" s="8">
        <v>0.05</v>
      </c>
      <c r="H544" s="9" t="str">
        <f>INDEX(Products!$B$2:$B$37, MATCH(D544, Products!$A$2:$A$37, 0))</f>
        <v>Women's Summer Dress</v>
      </c>
      <c r="I544" t="str">
        <f>INDEX(Products!$C$2:$C$37, MATCH(D544, Products!$A$2:$A$37, 0))</f>
        <v>Fashion</v>
      </c>
      <c r="J544">
        <f>INDEX(Products!$E$2:$E$37, MATCH(D544, Products!$A$2:$A$37, 0))</f>
        <v>120</v>
      </c>
      <c r="K544" s="9">
        <f t="shared" si="32"/>
        <v>652.65</v>
      </c>
      <c r="L544">
        <f t="shared" si="33"/>
        <v>360</v>
      </c>
      <c r="M544" s="9">
        <f t="shared" si="34"/>
        <v>292.64999999999998</v>
      </c>
      <c r="N544" t="str">
        <f t="shared" si="35"/>
        <v>Feb</v>
      </c>
    </row>
    <row r="545" spans="1:14" x14ac:dyDescent="0.3">
      <c r="A545" s="2" t="s">
        <v>611</v>
      </c>
      <c r="B545" s="6">
        <v>45703</v>
      </c>
      <c r="C545" s="2" t="s">
        <v>44</v>
      </c>
      <c r="D545" s="2" t="s">
        <v>60</v>
      </c>
      <c r="E545" s="2">
        <v>1</v>
      </c>
      <c r="F545" s="7">
        <v>99</v>
      </c>
      <c r="G545" s="8">
        <v>0</v>
      </c>
      <c r="H545" s="9" t="str">
        <f>INDEX(Products!$B$2:$B$37, MATCH(D545, Products!$A$2:$A$37, 0))</f>
        <v>Football Size 5</v>
      </c>
      <c r="I545" t="str">
        <f>INDEX(Products!$C$2:$C$37, MATCH(D545, Products!$A$2:$A$37, 0))</f>
        <v>Sports</v>
      </c>
      <c r="J545">
        <f>INDEX(Products!$E$2:$E$37, MATCH(D545, Products!$A$2:$A$37, 0))</f>
        <v>45</v>
      </c>
      <c r="K545" s="9">
        <f t="shared" si="32"/>
        <v>99</v>
      </c>
      <c r="L545">
        <f t="shared" si="33"/>
        <v>45</v>
      </c>
      <c r="M545" s="9">
        <f t="shared" si="34"/>
        <v>54</v>
      </c>
      <c r="N545" t="str">
        <f t="shared" si="35"/>
        <v>Feb</v>
      </c>
    </row>
    <row r="546" spans="1:14" x14ac:dyDescent="0.3">
      <c r="A546" s="2" t="s">
        <v>612</v>
      </c>
      <c r="B546" s="6">
        <v>45703</v>
      </c>
      <c r="C546" s="2" t="s">
        <v>44</v>
      </c>
      <c r="D546" s="2" t="s">
        <v>92</v>
      </c>
      <c r="E546" s="2">
        <v>1</v>
      </c>
      <c r="F546" s="7">
        <v>349</v>
      </c>
      <c r="G546" s="8">
        <v>0.05</v>
      </c>
      <c r="H546" s="9" t="str">
        <f>INDEX(Products!$B$2:$B$37, MATCH(D546, Products!$A$2:$A$37, 0))</f>
        <v>Non-stick Cookware Set</v>
      </c>
      <c r="I546" t="str">
        <f>INDEX(Products!$C$2:$C$37, MATCH(D546, Products!$A$2:$A$37, 0))</f>
        <v>Home &amp; Kitchen</v>
      </c>
      <c r="J546">
        <f>INDEX(Products!$E$2:$E$37, MATCH(D546, Products!$A$2:$A$37, 0))</f>
        <v>170</v>
      </c>
      <c r="K546" s="9">
        <f t="shared" si="32"/>
        <v>331.55</v>
      </c>
      <c r="L546">
        <f t="shared" si="33"/>
        <v>170</v>
      </c>
      <c r="M546" s="9">
        <f t="shared" si="34"/>
        <v>161.55000000000001</v>
      </c>
      <c r="N546" t="str">
        <f t="shared" si="35"/>
        <v>Feb</v>
      </c>
    </row>
    <row r="547" spans="1:14" x14ac:dyDescent="0.3">
      <c r="A547" s="2" t="s">
        <v>613</v>
      </c>
      <c r="B547" s="6">
        <v>45703</v>
      </c>
      <c r="C547" s="2" t="s">
        <v>41</v>
      </c>
      <c r="D547" s="2" t="s">
        <v>194</v>
      </c>
      <c r="E547" s="2">
        <v>1</v>
      </c>
      <c r="F547" s="7">
        <v>699</v>
      </c>
      <c r="G547" s="8">
        <v>0.2</v>
      </c>
      <c r="H547" s="9" t="str">
        <f>INDEX(Products!$B$2:$B$37, MATCH(D547, Products!$A$2:$A$37, 0))</f>
        <v>Leather Handbag</v>
      </c>
      <c r="I547" t="str">
        <f>INDEX(Products!$C$2:$C$37, MATCH(D547, Products!$A$2:$A$37, 0))</f>
        <v>Fashion</v>
      </c>
      <c r="J547">
        <f>INDEX(Products!$E$2:$E$37, MATCH(D547, Products!$A$2:$A$37, 0))</f>
        <v>380</v>
      </c>
      <c r="K547" s="9">
        <f t="shared" si="32"/>
        <v>559.20000000000005</v>
      </c>
      <c r="L547">
        <f t="shared" si="33"/>
        <v>380</v>
      </c>
      <c r="M547" s="9">
        <f t="shared" si="34"/>
        <v>179.20000000000005</v>
      </c>
      <c r="N547" t="str">
        <f t="shared" si="35"/>
        <v>Feb</v>
      </c>
    </row>
    <row r="548" spans="1:14" x14ac:dyDescent="0.3">
      <c r="A548" s="2" t="s">
        <v>614</v>
      </c>
      <c r="B548" s="6">
        <v>45703</v>
      </c>
      <c r="C548" s="2" t="s">
        <v>44</v>
      </c>
      <c r="D548" s="2" t="s">
        <v>56</v>
      </c>
      <c r="E548" s="2">
        <v>1</v>
      </c>
      <c r="F548" s="7">
        <v>289</v>
      </c>
      <c r="G548" s="8">
        <v>0.3</v>
      </c>
      <c r="H548" s="9" t="str">
        <f>INDEX(Products!$B$2:$B$37, MATCH(D548, Products!$A$2:$A$37, 0))</f>
        <v>Ceramic Dinner Set</v>
      </c>
      <c r="I548" t="str">
        <f>INDEX(Products!$C$2:$C$37, MATCH(D548, Products!$A$2:$A$37, 0))</f>
        <v>Home &amp; Kitchen</v>
      </c>
      <c r="J548">
        <f>INDEX(Products!$E$2:$E$37, MATCH(D548, Products!$A$2:$A$37, 0))</f>
        <v>140</v>
      </c>
      <c r="K548" s="9">
        <f t="shared" si="32"/>
        <v>202.29999999999998</v>
      </c>
      <c r="L548">
        <f t="shared" si="33"/>
        <v>140</v>
      </c>
      <c r="M548" s="9">
        <f t="shared" si="34"/>
        <v>62.299999999999983</v>
      </c>
      <c r="N548" t="str">
        <f t="shared" si="35"/>
        <v>Feb</v>
      </c>
    </row>
    <row r="549" spans="1:14" x14ac:dyDescent="0.3">
      <c r="A549" s="2" t="s">
        <v>615</v>
      </c>
      <c r="B549" s="6">
        <v>45704</v>
      </c>
      <c r="C549" s="2" t="s">
        <v>28</v>
      </c>
      <c r="D549" s="2" t="s">
        <v>87</v>
      </c>
      <c r="E549" s="2">
        <v>1</v>
      </c>
      <c r="F549" s="7">
        <v>799</v>
      </c>
      <c r="G549" s="8">
        <v>0.25</v>
      </c>
      <c r="H549" s="9" t="str">
        <f>INDEX(Products!$B$2:$B$37, MATCH(D549, Products!$A$2:$A$37, 0))</f>
        <v>Adjustable Dumbbells</v>
      </c>
      <c r="I549" t="str">
        <f>INDEX(Products!$C$2:$C$37, MATCH(D549, Products!$A$2:$A$37, 0))</f>
        <v>Sports</v>
      </c>
      <c r="J549">
        <f>INDEX(Products!$E$2:$E$37, MATCH(D549, Products!$A$2:$A$37, 0))</f>
        <v>700</v>
      </c>
      <c r="K549" s="9">
        <f t="shared" si="32"/>
        <v>599.25</v>
      </c>
      <c r="L549">
        <f t="shared" si="33"/>
        <v>700</v>
      </c>
      <c r="M549" s="9">
        <f t="shared" si="34"/>
        <v>-100.75</v>
      </c>
      <c r="N549" t="str">
        <f t="shared" si="35"/>
        <v>Feb</v>
      </c>
    </row>
    <row r="550" spans="1:14" x14ac:dyDescent="0.3">
      <c r="A550" s="2" t="s">
        <v>616</v>
      </c>
      <c r="B550" s="6">
        <v>45704</v>
      </c>
      <c r="C550" s="2" t="s">
        <v>48</v>
      </c>
      <c r="D550" s="2" t="s">
        <v>29</v>
      </c>
      <c r="E550" s="2">
        <v>2</v>
      </c>
      <c r="F550" s="7">
        <v>229</v>
      </c>
      <c r="G550" s="8">
        <v>0.15</v>
      </c>
      <c r="H550" s="9" t="str">
        <f>INDEX(Products!$B$2:$B$37, MATCH(D550, Products!$A$2:$A$37, 0))</f>
        <v>Women's Summer Dress</v>
      </c>
      <c r="I550" t="str">
        <f>INDEX(Products!$C$2:$C$37, MATCH(D550, Products!$A$2:$A$37, 0))</f>
        <v>Fashion</v>
      </c>
      <c r="J550">
        <f>INDEX(Products!$E$2:$E$37, MATCH(D550, Products!$A$2:$A$37, 0))</f>
        <v>120</v>
      </c>
      <c r="K550" s="9">
        <f t="shared" si="32"/>
        <v>389.3</v>
      </c>
      <c r="L550">
        <f t="shared" si="33"/>
        <v>240</v>
      </c>
      <c r="M550" s="9">
        <f t="shared" si="34"/>
        <v>149.30000000000001</v>
      </c>
      <c r="N550" t="str">
        <f t="shared" si="35"/>
        <v>Feb</v>
      </c>
    </row>
    <row r="551" spans="1:14" x14ac:dyDescent="0.3">
      <c r="A551" s="2" t="s">
        <v>617</v>
      </c>
      <c r="B551" s="6">
        <v>45704</v>
      </c>
      <c r="C551" s="2" t="s">
        <v>44</v>
      </c>
      <c r="D551" s="2" t="s">
        <v>106</v>
      </c>
      <c r="E551" s="2">
        <v>1</v>
      </c>
      <c r="F551" s="7">
        <v>1299</v>
      </c>
      <c r="G551" s="8">
        <v>0</v>
      </c>
      <c r="H551" s="9" t="str">
        <f>INDEX(Products!$B$2:$B$37, MATCH(D551, Products!$A$2:$A$37, 0))</f>
        <v>Smart Watch Series 5</v>
      </c>
      <c r="I551" t="str">
        <f>INDEX(Products!$C$2:$C$37, MATCH(D551, Products!$A$2:$A$37, 0))</f>
        <v>Electronics</v>
      </c>
      <c r="J551">
        <f>INDEX(Products!$E$2:$E$37, MATCH(D551, Products!$A$2:$A$37, 0))</f>
        <v>820</v>
      </c>
      <c r="K551" s="9">
        <f t="shared" si="32"/>
        <v>1299</v>
      </c>
      <c r="L551">
        <f t="shared" si="33"/>
        <v>820</v>
      </c>
      <c r="M551" s="9">
        <f t="shared" si="34"/>
        <v>479</v>
      </c>
      <c r="N551" t="str">
        <f t="shared" si="35"/>
        <v>Feb</v>
      </c>
    </row>
    <row r="552" spans="1:14" x14ac:dyDescent="0.3">
      <c r="A552" s="2" t="s">
        <v>618</v>
      </c>
      <c r="B552" s="6">
        <v>45704</v>
      </c>
      <c r="C552" s="2" t="s">
        <v>44</v>
      </c>
      <c r="D552" s="2" t="s">
        <v>75</v>
      </c>
      <c r="E552" s="2">
        <v>2</v>
      </c>
      <c r="F552" s="7">
        <v>549</v>
      </c>
      <c r="G552" s="8">
        <v>0.2</v>
      </c>
      <c r="H552" s="9" t="str">
        <f>INDEX(Products!$B$2:$B$37, MATCH(D552, Products!$A$2:$A$37, 0))</f>
        <v>Oud Perfume 100ml</v>
      </c>
      <c r="I552" t="str">
        <f>INDEX(Products!$C$2:$C$37, MATCH(D552, Products!$A$2:$A$37, 0))</f>
        <v>Beauty</v>
      </c>
      <c r="J552">
        <f>INDEX(Products!$E$2:$E$37, MATCH(D552, Products!$A$2:$A$37, 0))</f>
        <v>250</v>
      </c>
      <c r="K552" s="9">
        <f t="shared" si="32"/>
        <v>878.40000000000009</v>
      </c>
      <c r="L552">
        <f t="shared" si="33"/>
        <v>500</v>
      </c>
      <c r="M552" s="9">
        <f t="shared" si="34"/>
        <v>378.40000000000009</v>
      </c>
      <c r="N552" t="str">
        <f t="shared" si="35"/>
        <v>Feb</v>
      </c>
    </row>
    <row r="553" spans="1:14" x14ac:dyDescent="0.3">
      <c r="A553" s="2" t="s">
        <v>619</v>
      </c>
      <c r="B553" s="6">
        <v>45704</v>
      </c>
      <c r="C553" s="2" t="s">
        <v>41</v>
      </c>
      <c r="D553" s="2" t="s">
        <v>129</v>
      </c>
      <c r="E553" s="2">
        <v>1</v>
      </c>
      <c r="F553" s="7">
        <v>149</v>
      </c>
      <c r="G553" s="8">
        <v>0</v>
      </c>
      <c r="H553" s="9" t="str">
        <f>INDEX(Products!$B$2:$B$37, MATCH(D553, Products!$A$2:$A$37, 0))</f>
        <v>Power Bank 20000mAh</v>
      </c>
      <c r="I553" t="str">
        <f>INDEX(Products!$C$2:$C$37, MATCH(D553, Products!$A$2:$A$37, 0))</f>
        <v>Electronics</v>
      </c>
      <c r="J553">
        <f>INDEX(Products!$E$2:$E$37, MATCH(D553, Products!$A$2:$A$37, 0))</f>
        <v>70</v>
      </c>
      <c r="K553" s="9">
        <f t="shared" si="32"/>
        <v>149</v>
      </c>
      <c r="L553">
        <f t="shared" si="33"/>
        <v>70</v>
      </c>
      <c r="M553" s="9">
        <f t="shared" si="34"/>
        <v>79</v>
      </c>
      <c r="N553" t="str">
        <f t="shared" si="35"/>
        <v>Feb</v>
      </c>
    </row>
    <row r="554" spans="1:14" x14ac:dyDescent="0.3">
      <c r="A554" s="2" t="s">
        <v>620</v>
      </c>
      <c r="B554" s="6">
        <v>45704</v>
      </c>
      <c r="C554" s="2" t="s">
        <v>41</v>
      </c>
      <c r="D554" s="2" t="s">
        <v>95</v>
      </c>
      <c r="E554" s="2">
        <v>2</v>
      </c>
      <c r="F554" s="7">
        <v>259</v>
      </c>
      <c r="G554" s="8">
        <v>0.15</v>
      </c>
      <c r="H554" s="9" t="str">
        <f>INDEX(Products!$B$2:$B$37, MATCH(D554, Products!$A$2:$A$37, 0))</f>
        <v>Bed Linen Set (King)</v>
      </c>
      <c r="I554" t="str">
        <f>INDEX(Products!$C$2:$C$37, MATCH(D554, Products!$A$2:$A$37, 0))</f>
        <v>Home &amp; Kitchen</v>
      </c>
      <c r="J554">
        <f>INDEX(Products!$E$2:$E$37, MATCH(D554, Products!$A$2:$A$37, 0))</f>
        <v>115</v>
      </c>
      <c r="K554" s="9">
        <f t="shared" si="32"/>
        <v>440.3</v>
      </c>
      <c r="L554">
        <f t="shared" si="33"/>
        <v>230</v>
      </c>
      <c r="M554" s="9">
        <f t="shared" si="34"/>
        <v>210.3</v>
      </c>
      <c r="N554" t="str">
        <f t="shared" si="35"/>
        <v>Feb</v>
      </c>
    </row>
    <row r="555" spans="1:14" x14ac:dyDescent="0.3">
      <c r="A555" s="2" t="s">
        <v>621</v>
      </c>
      <c r="B555" s="6">
        <v>45704</v>
      </c>
      <c r="C555" s="2" t="s">
        <v>44</v>
      </c>
      <c r="D555" s="2" t="s">
        <v>87</v>
      </c>
      <c r="E555" s="2">
        <v>2</v>
      </c>
      <c r="F555" s="7">
        <v>799</v>
      </c>
      <c r="G555" s="8">
        <v>0.2</v>
      </c>
      <c r="H555" s="9" t="str">
        <f>INDEX(Products!$B$2:$B$37, MATCH(D555, Products!$A$2:$A$37, 0))</f>
        <v>Adjustable Dumbbells</v>
      </c>
      <c r="I555" t="str">
        <f>INDEX(Products!$C$2:$C$37, MATCH(D555, Products!$A$2:$A$37, 0))</f>
        <v>Sports</v>
      </c>
      <c r="J555">
        <f>INDEX(Products!$E$2:$E$37, MATCH(D555, Products!$A$2:$A$37, 0))</f>
        <v>700</v>
      </c>
      <c r="K555" s="9">
        <f t="shared" si="32"/>
        <v>1278.4000000000001</v>
      </c>
      <c r="L555">
        <f t="shared" si="33"/>
        <v>1400</v>
      </c>
      <c r="M555" s="9">
        <f t="shared" si="34"/>
        <v>-121.59999999999991</v>
      </c>
      <c r="N555" t="str">
        <f t="shared" si="35"/>
        <v>Feb</v>
      </c>
    </row>
    <row r="556" spans="1:14" x14ac:dyDescent="0.3">
      <c r="A556" s="2" t="s">
        <v>622</v>
      </c>
      <c r="B556" s="6">
        <v>45704</v>
      </c>
      <c r="C556" s="2" t="s">
        <v>44</v>
      </c>
      <c r="D556" s="2" t="s">
        <v>103</v>
      </c>
      <c r="E556" s="2">
        <v>1</v>
      </c>
      <c r="F556" s="7">
        <v>89</v>
      </c>
      <c r="G556" s="8">
        <v>0</v>
      </c>
      <c r="H556" s="9" t="str">
        <f>INDEX(Products!$B$2:$B$37, MATCH(D556, Products!$A$2:$A$37, 0))</f>
        <v>Sunscreen SPF50</v>
      </c>
      <c r="I556" t="str">
        <f>INDEX(Products!$C$2:$C$37, MATCH(D556, Products!$A$2:$A$37, 0))</f>
        <v>Beauty</v>
      </c>
      <c r="J556">
        <f>INDEX(Products!$E$2:$E$37, MATCH(D556, Products!$A$2:$A$37, 0))</f>
        <v>40</v>
      </c>
      <c r="K556" s="9">
        <f t="shared" si="32"/>
        <v>89</v>
      </c>
      <c r="L556">
        <f t="shared" si="33"/>
        <v>40</v>
      </c>
      <c r="M556" s="9">
        <f t="shared" si="34"/>
        <v>49</v>
      </c>
      <c r="N556" t="str">
        <f t="shared" si="35"/>
        <v>Feb</v>
      </c>
    </row>
    <row r="557" spans="1:14" x14ac:dyDescent="0.3">
      <c r="A557" s="2" t="s">
        <v>623</v>
      </c>
      <c r="B557" s="6">
        <v>45705</v>
      </c>
      <c r="C557" s="2" t="s">
        <v>41</v>
      </c>
      <c r="D557" s="2" t="s">
        <v>80</v>
      </c>
      <c r="E557" s="2">
        <v>2</v>
      </c>
      <c r="F557" s="7">
        <v>149</v>
      </c>
      <c r="G557" s="8">
        <v>0.05</v>
      </c>
      <c r="H557" s="9" t="str">
        <f>INDEX(Products!$B$2:$B$37, MATCH(D557, Products!$A$2:$A$37, 0))</f>
        <v>Vitamin C Serum</v>
      </c>
      <c r="I557" t="str">
        <f>INDEX(Products!$C$2:$C$37, MATCH(D557, Products!$A$2:$A$37, 0))</f>
        <v>Beauty</v>
      </c>
      <c r="J557">
        <f>INDEX(Products!$E$2:$E$37, MATCH(D557, Products!$A$2:$A$37, 0))</f>
        <v>55</v>
      </c>
      <c r="K557" s="9">
        <f t="shared" si="32"/>
        <v>283.09999999999997</v>
      </c>
      <c r="L557">
        <f t="shared" si="33"/>
        <v>110</v>
      </c>
      <c r="M557" s="9">
        <f t="shared" si="34"/>
        <v>173.09999999999997</v>
      </c>
      <c r="N557" t="str">
        <f t="shared" si="35"/>
        <v>Feb</v>
      </c>
    </row>
    <row r="558" spans="1:14" x14ac:dyDescent="0.3">
      <c r="A558" s="2" t="s">
        <v>624</v>
      </c>
      <c r="B558" s="6">
        <v>45705</v>
      </c>
      <c r="C558" s="2" t="s">
        <v>48</v>
      </c>
      <c r="D558" s="2" t="s">
        <v>126</v>
      </c>
      <c r="E558" s="2">
        <v>2</v>
      </c>
      <c r="F558" s="7">
        <v>89</v>
      </c>
      <c r="G558" s="8">
        <v>0.2</v>
      </c>
      <c r="H558" s="9" t="str">
        <f>INDEX(Products!$B$2:$B$37, MATCH(D558, Products!$A$2:$A$37, 0))</f>
        <v>USB-C Fast Charger</v>
      </c>
      <c r="I558" t="str">
        <f>INDEX(Products!$C$2:$C$37, MATCH(D558, Products!$A$2:$A$37, 0))</f>
        <v>Electronics</v>
      </c>
      <c r="J558">
        <f>INDEX(Products!$E$2:$E$37, MATCH(D558, Products!$A$2:$A$37, 0))</f>
        <v>35</v>
      </c>
      <c r="K558" s="9">
        <f t="shared" si="32"/>
        <v>142.4</v>
      </c>
      <c r="L558">
        <f t="shared" si="33"/>
        <v>70</v>
      </c>
      <c r="M558" s="9">
        <f t="shared" si="34"/>
        <v>72.400000000000006</v>
      </c>
      <c r="N558" t="str">
        <f t="shared" si="35"/>
        <v>Feb</v>
      </c>
    </row>
    <row r="559" spans="1:14" x14ac:dyDescent="0.3">
      <c r="A559" s="2" t="s">
        <v>625</v>
      </c>
      <c r="B559" s="6">
        <v>45705</v>
      </c>
      <c r="C559" s="2" t="s">
        <v>41</v>
      </c>
      <c r="D559" s="2" t="s">
        <v>106</v>
      </c>
      <c r="E559" s="2">
        <v>1</v>
      </c>
      <c r="F559" s="7">
        <v>1299</v>
      </c>
      <c r="G559" s="8">
        <v>0</v>
      </c>
      <c r="H559" s="9" t="str">
        <f>INDEX(Products!$B$2:$B$37, MATCH(D559, Products!$A$2:$A$37, 0))</f>
        <v>Smart Watch Series 5</v>
      </c>
      <c r="I559" t="str">
        <f>INDEX(Products!$C$2:$C$37, MATCH(D559, Products!$A$2:$A$37, 0))</f>
        <v>Electronics</v>
      </c>
      <c r="J559">
        <f>INDEX(Products!$E$2:$E$37, MATCH(D559, Products!$A$2:$A$37, 0))</f>
        <v>820</v>
      </c>
      <c r="K559" s="9">
        <f t="shared" si="32"/>
        <v>1299</v>
      </c>
      <c r="L559">
        <f t="shared" si="33"/>
        <v>820</v>
      </c>
      <c r="M559" s="9">
        <f t="shared" si="34"/>
        <v>479</v>
      </c>
      <c r="N559" t="str">
        <f t="shared" si="35"/>
        <v>Feb</v>
      </c>
    </row>
    <row r="560" spans="1:14" x14ac:dyDescent="0.3">
      <c r="A560" s="2" t="s">
        <v>626</v>
      </c>
      <c r="B560" s="6">
        <v>45705</v>
      </c>
      <c r="C560" s="2" t="s">
        <v>28</v>
      </c>
      <c r="D560" s="2" t="s">
        <v>75</v>
      </c>
      <c r="E560" s="2">
        <v>1</v>
      </c>
      <c r="F560" s="7">
        <v>549</v>
      </c>
      <c r="G560" s="8">
        <v>0</v>
      </c>
      <c r="H560" s="9" t="str">
        <f>INDEX(Products!$B$2:$B$37, MATCH(D560, Products!$A$2:$A$37, 0))</f>
        <v>Oud Perfume 100ml</v>
      </c>
      <c r="I560" t="str">
        <f>INDEX(Products!$C$2:$C$37, MATCH(D560, Products!$A$2:$A$37, 0))</f>
        <v>Beauty</v>
      </c>
      <c r="J560">
        <f>INDEX(Products!$E$2:$E$37, MATCH(D560, Products!$A$2:$A$37, 0))</f>
        <v>250</v>
      </c>
      <c r="K560" s="9">
        <f t="shared" si="32"/>
        <v>549</v>
      </c>
      <c r="L560">
        <f t="shared" si="33"/>
        <v>250</v>
      </c>
      <c r="M560" s="9">
        <f t="shared" si="34"/>
        <v>299</v>
      </c>
      <c r="N560" t="str">
        <f t="shared" si="35"/>
        <v>Feb</v>
      </c>
    </row>
    <row r="561" spans="1:14" x14ac:dyDescent="0.3">
      <c r="A561" s="2" t="s">
        <v>627</v>
      </c>
      <c r="B561" s="6">
        <v>45705</v>
      </c>
      <c r="C561" s="2" t="s">
        <v>28</v>
      </c>
      <c r="D561" s="2" t="s">
        <v>131</v>
      </c>
      <c r="E561" s="2">
        <v>1</v>
      </c>
      <c r="F561" s="7">
        <v>899</v>
      </c>
      <c r="G561" s="8">
        <v>0.15</v>
      </c>
      <c r="H561" s="9" t="str">
        <f>INDEX(Products!$B$2:$B$37, MATCH(D561, Products!$A$2:$A$37, 0))</f>
        <v>4K Action Camera</v>
      </c>
      <c r="I561" t="str">
        <f>INDEX(Products!$C$2:$C$37, MATCH(D561, Products!$A$2:$A$37, 0))</f>
        <v>Electronics</v>
      </c>
      <c r="J561">
        <f>INDEX(Products!$E$2:$E$37, MATCH(D561, Products!$A$2:$A$37, 0))</f>
        <v>610</v>
      </c>
      <c r="K561" s="9">
        <f t="shared" si="32"/>
        <v>764.15</v>
      </c>
      <c r="L561">
        <f t="shared" si="33"/>
        <v>610</v>
      </c>
      <c r="M561" s="9">
        <f t="shared" si="34"/>
        <v>154.14999999999998</v>
      </c>
      <c r="N561" t="str">
        <f t="shared" si="35"/>
        <v>Feb</v>
      </c>
    </row>
    <row r="562" spans="1:14" x14ac:dyDescent="0.3">
      <c r="A562" s="2" t="s">
        <v>628</v>
      </c>
      <c r="B562" s="6">
        <v>45705</v>
      </c>
      <c r="C562" s="2" t="s">
        <v>41</v>
      </c>
      <c r="D562" s="2" t="s">
        <v>115</v>
      </c>
      <c r="E562" s="2">
        <v>1</v>
      </c>
      <c r="F562" s="7">
        <v>129</v>
      </c>
      <c r="G562" s="8">
        <v>0</v>
      </c>
      <c r="H562" s="9" t="str">
        <f>INDEX(Products!$B$2:$B$37, MATCH(D562, Products!$A$2:$A$37, 0))</f>
        <v>Electric Kettle</v>
      </c>
      <c r="I562" t="str">
        <f>INDEX(Products!$C$2:$C$37, MATCH(D562, Products!$A$2:$A$37, 0))</f>
        <v>Home &amp; Kitchen</v>
      </c>
      <c r="J562">
        <f>INDEX(Products!$E$2:$E$37, MATCH(D562, Products!$A$2:$A$37, 0))</f>
        <v>60</v>
      </c>
      <c r="K562" s="9">
        <f t="shared" si="32"/>
        <v>129</v>
      </c>
      <c r="L562">
        <f t="shared" si="33"/>
        <v>60</v>
      </c>
      <c r="M562" s="9">
        <f t="shared" si="34"/>
        <v>69</v>
      </c>
      <c r="N562" t="str">
        <f t="shared" si="35"/>
        <v>Feb</v>
      </c>
    </row>
    <row r="563" spans="1:14" x14ac:dyDescent="0.3">
      <c r="A563" s="2" t="s">
        <v>629</v>
      </c>
      <c r="B563" s="6">
        <v>45705</v>
      </c>
      <c r="C563" s="2" t="s">
        <v>41</v>
      </c>
      <c r="D563" s="2" t="s">
        <v>35</v>
      </c>
      <c r="E563" s="2">
        <v>3</v>
      </c>
      <c r="F563" s="7">
        <v>179</v>
      </c>
      <c r="G563" s="8">
        <v>0.2</v>
      </c>
      <c r="H563" s="9" t="str">
        <f>INDEX(Products!$B$2:$B$37, MATCH(D563, Products!$A$2:$A$37, 0))</f>
        <v>Men's Linen Shirt</v>
      </c>
      <c r="I563" t="str">
        <f>INDEX(Products!$C$2:$C$37, MATCH(D563, Products!$A$2:$A$37, 0))</f>
        <v>Fashion</v>
      </c>
      <c r="J563">
        <f>INDEX(Products!$E$2:$E$37, MATCH(D563, Products!$A$2:$A$37, 0))</f>
        <v>70</v>
      </c>
      <c r="K563" s="9">
        <f t="shared" si="32"/>
        <v>429.6</v>
      </c>
      <c r="L563">
        <f t="shared" si="33"/>
        <v>210</v>
      </c>
      <c r="M563" s="9">
        <f t="shared" si="34"/>
        <v>219.60000000000002</v>
      </c>
      <c r="N563" t="str">
        <f t="shared" si="35"/>
        <v>Feb</v>
      </c>
    </row>
    <row r="564" spans="1:14" x14ac:dyDescent="0.3">
      <c r="A564" s="2" t="s">
        <v>630</v>
      </c>
      <c r="B564" s="6">
        <v>45705</v>
      </c>
      <c r="C564" s="2" t="s">
        <v>31</v>
      </c>
      <c r="D564" s="2" t="s">
        <v>75</v>
      </c>
      <c r="E564" s="2">
        <v>1</v>
      </c>
      <c r="F564" s="7">
        <v>549</v>
      </c>
      <c r="G564" s="8">
        <v>0</v>
      </c>
      <c r="H564" s="9" t="str">
        <f>INDEX(Products!$B$2:$B$37, MATCH(D564, Products!$A$2:$A$37, 0))</f>
        <v>Oud Perfume 100ml</v>
      </c>
      <c r="I564" t="str">
        <f>INDEX(Products!$C$2:$C$37, MATCH(D564, Products!$A$2:$A$37, 0))</f>
        <v>Beauty</v>
      </c>
      <c r="J564">
        <f>INDEX(Products!$E$2:$E$37, MATCH(D564, Products!$A$2:$A$37, 0))</f>
        <v>250</v>
      </c>
      <c r="K564" s="9">
        <f t="shared" si="32"/>
        <v>549</v>
      </c>
      <c r="L564">
        <f t="shared" si="33"/>
        <v>250</v>
      </c>
      <c r="M564" s="9">
        <f t="shared" si="34"/>
        <v>299</v>
      </c>
      <c r="N564" t="str">
        <f t="shared" si="35"/>
        <v>Feb</v>
      </c>
    </row>
    <row r="565" spans="1:14" x14ac:dyDescent="0.3">
      <c r="A565" s="2" t="s">
        <v>631</v>
      </c>
      <c r="B565" s="6">
        <v>45705</v>
      </c>
      <c r="C565" s="2" t="s">
        <v>44</v>
      </c>
      <c r="D565" s="2" t="s">
        <v>58</v>
      </c>
      <c r="E565" s="2">
        <v>1</v>
      </c>
      <c r="F565" s="7">
        <v>459</v>
      </c>
      <c r="G565" s="8">
        <v>0.2</v>
      </c>
      <c r="H565" s="9" t="str">
        <f>INDEX(Products!$B$2:$B$37, MATCH(D565, Products!$A$2:$A$37, 0))</f>
        <v>Women's Abaya Classic</v>
      </c>
      <c r="I565" t="str">
        <f>INDEX(Products!$C$2:$C$37, MATCH(D565, Products!$A$2:$A$37, 0))</f>
        <v>Fashion</v>
      </c>
      <c r="J565">
        <f>INDEX(Products!$E$2:$E$37, MATCH(D565, Products!$A$2:$A$37, 0))</f>
        <v>190</v>
      </c>
      <c r="K565" s="9">
        <f t="shared" si="32"/>
        <v>367.20000000000005</v>
      </c>
      <c r="L565">
        <f t="shared" si="33"/>
        <v>190</v>
      </c>
      <c r="M565" s="9">
        <f t="shared" si="34"/>
        <v>177.20000000000005</v>
      </c>
      <c r="N565" t="str">
        <f t="shared" si="35"/>
        <v>Feb</v>
      </c>
    </row>
    <row r="566" spans="1:14" x14ac:dyDescent="0.3">
      <c r="A566" s="2" t="s">
        <v>632</v>
      </c>
      <c r="B566" s="6">
        <v>45706</v>
      </c>
      <c r="C566" s="2" t="s">
        <v>48</v>
      </c>
      <c r="D566" s="2" t="s">
        <v>113</v>
      </c>
      <c r="E566" s="2">
        <v>1</v>
      </c>
      <c r="F566" s="7">
        <v>1199</v>
      </c>
      <c r="G566" s="8">
        <v>0.1</v>
      </c>
      <c r="H566" s="9" t="str">
        <f>INDEX(Products!$B$2:$B$37, MATCH(D566, Products!$A$2:$A$37, 0))</f>
        <v>Robot Vacuum S3</v>
      </c>
      <c r="I566" t="str">
        <f>INDEX(Products!$C$2:$C$37, MATCH(D566, Products!$A$2:$A$37, 0))</f>
        <v>Home &amp; Kitchen</v>
      </c>
      <c r="J566">
        <f>INDEX(Products!$E$2:$E$37, MATCH(D566, Products!$A$2:$A$37, 0))</f>
        <v>1080</v>
      </c>
      <c r="K566" s="9">
        <f t="shared" si="32"/>
        <v>1079.1000000000001</v>
      </c>
      <c r="L566">
        <f t="shared" si="33"/>
        <v>1080</v>
      </c>
      <c r="M566" s="9">
        <f t="shared" si="34"/>
        <v>-0.89999999999986358</v>
      </c>
      <c r="N566" t="str">
        <f t="shared" si="35"/>
        <v>Feb</v>
      </c>
    </row>
    <row r="567" spans="1:14" x14ac:dyDescent="0.3">
      <c r="A567" s="2" t="s">
        <v>633</v>
      </c>
      <c r="B567" s="6">
        <v>45706</v>
      </c>
      <c r="C567" s="2" t="s">
        <v>41</v>
      </c>
      <c r="D567" s="2" t="s">
        <v>95</v>
      </c>
      <c r="E567" s="2">
        <v>2</v>
      </c>
      <c r="F567" s="7">
        <v>259</v>
      </c>
      <c r="G567" s="8">
        <v>0.05</v>
      </c>
      <c r="H567" s="9" t="str">
        <f>INDEX(Products!$B$2:$B$37, MATCH(D567, Products!$A$2:$A$37, 0))</f>
        <v>Bed Linen Set (King)</v>
      </c>
      <c r="I567" t="str">
        <f>INDEX(Products!$C$2:$C$37, MATCH(D567, Products!$A$2:$A$37, 0))</f>
        <v>Home &amp; Kitchen</v>
      </c>
      <c r="J567">
        <f>INDEX(Products!$E$2:$E$37, MATCH(D567, Products!$A$2:$A$37, 0))</f>
        <v>115</v>
      </c>
      <c r="K567" s="9">
        <f t="shared" si="32"/>
        <v>492.09999999999997</v>
      </c>
      <c r="L567">
        <f t="shared" si="33"/>
        <v>230</v>
      </c>
      <c r="M567" s="9">
        <f t="shared" si="34"/>
        <v>262.09999999999997</v>
      </c>
      <c r="N567" t="str">
        <f t="shared" si="35"/>
        <v>Feb</v>
      </c>
    </row>
    <row r="568" spans="1:14" x14ac:dyDescent="0.3">
      <c r="A568" s="2" t="s">
        <v>634</v>
      </c>
      <c r="B568" s="6">
        <v>45706</v>
      </c>
      <c r="C568" s="2" t="s">
        <v>31</v>
      </c>
      <c r="D568" s="2" t="s">
        <v>49</v>
      </c>
      <c r="E568" s="2">
        <v>1</v>
      </c>
      <c r="F568" s="7">
        <v>149</v>
      </c>
      <c r="G568" s="8">
        <v>0</v>
      </c>
      <c r="H568" s="9" t="str">
        <f>INDEX(Products!$B$2:$B$37, MATCH(D568, Products!$A$2:$A$37, 0))</f>
        <v>Kids' Sneakers</v>
      </c>
      <c r="I568" t="str">
        <f>INDEX(Products!$C$2:$C$37, MATCH(D568, Products!$A$2:$A$37, 0))</f>
        <v>Fashion</v>
      </c>
      <c r="J568">
        <f>INDEX(Products!$E$2:$E$37, MATCH(D568, Products!$A$2:$A$37, 0))</f>
        <v>80</v>
      </c>
      <c r="K568" s="9">
        <f t="shared" si="32"/>
        <v>149</v>
      </c>
      <c r="L568">
        <f t="shared" si="33"/>
        <v>80</v>
      </c>
      <c r="M568" s="9">
        <f t="shared" si="34"/>
        <v>69</v>
      </c>
      <c r="N568" t="str">
        <f t="shared" si="35"/>
        <v>Feb</v>
      </c>
    </row>
    <row r="569" spans="1:14" x14ac:dyDescent="0.3">
      <c r="A569" s="2" t="s">
        <v>635</v>
      </c>
      <c r="B569" s="6">
        <v>45706</v>
      </c>
      <c r="C569" s="2" t="s">
        <v>28</v>
      </c>
      <c r="D569" s="2" t="s">
        <v>35</v>
      </c>
      <c r="E569" s="2">
        <v>1</v>
      </c>
      <c r="F569" s="7">
        <v>179</v>
      </c>
      <c r="G569" s="8">
        <v>0</v>
      </c>
      <c r="H569" s="9" t="str">
        <f>INDEX(Products!$B$2:$B$37, MATCH(D569, Products!$A$2:$A$37, 0))</f>
        <v>Men's Linen Shirt</v>
      </c>
      <c r="I569" t="str">
        <f>INDEX(Products!$C$2:$C$37, MATCH(D569, Products!$A$2:$A$37, 0))</f>
        <v>Fashion</v>
      </c>
      <c r="J569">
        <f>INDEX(Products!$E$2:$E$37, MATCH(D569, Products!$A$2:$A$37, 0))</f>
        <v>70</v>
      </c>
      <c r="K569" s="9">
        <f t="shared" si="32"/>
        <v>179</v>
      </c>
      <c r="L569">
        <f t="shared" si="33"/>
        <v>70</v>
      </c>
      <c r="M569" s="9">
        <f t="shared" si="34"/>
        <v>109</v>
      </c>
      <c r="N569" t="str">
        <f t="shared" si="35"/>
        <v>Feb</v>
      </c>
    </row>
    <row r="570" spans="1:14" x14ac:dyDescent="0.3">
      <c r="A570" s="2" t="s">
        <v>636</v>
      </c>
      <c r="B570" s="6">
        <v>45706</v>
      </c>
      <c r="C570" s="2" t="s">
        <v>41</v>
      </c>
      <c r="D570" s="2" t="s">
        <v>46</v>
      </c>
      <c r="E570" s="2">
        <v>1</v>
      </c>
      <c r="F570" s="7">
        <v>189</v>
      </c>
      <c r="G570" s="8">
        <v>0.05</v>
      </c>
      <c r="H570" s="9" t="str">
        <f>INDEX(Products!$B$2:$B$37, MATCH(D570, Products!$A$2:$A$37, 0))</f>
        <v>Makeup Palette</v>
      </c>
      <c r="I570" t="str">
        <f>INDEX(Products!$C$2:$C$37, MATCH(D570, Products!$A$2:$A$37, 0))</f>
        <v>Beauty</v>
      </c>
      <c r="J570">
        <f>INDEX(Products!$E$2:$E$37, MATCH(D570, Products!$A$2:$A$37, 0))</f>
        <v>85</v>
      </c>
      <c r="K570" s="9">
        <f t="shared" si="32"/>
        <v>179.54999999999998</v>
      </c>
      <c r="L570">
        <f t="shared" si="33"/>
        <v>85</v>
      </c>
      <c r="M570" s="9">
        <f t="shared" si="34"/>
        <v>94.549999999999983</v>
      </c>
      <c r="N570" t="str">
        <f t="shared" si="35"/>
        <v>Feb</v>
      </c>
    </row>
    <row r="571" spans="1:14" x14ac:dyDescent="0.3">
      <c r="A571" s="2" t="s">
        <v>637</v>
      </c>
      <c r="B571" s="6">
        <v>45706</v>
      </c>
      <c r="C571" s="2" t="s">
        <v>28</v>
      </c>
      <c r="D571" s="2" t="s">
        <v>92</v>
      </c>
      <c r="E571" s="2">
        <v>4</v>
      </c>
      <c r="F571" s="7">
        <v>349</v>
      </c>
      <c r="G571" s="8">
        <v>0.2</v>
      </c>
      <c r="H571" s="9" t="str">
        <f>INDEX(Products!$B$2:$B$37, MATCH(D571, Products!$A$2:$A$37, 0))</f>
        <v>Non-stick Cookware Set</v>
      </c>
      <c r="I571" t="str">
        <f>INDEX(Products!$C$2:$C$37, MATCH(D571, Products!$A$2:$A$37, 0))</f>
        <v>Home &amp; Kitchen</v>
      </c>
      <c r="J571">
        <f>INDEX(Products!$E$2:$E$37, MATCH(D571, Products!$A$2:$A$37, 0))</f>
        <v>170</v>
      </c>
      <c r="K571" s="9">
        <f t="shared" si="32"/>
        <v>1116.8</v>
      </c>
      <c r="L571">
        <f t="shared" si="33"/>
        <v>680</v>
      </c>
      <c r="M571" s="9">
        <f t="shared" si="34"/>
        <v>436.79999999999995</v>
      </c>
      <c r="N571" t="str">
        <f t="shared" si="35"/>
        <v>Feb</v>
      </c>
    </row>
    <row r="572" spans="1:14" x14ac:dyDescent="0.3">
      <c r="A572" s="2" t="s">
        <v>638</v>
      </c>
      <c r="B572" s="6">
        <v>45706</v>
      </c>
      <c r="C572" s="2" t="s">
        <v>41</v>
      </c>
      <c r="D572" s="2" t="s">
        <v>75</v>
      </c>
      <c r="E572" s="2">
        <v>4</v>
      </c>
      <c r="F572" s="7">
        <v>549</v>
      </c>
      <c r="G572" s="8">
        <v>0</v>
      </c>
      <c r="H572" s="9" t="str">
        <f>INDEX(Products!$B$2:$B$37, MATCH(D572, Products!$A$2:$A$37, 0))</f>
        <v>Oud Perfume 100ml</v>
      </c>
      <c r="I572" t="str">
        <f>INDEX(Products!$C$2:$C$37, MATCH(D572, Products!$A$2:$A$37, 0))</f>
        <v>Beauty</v>
      </c>
      <c r="J572">
        <f>INDEX(Products!$E$2:$E$37, MATCH(D572, Products!$A$2:$A$37, 0))</f>
        <v>250</v>
      </c>
      <c r="K572" s="9">
        <f t="shared" si="32"/>
        <v>2196</v>
      </c>
      <c r="L572">
        <f t="shared" si="33"/>
        <v>1000</v>
      </c>
      <c r="M572" s="9">
        <f t="shared" si="34"/>
        <v>1196</v>
      </c>
      <c r="N572" t="str">
        <f t="shared" si="35"/>
        <v>Feb</v>
      </c>
    </row>
    <row r="573" spans="1:14" x14ac:dyDescent="0.3">
      <c r="A573" s="2" t="s">
        <v>639</v>
      </c>
      <c r="B573" s="6">
        <v>45706</v>
      </c>
      <c r="C573" s="2" t="s">
        <v>28</v>
      </c>
      <c r="D573" s="2" t="s">
        <v>35</v>
      </c>
      <c r="E573" s="2">
        <v>1</v>
      </c>
      <c r="F573" s="7">
        <v>179</v>
      </c>
      <c r="G573" s="8">
        <v>0.05</v>
      </c>
      <c r="H573" s="9" t="str">
        <f>INDEX(Products!$B$2:$B$37, MATCH(D573, Products!$A$2:$A$37, 0))</f>
        <v>Men's Linen Shirt</v>
      </c>
      <c r="I573" t="str">
        <f>INDEX(Products!$C$2:$C$37, MATCH(D573, Products!$A$2:$A$37, 0))</f>
        <v>Fashion</v>
      </c>
      <c r="J573">
        <f>INDEX(Products!$E$2:$E$37, MATCH(D573, Products!$A$2:$A$37, 0))</f>
        <v>70</v>
      </c>
      <c r="K573" s="9">
        <f t="shared" si="32"/>
        <v>170.04999999999998</v>
      </c>
      <c r="L573">
        <f t="shared" si="33"/>
        <v>70</v>
      </c>
      <c r="M573" s="9">
        <f t="shared" si="34"/>
        <v>100.04999999999998</v>
      </c>
      <c r="N573" t="str">
        <f t="shared" si="35"/>
        <v>Feb</v>
      </c>
    </row>
    <row r="574" spans="1:14" x14ac:dyDescent="0.3">
      <c r="A574" s="2" t="s">
        <v>640</v>
      </c>
      <c r="B574" s="6">
        <v>45706</v>
      </c>
      <c r="C574" s="2" t="s">
        <v>41</v>
      </c>
      <c r="D574" s="2" t="s">
        <v>68</v>
      </c>
      <c r="E574" s="2">
        <v>2</v>
      </c>
      <c r="F574" s="7">
        <v>249</v>
      </c>
      <c r="G574" s="8">
        <v>0</v>
      </c>
      <c r="H574" s="9" t="str">
        <f>INDEX(Products!$B$2:$B$37, MATCH(D574, Products!$A$2:$A$37, 0))</f>
        <v>Bluetooth Speaker Mini</v>
      </c>
      <c r="I574" t="str">
        <f>INDEX(Products!$C$2:$C$37, MATCH(D574, Products!$A$2:$A$37, 0))</f>
        <v>Electronics</v>
      </c>
      <c r="J574">
        <f>INDEX(Products!$E$2:$E$37, MATCH(D574, Products!$A$2:$A$37, 0))</f>
        <v>150</v>
      </c>
      <c r="K574" s="9">
        <f t="shared" si="32"/>
        <v>498</v>
      </c>
      <c r="L574">
        <f t="shared" si="33"/>
        <v>300</v>
      </c>
      <c r="M574" s="9">
        <f t="shared" si="34"/>
        <v>198</v>
      </c>
      <c r="N574" t="str">
        <f t="shared" si="35"/>
        <v>Feb</v>
      </c>
    </row>
    <row r="575" spans="1:14" x14ac:dyDescent="0.3">
      <c r="A575" s="2" t="s">
        <v>641</v>
      </c>
      <c r="B575" s="6">
        <v>45706</v>
      </c>
      <c r="C575" s="2" t="s">
        <v>28</v>
      </c>
      <c r="D575" s="2" t="s">
        <v>35</v>
      </c>
      <c r="E575" s="2">
        <v>1</v>
      </c>
      <c r="F575" s="7">
        <v>179</v>
      </c>
      <c r="G575" s="8">
        <v>0</v>
      </c>
      <c r="H575" s="9" t="str">
        <f>INDEX(Products!$B$2:$B$37, MATCH(D575, Products!$A$2:$A$37, 0))</f>
        <v>Men's Linen Shirt</v>
      </c>
      <c r="I575" t="str">
        <f>INDEX(Products!$C$2:$C$37, MATCH(D575, Products!$A$2:$A$37, 0))</f>
        <v>Fashion</v>
      </c>
      <c r="J575">
        <f>INDEX(Products!$E$2:$E$37, MATCH(D575, Products!$A$2:$A$37, 0))</f>
        <v>70</v>
      </c>
      <c r="K575" s="9">
        <f t="shared" si="32"/>
        <v>179</v>
      </c>
      <c r="L575">
        <f t="shared" si="33"/>
        <v>70</v>
      </c>
      <c r="M575" s="9">
        <f t="shared" si="34"/>
        <v>109</v>
      </c>
      <c r="N575" t="str">
        <f t="shared" si="35"/>
        <v>Feb</v>
      </c>
    </row>
    <row r="576" spans="1:14" x14ac:dyDescent="0.3">
      <c r="A576" s="2" t="s">
        <v>642</v>
      </c>
      <c r="B576" s="6">
        <v>45706</v>
      </c>
      <c r="C576" s="2" t="s">
        <v>48</v>
      </c>
      <c r="D576" s="2" t="s">
        <v>56</v>
      </c>
      <c r="E576" s="2">
        <v>2</v>
      </c>
      <c r="F576" s="7">
        <v>289</v>
      </c>
      <c r="G576" s="8">
        <v>0</v>
      </c>
      <c r="H576" s="9" t="str">
        <f>INDEX(Products!$B$2:$B$37, MATCH(D576, Products!$A$2:$A$37, 0))</f>
        <v>Ceramic Dinner Set</v>
      </c>
      <c r="I576" t="str">
        <f>INDEX(Products!$C$2:$C$37, MATCH(D576, Products!$A$2:$A$37, 0))</f>
        <v>Home &amp; Kitchen</v>
      </c>
      <c r="J576">
        <f>INDEX(Products!$E$2:$E$37, MATCH(D576, Products!$A$2:$A$37, 0))</f>
        <v>140</v>
      </c>
      <c r="K576" s="9">
        <f t="shared" si="32"/>
        <v>578</v>
      </c>
      <c r="L576">
        <f t="shared" si="33"/>
        <v>280</v>
      </c>
      <c r="M576" s="9">
        <f t="shared" si="34"/>
        <v>298</v>
      </c>
      <c r="N576" t="str">
        <f t="shared" si="35"/>
        <v>Feb</v>
      </c>
    </row>
    <row r="577" spans="1:14" x14ac:dyDescent="0.3">
      <c r="A577" s="2" t="s">
        <v>643</v>
      </c>
      <c r="B577" s="6">
        <v>45706</v>
      </c>
      <c r="C577" s="2" t="s">
        <v>31</v>
      </c>
      <c r="D577" s="2" t="s">
        <v>42</v>
      </c>
      <c r="E577" s="2">
        <v>2</v>
      </c>
      <c r="F577" s="7">
        <v>399</v>
      </c>
      <c r="G577" s="8">
        <v>0</v>
      </c>
      <c r="H577" s="9" t="str">
        <f>INDEX(Products!$B$2:$B$37, MATCH(D577, Products!$A$2:$A$37, 0))</f>
        <v>Wireless Earbuds Pro</v>
      </c>
      <c r="I577" t="str">
        <f>INDEX(Products!$C$2:$C$37, MATCH(D577, Products!$A$2:$A$37, 0))</f>
        <v>Electronics</v>
      </c>
      <c r="J577">
        <f>INDEX(Products!$E$2:$E$37, MATCH(D577, Products!$A$2:$A$37, 0))</f>
        <v>230</v>
      </c>
      <c r="K577" s="9">
        <f t="shared" si="32"/>
        <v>798</v>
      </c>
      <c r="L577">
        <f t="shared" si="33"/>
        <v>460</v>
      </c>
      <c r="M577" s="9">
        <f t="shared" si="34"/>
        <v>338</v>
      </c>
      <c r="N577" t="str">
        <f t="shared" si="35"/>
        <v>Feb</v>
      </c>
    </row>
    <row r="578" spans="1:14" x14ac:dyDescent="0.3">
      <c r="A578" s="2" t="s">
        <v>644</v>
      </c>
      <c r="B578" s="6">
        <v>45706</v>
      </c>
      <c r="C578" s="2" t="s">
        <v>48</v>
      </c>
      <c r="D578" s="2" t="s">
        <v>39</v>
      </c>
      <c r="E578" s="2">
        <v>1</v>
      </c>
      <c r="F578" s="7">
        <v>199</v>
      </c>
      <c r="G578" s="8">
        <v>0</v>
      </c>
      <c r="H578" s="9" t="str">
        <f>INDEX(Products!$B$2:$B$37, MATCH(D578, Products!$A$2:$A$37, 0))</f>
        <v>Bakhoor Gift Set</v>
      </c>
      <c r="I578" t="str">
        <f>INDEX(Products!$C$2:$C$37, MATCH(D578, Products!$A$2:$A$37, 0))</f>
        <v>Beauty</v>
      </c>
      <c r="J578">
        <f>INDEX(Products!$E$2:$E$37, MATCH(D578, Products!$A$2:$A$37, 0))</f>
        <v>90</v>
      </c>
      <c r="K578" s="9">
        <f t="shared" ref="K578:K641" si="36">E578*F578*(1-G578)</f>
        <v>199</v>
      </c>
      <c r="L578">
        <f t="shared" ref="L578:L641" si="37">E578*J578</f>
        <v>90</v>
      </c>
      <c r="M578" s="9">
        <f t="shared" ref="M578:M641" si="38">K578-L578</f>
        <v>109</v>
      </c>
      <c r="N578" t="str">
        <f t="shared" ref="N578:N641" si="39">TEXT(B578,"mmm")</f>
        <v>Feb</v>
      </c>
    </row>
    <row r="579" spans="1:14" x14ac:dyDescent="0.3">
      <c r="A579" s="2" t="s">
        <v>645</v>
      </c>
      <c r="B579" s="6">
        <v>45706</v>
      </c>
      <c r="C579" s="2" t="s">
        <v>28</v>
      </c>
      <c r="D579" s="2" t="s">
        <v>68</v>
      </c>
      <c r="E579" s="2">
        <v>4</v>
      </c>
      <c r="F579" s="7">
        <v>249</v>
      </c>
      <c r="G579" s="8">
        <v>0</v>
      </c>
      <c r="H579" s="9" t="str">
        <f>INDEX(Products!$B$2:$B$37, MATCH(D579, Products!$A$2:$A$37, 0))</f>
        <v>Bluetooth Speaker Mini</v>
      </c>
      <c r="I579" t="str">
        <f>INDEX(Products!$C$2:$C$37, MATCH(D579, Products!$A$2:$A$37, 0))</f>
        <v>Electronics</v>
      </c>
      <c r="J579">
        <f>INDEX(Products!$E$2:$E$37, MATCH(D579, Products!$A$2:$A$37, 0))</f>
        <v>150</v>
      </c>
      <c r="K579" s="9">
        <f t="shared" si="36"/>
        <v>996</v>
      </c>
      <c r="L579">
        <f t="shared" si="37"/>
        <v>600</v>
      </c>
      <c r="M579" s="9">
        <f t="shared" si="38"/>
        <v>396</v>
      </c>
      <c r="N579" t="str">
        <f t="shared" si="39"/>
        <v>Feb</v>
      </c>
    </row>
    <row r="580" spans="1:14" x14ac:dyDescent="0.3">
      <c r="A580" s="2" t="s">
        <v>646</v>
      </c>
      <c r="B580" s="6">
        <v>45706</v>
      </c>
      <c r="C580" s="2" t="s">
        <v>44</v>
      </c>
      <c r="D580" s="2" t="s">
        <v>194</v>
      </c>
      <c r="E580" s="2">
        <v>1</v>
      </c>
      <c r="F580" s="7">
        <v>699</v>
      </c>
      <c r="G580" s="8">
        <v>0</v>
      </c>
      <c r="H580" s="9" t="str">
        <f>INDEX(Products!$B$2:$B$37, MATCH(D580, Products!$A$2:$A$37, 0))</f>
        <v>Leather Handbag</v>
      </c>
      <c r="I580" t="str">
        <f>INDEX(Products!$C$2:$C$37, MATCH(D580, Products!$A$2:$A$37, 0))</f>
        <v>Fashion</v>
      </c>
      <c r="J580">
        <f>INDEX(Products!$E$2:$E$37, MATCH(D580, Products!$A$2:$A$37, 0))</f>
        <v>380</v>
      </c>
      <c r="K580" s="9">
        <f t="shared" si="36"/>
        <v>699</v>
      </c>
      <c r="L580">
        <f t="shared" si="37"/>
        <v>380</v>
      </c>
      <c r="M580" s="9">
        <f t="shared" si="38"/>
        <v>319</v>
      </c>
      <c r="N580" t="str">
        <f t="shared" si="39"/>
        <v>Feb</v>
      </c>
    </row>
    <row r="581" spans="1:14" x14ac:dyDescent="0.3">
      <c r="A581" s="2" t="s">
        <v>647</v>
      </c>
      <c r="B581" s="6">
        <v>45706</v>
      </c>
      <c r="C581" s="2" t="s">
        <v>41</v>
      </c>
      <c r="D581" s="2" t="s">
        <v>35</v>
      </c>
      <c r="E581" s="2">
        <v>3</v>
      </c>
      <c r="F581" s="7">
        <v>179</v>
      </c>
      <c r="G581" s="8">
        <v>0</v>
      </c>
      <c r="H581" s="9" t="str">
        <f>INDEX(Products!$B$2:$B$37, MATCH(D581, Products!$A$2:$A$37, 0))</f>
        <v>Men's Linen Shirt</v>
      </c>
      <c r="I581" t="str">
        <f>INDEX(Products!$C$2:$C$37, MATCH(D581, Products!$A$2:$A$37, 0))</f>
        <v>Fashion</v>
      </c>
      <c r="J581">
        <f>INDEX(Products!$E$2:$E$37, MATCH(D581, Products!$A$2:$A$37, 0))</f>
        <v>70</v>
      </c>
      <c r="K581" s="9">
        <f t="shared" si="36"/>
        <v>537</v>
      </c>
      <c r="L581">
        <f t="shared" si="37"/>
        <v>210</v>
      </c>
      <c r="M581" s="9">
        <f t="shared" si="38"/>
        <v>327</v>
      </c>
      <c r="N581" t="str">
        <f t="shared" si="39"/>
        <v>Feb</v>
      </c>
    </row>
    <row r="582" spans="1:14" x14ac:dyDescent="0.3">
      <c r="A582" s="2" t="s">
        <v>648</v>
      </c>
      <c r="B582" s="6">
        <v>45706</v>
      </c>
      <c r="C582" s="2" t="s">
        <v>28</v>
      </c>
      <c r="D582" s="2" t="s">
        <v>75</v>
      </c>
      <c r="E582" s="2">
        <v>2</v>
      </c>
      <c r="F582" s="7">
        <v>549</v>
      </c>
      <c r="G582" s="8">
        <v>0</v>
      </c>
      <c r="H582" s="9" t="str">
        <f>INDEX(Products!$B$2:$B$37, MATCH(D582, Products!$A$2:$A$37, 0))</f>
        <v>Oud Perfume 100ml</v>
      </c>
      <c r="I582" t="str">
        <f>INDEX(Products!$C$2:$C$37, MATCH(D582, Products!$A$2:$A$37, 0))</f>
        <v>Beauty</v>
      </c>
      <c r="J582">
        <f>INDEX(Products!$E$2:$E$37, MATCH(D582, Products!$A$2:$A$37, 0))</f>
        <v>250</v>
      </c>
      <c r="K582" s="9">
        <f t="shared" si="36"/>
        <v>1098</v>
      </c>
      <c r="L582">
        <f t="shared" si="37"/>
        <v>500</v>
      </c>
      <c r="M582" s="9">
        <f t="shared" si="38"/>
        <v>598</v>
      </c>
      <c r="N582" t="str">
        <f t="shared" si="39"/>
        <v>Feb</v>
      </c>
    </row>
    <row r="583" spans="1:14" x14ac:dyDescent="0.3">
      <c r="A583" s="2" t="s">
        <v>649</v>
      </c>
      <c r="B583" s="6">
        <v>45706</v>
      </c>
      <c r="C583" s="2" t="s">
        <v>41</v>
      </c>
      <c r="D583" s="2" t="s">
        <v>83</v>
      </c>
      <c r="E583" s="2">
        <v>2</v>
      </c>
      <c r="F583" s="7">
        <v>229</v>
      </c>
      <c r="G583" s="8">
        <v>0</v>
      </c>
      <c r="H583" s="9" t="str">
        <f>INDEX(Products!$B$2:$B$37, MATCH(D583, Products!$A$2:$A$37, 0))</f>
        <v>Cycling Helmet</v>
      </c>
      <c r="I583" t="str">
        <f>INDEX(Products!$C$2:$C$37, MATCH(D583, Products!$A$2:$A$37, 0))</f>
        <v>Sports</v>
      </c>
      <c r="J583">
        <f>INDEX(Products!$E$2:$E$37, MATCH(D583, Products!$A$2:$A$37, 0))</f>
        <v>120</v>
      </c>
      <c r="K583" s="9">
        <f t="shared" si="36"/>
        <v>458</v>
      </c>
      <c r="L583">
        <f t="shared" si="37"/>
        <v>240</v>
      </c>
      <c r="M583" s="9">
        <f t="shared" si="38"/>
        <v>218</v>
      </c>
      <c r="N583" t="str">
        <f t="shared" si="39"/>
        <v>Feb</v>
      </c>
    </row>
    <row r="584" spans="1:14" x14ac:dyDescent="0.3">
      <c r="A584" s="2" t="s">
        <v>650</v>
      </c>
      <c r="B584" s="6">
        <v>45706</v>
      </c>
      <c r="C584" s="2" t="s">
        <v>44</v>
      </c>
      <c r="D584" s="2" t="s">
        <v>58</v>
      </c>
      <c r="E584" s="2">
        <v>4</v>
      </c>
      <c r="F584" s="7">
        <v>459</v>
      </c>
      <c r="G584" s="8">
        <v>0</v>
      </c>
      <c r="H584" s="9" t="str">
        <f>INDEX(Products!$B$2:$B$37, MATCH(D584, Products!$A$2:$A$37, 0))</f>
        <v>Women's Abaya Classic</v>
      </c>
      <c r="I584" t="str">
        <f>INDEX(Products!$C$2:$C$37, MATCH(D584, Products!$A$2:$A$37, 0))</f>
        <v>Fashion</v>
      </c>
      <c r="J584">
        <f>INDEX(Products!$E$2:$E$37, MATCH(D584, Products!$A$2:$A$37, 0))</f>
        <v>190</v>
      </c>
      <c r="K584" s="9">
        <f t="shared" si="36"/>
        <v>1836</v>
      </c>
      <c r="L584">
        <f t="shared" si="37"/>
        <v>760</v>
      </c>
      <c r="M584" s="9">
        <f t="shared" si="38"/>
        <v>1076</v>
      </c>
      <c r="N584" t="str">
        <f t="shared" si="39"/>
        <v>Feb</v>
      </c>
    </row>
    <row r="585" spans="1:14" x14ac:dyDescent="0.3">
      <c r="A585" s="2" t="s">
        <v>651</v>
      </c>
      <c r="B585" s="6">
        <v>45706</v>
      </c>
      <c r="C585" s="2" t="s">
        <v>41</v>
      </c>
      <c r="D585" s="2" t="s">
        <v>149</v>
      </c>
      <c r="E585" s="2">
        <v>1</v>
      </c>
      <c r="F585" s="7">
        <v>399</v>
      </c>
      <c r="G585" s="8">
        <v>0</v>
      </c>
      <c r="H585" s="9" t="str">
        <f>INDEX(Products!$B$2:$B$37, MATCH(D585, Products!$A$2:$A$37, 0))</f>
        <v>Blender Pro 1200W</v>
      </c>
      <c r="I585" t="str">
        <f>INDEX(Products!$C$2:$C$37, MATCH(D585, Products!$A$2:$A$37, 0))</f>
        <v>Home &amp; Kitchen</v>
      </c>
      <c r="J585">
        <f>INDEX(Products!$E$2:$E$37, MATCH(D585, Products!$A$2:$A$37, 0))</f>
        <v>250</v>
      </c>
      <c r="K585" s="9">
        <f t="shared" si="36"/>
        <v>399</v>
      </c>
      <c r="L585">
        <f t="shared" si="37"/>
        <v>250</v>
      </c>
      <c r="M585" s="9">
        <f t="shared" si="38"/>
        <v>149</v>
      </c>
      <c r="N585" t="str">
        <f t="shared" si="39"/>
        <v>Feb</v>
      </c>
    </row>
    <row r="586" spans="1:14" x14ac:dyDescent="0.3">
      <c r="A586" s="2" t="s">
        <v>652</v>
      </c>
      <c r="B586" s="6">
        <v>45707</v>
      </c>
      <c r="C586" s="2" t="s">
        <v>28</v>
      </c>
      <c r="D586" s="2" t="s">
        <v>56</v>
      </c>
      <c r="E586" s="2">
        <v>1</v>
      </c>
      <c r="F586" s="7">
        <v>289</v>
      </c>
      <c r="G586" s="8">
        <v>0</v>
      </c>
      <c r="H586" s="9" t="str">
        <f>INDEX(Products!$B$2:$B$37, MATCH(D586, Products!$A$2:$A$37, 0))</f>
        <v>Ceramic Dinner Set</v>
      </c>
      <c r="I586" t="str">
        <f>INDEX(Products!$C$2:$C$37, MATCH(D586, Products!$A$2:$A$37, 0))</f>
        <v>Home &amp; Kitchen</v>
      </c>
      <c r="J586">
        <f>INDEX(Products!$E$2:$E$37, MATCH(D586, Products!$A$2:$A$37, 0))</f>
        <v>140</v>
      </c>
      <c r="K586" s="9">
        <f t="shared" si="36"/>
        <v>289</v>
      </c>
      <c r="L586">
        <f t="shared" si="37"/>
        <v>140</v>
      </c>
      <c r="M586" s="9">
        <f t="shared" si="38"/>
        <v>149</v>
      </c>
      <c r="N586" t="str">
        <f t="shared" si="39"/>
        <v>Feb</v>
      </c>
    </row>
    <row r="587" spans="1:14" x14ac:dyDescent="0.3">
      <c r="A587" s="2" t="s">
        <v>653</v>
      </c>
      <c r="B587" s="6">
        <v>45707</v>
      </c>
      <c r="C587" s="2" t="s">
        <v>31</v>
      </c>
      <c r="D587" s="2" t="s">
        <v>39</v>
      </c>
      <c r="E587" s="2">
        <v>1</v>
      </c>
      <c r="F587" s="7">
        <v>199</v>
      </c>
      <c r="G587" s="8">
        <v>0.1</v>
      </c>
      <c r="H587" s="9" t="str">
        <f>INDEX(Products!$B$2:$B$37, MATCH(D587, Products!$A$2:$A$37, 0))</f>
        <v>Bakhoor Gift Set</v>
      </c>
      <c r="I587" t="str">
        <f>INDEX(Products!$C$2:$C$37, MATCH(D587, Products!$A$2:$A$37, 0))</f>
        <v>Beauty</v>
      </c>
      <c r="J587">
        <f>INDEX(Products!$E$2:$E$37, MATCH(D587, Products!$A$2:$A$37, 0))</f>
        <v>90</v>
      </c>
      <c r="K587" s="9">
        <f t="shared" si="36"/>
        <v>179.1</v>
      </c>
      <c r="L587">
        <f t="shared" si="37"/>
        <v>90</v>
      </c>
      <c r="M587" s="9">
        <f t="shared" si="38"/>
        <v>89.1</v>
      </c>
      <c r="N587" t="str">
        <f t="shared" si="39"/>
        <v>Feb</v>
      </c>
    </row>
    <row r="588" spans="1:14" x14ac:dyDescent="0.3">
      <c r="A588" s="2" t="s">
        <v>654</v>
      </c>
      <c r="B588" s="6">
        <v>45707</v>
      </c>
      <c r="C588" s="2" t="s">
        <v>48</v>
      </c>
      <c r="D588" s="2" t="s">
        <v>95</v>
      </c>
      <c r="E588" s="2">
        <v>2</v>
      </c>
      <c r="F588" s="7">
        <v>259</v>
      </c>
      <c r="G588" s="8">
        <v>0</v>
      </c>
      <c r="H588" s="9" t="str">
        <f>INDEX(Products!$B$2:$B$37, MATCH(D588, Products!$A$2:$A$37, 0))</f>
        <v>Bed Linen Set (King)</v>
      </c>
      <c r="I588" t="str">
        <f>INDEX(Products!$C$2:$C$37, MATCH(D588, Products!$A$2:$A$37, 0))</f>
        <v>Home &amp; Kitchen</v>
      </c>
      <c r="J588">
        <f>INDEX(Products!$E$2:$E$37, MATCH(D588, Products!$A$2:$A$37, 0))</f>
        <v>115</v>
      </c>
      <c r="K588" s="9">
        <f t="shared" si="36"/>
        <v>518</v>
      </c>
      <c r="L588">
        <f t="shared" si="37"/>
        <v>230</v>
      </c>
      <c r="M588" s="9">
        <f t="shared" si="38"/>
        <v>288</v>
      </c>
      <c r="N588" t="str">
        <f t="shared" si="39"/>
        <v>Feb</v>
      </c>
    </row>
    <row r="589" spans="1:14" x14ac:dyDescent="0.3">
      <c r="A589" s="2" t="s">
        <v>655</v>
      </c>
      <c r="B589" s="6">
        <v>45707</v>
      </c>
      <c r="C589" s="2" t="s">
        <v>31</v>
      </c>
      <c r="D589" s="2" t="s">
        <v>70</v>
      </c>
      <c r="E589" s="2">
        <v>2</v>
      </c>
      <c r="F589" s="7">
        <v>429</v>
      </c>
      <c r="G589" s="8">
        <v>0</v>
      </c>
      <c r="H589" s="9" t="str">
        <f>INDEX(Products!$B$2:$B$37, MATCH(D589, Products!$A$2:$A$37, 0))</f>
        <v>Running Shoes Elite</v>
      </c>
      <c r="I589" t="str">
        <f>INDEX(Products!$C$2:$C$37, MATCH(D589, Products!$A$2:$A$37, 0))</f>
        <v>Fashion</v>
      </c>
      <c r="J589">
        <f>INDEX(Products!$E$2:$E$37, MATCH(D589, Products!$A$2:$A$37, 0))</f>
        <v>300</v>
      </c>
      <c r="K589" s="9">
        <f t="shared" si="36"/>
        <v>858</v>
      </c>
      <c r="L589">
        <f t="shared" si="37"/>
        <v>600</v>
      </c>
      <c r="M589" s="9">
        <f t="shared" si="38"/>
        <v>258</v>
      </c>
      <c r="N589" t="str">
        <f t="shared" si="39"/>
        <v>Feb</v>
      </c>
    </row>
    <row r="590" spans="1:14" x14ac:dyDescent="0.3">
      <c r="A590" s="2" t="s">
        <v>656</v>
      </c>
      <c r="B590" s="6">
        <v>45707</v>
      </c>
      <c r="C590" s="2" t="s">
        <v>41</v>
      </c>
      <c r="D590" s="2" t="s">
        <v>42</v>
      </c>
      <c r="E590" s="2">
        <v>1</v>
      </c>
      <c r="F590" s="7">
        <v>399</v>
      </c>
      <c r="G590" s="8">
        <v>0.1</v>
      </c>
      <c r="H590" s="9" t="str">
        <f>INDEX(Products!$B$2:$B$37, MATCH(D590, Products!$A$2:$A$37, 0))</f>
        <v>Wireless Earbuds Pro</v>
      </c>
      <c r="I590" t="str">
        <f>INDEX(Products!$C$2:$C$37, MATCH(D590, Products!$A$2:$A$37, 0))</f>
        <v>Electronics</v>
      </c>
      <c r="J590">
        <f>INDEX(Products!$E$2:$E$37, MATCH(D590, Products!$A$2:$A$37, 0))</f>
        <v>230</v>
      </c>
      <c r="K590" s="9">
        <f t="shared" si="36"/>
        <v>359.1</v>
      </c>
      <c r="L590">
        <f t="shared" si="37"/>
        <v>230</v>
      </c>
      <c r="M590" s="9">
        <f t="shared" si="38"/>
        <v>129.10000000000002</v>
      </c>
      <c r="N590" t="str">
        <f t="shared" si="39"/>
        <v>Feb</v>
      </c>
    </row>
    <row r="591" spans="1:14" x14ac:dyDescent="0.3">
      <c r="A591" s="2" t="s">
        <v>657</v>
      </c>
      <c r="B591" s="6">
        <v>45707</v>
      </c>
      <c r="C591" s="2" t="s">
        <v>28</v>
      </c>
      <c r="D591" s="2" t="s">
        <v>56</v>
      </c>
      <c r="E591" s="2">
        <v>1</v>
      </c>
      <c r="F591" s="7">
        <v>289</v>
      </c>
      <c r="G591" s="8">
        <v>0.05</v>
      </c>
      <c r="H591" s="9" t="str">
        <f>INDEX(Products!$B$2:$B$37, MATCH(D591, Products!$A$2:$A$37, 0))</f>
        <v>Ceramic Dinner Set</v>
      </c>
      <c r="I591" t="str">
        <f>INDEX(Products!$C$2:$C$37, MATCH(D591, Products!$A$2:$A$37, 0))</f>
        <v>Home &amp; Kitchen</v>
      </c>
      <c r="J591">
        <f>INDEX(Products!$E$2:$E$37, MATCH(D591, Products!$A$2:$A$37, 0))</f>
        <v>140</v>
      </c>
      <c r="K591" s="9">
        <f t="shared" si="36"/>
        <v>274.55</v>
      </c>
      <c r="L591">
        <f t="shared" si="37"/>
        <v>140</v>
      </c>
      <c r="M591" s="9">
        <f t="shared" si="38"/>
        <v>134.55000000000001</v>
      </c>
      <c r="N591" t="str">
        <f t="shared" si="39"/>
        <v>Feb</v>
      </c>
    </row>
    <row r="592" spans="1:14" x14ac:dyDescent="0.3">
      <c r="A592" s="2" t="s">
        <v>658</v>
      </c>
      <c r="B592" s="6">
        <v>45707</v>
      </c>
      <c r="C592" s="2" t="s">
        <v>41</v>
      </c>
      <c r="D592" s="2" t="s">
        <v>83</v>
      </c>
      <c r="E592" s="2">
        <v>2</v>
      </c>
      <c r="F592" s="7">
        <v>229</v>
      </c>
      <c r="G592" s="8">
        <v>0.05</v>
      </c>
      <c r="H592" s="9" t="str">
        <f>INDEX(Products!$B$2:$B$37, MATCH(D592, Products!$A$2:$A$37, 0))</f>
        <v>Cycling Helmet</v>
      </c>
      <c r="I592" t="str">
        <f>INDEX(Products!$C$2:$C$37, MATCH(D592, Products!$A$2:$A$37, 0))</f>
        <v>Sports</v>
      </c>
      <c r="J592">
        <f>INDEX(Products!$E$2:$E$37, MATCH(D592, Products!$A$2:$A$37, 0))</f>
        <v>120</v>
      </c>
      <c r="K592" s="9">
        <f t="shared" si="36"/>
        <v>435.09999999999997</v>
      </c>
      <c r="L592">
        <f t="shared" si="37"/>
        <v>240</v>
      </c>
      <c r="M592" s="9">
        <f t="shared" si="38"/>
        <v>195.09999999999997</v>
      </c>
      <c r="N592" t="str">
        <f t="shared" si="39"/>
        <v>Feb</v>
      </c>
    </row>
    <row r="593" spans="1:14" x14ac:dyDescent="0.3">
      <c r="A593" s="2" t="s">
        <v>659</v>
      </c>
      <c r="B593" s="6">
        <v>45707</v>
      </c>
      <c r="C593" s="2" t="s">
        <v>31</v>
      </c>
      <c r="D593" s="2" t="s">
        <v>103</v>
      </c>
      <c r="E593" s="2">
        <v>2</v>
      </c>
      <c r="F593" s="7">
        <v>89</v>
      </c>
      <c r="G593" s="8">
        <v>0</v>
      </c>
      <c r="H593" s="9" t="str">
        <f>INDEX(Products!$B$2:$B$37, MATCH(D593, Products!$A$2:$A$37, 0))</f>
        <v>Sunscreen SPF50</v>
      </c>
      <c r="I593" t="str">
        <f>INDEX(Products!$C$2:$C$37, MATCH(D593, Products!$A$2:$A$37, 0))</f>
        <v>Beauty</v>
      </c>
      <c r="J593">
        <f>INDEX(Products!$E$2:$E$37, MATCH(D593, Products!$A$2:$A$37, 0))</f>
        <v>40</v>
      </c>
      <c r="K593" s="9">
        <f t="shared" si="36"/>
        <v>178</v>
      </c>
      <c r="L593">
        <f t="shared" si="37"/>
        <v>80</v>
      </c>
      <c r="M593" s="9">
        <f t="shared" si="38"/>
        <v>98</v>
      </c>
      <c r="N593" t="str">
        <f t="shared" si="39"/>
        <v>Feb</v>
      </c>
    </row>
    <row r="594" spans="1:14" x14ac:dyDescent="0.3">
      <c r="A594" s="2" t="s">
        <v>660</v>
      </c>
      <c r="B594" s="6">
        <v>45707</v>
      </c>
      <c r="C594" s="2" t="s">
        <v>31</v>
      </c>
      <c r="D594" s="2" t="s">
        <v>39</v>
      </c>
      <c r="E594" s="2">
        <v>3</v>
      </c>
      <c r="F594" s="7">
        <v>199</v>
      </c>
      <c r="G594" s="8">
        <v>0</v>
      </c>
      <c r="H594" s="9" t="str">
        <f>INDEX(Products!$B$2:$B$37, MATCH(D594, Products!$A$2:$A$37, 0))</f>
        <v>Bakhoor Gift Set</v>
      </c>
      <c r="I594" t="str">
        <f>INDEX(Products!$C$2:$C$37, MATCH(D594, Products!$A$2:$A$37, 0))</f>
        <v>Beauty</v>
      </c>
      <c r="J594">
        <f>INDEX(Products!$E$2:$E$37, MATCH(D594, Products!$A$2:$A$37, 0))</f>
        <v>90</v>
      </c>
      <c r="K594" s="9">
        <f t="shared" si="36"/>
        <v>597</v>
      </c>
      <c r="L594">
        <f t="shared" si="37"/>
        <v>270</v>
      </c>
      <c r="M594" s="9">
        <f t="shared" si="38"/>
        <v>327</v>
      </c>
      <c r="N594" t="str">
        <f t="shared" si="39"/>
        <v>Feb</v>
      </c>
    </row>
    <row r="595" spans="1:14" x14ac:dyDescent="0.3">
      <c r="A595" s="2" t="s">
        <v>661</v>
      </c>
      <c r="B595" s="6">
        <v>45707</v>
      </c>
      <c r="C595" s="2" t="s">
        <v>28</v>
      </c>
      <c r="D595" s="2" t="s">
        <v>56</v>
      </c>
      <c r="E595" s="2">
        <v>1</v>
      </c>
      <c r="F595" s="7">
        <v>289</v>
      </c>
      <c r="G595" s="8">
        <v>0</v>
      </c>
      <c r="H595" s="9" t="str">
        <f>INDEX(Products!$B$2:$B$37, MATCH(D595, Products!$A$2:$A$37, 0))</f>
        <v>Ceramic Dinner Set</v>
      </c>
      <c r="I595" t="str">
        <f>INDEX(Products!$C$2:$C$37, MATCH(D595, Products!$A$2:$A$37, 0))</f>
        <v>Home &amp; Kitchen</v>
      </c>
      <c r="J595">
        <f>INDEX(Products!$E$2:$E$37, MATCH(D595, Products!$A$2:$A$37, 0))</f>
        <v>140</v>
      </c>
      <c r="K595" s="9">
        <f t="shared" si="36"/>
        <v>289</v>
      </c>
      <c r="L595">
        <f t="shared" si="37"/>
        <v>140</v>
      </c>
      <c r="M595" s="9">
        <f t="shared" si="38"/>
        <v>149</v>
      </c>
      <c r="N595" t="str">
        <f t="shared" si="39"/>
        <v>Feb</v>
      </c>
    </row>
    <row r="596" spans="1:14" x14ac:dyDescent="0.3">
      <c r="A596" s="2" t="s">
        <v>662</v>
      </c>
      <c r="B596" s="6">
        <v>45707</v>
      </c>
      <c r="C596" s="2" t="s">
        <v>28</v>
      </c>
      <c r="D596" s="2" t="s">
        <v>46</v>
      </c>
      <c r="E596" s="2">
        <v>1</v>
      </c>
      <c r="F596" s="7">
        <v>189</v>
      </c>
      <c r="G596" s="8">
        <v>0.15</v>
      </c>
      <c r="H596" s="9" t="str">
        <f>INDEX(Products!$B$2:$B$37, MATCH(D596, Products!$A$2:$A$37, 0))</f>
        <v>Makeup Palette</v>
      </c>
      <c r="I596" t="str">
        <f>INDEX(Products!$C$2:$C$37, MATCH(D596, Products!$A$2:$A$37, 0))</f>
        <v>Beauty</v>
      </c>
      <c r="J596">
        <f>INDEX(Products!$E$2:$E$37, MATCH(D596, Products!$A$2:$A$37, 0))</f>
        <v>85</v>
      </c>
      <c r="K596" s="9">
        <f t="shared" si="36"/>
        <v>160.65</v>
      </c>
      <c r="L596">
        <f t="shared" si="37"/>
        <v>85</v>
      </c>
      <c r="M596" s="9">
        <f t="shared" si="38"/>
        <v>75.650000000000006</v>
      </c>
      <c r="N596" t="str">
        <f t="shared" si="39"/>
        <v>Feb</v>
      </c>
    </row>
    <row r="597" spans="1:14" x14ac:dyDescent="0.3">
      <c r="A597" s="2" t="s">
        <v>663</v>
      </c>
      <c r="B597" s="6">
        <v>45708</v>
      </c>
      <c r="C597" s="2" t="s">
        <v>44</v>
      </c>
      <c r="D597" s="2" t="s">
        <v>75</v>
      </c>
      <c r="E597" s="2">
        <v>1</v>
      </c>
      <c r="F597" s="7">
        <v>549</v>
      </c>
      <c r="G597" s="8">
        <v>0.3</v>
      </c>
      <c r="H597" s="9" t="str">
        <f>INDEX(Products!$B$2:$B$37, MATCH(D597, Products!$A$2:$A$37, 0))</f>
        <v>Oud Perfume 100ml</v>
      </c>
      <c r="I597" t="str">
        <f>INDEX(Products!$C$2:$C$37, MATCH(D597, Products!$A$2:$A$37, 0))</f>
        <v>Beauty</v>
      </c>
      <c r="J597">
        <f>INDEX(Products!$E$2:$E$37, MATCH(D597, Products!$A$2:$A$37, 0))</f>
        <v>250</v>
      </c>
      <c r="K597" s="9">
        <f t="shared" si="36"/>
        <v>384.29999999999995</v>
      </c>
      <c r="L597">
        <f t="shared" si="37"/>
        <v>250</v>
      </c>
      <c r="M597" s="9">
        <f t="shared" si="38"/>
        <v>134.29999999999995</v>
      </c>
      <c r="N597" t="str">
        <f t="shared" si="39"/>
        <v>Feb</v>
      </c>
    </row>
    <row r="598" spans="1:14" x14ac:dyDescent="0.3">
      <c r="A598" s="2" t="s">
        <v>664</v>
      </c>
      <c r="B598" s="6">
        <v>45708</v>
      </c>
      <c r="C598" s="2" t="s">
        <v>28</v>
      </c>
      <c r="D598" s="2" t="s">
        <v>115</v>
      </c>
      <c r="E598" s="2">
        <v>1</v>
      </c>
      <c r="F598" s="7">
        <v>129</v>
      </c>
      <c r="G598" s="8">
        <v>0</v>
      </c>
      <c r="H598" s="9" t="str">
        <f>INDEX(Products!$B$2:$B$37, MATCH(D598, Products!$A$2:$A$37, 0))</f>
        <v>Electric Kettle</v>
      </c>
      <c r="I598" t="str">
        <f>INDEX(Products!$C$2:$C$37, MATCH(D598, Products!$A$2:$A$37, 0))</f>
        <v>Home &amp; Kitchen</v>
      </c>
      <c r="J598">
        <f>INDEX(Products!$E$2:$E$37, MATCH(D598, Products!$A$2:$A$37, 0))</f>
        <v>60</v>
      </c>
      <c r="K598" s="9">
        <f t="shared" si="36"/>
        <v>129</v>
      </c>
      <c r="L598">
        <f t="shared" si="37"/>
        <v>60</v>
      </c>
      <c r="M598" s="9">
        <f t="shared" si="38"/>
        <v>69</v>
      </c>
      <c r="N598" t="str">
        <f t="shared" si="39"/>
        <v>Feb</v>
      </c>
    </row>
    <row r="599" spans="1:14" x14ac:dyDescent="0.3">
      <c r="A599" s="2" t="s">
        <v>665</v>
      </c>
      <c r="B599" s="6">
        <v>45708</v>
      </c>
      <c r="C599" s="2" t="s">
        <v>31</v>
      </c>
      <c r="D599" s="2" t="s">
        <v>80</v>
      </c>
      <c r="E599" s="2">
        <v>2</v>
      </c>
      <c r="F599" s="7">
        <v>149</v>
      </c>
      <c r="G599" s="8">
        <v>0</v>
      </c>
      <c r="H599" s="9" t="str">
        <f>INDEX(Products!$B$2:$B$37, MATCH(D599, Products!$A$2:$A$37, 0))</f>
        <v>Vitamin C Serum</v>
      </c>
      <c r="I599" t="str">
        <f>INDEX(Products!$C$2:$C$37, MATCH(D599, Products!$A$2:$A$37, 0))</f>
        <v>Beauty</v>
      </c>
      <c r="J599">
        <f>INDEX(Products!$E$2:$E$37, MATCH(D599, Products!$A$2:$A$37, 0))</f>
        <v>55</v>
      </c>
      <c r="K599" s="9">
        <f t="shared" si="36"/>
        <v>298</v>
      </c>
      <c r="L599">
        <f t="shared" si="37"/>
        <v>110</v>
      </c>
      <c r="M599" s="9">
        <f t="shared" si="38"/>
        <v>188</v>
      </c>
      <c r="N599" t="str">
        <f t="shared" si="39"/>
        <v>Feb</v>
      </c>
    </row>
    <row r="600" spans="1:14" x14ac:dyDescent="0.3">
      <c r="A600" s="2" t="s">
        <v>666</v>
      </c>
      <c r="B600" s="6">
        <v>45708</v>
      </c>
      <c r="C600" s="2" t="s">
        <v>31</v>
      </c>
      <c r="D600" s="2" t="s">
        <v>49</v>
      </c>
      <c r="E600" s="2">
        <v>4</v>
      </c>
      <c r="F600" s="7">
        <v>149</v>
      </c>
      <c r="G600" s="8">
        <v>0</v>
      </c>
      <c r="H600" s="9" t="str">
        <f>INDEX(Products!$B$2:$B$37, MATCH(D600, Products!$A$2:$A$37, 0))</f>
        <v>Kids' Sneakers</v>
      </c>
      <c r="I600" t="str">
        <f>INDEX(Products!$C$2:$C$37, MATCH(D600, Products!$A$2:$A$37, 0))</f>
        <v>Fashion</v>
      </c>
      <c r="J600">
        <f>INDEX(Products!$E$2:$E$37, MATCH(D600, Products!$A$2:$A$37, 0))</f>
        <v>80</v>
      </c>
      <c r="K600" s="9">
        <f t="shared" si="36"/>
        <v>596</v>
      </c>
      <c r="L600">
        <f t="shared" si="37"/>
        <v>320</v>
      </c>
      <c r="M600" s="9">
        <f t="shared" si="38"/>
        <v>276</v>
      </c>
      <c r="N600" t="str">
        <f t="shared" si="39"/>
        <v>Feb</v>
      </c>
    </row>
    <row r="601" spans="1:14" x14ac:dyDescent="0.3">
      <c r="A601" s="2" t="s">
        <v>667</v>
      </c>
      <c r="B601" s="6">
        <v>45708</v>
      </c>
      <c r="C601" s="2" t="s">
        <v>28</v>
      </c>
      <c r="D601" s="2" t="s">
        <v>37</v>
      </c>
      <c r="E601" s="2">
        <v>2</v>
      </c>
      <c r="F601" s="7">
        <v>249</v>
      </c>
      <c r="G601" s="8">
        <v>0.2</v>
      </c>
      <c r="H601" s="9" t="str">
        <f>INDEX(Products!$B$2:$B$37, MATCH(D601, Products!$A$2:$A$37, 0))</f>
        <v>Sunglasses Polarised</v>
      </c>
      <c r="I601" t="str">
        <f>INDEX(Products!$C$2:$C$37, MATCH(D601, Products!$A$2:$A$37, 0))</f>
        <v>Fashion</v>
      </c>
      <c r="J601">
        <f>INDEX(Products!$E$2:$E$37, MATCH(D601, Products!$A$2:$A$37, 0))</f>
        <v>95</v>
      </c>
      <c r="K601" s="9">
        <f t="shared" si="36"/>
        <v>398.40000000000003</v>
      </c>
      <c r="L601">
        <f t="shared" si="37"/>
        <v>190</v>
      </c>
      <c r="M601" s="9">
        <f t="shared" si="38"/>
        <v>208.40000000000003</v>
      </c>
      <c r="N601" t="str">
        <f t="shared" si="39"/>
        <v>Feb</v>
      </c>
    </row>
    <row r="602" spans="1:14" x14ac:dyDescent="0.3">
      <c r="A602" s="2" t="s">
        <v>668</v>
      </c>
      <c r="B602" s="6">
        <v>45709</v>
      </c>
      <c r="C602" s="2" t="s">
        <v>48</v>
      </c>
      <c r="D602" s="2" t="s">
        <v>83</v>
      </c>
      <c r="E602" s="2">
        <v>2</v>
      </c>
      <c r="F602" s="7">
        <v>229</v>
      </c>
      <c r="G602" s="8">
        <v>0</v>
      </c>
      <c r="H602" s="9" t="str">
        <f>INDEX(Products!$B$2:$B$37, MATCH(D602, Products!$A$2:$A$37, 0))</f>
        <v>Cycling Helmet</v>
      </c>
      <c r="I602" t="str">
        <f>INDEX(Products!$C$2:$C$37, MATCH(D602, Products!$A$2:$A$37, 0))</f>
        <v>Sports</v>
      </c>
      <c r="J602">
        <f>INDEX(Products!$E$2:$E$37, MATCH(D602, Products!$A$2:$A$37, 0))</f>
        <v>120</v>
      </c>
      <c r="K602" s="9">
        <f t="shared" si="36"/>
        <v>458</v>
      </c>
      <c r="L602">
        <f t="shared" si="37"/>
        <v>240</v>
      </c>
      <c r="M602" s="9">
        <f t="shared" si="38"/>
        <v>218</v>
      </c>
      <c r="N602" t="str">
        <f t="shared" si="39"/>
        <v>Feb</v>
      </c>
    </row>
    <row r="603" spans="1:14" x14ac:dyDescent="0.3">
      <c r="A603" s="2" t="s">
        <v>669</v>
      </c>
      <c r="B603" s="6">
        <v>45709</v>
      </c>
      <c r="C603" s="2" t="s">
        <v>41</v>
      </c>
      <c r="D603" s="2" t="s">
        <v>99</v>
      </c>
      <c r="E603" s="2">
        <v>3</v>
      </c>
      <c r="F603" s="7">
        <v>459</v>
      </c>
      <c r="G603" s="8">
        <v>0</v>
      </c>
      <c r="H603" s="9" t="str">
        <f>INDEX(Products!$B$2:$B$37, MATCH(D603, Products!$A$2:$A$37, 0))</f>
        <v>Gaming Headset X</v>
      </c>
      <c r="I603" t="str">
        <f>INDEX(Products!$C$2:$C$37, MATCH(D603, Products!$A$2:$A$37, 0))</f>
        <v>Electronics</v>
      </c>
      <c r="J603">
        <f>INDEX(Products!$E$2:$E$37, MATCH(D603, Products!$A$2:$A$37, 0))</f>
        <v>300</v>
      </c>
      <c r="K603" s="9">
        <f t="shared" si="36"/>
        <v>1377</v>
      </c>
      <c r="L603">
        <f t="shared" si="37"/>
        <v>900</v>
      </c>
      <c r="M603" s="9">
        <f t="shared" si="38"/>
        <v>477</v>
      </c>
      <c r="N603" t="str">
        <f t="shared" si="39"/>
        <v>Feb</v>
      </c>
    </row>
    <row r="604" spans="1:14" x14ac:dyDescent="0.3">
      <c r="A604" s="2" t="s">
        <v>670</v>
      </c>
      <c r="B604" s="6">
        <v>45709</v>
      </c>
      <c r="C604" s="2" t="s">
        <v>28</v>
      </c>
      <c r="D604" s="2" t="s">
        <v>56</v>
      </c>
      <c r="E604" s="2">
        <v>1</v>
      </c>
      <c r="F604" s="7">
        <v>289</v>
      </c>
      <c r="G604" s="8">
        <v>0</v>
      </c>
      <c r="H604" s="9" t="str">
        <f>INDEX(Products!$B$2:$B$37, MATCH(D604, Products!$A$2:$A$37, 0))</f>
        <v>Ceramic Dinner Set</v>
      </c>
      <c r="I604" t="str">
        <f>INDEX(Products!$C$2:$C$37, MATCH(D604, Products!$A$2:$A$37, 0))</f>
        <v>Home &amp; Kitchen</v>
      </c>
      <c r="J604">
        <f>INDEX(Products!$E$2:$E$37, MATCH(D604, Products!$A$2:$A$37, 0))</f>
        <v>140</v>
      </c>
      <c r="K604" s="9">
        <f t="shared" si="36"/>
        <v>289</v>
      </c>
      <c r="L604">
        <f t="shared" si="37"/>
        <v>140</v>
      </c>
      <c r="M604" s="9">
        <f t="shared" si="38"/>
        <v>149</v>
      </c>
      <c r="N604" t="str">
        <f t="shared" si="39"/>
        <v>Feb</v>
      </c>
    </row>
    <row r="605" spans="1:14" x14ac:dyDescent="0.3">
      <c r="A605" s="2" t="s">
        <v>671</v>
      </c>
      <c r="B605" s="6">
        <v>45709</v>
      </c>
      <c r="C605" s="2" t="s">
        <v>44</v>
      </c>
      <c r="D605" s="2" t="s">
        <v>52</v>
      </c>
      <c r="E605" s="2">
        <v>1</v>
      </c>
      <c r="F605" s="7">
        <v>299</v>
      </c>
      <c r="G605" s="8">
        <v>0.2</v>
      </c>
      <c r="H605" s="9" t="str">
        <f>INDEX(Products!$B$2:$B$37, MATCH(D605, Products!$A$2:$A$37, 0))</f>
        <v>Hair Dryer Ionic</v>
      </c>
      <c r="I605" t="str">
        <f>INDEX(Products!$C$2:$C$37, MATCH(D605, Products!$A$2:$A$37, 0))</f>
        <v>Beauty</v>
      </c>
      <c r="J605">
        <f>INDEX(Products!$E$2:$E$37, MATCH(D605, Products!$A$2:$A$37, 0))</f>
        <v>240</v>
      </c>
      <c r="K605" s="9">
        <f t="shared" si="36"/>
        <v>239.20000000000002</v>
      </c>
      <c r="L605">
        <f t="shared" si="37"/>
        <v>240</v>
      </c>
      <c r="M605" s="9">
        <f t="shared" si="38"/>
        <v>-0.79999999999998295</v>
      </c>
      <c r="N605" t="str">
        <f t="shared" si="39"/>
        <v>Feb</v>
      </c>
    </row>
    <row r="606" spans="1:14" x14ac:dyDescent="0.3">
      <c r="A606" s="2" t="s">
        <v>672</v>
      </c>
      <c r="B606" s="6">
        <v>45709</v>
      </c>
      <c r="C606" s="2" t="s">
        <v>41</v>
      </c>
      <c r="D606" s="2" t="s">
        <v>39</v>
      </c>
      <c r="E606" s="2">
        <v>1</v>
      </c>
      <c r="F606" s="7">
        <v>199</v>
      </c>
      <c r="G606" s="8">
        <v>0.1</v>
      </c>
      <c r="H606" s="9" t="str">
        <f>INDEX(Products!$B$2:$B$37, MATCH(D606, Products!$A$2:$A$37, 0))</f>
        <v>Bakhoor Gift Set</v>
      </c>
      <c r="I606" t="str">
        <f>INDEX(Products!$C$2:$C$37, MATCH(D606, Products!$A$2:$A$37, 0))</f>
        <v>Beauty</v>
      </c>
      <c r="J606">
        <f>INDEX(Products!$E$2:$E$37, MATCH(D606, Products!$A$2:$A$37, 0))</f>
        <v>90</v>
      </c>
      <c r="K606" s="9">
        <f t="shared" si="36"/>
        <v>179.1</v>
      </c>
      <c r="L606">
        <f t="shared" si="37"/>
        <v>90</v>
      </c>
      <c r="M606" s="9">
        <f t="shared" si="38"/>
        <v>89.1</v>
      </c>
      <c r="N606" t="str">
        <f t="shared" si="39"/>
        <v>Feb</v>
      </c>
    </row>
    <row r="607" spans="1:14" x14ac:dyDescent="0.3">
      <c r="A607" s="2" t="s">
        <v>673</v>
      </c>
      <c r="B607" s="6">
        <v>45709</v>
      </c>
      <c r="C607" s="2" t="s">
        <v>28</v>
      </c>
      <c r="D607" s="2" t="s">
        <v>126</v>
      </c>
      <c r="E607" s="2">
        <v>4</v>
      </c>
      <c r="F607" s="7">
        <v>89</v>
      </c>
      <c r="G607" s="8">
        <v>0.05</v>
      </c>
      <c r="H607" s="9" t="str">
        <f>INDEX(Products!$B$2:$B$37, MATCH(D607, Products!$A$2:$A$37, 0))</f>
        <v>USB-C Fast Charger</v>
      </c>
      <c r="I607" t="str">
        <f>INDEX(Products!$C$2:$C$37, MATCH(D607, Products!$A$2:$A$37, 0))</f>
        <v>Electronics</v>
      </c>
      <c r="J607">
        <f>INDEX(Products!$E$2:$E$37, MATCH(D607, Products!$A$2:$A$37, 0))</f>
        <v>35</v>
      </c>
      <c r="K607" s="9">
        <f t="shared" si="36"/>
        <v>338.2</v>
      </c>
      <c r="L607">
        <f t="shared" si="37"/>
        <v>140</v>
      </c>
      <c r="M607" s="9">
        <f t="shared" si="38"/>
        <v>198.2</v>
      </c>
      <c r="N607" t="str">
        <f t="shared" si="39"/>
        <v>Feb</v>
      </c>
    </row>
    <row r="608" spans="1:14" x14ac:dyDescent="0.3">
      <c r="A608" s="2" t="s">
        <v>674</v>
      </c>
      <c r="B608" s="6">
        <v>45709</v>
      </c>
      <c r="C608" s="2" t="s">
        <v>41</v>
      </c>
      <c r="D608" s="2" t="s">
        <v>68</v>
      </c>
      <c r="E608" s="2">
        <v>1</v>
      </c>
      <c r="F608" s="7">
        <v>249</v>
      </c>
      <c r="G608" s="8">
        <v>0.15</v>
      </c>
      <c r="H608" s="9" t="str">
        <f>INDEX(Products!$B$2:$B$37, MATCH(D608, Products!$A$2:$A$37, 0))</f>
        <v>Bluetooth Speaker Mini</v>
      </c>
      <c r="I608" t="str">
        <f>INDEX(Products!$C$2:$C$37, MATCH(D608, Products!$A$2:$A$37, 0))</f>
        <v>Electronics</v>
      </c>
      <c r="J608">
        <f>INDEX(Products!$E$2:$E$37, MATCH(D608, Products!$A$2:$A$37, 0))</f>
        <v>150</v>
      </c>
      <c r="K608" s="9">
        <f t="shared" si="36"/>
        <v>211.65</v>
      </c>
      <c r="L608">
        <f t="shared" si="37"/>
        <v>150</v>
      </c>
      <c r="M608" s="9">
        <f t="shared" si="38"/>
        <v>61.650000000000006</v>
      </c>
      <c r="N608" t="str">
        <f t="shared" si="39"/>
        <v>Feb</v>
      </c>
    </row>
    <row r="609" spans="1:14" x14ac:dyDescent="0.3">
      <c r="A609" s="2" t="s">
        <v>675</v>
      </c>
      <c r="B609" s="6">
        <v>45709</v>
      </c>
      <c r="C609" s="2" t="s">
        <v>44</v>
      </c>
      <c r="D609" s="2" t="s">
        <v>165</v>
      </c>
      <c r="E609" s="2">
        <v>1</v>
      </c>
      <c r="F609" s="7">
        <v>69</v>
      </c>
      <c r="G609" s="8">
        <v>0</v>
      </c>
      <c r="H609" s="9" t="str">
        <f>INDEX(Products!$B$2:$B$37, MATCH(D609, Products!$A$2:$A$37, 0))</f>
        <v>Swim Goggles</v>
      </c>
      <c r="I609" t="str">
        <f>INDEX(Products!$C$2:$C$37, MATCH(D609, Products!$A$2:$A$37, 0))</f>
        <v>Sports</v>
      </c>
      <c r="J609">
        <f>INDEX(Products!$E$2:$E$37, MATCH(D609, Products!$A$2:$A$37, 0))</f>
        <v>25</v>
      </c>
      <c r="K609" s="9">
        <f t="shared" si="36"/>
        <v>69</v>
      </c>
      <c r="L609">
        <f t="shared" si="37"/>
        <v>25</v>
      </c>
      <c r="M609" s="9">
        <f t="shared" si="38"/>
        <v>44</v>
      </c>
      <c r="N609" t="str">
        <f t="shared" si="39"/>
        <v>Feb</v>
      </c>
    </row>
    <row r="610" spans="1:14" x14ac:dyDescent="0.3">
      <c r="A610" s="2" t="s">
        <v>676</v>
      </c>
      <c r="B610" s="6">
        <v>45709</v>
      </c>
      <c r="C610" s="2" t="s">
        <v>31</v>
      </c>
      <c r="D610" s="2" t="s">
        <v>35</v>
      </c>
      <c r="E610" s="2">
        <v>2</v>
      </c>
      <c r="F610" s="7">
        <v>179</v>
      </c>
      <c r="G610" s="8">
        <v>0.1</v>
      </c>
      <c r="H610" s="9" t="str">
        <f>INDEX(Products!$B$2:$B$37, MATCH(D610, Products!$A$2:$A$37, 0))</f>
        <v>Men's Linen Shirt</v>
      </c>
      <c r="I610" t="str">
        <f>INDEX(Products!$C$2:$C$37, MATCH(D610, Products!$A$2:$A$37, 0))</f>
        <v>Fashion</v>
      </c>
      <c r="J610">
        <f>INDEX(Products!$E$2:$E$37, MATCH(D610, Products!$A$2:$A$37, 0))</f>
        <v>70</v>
      </c>
      <c r="K610" s="9">
        <f t="shared" si="36"/>
        <v>322.2</v>
      </c>
      <c r="L610">
        <f t="shared" si="37"/>
        <v>140</v>
      </c>
      <c r="M610" s="9">
        <f t="shared" si="38"/>
        <v>182.2</v>
      </c>
      <c r="N610" t="str">
        <f t="shared" si="39"/>
        <v>Feb</v>
      </c>
    </row>
    <row r="611" spans="1:14" x14ac:dyDescent="0.3">
      <c r="A611" s="2" t="s">
        <v>677</v>
      </c>
      <c r="B611" s="6">
        <v>45709</v>
      </c>
      <c r="C611" s="2" t="s">
        <v>28</v>
      </c>
      <c r="D611" s="2" t="s">
        <v>95</v>
      </c>
      <c r="E611" s="2">
        <v>1</v>
      </c>
      <c r="F611" s="7">
        <v>259</v>
      </c>
      <c r="G611" s="8">
        <v>0.3</v>
      </c>
      <c r="H611" s="9" t="str">
        <f>INDEX(Products!$B$2:$B$37, MATCH(D611, Products!$A$2:$A$37, 0))</f>
        <v>Bed Linen Set (King)</v>
      </c>
      <c r="I611" t="str">
        <f>INDEX(Products!$C$2:$C$37, MATCH(D611, Products!$A$2:$A$37, 0))</f>
        <v>Home &amp; Kitchen</v>
      </c>
      <c r="J611">
        <f>INDEX(Products!$E$2:$E$37, MATCH(D611, Products!$A$2:$A$37, 0))</f>
        <v>115</v>
      </c>
      <c r="K611" s="9">
        <f t="shared" si="36"/>
        <v>181.29999999999998</v>
      </c>
      <c r="L611">
        <f t="shared" si="37"/>
        <v>115</v>
      </c>
      <c r="M611" s="9">
        <f t="shared" si="38"/>
        <v>66.299999999999983</v>
      </c>
      <c r="N611" t="str">
        <f t="shared" si="39"/>
        <v>Feb</v>
      </c>
    </row>
    <row r="612" spans="1:14" x14ac:dyDescent="0.3">
      <c r="A612" s="2" t="s">
        <v>678</v>
      </c>
      <c r="B612" s="6">
        <v>45709</v>
      </c>
      <c r="C612" s="2" t="s">
        <v>28</v>
      </c>
      <c r="D612" s="2" t="s">
        <v>126</v>
      </c>
      <c r="E612" s="2">
        <v>1</v>
      </c>
      <c r="F612" s="7">
        <v>89</v>
      </c>
      <c r="G612" s="8">
        <v>0.05</v>
      </c>
      <c r="H612" s="9" t="str">
        <f>INDEX(Products!$B$2:$B$37, MATCH(D612, Products!$A$2:$A$37, 0))</f>
        <v>USB-C Fast Charger</v>
      </c>
      <c r="I612" t="str">
        <f>INDEX(Products!$C$2:$C$37, MATCH(D612, Products!$A$2:$A$37, 0))</f>
        <v>Electronics</v>
      </c>
      <c r="J612">
        <f>INDEX(Products!$E$2:$E$37, MATCH(D612, Products!$A$2:$A$37, 0))</f>
        <v>35</v>
      </c>
      <c r="K612" s="9">
        <f t="shared" si="36"/>
        <v>84.55</v>
      </c>
      <c r="L612">
        <f t="shared" si="37"/>
        <v>35</v>
      </c>
      <c r="M612" s="9">
        <f t="shared" si="38"/>
        <v>49.55</v>
      </c>
      <c r="N612" t="str">
        <f t="shared" si="39"/>
        <v>Feb</v>
      </c>
    </row>
    <row r="613" spans="1:14" x14ac:dyDescent="0.3">
      <c r="A613" s="2" t="s">
        <v>679</v>
      </c>
      <c r="B613" s="6">
        <v>45709</v>
      </c>
      <c r="C613" s="2" t="s">
        <v>28</v>
      </c>
      <c r="D613" s="2" t="s">
        <v>99</v>
      </c>
      <c r="E613" s="2">
        <v>3</v>
      </c>
      <c r="F613" s="7">
        <v>459</v>
      </c>
      <c r="G613" s="8">
        <v>0</v>
      </c>
      <c r="H613" s="9" t="str">
        <f>INDEX(Products!$B$2:$B$37, MATCH(D613, Products!$A$2:$A$37, 0))</f>
        <v>Gaming Headset X</v>
      </c>
      <c r="I613" t="str">
        <f>INDEX(Products!$C$2:$C$37, MATCH(D613, Products!$A$2:$A$37, 0))</f>
        <v>Electronics</v>
      </c>
      <c r="J613">
        <f>INDEX(Products!$E$2:$E$37, MATCH(D613, Products!$A$2:$A$37, 0))</f>
        <v>300</v>
      </c>
      <c r="K613" s="9">
        <f t="shared" si="36"/>
        <v>1377</v>
      </c>
      <c r="L613">
        <f t="shared" si="37"/>
        <v>900</v>
      </c>
      <c r="M613" s="9">
        <f t="shared" si="38"/>
        <v>477</v>
      </c>
      <c r="N613" t="str">
        <f t="shared" si="39"/>
        <v>Feb</v>
      </c>
    </row>
    <row r="614" spans="1:14" x14ac:dyDescent="0.3">
      <c r="A614" s="2" t="s">
        <v>680</v>
      </c>
      <c r="B614" s="6">
        <v>45709</v>
      </c>
      <c r="C614" s="2" t="s">
        <v>28</v>
      </c>
      <c r="D614" s="2" t="s">
        <v>65</v>
      </c>
      <c r="E614" s="2">
        <v>2</v>
      </c>
      <c r="F614" s="7">
        <v>129</v>
      </c>
      <c r="G614" s="8">
        <v>0</v>
      </c>
      <c r="H614" s="9" t="str">
        <f>INDEX(Products!$B$2:$B$37, MATCH(D614, Products!$A$2:$A$37, 0))</f>
        <v>Yoga Mat Premium</v>
      </c>
      <c r="I614" t="str">
        <f>INDEX(Products!$C$2:$C$37, MATCH(D614, Products!$A$2:$A$37, 0))</f>
        <v>Sports</v>
      </c>
      <c r="J614">
        <f>INDEX(Products!$E$2:$E$37, MATCH(D614, Products!$A$2:$A$37, 0))</f>
        <v>60</v>
      </c>
      <c r="K614" s="9">
        <f t="shared" si="36"/>
        <v>258</v>
      </c>
      <c r="L614">
        <f t="shared" si="37"/>
        <v>120</v>
      </c>
      <c r="M614" s="9">
        <f t="shared" si="38"/>
        <v>138</v>
      </c>
      <c r="N614" t="str">
        <f t="shared" si="39"/>
        <v>Feb</v>
      </c>
    </row>
    <row r="615" spans="1:14" x14ac:dyDescent="0.3">
      <c r="A615" s="2" t="s">
        <v>681</v>
      </c>
      <c r="B615" s="6">
        <v>45709</v>
      </c>
      <c r="C615" s="2" t="s">
        <v>44</v>
      </c>
      <c r="D615" s="2" t="s">
        <v>95</v>
      </c>
      <c r="E615" s="2">
        <v>1</v>
      </c>
      <c r="F615" s="7">
        <v>259</v>
      </c>
      <c r="G615" s="8">
        <v>0</v>
      </c>
      <c r="H615" s="9" t="str">
        <f>INDEX(Products!$B$2:$B$37, MATCH(D615, Products!$A$2:$A$37, 0))</f>
        <v>Bed Linen Set (King)</v>
      </c>
      <c r="I615" t="str">
        <f>INDEX(Products!$C$2:$C$37, MATCH(D615, Products!$A$2:$A$37, 0))</f>
        <v>Home &amp; Kitchen</v>
      </c>
      <c r="J615">
        <f>INDEX(Products!$E$2:$E$37, MATCH(D615, Products!$A$2:$A$37, 0))</f>
        <v>115</v>
      </c>
      <c r="K615" s="9">
        <f t="shared" si="36"/>
        <v>259</v>
      </c>
      <c r="L615">
        <f t="shared" si="37"/>
        <v>115</v>
      </c>
      <c r="M615" s="9">
        <f t="shared" si="38"/>
        <v>144</v>
      </c>
      <c r="N615" t="str">
        <f t="shared" si="39"/>
        <v>Feb</v>
      </c>
    </row>
    <row r="616" spans="1:14" x14ac:dyDescent="0.3">
      <c r="A616" s="2" t="s">
        <v>682</v>
      </c>
      <c r="B616" s="6">
        <v>45710</v>
      </c>
      <c r="C616" s="2" t="s">
        <v>28</v>
      </c>
      <c r="D616" s="2" t="s">
        <v>35</v>
      </c>
      <c r="E616" s="2">
        <v>3</v>
      </c>
      <c r="F616" s="7">
        <v>179</v>
      </c>
      <c r="G616" s="8">
        <v>0.05</v>
      </c>
      <c r="H616" s="9" t="str">
        <f>INDEX(Products!$B$2:$B$37, MATCH(D616, Products!$A$2:$A$37, 0))</f>
        <v>Men's Linen Shirt</v>
      </c>
      <c r="I616" t="str">
        <f>INDEX(Products!$C$2:$C$37, MATCH(D616, Products!$A$2:$A$37, 0))</f>
        <v>Fashion</v>
      </c>
      <c r="J616">
        <f>INDEX(Products!$E$2:$E$37, MATCH(D616, Products!$A$2:$A$37, 0))</f>
        <v>70</v>
      </c>
      <c r="K616" s="9">
        <f t="shared" si="36"/>
        <v>510.15</v>
      </c>
      <c r="L616">
        <f t="shared" si="37"/>
        <v>210</v>
      </c>
      <c r="M616" s="9">
        <f t="shared" si="38"/>
        <v>300.14999999999998</v>
      </c>
      <c r="N616" t="str">
        <f t="shared" si="39"/>
        <v>Feb</v>
      </c>
    </row>
    <row r="617" spans="1:14" x14ac:dyDescent="0.3">
      <c r="A617" s="2" t="s">
        <v>683</v>
      </c>
      <c r="B617" s="6">
        <v>45710</v>
      </c>
      <c r="C617" s="2" t="s">
        <v>41</v>
      </c>
      <c r="D617" s="2" t="s">
        <v>35</v>
      </c>
      <c r="E617" s="2">
        <v>2</v>
      </c>
      <c r="F617" s="7">
        <v>179</v>
      </c>
      <c r="G617" s="8">
        <v>0</v>
      </c>
      <c r="H617" s="9" t="str">
        <f>INDEX(Products!$B$2:$B$37, MATCH(D617, Products!$A$2:$A$37, 0))</f>
        <v>Men's Linen Shirt</v>
      </c>
      <c r="I617" t="str">
        <f>INDEX(Products!$C$2:$C$37, MATCH(D617, Products!$A$2:$A$37, 0))</f>
        <v>Fashion</v>
      </c>
      <c r="J617">
        <f>INDEX(Products!$E$2:$E$37, MATCH(D617, Products!$A$2:$A$37, 0))</f>
        <v>70</v>
      </c>
      <c r="K617" s="9">
        <f t="shared" si="36"/>
        <v>358</v>
      </c>
      <c r="L617">
        <f t="shared" si="37"/>
        <v>140</v>
      </c>
      <c r="M617" s="9">
        <f t="shared" si="38"/>
        <v>218</v>
      </c>
      <c r="N617" t="str">
        <f t="shared" si="39"/>
        <v>Feb</v>
      </c>
    </row>
    <row r="618" spans="1:14" x14ac:dyDescent="0.3">
      <c r="A618" s="2" t="s">
        <v>684</v>
      </c>
      <c r="B618" s="6">
        <v>45710</v>
      </c>
      <c r="C618" s="2" t="s">
        <v>44</v>
      </c>
      <c r="D618" s="2" t="s">
        <v>103</v>
      </c>
      <c r="E618" s="2">
        <v>3</v>
      </c>
      <c r="F618" s="7">
        <v>89</v>
      </c>
      <c r="G618" s="8">
        <v>0</v>
      </c>
      <c r="H618" s="9" t="str">
        <f>INDEX(Products!$B$2:$B$37, MATCH(D618, Products!$A$2:$A$37, 0))</f>
        <v>Sunscreen SPF50</v>
      </c>
      <c r="I618" t="str">
        <f>INDEX(Products!$C$2:$C$37, MATCH(D618, Products!$A$2:$A$37, 0))</f>
        <v>Beauty</v>
      </c>
      <c r="J618">
        <f>INDEX(Products!$E$2:$E$37, MATCH(D618, Products!$A$2:$A$37, 0))</f>
        <v>40</v>
      </c>
      <c r="K618" s="9">
        <f t="shared" si="36"/>
        <v>267</v>
      </c>
      <c r="L618">
        <f t="shared" si="37"/>
        <v>120</v>
      </c>
      <c r="M618" s="9">
        <f t="shared" si="38"/>
        <v>147</v>
      </c>
      <c r="N618" t="str">
        <f t="shared" si="39"/>
        <v>Feb</v>
      </c>
    </row>
    <row r="619" spans="1:14" x14ac:dyDescent="0.3">
      <c r="A619" s="2" t="s">
        <v>685</v>
      </c>
      <c r="B619" s="6">
        <v>45710</v>
      </c>
      <c r="C619" s="2" t="s">
        <v>31</v>
      </c>
      <c r="D619" s="2" t="s">
        <v>58</v>
      </c>
      <c r="E619" s="2">
        <v>2</v>
      </c>
      <c r="F619" s="7">
        <v>459</v>
      </c>
      <c r="G619" s="8">
        <v>0</v>
      </c>
      <c r="H619" s="9" t="str">
        <f>INDEX(Products!$B$2:$B$37, MATCH(D619, Products!$A$2:$A$37, 0))</f>
        <v>Women's Abaya Classic</v>
      </c>
      <c r="I619" t="str">
        <f>INDEX(Products!$C$2:$C$37, MATCH(D619, Products!$A$2:$A$37, 0))</f>
        <v>Fashion</v>
      </c>
      <c r="J619">
        <f>INDEX(Products!$E$2:$E$37, MATCH(D619, Products!$A$2:$A$37, 0))</f>
        <v>190</v>
      </c>
      <c r="K619" s="9">
        <f t="shared" si="36"/>
        <v>918</v>
      </c>
      <c r="L619">
        <f t="shared" si="37"/>
        <v>380</v>
      </c>
      <c r="M619" s="9">
        <f t="shared" si="38"/>
        <v>538</v>
      </c>
      <c r="N619" t="str">
        <f t="shared" si="39"/>
        <v>Feb</v>
      </c>
    </row>
    <row r="620" spans="1:14" x14ac:dyDescent="0.3">
      <c r="A620" s="2" t="s">
        <v>686</v>
      </c>
      <c r="B620" s="6">
        <v>45710</v>
      </c>
      <c r="C620" s="2" t="s">
        <v>31</v>
      </c>
      <c r="D620" s="2" t="s">
        <v>129</v>
      </c>
      <c r="E620" s="2">
        <v>2</v>
      </c>
      <c r="F620" s="7">
        <v>149</v>
      </c>
      <c r="G620" s="8">
        <v>0</v>
      </c>
      <c r="H620" s="9" t="str">
        <f>INDEX(Products!$B$2:$B$37, MATCH(D620, Products!$A$2:$A$37, 0))</f>
        <v>Power Bank 20000mAh</v>
      </c>
      <c r="I620" t="str">
        <f>INDEX(Products!$C$2:$C$37, MATCH(D620, Products!$A$2:$A$37, 0))</f>
        <v>Electronics</v>
      </c>
      <c r="J620">
        <f>INDEX(Products!$E$2:$E$37, MATCH(D620, Products!$A$2:$A$37, 0))</f>
        <v>70</v>
      </c>
      <c r="K620" s="9">
        <f t="shared" si="36"/>
        <v>298</v>
      </c>
      <c r="L620">
        <f t="shared" si="37"/>
        <v>140</v>
      </c>
      <c r="M620" s="9">
        <f t="shared" si="38"/>
        <v>158</v>
      </c>
      <c r="N620" t="str">
        <f t="shared" si="39"/>
        <v>Feb</v>
      </c>
    </row>
    <row r="621" spans="1:14" x14ac:dyDescent="0.3">
      <c r="A621" s="2" t="s">
        <v>687</v>
      </c>
      <c r="B621" s="6">
        <v>45710</v>
      </c>
      <c r="C621" s="2" t="s">
        <v>31</v>
      </c>
      <c r="D621" s="2" t="s">
        <v>126</v>
      </c>
      <c r="E621" s="2">
        <v>1</v>
      </c>
      <c r="F621" s="7">
        <v>89</v>
      </c>
      <c r="G621" s="8">
        <v>0.05</v>
      </c>
      <c r="H621" s="9" t="str">
        <f>INDEX(Products!$B$2:$B$37, MATCH(D621, Products!$A$2:$A$37, 0))</f>
        <v>USB-C Fast Charger</v>
      </c>
      <c r="I621" t="str">
        <f>INDEX(Products!$C$2:$C$37, MATCH(D621, Products!$A$2:$A$37, 0))</f>
        <v>Electronics</v>
      </c>
      <c r="J621">
        <f>INDEX(Products!$E$2:$E$37, MATCH(D621, Products!$A$2:$A$37, 0))</f>
        <v>35</v>
      </c>
      <c r="K621" s="9">
        <f t="shared" si="36"/>
        <v>84.55</v>
      </c>
      <c r="L621">
        <f t="shared" si="37"/>
        <v>35</v>
      </c>
      <c r="M621" s="9">
        <f t="shared" si="38"/>
        <v>49.55</v>
      </c>
      <c r="N621" t="str">
        <f t="shared" si="39"/>
        <v>Feb</v>
      </c>
    </row>
    <row r="622" spans="1:14" x14ac:dyDescent="0.3">
      <c r="A622" s="2" t="s">
        <v>688</v>
      </c>
      <c r="B622" s="6">
        <v>45710</v>
      </c>
      <c r="C622" s="2" t="s">
        <v>44</v>
      </c>
      <c r="D622" s="2" t="s">
        <v>80</v>
      </c>
      <c r="E622" s="2">
        <v>4</v>
      </c>
      <c r="F622" s="7">
        <v>149</v>
      </c>
      <c r="G622" s="8">
        <v>0.2</v>
      </c>
      <c r="H622" s="9" t="str">
        <f>INDEX(Products!$B$2:$B$37, MATCH(D622, Products!$A$2:$A$37, 0))</f>
        <v>Vitamin C Serum</v>
      </c>
      <c r="I622" t="str">
        <f>INDEX(Products!$C$2:$C$37, MATCH(D622, Products!$A$2:$A$37, 0))</f>
        <v>Beauty</v>
      </c>
      <c r="J622">
        <f>INDEX(Products!$E$2:$E$37, MATCH(D622, Products!$A$2:$A$37, 0))</f>
        <v>55</v>
      </c>
      <c r="K622" s="9">
        <f t="shared" si="36"/>
        <v>476.8</v>
      </c>
      <c r="L622">
        <f t="shared" si="37"/>
        <v>220</v>
      </c>
      <c r="M622" s="9">
        <f t="shared" si="38"/>
        <v>256.8</v>
      </c>
      <c r="N622" t="str">
        <f t="shared" si="39"/>
        <v>Feb</v>
      </c>
    </row>
    <row r="623" spans="1:14" x14ac:dyDescent="0.3">
      <c r="A623" s="2" t="s">
        <v>689</v>
      </c>
      <c r="B623" s="6">
        <v>45710</v>
      </c>
      <c r="C623" s="2" t="s">
        <v>44</v>
      </c>
      <c r="D623" s="2" t="s">
        <v>106</v>
      </c>
      <c r="E623" s="2">
        <v>3</v>
      </c>
      <c r="F623" s="7">
        <v>1299</v>
      </c>
      <c r="G623" s="8">
        <v>0.15</v>
      </c>
      <c r="H623" s="9" t="str">
        <f>INDEX(Products!$B$2:$B$37, MATCH(D623, Products!$A$2:$A$37, 0))</f>
        <v>Smart Watch Series 5</v>
      </c>
      <c r="I623" t="str">
        <f>INDEX(Products!$C$2:$C$37, MATCH(D623, Products!$A$2:$A$37, 0))</f>
        <v>Electronics</v>
      </c>
      <c r="J623">
        <f>INDEX(Products!$E$2:$E$37, MATCH(D623, Products!$A$2:$A$37, 0))</f>
        <v>820</v>
      </c>
      <c r="K623" s="9">
        <f t="shared" si="36"/>
        <v>3312.45</v>
      </c>
      <c r="L623">
        <f t="shared" si="37"/>
        <v>2460</v>
      </c>
      <c r="M623" s="9">
        <f t="shared" si="38"/>
        <v>852.44999999999982</v>
      </c>
      <c r="N623" t="str">
        <f t="shared" si="39"/>
        <v>Feb</v>
      </c>
    </row>
    <row r="624" spans="1:14" x14ac:dyDescent="0.3">
      <c r="A624" s="2" t="s">
        <v>690</v>
      </c>
      <c r="B624" s="6">
        <v>45710</v>
      </c>
      <c r="C624" s="2" t="s">
        <v>28</v>
      </c>
      <c r="D624" s="2" t="s">
        <v>80</v>
      </c>
      <c r="E624" s="2">
        <v>2</v>
      </c>
      <c r="F624" s="7">
        <v>149</v>
      </c>
      <c r="G624" s="8">
        <v>0.1</v>
      </c>
      <c r="H624" s="9" t="str">
        <f>INDEX(Products!$B$2:$B$37, MATCH(D624, Products!$A$2:$A$37, 0))</f>
        <v>Vitamin C Serum</v>
      </c>
      <c r="I624" t="str">
        <f>INDEX(Products!$C$2:$C$37, MATCH(D624, Products!$A$2:$A$37, 0))</f>
        <v>Beauty</v>
      </c>
      <c r="J624">
        <f>INDEX(Products!$E$2:$E$37, MATCH(D624, Products!$A$2:$A$37, 0))</f>
        <v>55</v>
      </c>
      <c r="K624" s="9">
        <f t="shared" si="36"/>
        <v>268.2</v>
      </c>
      <c r="L624">
        <f t="shared" si="37"/>
        <v>110</v>
      </c>
      <c r="M624" s="9">
        <f t="shared" si="38"/>
        <v>158.19999999999999</v>
      </c>
      <c r="N624" t="str">
        <f t="shared" si="39"/>
        <v>Feb</v>
      </c>
    </row>
    <row r="625" spans="1:14" x14ac:dyDescent="0.3">
      <c r="A625" s="2" t="s">
        <v>691</v>
      </c>
      <c r="B625" s="6">
        <v>45710</v>
      </c>
      <c r="C625" s="2" t="s">
        <v>41</v>
      </c>
      <c r="D625" s="2" t="s">
        <v>52</v>
      </c>
      <c r="E625" s="2">
        <v>1</v>
      </c>
      <c r="F625" s="7">
        <v>299</v>
      </c>
      <c r="G625" s="8">
        <v>0.25</v>
      </c>
      <c r="H625" s="9" t="str">
        <f>INDEX(Products!$B$2:$B$37, MATCH(D625, Products!$A$2:$A$37, 0))</f>
        <v>Hair Dryer Ionic</v>
      </c>
      <c r="I625" t="str">
        <f>INDEX(Products!$C$2:$C$37, MATCH(D625, Products!$A$2:$A$37, 0))</f>
        <v>Beauty</v>
      </c>
      <c r="J625">
        <f>INDEX(Products!$E$2:$E$37, MATCH(D625, Products!$A$2:$A$37, 0))</f>
        <v>240</v>
      </c>
      <c r="K625" s="9">
        <f t="shared" si="36"/>
        <v>224.25</v>
      </c>
      <c r="L625">
        <f t="shared" si="37"/>
        <v>240</v>
      </c>
      <c r="M625" s="9">
        <f t="shared" si="38"/>
        <v>-15.75</v>
      </c>
      <c r="N625" t="str">
        <f t="shared" si="39"/>
        <v>Feb</v>
      </c>
    </row>
    <row r="626" spans="1:14" x14ac:dyDescent="0.3">
      <c r="A626" s="2" t="s">
        <v>692</v>
      </c>
      <c r="B626" s="6">
        <v>45710</v>
      </c>
      <c r="C626" s="2" t="s">
        <v>28</v>
      </c>
      <c r="D626" s="2" t="s">
        <v>89</v>
      </c>
      <c r="E626" s="2">
        <v>1</v>
      </c>
      <c r="F626" s="7">
        <v>399</v>
      </c>
      <c r="G626" s="8">
        <v>0.05</v>
      </c>
      <c r="H626" s="9" t="str">
        <f>INDEX(Products!$B$2:$B$37, MATCH(D626, Products!$A$2:$A$37, 0))</f>
        <v>Men's Kandura Premium</v>
      </c>
      <c r="I626" t="str">
        <f>INDEX(Products!$C$2:$C$37, MATCH(D626, Products!$A$2:$A$37, 0))</f>
        <v>Fashion</v>
      </c>
      <c r="J626">
        <f>INDEX(Products!$E$2:$E$37, MATCH(D626, Products!$A$2:$A$37, 0))</f>
        <v>210</v>
      </c>
      <c r="K626" s="9">
        <f t="shared" si="36"/>
        <v>379.04999999999995</v>
      </c>
      <c r="L626">
        <f t="shared" si="37"/>
        <v>210</v>
      </c>
      <c r="M626" s="9">
        <f t="shared" si="38"/>
        <v>169.04999999999995</v>
      </c>
      <c r="N626" t="str">
        <f t="shared" si="39"/>
        <v>Feb</v>
      </c>
    </row>
    <row r="627" spans="1:14" x14ac:dyDescent="0.3">
      <c r="A627" s="2" t="s">
        <v>693</v>
      </c>
      <c r="B627" s="6">
        <v>45710</v>
      </c>
      <c r="C627" s="2" t="s">
        <v>48</v>
      </c>
      <c r="D627" s="2" t="s">
        <v>95</v>
      </c>
      <c r="E627" s="2">
        <v>2</v>
      </c>
      <c r="F627" s="7">
        <v>259</v>
      </c>
      <c r="G627" s="8">
        <v>0.15</v>
      </c>
      <c r="H627" s="9" t="str">
        <f>INDEX(Products!$B$2:$B$37, MATCH(D627, Products!$A$2:$A$37, 0))</f>
        <v>Bed Linen Set (King)</v>
      </c>
      <c r="I627" t="str">
        <f>INDEX(Products!$C$2:$C$37, MATCH(D627, Products!$A$2:$A$37, 0))</f>
        <v>Home &amp; Kitchen</v>
      </c>
      <c r="J627">
        <f>INDEX(Products!$E$2:$E$37, MATCH(D627, Products!$A$2:$A$37, 0))</f>
        <v>115</v>
      </c>
      <c r="K627" s="9">
        <f t="shared" si="36"/>
        <v>440.3</v>
      </c>
      <c r="L627">
        <f t="shared" si="37"/>
        <v>230</v>
      </c>
      <c r="M627" s="9">
        <f t="shared" si="38"/>
        <v>210.3</v>
      </c>
      <c r="N627" t="str">
        <f t="shared" si="39"/>
        <v>Feb</v>
      </c>
    </row>
    <row r="628" spans="1:14" x14ac:dyDescent="0.3">
      <c r="A628" s="2" t="s">
        <v>694</v>
      </c>
      <c r="B628" s="6">
        <v>45710</v>
      </c>
      <c r="C628" s="2" t="s">
        <v>41</v>
      </c>
      <c r="D628" s="2" t="s">
        <v>129</v>
      </c>
      <c r="E628" s="2">
        <v>1</v>
      </c>
      <c r="F628" s="7">
        <v>149</v>
      </c>
      <c r="G628" s="8">
        <v>0</v>
      </c>
      <c r="H628" s="9" t="str">
        <f>INDEX(Products!$B$2:$B$37, MATCH(D628, Products!$A$2:$A$37, 0))</f>
        <v>Power Bank 20000mAh</v>
      </c>
      <c r="I628" t="str">
        <f>INDEX(Products!$C$2:$C$37, MATCH(D628, Products!$A$2:$A$37, 0))</f>
        <v>Electronics</v>
      </c>
      <c r="J628">
        <f>INDEX(Products!$E$2:$E$37, MATCH(D628, Products!$A$2:$A$37, 0))</f>
        <v>70</v>
      </c>
      <c r="K628" s="9">
        <f t="shared" si="36"/>
        <v>149</v>
      </c>
      <c r="L628">
        <f t="shared" si="37"/>
        <v>70</v>
      </c>
      <c r="M628" s="9">
        <f t="shared" si="38"/>
        <v>79</v>
      </c>
      <c r="N628" t="str">
        <f t="shared" si="39"/>
        <v>Feb</v>
      </c>
    </row>
    <row r="629" spans="1:14" x14ac:dyDescent="0.3">
      <c r="A629" s="2" t="s">
        <v>695</v>
      </c>
      <c r="B629" s="6">
        <v>45710</v>
      </c>
      <c r="C629" s="2" t="s">
        <v>48</v>
      </c>
      <c r="D629" s="2" t="s">
        <v>115</v>
      </c>
      <c r="E629" s="2">
        <v>3</v>
      </c>
      <c r="F629" s="7">
        <v>129</v>
      </c>
      <c r="G629" s="8">
        <v>0.2</v>
      </c>
      <c r="H629" s="9" t="str">
        <f>INDEX(Products!$B$2:$B$37, MATCH(D629, Products!$A$2:$A$37, 0))</f>
        <v>Electric Kettle</v>
      </c>
      <c r="I629" t="str">
        <f>INDEX(Products!$C$2:$C$37, MATCH(D629, Products!$A$2:$A$37, 0))</f>
        <v>Home &amp; Kitchen</v>
      </c>
      <c r="J629">
        <f>INDEX(Products!$E$2:$E$37, MATCH(D629, Products!$A$2:$A$37, 0))</f>
        <v>60</v>
      </c>
      <c r="K629" s="9">
        <f t="shared" si="36"/>
        <v>309.60000000000002</v>
      </c>
      <c r="L629">
        <f t="shared" si="37"/>
        <v>180</v>
      </c>
      <c r="M629" s="9">
        <f t="shared" si="38"/>
        <v>129.60000000000002</v>
      </c>
      <c r="N629" t="str">
        <f t="shared" si="39"/>
        <v>Feb</v>
      </c>
    </row>
    <row r="630" spans="1:14" x14ac:dyDescent="0.3">
      <c r="A630" s="2" t="s">
        <v>696</v>
      </c>
      <c r="B630" s="6">
        <v>45711</v>
      </c>
      <c r="C630" s="2" t="s">
        <v>48</v>
      </c>
      <c r="D630" s="2" t="s">
        <v>42</v>
      </c>
      <c r="E630" s="2">
        <v>4</v>
      </c>
      <c r="F630" s="7">
        <v>399</v>
      </c>
      <c r="G630" s="8">
        <v>0</v>
      </c>
      <c r="H630" s="9" t="str">
        <f>INDEX(Products!$B$2:$B$37, MATCH(D630, Products!$A$2:$A$37, 0))</f>
        <v>Wireless Earbuds Pro</v>
      </c>
      <c r="I630" t="str">
        <f>INDEX(Products!$C$2:$C$37, MATCH(D630, Products!$A$2:$A$37, 0))</f>
        <v>Electronics</v>
      </c>
      <c r="J630">
        <f>INDEX(Products!$E$2:$E$37, MATCH(D630, Products!$A$2:$A$37, 0))</f>
        <v>230</v>
      </c>
      <c r="K630" s="9">
        <f t="shared" si="36"/>
        <v>1596</v>
      </c>
      <c r="L630">
        <f t="shared" si="37"/>
        <v>920</v>
      </c>
      <c r="M630" s="9">
        <f t="shared" si="38"/>
        <v>676</v>
      </c>
      <c r="N630" t="str">
        <f t="shared" si="39"/>
        <v>Feb</v>
      </c>
    </row>
    <row r="631" spans="1:14" x14ac:dyDescent="0.3">
      <c r="A631" s="2" t="s">
        <v>697</v>
      </c>
      <c r="B631" s="6">
        <v>45711</v>
      </c>
      <c r="C631" s="2" t="s">
        <v>44</v>
      </c>
      <c r="D631" s="2" t="s">
        <v>149</v>
      </c>
      <c r="E631" s="2">
        <v>3</v>
      </c>
      <c r="F631" s="7">
        <v>399</v>
      </c>
      <c r="G631" s="8">
        <v>0</v>
      </c>
      <c r="H631" s="9" t="str">
        <f>INDEX(Products!$B$2:$B$37, MATCH(D631, Products!$A$2:$A$37, 0))</f>
        <v>Blender Pro 1200W</v>
      </c>
      <c r="I631" t="str">
        <f>INDEX(Products!$C$2:$C$37, MATCH(D631, Products!$A$2:$A$37, 0))</f>
        <v>Home &amp; Kitchen</v>
      </c>
      <c r="J631">
        <f>INDEX(Products!$E$2:$E$37, MATCH(D631, Products!$A$2:$A$37, 0))</f>
        <v>250</v>
      </c>
      <c r="K631" s="9">
        <f t="shared" si="36"/>
        <v>1197</v>
      </c>
      <c r="L631">
        <f t="shared" si="37"/>
        <v>750</v>
      </c>
      <c r="M631" s="9">
        <f t="shared" si="38"/>
        <v>447</v>
      </c>
      <c r="N631" t="str">
        <f t="shared" si="39"/>
        <v>Feb</v>
      </c>
    </row>
    <row r="632" spans="1:14" x14ac:dyDescent="0.3">
      <c r="A632" s="2" t="s">
        <v>698</v>
      </c>
      <c r="B632" s="6">
        <v>45711</v>
      </c>
      <c r="C632" s="2" t="s">
        <v>28</v>
      </c>
      <c r="D632" s="2" t="s">
        <v>37</v>
      </c>
      <c r="E632" s="2">
        <v>2</v>
      </c>
      <c r="F632" s="7">
        <v>249</v>
      </c>
      <c r="G632" s="8">
        <v>0</v>
      </c>
      <c r="H632" s="9" t="str">
        <f>INDEX(Products!$B$2:$B$37, MATCH(D632, Products!$A$2:$A$37, 0))</f>
        <v>Sunglasses Polarised</v>
      </c>
      <c r="I632" t="str">
        <f>INDEX(Products!$C$2:$C$37, MATCH(D632, Products!$A$2:$A$37, 0))</f>
        <v>Fashion</v>
      </c>
      <c r="J632">
        <f>INDEX(Products!$E$2:$E$37, MATCH(D632, Products!$A$2:$A$37, 0))</f>
        <v>95</v>
      </c>
      <c r="K632" s="9">
        <f t="shared" si="36"/>
        <v>498</v>
      </c>
      <c r="L632">
        <f t="shared" si="37"/>
        <v>190</v>
      </c>
      <c r="M632" s="9">
        <f t="shared" si="38"/>
        <v>308</v>
      </c>
      <c r="N632" t="str">
        <f t="shared" si="39"/>
        <v>Feb</v>
      </c>
    </row>
    <row r="633" spans="1:14" x14ac:dyDescent="0.3">
      <c r="A633" s="2" t="s">
        <v>699</v>
      </c>
      <c r="B633" s="6">
        <v>45711</v>
      </c>
      <c r="C633" s="2" t="s">
        <v>44</v>
      </c>
      <c r="D633" s="2" t="s">
        <v>42</v>
      </c>
      <c r="E633" s="2">
        <v>3</v>
      </c>
      <c r="F633" s="7">
        <v>399</v>
      </c>
      <c r="G633" s="8">
        <v>0.05</v>
      </c>
      <c r="H633" s="9" t="str">
        <f>INDEX(Products!$B$2:$B$37, MATCH(D633, Products!$A$2:$A$37, 0))</f>
        <v>Wireless Earbuds Pro</v>
      </c>
      <c r="I633" t="str">
        <f>INDEX(Products!$C$2:$C$37, MATCH(D633, Products!$A$2:$A$37, 0))</f>
        <v>Electronics</v>
      </c>
      <c r="J633">
        <f>INDEX(Products!$E$2:$E$37, MATCH(D633, Products!$A$2:$A$37, 0))</f>
        <v>230</v>
      </c>
      <c r="K633" s="9">
        <f t="shared" si="36"/>
        <v>1137.1499999999999</v>
      </c>
      <c r="L633">
        <f t="shared" si="37"/>
        <v>690</v>
      </c>
      <c r="M633" s="9">
        <f t="shared" si="38"/>
        <v>447.14999999999986</v>
      </c>
      <c r="N633" t="str">
        <f t="shared" si="39"/>
        <v>Feb</v>
      </c>
    </row>
    <row r="634" spans="1:14" x14ac:dyDescent="0.3">
      <c r="A634" s="2" t="s">
        <v>700</v>
      </c>
      <c r="B634" s="6">
        <v>45711</v>
      </c>
      <c r="C634" s="2" t="s">
        <v>28</v>
      </c>
      <c r="D634" s="2" t="s">
        <v>65</v>
      </c>
      <c r="E634" s="2">
        <v>2</v>
      </c>
      <c r="F634" s="7">
        <v>129</v>
      </c>
      <c r="G634" s="8">
        <v>0</v>
      </c>
      <c r="H634" s="9" t="str">
        <f>INDEX(Products!$B$2:$B$37, MATCH(D634, Products!$A$2:$A$37, 0))</f>
        <v>Yoga Mat Premium</v>
      </c>
      <c r="I634" t="str">
        <f>INDEX(Products!$C$2:$C$37, MATCH(D634, Products!$A$2:$A$37, 0))</f>
        <v>Sports</v>
      </c>
      <c r="J634">
        <f>INDEX(Products!$E$2:$E$37, MATCH(D634, Products!$A$2:$A$37, 0))</f>
        <v>60</v>
      </c>
      <c r="K634" s="9">
        <f t="shared" si="36"/>
        <v>258</v>
      </c>
      <c r="L634">
        <f t="shared" si="37"/>
        <v>120</v>
      </c>
      <c r="M634" s="9">
        <f t="shared" si="38"/>
        <v>138</v>
      </c>
      <c r="N634" t="str">
        <f t="shared" si="39"/>
        <v>Feb</v>
      </c>
    </row>
    <row r="635" spans="1:14" x14ac:dyDescent="0.3">
      <c r="A635" s="2" t="s">
        <v>701</v>
      </c>
      <c r="B635" s="6">
        <v>45711</v>
      </c>
      <c r="C635" s="2" t="s">
        <v>28</v>
      </c>
      <c r="D635" s="2" t="s">
        <v>56</v>
      </c>
      <c r="E635" s="2">
        <v>1</v>
      </c>
      <c r="F635" s="7">
        <v>289</v>
      </c>
      <c r="G635" s="8">
        <v>0</v>
      </c>
      <c r="H635" s="9" t="str">
        <f>INDEX(Products!$B$2:$B$37, MATCH(D635, Products!$A$2:$A$37, 0))</f>
        <v>Ceramic Dinner Set</v>
      </c>
      <c r="I635" t="str">
        <f>INDEX(Products!$C$2:$C$37, MATCH(D635, Products!$A$2:$A$37, 0))</f>
        <v>Home &amp; Kitchen</v>
      </c>
      <c r="J635">
        <f>INDEX(Products!$E$2:$E$37, MATCH(D635, Products!$A$2:$A$37, 0))</f>
        <v>140</v>
      </c>
      <c r="K635" s="9">
        <f t="shared" si="36"/>
        <v>289</v>
      </c>
      <c r="L635">
        <f t="shared" si="37"/>
        <v>140</v>
      </c>
      <c r="M635" s="9">
        <f t="shared" si="38"/>
        <v>149</v>
      </c>
      <c r="N635" t="str">
        <f t="shared" si="39"/>
        <v>Feb</v>
      </c>
    </row>
    <row r="636" spans="1:14" x14ac:dyDescent="0.3">
      <c r="A636" s="2" t="s">
        <v>702</v>
      </c>
      <c r="B636" s="6">
        <v>45712</v>
      </c>
      <c r="C636" s="2" t="s">
        <v>41</v>
      </c>
      <c r="D636" s="2" t="s">
        <v>42</v>
      </c>
      <c r="E636" s="2">
        <v>2</v>
      </c>
      <c r="F636" s="7">
        <v>399</v>
      </c>
      <c r="G636" s="8">
        <v>0.2</v>
      </c>
      <c r="H636" s="9" t="str">
        <f>INDEX(Products!$B$2:$B$37, MATCH(D636, Products!$A$2:$A$37, 0))</f>
        <v>Wireless Earbuds Pro</v>
      </c>
      <c r="I636" t="str">
        <f>INDEX(Products!$C$2:$C$37, MATCH(D636, Products!$A$2:$A$37, 0))</f>
        <v>Electronics</v>
      </c>
      <c r="J636">
        <f>INDEX(Products!$E$2:$E$37, MATCH(D636, Products!$A$2:$A$37, 0))</f>
        <v>230</v>
      </c>
      <c r="K636" s="9">
        <f t="shared" si="36"/>
        <v>638.40000000000009</v>
      </c>
      <c r="L636">
        <f t="shared" si="37"/>
        <v>460</v>
      </c>
      <c r="M636" s="9">
        <f t="shared" si="38"/>
        <v>178.40000000000009</v>
      </c>
      <c r="N636" t="str">
        <f t="shared" si="39"/>
        <v>Feb</v>
      </c>
    </row>
    <row r="637" spans="1:14" x14ac:dyDescent="0.3">
      <c r="A637" s="2" t="s">
        <v>703</v>
      </c>
      <c r="B637" s="6">
        <v>45712</v>
      </c>
      <c r="C637" s="2" t="s">
        <v>48</v>
      </c>
      <c r="D637" s="2" t="s">
        <v>89</v>
      </c>
      <c r="E637" s="2">
        <v>3</v>
      </c>
      <c r="F637" s="7">
        <v>399</v>
      </c>
      <c r="G637" s="8">
        <v>0.1</v>
      </c>
      <c r="H637" s="9" t="str">
        <f>INDEX(Products!$B$2:$B$37, MATCH(D637, Products!$A$2:$A$37, 0))</f>
        <v>Men's Kandura Premium</v>
      </c>
      <c r="I637" t="str">
        <f>INDEX(Products!$C$2:$C$37, MATCH(D637, Products!$A$2:$A$37, 0))</f>
        <v>Fashion</v>
      </c>
      <c r="J637">
        <f>INDEX(Products!$E$2:$E$37, MATCH(D637, Products!$A$2:$A$37, 0))</f>
        <v>210</v>
      </c>
      <c r="K637" s="9">
        <f t="shared" si="36"/>
        <v>1077.3</v>
      </c>
      <c r="L637">
        <f t="shared" si="37"/>
        <v>630</v>
      </c>
      <c r="M637" s="9">
        <f t="shared" si="38"/>
        <v>447.29999999999995</v>
      </c>
      <c r="N637" t="str">
        <f t="shared" si="39"/>
        <v>Feb</v>
      </c>
    </row>
    <row r="638" spans="1:14" x14ac:dyDescent="0.3">
      <c r="A638" s="2" t="s">
        <v>704</v>
      </c>
      <c r="B638" s="6">
        <v>45712</v>
      </c>
      <c r="C638" s="2" t="s">
        <v>44</v>
      </c>
      <c r="D638" s="2" t="s">
        <v>80</v>
      </c>
      <c r="E638" s="2">
        <v>2</v>
      </c>
      <c r="F638" s="7">
        <v>149</v>
      </c>
      <c r="G638" s="8">
        <v>0</v>
      </c>
      <c r="H638" s="9" t="str">
        <f>INDEX(Products!$B$2:$B$37, MATCH(D638, Products!$A$2:$A$37, 0))</f>
        <v>Vitamin C Serum</v>
      </c>
      <c r="I638" t="str">
        <f>INDEX(Products!$C$2:$C$37, MATCH(D638, Products!$A$2:$A$37, 0))</f>
        <v>Beauty</v>
      </c>
      <c r="J638">
        <f>INDEX(Products!$E$2:$E$37, MATCH(D638, Products!$A$2:$A$37, 0))</f>
        <v>55</v>
      </c>
      <c r="K638" s="9">
        <f t="shared" si="36"/>
        <v>298</v>
      </c>
      <c r="L638">
        <f t="shared" si="37"/>
        <v>110</v>
      </c>
      <c r="M638" s="9">
        <f t="shared" si="38"/>
        <v>188</v>
      </c>
      <c r="N638" t="str">
        <f t="shared" si="39"/>
        <v>Feb</v>
      </c>
    </row>
    <row r="639" spans="1:14" x14ac:dyDescent="0.3">
      <c r="A639" s="2" t="s">
        <v>705</v>
      </c>
      <c r="B639" s="6">
        <v>45712</v>
      </c>
      <c r="C639" s="2" t="s">
        <v>44</v>
      </c>
      <c r="D639" s="2" t="s">
        <v>87</v>
      </c>
      <c r="E639" s="2">
        <v>2</v>
      </c>
      <c r="F639" s="7">
        <v>799</v>
      </c>
      <c r="G639" s="8">
        <v>0.2</v>
      </c>
      <c r="H639" s="9" t="str">
        <f>INDEX(Products!$B$2:$B$37, MATCH(D639, Products!$A$2:$A$37, 0))</f>
        <v>Adjustable Dumbbells</v>
      </c>
      <c r="I639" t="str">
        <f>INDEX(Products!$C$2:$C$37, MATCH(D639, Products!$A$2:$A$37, 0))</f>
        <v>Sports</v>
      </c>
      <c r="J639">
        <f>INDEX(Products!$E$2:$E$37, MATCH(D639, Products!$A$2:$A$37, 0))</f>
        <v>700</v>
      </c>
      <c r="K639" s="9">
        <f t="shared" si="36"/>
        <v>1278.4000000000001</v>
      </c>
      <c r="L639">
        <f t="shared" si="37"/>
        <v>1400</v>
      </c>
      <c r="M639" s="9">
        <f t="shared" si="38"/>
        <v>-121.59999999999991</v>
      </c>
      <c r="N639" t="str">
        <f t="shared" si="39"/>
        <v>Feb</v>
      </c>
    </row>
    <row r="640" spans="1:14" x14ac:dyDescent="0.3">
      <c r="A640" s="2" t="s">
        <v>706</v>
      </c>
      <c r="B640" s="6">
        <v>45712</v>
      </c>
      <c r="C640" s="2" t="s">
        <v>44</v>
      </c>
      <c r="D640" s="2" t="s">
        <v>131</v>
      </c>
      <c r="E640" s="2">
        <v>1</v>
      </c>
      <c r="F640" s="7">
        <v>899</v>
      </c>
      <c r="G640" s="8">
        <v>0</v>
      </c>
      <c r="H640" s="9" t="str">
        <f>INDEX(Products!$B$2:$B$37, MATCH(D640, Products!$A$2:$A$37, 0))</f>
        <v>4K Action Camera</v>
      </c>
      <c r="I640" t="str">
        <f>INDEX(Products!$C$2:$C$37, MATCH(D640, Products!$A$2:$A$37, 0))</f>
        <v>Electronics</v>
      </c>
      <c r="J640">
        <f>INDEX(Products!$E$2:$E$37, MATCH(D640, Products!$A$2:$A$37, 0))</f>
        <v>610</v>
      </c>
      <c r="K640" s="9">
        <f t="shared" si="36"/>
        <v>899</v>
      </c>
      <c r="L640">
        <f t="shared" si="37"/>
        <v>610</v>
      </c>
      <c r="M640" s="9">
        <f t="shared" si="38"/>
        <v>289</v>
      </c>
      <c r="N640" t="str">
        <f t="shared" si="39"/>
        <v>Feb</v>
      </c>
    </row>
    <row r="641" spans="1:14" x14ac:dyDescent="0.3">
      <c r="A641" s="2" t="s">
        <v>707</v>
      </c>
      <c r="B641" s="6">
        <v>45712</v>
      </c>
      <c r="C641" s="2" t="s">
        <v>28</v>
      </c>
      <c r="D641" s="2" t="s">
        <v>92</v>
      </c>
      <c r="E641" s="2">
        <v>2</v>
      </c>
      <c r="F641" s="7">
        <v>349</v>
      </c>
      <c r="G641" s="8">
        <v>0</v>
      </c>
      <c r="H641" s="9" t="str">
        <f>INDEX(Products!$B$2:$B$37, MATCH(D641, Products!$A$2:$A$37, 0))</f>
        <v>Non-stick Cookware Set</v>
      </c>
      <c r="I641" t="str">
        <f>INDEX(Products!$C$2:$C$37, MATCH(D641, Products!$A$2:$A$37, 0))</f>
        <v>Home &amp; Kitchen</v>
      </c>
      <c r="J641">
        <f>INDEX(Products!$E$2:$E$37, MATCH(D641, Products!$A$2:$A$37, 0))</f>
        <v>170</v>
      </c>
      <c r="K641" s="9">
        <f t="shared" si="36"/>
        <v>698</v>
      </c>
      <c r="L641">
        <f t="shared" si="37"/>
        <v>340</v>
      </c>
      <c r="M641" s="9">
        <f t="shared" si="38"/>
        <v>358</v>
      </c>
      <c r="N641" t="str">
        <f t="shared" si="39"/>
        <v>Feb</v>
      </c>
    </row>
    <row r="642" spans="1:14" x14ac:dyDescent="0.3">
      <c r="A642" s="2" t="s">
        <v>708</v>
      </c>
      <c r="B642" s="6">
        <v>45712</v>
      </c>
      <c r="C642" s="2" t="s">
        <v>44</v>
      </c>
      <c r="D642" s="2" t="s">
        <v>52</v>
      </c>
      <c r="E642" s="2">
        <v>2</v>
      </c>
      <c r="F642" s="7">
        <v>299</v>
      </c>
      <c r="G642" s="8">
        <v>0.1</v>
      </c>
      <c r="H642" s="9" t="str">
        <f>INDEX(Products!$B$2:$B$37, MATCH(D642, Products!$A$2:$A$37, 0))</f>
        <v>Hair Dryer Ionic</v>
      </c>
      <c r="I642" t="str">
        <f>INDEX(Products!$C$2:$C$37, MATCH(D642, Products!$A$2:$A$37, 0))</f>
        <v>Beauty</v>
      </c>
      <c r="J642">
        <f>INDEX(Products!$E$2:$E$37, MATCH(D642, Products!$A$2:$A$37, 0))</f>
        <v>240</v>
      </c>
      <c r="K642" s="9">
        <f t="shared" ref="K642:K705" si="40">E642*F642*(1-G642)</f>
        <v>538.20000000000005</v>
      </c>
      <c r="L642">
        <f t="shared" ref="L642:L705" si="41">E642*J642</f>
        <v>480</v>
      </c>
      <c r="M642" s="9">
        <f t="shared" ref="M642:M705" si="42">K642-L642</f>
        <v>58.200000000000045</v>
      </c>
      <c r="N642" t="str">
        <f t="shared" ref="N642:N705" si="43">TEXT(B642,"mmm")</f>
        <v>Feb</v>
      </c>
    </row>
    <row r="643" spans="1:14" x14ac:dyDescent="0.3">
      <c r="A643" s="2" t="s">
        <v>709</v>
      </c>
      <c r="B643" s="6">
        <v>45713</v>
      </c>
      <c r="C643" s="2" t="s">
        <v>41</v>
      </c>
      <c r="D643" s="2" t="s">
        <v>33</v>
      </c>
      <c r="E643" s="2">
        <v>4</v>
      </c>
      <c r="F643" s="7">
        <v>199</v>
      </c>
      <c r="G643" s="8">
        <v>0.1</v>
      </c>
      <c r="H643" s="9" t="str">
        <f>INDEX(Products!$B$2:$B$37, MATCH(D643, Products!$A$2:$A$37, 0))</f>
        <v>Fitness Band Lite</v>
      </c>
      <c r="I643" t="str">
        <f>INDEX(Products!$C$2:$C$37, MATCH(D643, Products!$A$2:$A$37, 0))</f>
        <v>Electronics</v>
      </c>
      <c r="J643">
        <f>INDEX(Products!$E$2:$E$37, MATCH(D643, Products!$A$2:$A$37, 0))</f>
        <v>175</v>
      </c>
      <c r="K643" s="9">
        <f t="shared" si="40"/>
        <v>716.4</v>
      </c>
      <c r="L643">
        <f t="shared" si="41"/>
        <v>700</v>
      </c>
      <c r="M643" s="9">
        <f t="shared" si="42"/>
        <v>16.399999999999977</v>
      </c>
      <c r="N643" t="str">
        <f t="shared" si="43"/>
        <v>Feb</v>
      </c>
    </row>
    <row r="644" spans="1:14" x14ac:dyDescent="0.3">
      <c r="A644" s="2" t="s">
        <v>710</v>
      </c>
      <c r="B644" s="6">
        <v>45713</v>
      </c>
      <c r="C644" s="2" t="s">
        <v>28</v>
      </c>
      <c r="D644" s="2" t="s">
        <v>92</v>
      </c>
      <c r="E644" s="2">
        <v>1</v>
      </c>
      <c r="F644" s="7">
        <v>349</v>
      </c>
      <c r="G644" s="8">
        <v>0.05</v>
      </c>
      <c r="H644" s="9" t="str">
        <f>INDEX(Products!$B$2:$B$37, MATCH(D644, Products!$A$2:$A$37, 0))</f>
        <v>Non-stick Cookware Set</v>
      </c>
      <c r="I644" t="str">
        <f>INDEX(Products!$C$2:$C$37, MATCH(D644, Products!$A$2:$A$37, 0))</f>
        <v>Home &amp; Kitchen</v>
      </c>
      <c r="J644">
        <f>INDEX(Products!$E$2:$E$37, MATCH(D644, Products!$A$2:$A$37, 0))</f>
        <v>170</v>
      </c>
      <c r="K644" s="9">
        <f t="shared" si="40"/>
        <v>331.55</v>
      </c>
      <c r="L644">
        <f t="shared" si="41"/>
        <v>170</v>
      </c>
      <c r="M644" s="9">
        <f t="shared" si="42"/>
        <v>161.55000000000001</v>
      </c>
      <c r="N644" t="str">
        <f t="shared" si="43"/>
        <v>Feb</v>
      </c>
    </row>
    <row r="645" spans="1:14" x14ac:dyDescent="0.3">
      <c r="A645" s="2" t="s">
        <v>711</v>
      </c>
      <c r="B645" s="6">
        <v>45713</v>
      </c>
      <c r="C645" s="2" t="s">
        <v>41</v>
      </c>
      <c r="D645" s="2" t="s">
        <v>89</v>
      </c>
      <c r="E645" s="2">
        <v>3</v>
      </c>
      <c r="F645" s="7">
        <v>399</v>
      </c>
      <c r="G645" s="8">
        <v>0.15</v>
      </c>
      <c r="H645" s="9" t="str">
        <f>INDEX(Products!$B$2:$B$37, MATCH(D645, Products!$A$2:$A$37, 0))</f>
        <v>Men's Kandura Premium</v>
      </c>
      <c r="I645" t="str">
        <f>INDEX(Products!$C$2:$C$37, MATCH(D645, Products!$A$2:$A$37, 0))</f>
        <v>Fashion</v>
      </c>
      <c r="J645">
        <f>INDEX(Products!$E$2:$E$37, MATCH(D645, Products!$A$2:$A$37, 0))</f>
        <v>210</v>
      </c>
      <c r="K645" s="9">
        <f t="shared" si="40"/>
        <v>1017.4499999999999</v>
      </c>
      <c r="L645">
        <f t="shared" si="41"/>
        <v>630</v>
      </c>
      <c r="M645" s="9">
        <f t="shared" si="42"/>
        <v>387.44999999999993</v>
      </c>
      <c r="N645" t="str">
        <f t="shared" si="43"/>
        <v>Feb</v>
      </c>
    </row>
    <row r="646" spans="1:14" x14ac:dyDescent="0.3">
      <c r="A646" s="2" t="s">
        <v>712</v>
      </c>
      <c r="B646" s="6">
        <v>45713</v>
      </c>
      <c r="C646" s="2" t="s">
        <v>31</v>
      </c>
      <c r="D646" s="2" t="s">
        <v>129</v>
      </c>
      <c r="E646" s="2">
        <v>1</v>
      </c>
      <c r="F646" s="7">
        <v>149</v>
      </c>
      <c r="G646" s="8">
        <v>0.3</v>
      </c>
      <c r="H646" s="9" t="str">
        <f>INDEX(Products!$B$2:$B$37, MATCH(D646, Products!$A$2:$A$37, 0))</f>
        <v>Power Bank 20000mAh</v>
      </c>
      <c r="I646" t="str">
        <f>INDEX(Products!$C$2:$C$37, MATCH(D646, Products!$A$2:$A$37, 0))</f>
        <v>Electronics</v>
      </c>
      <c r="J646">
        <f>INDEX(Products!$E$2:$E$37, MATCH(D646, Products!$A$2:$A$37, 0))</f>
        <v>70</v>
      </c>
      <c r="K646" s="9">
        <f t="shared" si="40"/>
        <v>104.3</v>
      </c>
      <c r="L646">
        <f t="shared" si="41"/>
        <v>70</v>
      </c>
      <c r="M646" s="9">
        <f t="shared" si="42"/>
        <v>34.299999999999997</v>
      </c>
      <c r="N646" t="str">
        <f t="shared" si="43"/>
        <v>Feb</v>
      </c>
    </row>
    <row r="647" spans="1:14" x14ac:dyDescent="0.3">
      <c r="A647" s="2" t="s">
        <v>713</v>
      </c>
      <c r="B647" s="6">
        <v>45713</v>
      </c>
      <c r="C647" s="2" t="s">
        <v>31</v>
      </c>
      <c r="D647" s="2" t="s">
        <v>49</v>
      </c>
      <c r="E647" s="2">
        <v>2</v>
      </c>
      <c r="F647" s="7">
        <v>149</v>
      </c>
      <c r="G647" s="8">
        <v>0.05</v>
      </c>
      <c r="H647" s="9" t="str">
        <f>INDEX(Products!$B$2:$B$37, MATCH(D647, Products!$A$2:$A$37, 0))</f>
        <v>Kids' Sneakers</v>
      </c>
      <c r="I647" t="str">
        <f>INDEX(Products!$C$2:$C$37, MATCH(D647, Products!$A$2:$A$37, 0))</f>
        <v>Fashion</v>
      </c>
      <c r="J647">
        <f>INDEX(Products!$E$2:$E$37, MATCH(D647, Products!$A$2:$A$37, 0))</f>
        <v>80</v>
      </c>
      <c r="K647" s="9">
        <f t="shared" si="40"/>
        <v>283.09999999999997</v>
      </c>
      <c r="L647">
        <f t="shared" si="41"/>
        <v>160</v>
      </c>
      <c r="M647" s="9">
        <f t="shared" si="42"/>
        <v>123.09999999999997</v>
      </c>
      <c r="N647" t="str">
        <f t="shared" si="43"/>
        <v>Feb</v>
      </c>
    </row>
    <row r="648" spans="1:14" x14ac:dyDescent="0.3">
      <c r="A648" s="2" t="s">
        <v>714</v>
      </c>
      <c r="B648" s="6">
        <v>45713</v>
      </c>
      <c r="C648" s="2" t="s">
        <v>41</v>
      </c>
      <c r="D648" s="2" t="s">
        <v>39</v>
      </c>
      <c r="E648" s="2">
        <v>2</v>
      </c>
      <c r="F648" s="7">
        <v>199</v>
      </c>
      <c r="G648" s="8">
        <v>0.05</v>
      </c>
      <c r="H648" s="9" t="str">
        <f>INDEX(Products!$B$2:$B$37, MATCH(D648, Products!$A$2:$A$37, 0))</f>
        <v>Bakhoor Gift Set</v>
      </c>
      <c r="I648" t="str">
        <f>INDEX(Products!$C$2:$C$37, MATCH(D648, Products!$A$2:$A$37, 0))</f>
        <v>Beauty</v>
      </c>
      <c r="J648">
        <f>INDEX(Products!$E$2:$E$37, MATCH(D648, Products!$A$2:$A$37, 0))</f>
        <v>90</v>
      </c>
      <c r="K648" s="9">
        <f t="shared" si="40"/>
        <v>378.09999999999997</v>
      </c>
      <c r="L648">
        <f t="shared" si="41"/>
        <v>180</v>
      </c>
      <c r="M648" s="9">
        <f t="shared" si="42"/>
        <v>198.09999999999997</v>
      </c>
      <c r="N648" t="str">
        <f t="shared" si="43"/>
        <v>Feb</v>
      </c>
    </row>
    <row r="649" spans="1:14" x14ac:dyDescent="0.3">
      <c r="A649" s="2" t="s">
        <v>715</v>
      </c>
      <c r="B649" s="6">
        <v>45713</v>
      </c>
      <c r="C649" s="2" t="s">
        <v>28</v>
      </c>
      <c r="D649" s="2" t="s">
        <v>58</v>
      </c>
      <c r="E649" s="2">
        <v>1</v>
      </c>
      <c r="F649" s="7">
        <v>459</v>
      </c>
      <c r="G649" s="8">
        <v>0</v>
      </c>
      <c r="H649" s="9" t="str">
        <f>INDEX(Products!$B$2:$B$37, MATCH(D649, Products!$A$2:$A$37, 0))</f>
        <v>Women's Abaya Classic</v>
      </c>
      <c r="I649" t="str">
        <f>INDEX(Products!$C$2:$C$37, MATCH(D649, Products!$A$2:$A$37, 0))</f>
        <v>Fashion</v>
      </c>
      <c r="J649">
        <f>INDEX(Products!$E$2:$E$37, MATCH(D649, Products!$A$2:$A$37, 0))</f>
        <v>190</v>
      </c>
      <c r="K649" s="9">
        <f t="shared" si="40"/>
        <v>459</v>
      </c>
      <c r="L649">
        <f t="shared" si="41"/>
        <v>190</v>
      </c>
      <c r="M649" s="9">
        <f t="shared" si="42"/>
        <v>269</v>
      </c>
      <c r="N649" t="str">
        <f t="shared" si="43"/>
        <v>Feb</v>
      </c>
    </row>
    <row r="650" spans="1:14" x14ac:dyDescent="0.3">
      <c r="A650" s="2" t="s">
        <v>716</v>
      </c>
      <c r="B650" s="6">
        <v>45713</v>
      </c>
      <c r="C650" s="2" t="s">
        <v>41</v>
      </c>
      <c r="D650" s="2" t="s">
        <v>60</v>
      </c>
      <c r="E650" s="2">
        <v>1</v>
      </c>
      <c r="F650" s="7">
        <v>99</v>
      </c>
      <c r="G650" s="8">
        <v>0.15</v>
      </c>
      <c r="H650" s="9" t="str">
        <f>INDEX(Products!$B$2:$B$37, MATCH(D650, Products!$A$2:$A$37, 0))</f>
        <v>Football Size 5</v>
      </c>
      <c r="I650" t="str">
        <f>INDEX(Products!$C$2:$C$37, MATCH(D650, Products!$A$2:$A$37, 0))</f>
        <v>Sports</v>
      </c>
      <c r="J650">
        <f>INDEX(Products!$E$2:$E$37, MATCH(D650, Products!$A$2:$A$37, 0))</f>
        <v>45</v>
      </c>
      <c r="K650" s="9">
        <f t="shared" si="40"/>
        <v>84.149999999999991</v>
      </c>
      <c r="L650">
        <f t="shared" si="41"/>
        <v>45</v>
      </c>
      <c r="M650" s="9">
        <f t="shared" si="42"/>
        <v>39.149999999999991</v>
      </c>
      <c r="N650" t="str">
        <f t="shared" si="43"/>
        <v>Feb</v>
      </c>
    </row>
    <row r="651" spans="1:14" x14ac:dyDescent="0.3">
      <c r="A651" s="2" t="s">
        <v>717</v>
      </c>
      <c r="B651" s="6">
        <v>45713</v>
      </c>
      <c r="C651" s="2" t="s">
        <v>28</v>
      </c>
      <c r="D651" s="2" t="s">
        <v>129</v>
      </c>
      <c r="E651" s="2">
        <v>2</v>
      </c>
      <c r="F651" s="7">
        <v>149</v>
      </c>
      <c r="G651" s="8">
        <v>0</v>
      </c>
      <c r="H651" s="9" t="str">
        <f>INDEX(Products!$B$2:$B$37, MATCH(D651, Products!$A$2:$A$37, 0))</f>
        <v>Power Bank 20000mAh</v>
      </c>
      <c r="I651" t="str">
        <f>INDEX(Products!$C$2:$C$37, MATCH(D651, Products!$A$2:$A$37, 0))</f>
        <v>Electronics</v>
      </c>
      <c r="J651">
        <f>INDEX(Products!$E$2:$E$37, MATCH(D651, Products!$A$2:$A$37, 0))</f>
        <v>70</v>
      </c>
      <c r="K651" s="9">
        <f t="shared" si="40"/>
        <v>298</v>
      </c>
      <c r="L651">
        <f t="shared" si="41"/>
        <v>140</v>
      </c>
      <c r="M651" s="9">
        <f t="shared" si="42"/>
        <v>158</v>
      </c>
      <c r="N651" t="str">
        <f t="shared" si="43"/>
        <v>Feb</v>
      </c>
    </row>
    <row r="652" spans="1:14" x14ac:dyDescent="0.3">
      <c r="A652" s="2" t="s">
        <v>718</v>
      </c>
      <c r="B652" s="6">
        <v>45713</v>
      </c>
      <c r="C652" s="2" t="s">
        <v>41</v>
      </c>
      <c r="D652" s="2" t="s">
        <v>52</v>
      </c>
      <c r="E652" s="2">
        <v>1</v>
      </c>
      <c r="F652" s="7">
        <v>299</v>
      </c>
      <c r="G652" s="8">
        <v>0.25</v>
      </c>
      <c r="H652" s="9" t="str">
        <f>INDEX(Products!$B$2:$B$37, MATCH(D652, Products!$A$2:$A$37, 0))</f>
        <v>Hair Dryer Ionic</v>
      </c>
      <c r="I652" t="str">
        <f>INDEX(Products!$C$2:$C$37, MATCH(D652, Products!$A$2:$A$37, 0))</f>
        <v>Beauty</v>
      </c>
      <c r="J652">
        <f>INDEX(Products!$E$2:$E$37, MATCH(D652, Products!$A$2:$A$37, 0))</f>
        <v>240</v>
      </c>
      <c r="K652" s="9">
        <f t="shared" si="40"/>
        <v>224.25</v>
      </c>
      <c r="L652">
        <f t="shared" si="41"/>
        <v>240</v>
      </c>
      <c r="M652" s="9">
        <f t="shared" si="42"/>
        <v>-15.75</v>
      </c>
      <c r="N652" t="str">
        <f t="shared" si="43"/>
        <v>Feb</v>
      </c>
    </row>
    <row r="653" spans="1:14" x14ac:dyDescent="0.3">
      <c r="A653" s="2" t="s">
        <v>719</v>
      </c>
      <c r="B653" s="6">
        <v>45714</v>
      </c>
      <c r="C653" s="2" t="s">
        <v>41</v>
      </c>
      <c r="D653" s="2" t="s">
        <v>70</v>
      </c>
      <c r="E653" s="2">
        <v>2</v>
      </c>
      <c r="F653" s="7">
        <v>429</v>
      </c>
      <c r="G653" s="8">
        <v>0</v>
      </c>
      <c r="H653" s="9" t="str">
        <f>INDEX(Products!$B$2:$B$37, MATCH(D653, Products!$A$2:$A$37, 0))</f>
        <v>Running Shoes Elite</v>
      </c>
      <c r="I653" t="str">
        <f>INDEX(Products!$C$2:$C$37, MATCH(D653, Products!$A$2:$A$37, 0))</f>
        <v>Fashion</v>
      </c>
      <c r="J653">
        <f>INDEX(Products!$E$2:$E$37, MATCH(D653, Products!$A$2:$A$37, 0))</f>
        <v>300</v>
      </c>
      <c r="K653" s="9">
        <f t="shared" si="40"/>
        <v>858</v>
      </c>
      <c r="L653">
        <f t="shared" si="41"/>
        <v>600</v>
      </c>
      <c r="M653" s="9">
        <f t="shared" si="42"/>
        <v>258</v>
      </c>
      <c r="N653" t="str">
        <f t="shared" si="43"/>
        <v>Feb</v>
      </c>
    </row>
    <row r="654" spans="1:14" x14ac:dyDescent="0.3">
      <c r="A654" s="2" t="s">
        <v>720</v>
      </c>
      <c r="B654" s="6">
        <v>45714</v>
      </c>
      <c r="C654" s="2" t="s">
        <v>28</v>
      </c>
      <c r="D654" s="2" t="s">
        <v>78</v>
      </c>
      <c r="E654" s="2">
        <v>1</v>
      </c>
      <c r="F654" s="7">
        <v>499</v>
      </c>
      <c r="G654" s="8">
        <v>0</v>
      </c>
      <c r="H654" s="9" t="str">
        <f>INDEX(Products!$B$2:$B$37, MATCH(D654, Products!$A$2:$A$37, 0))</f>
        <v>Air Fryer 5L</v>
      </c>
      <c r="I654" t="str">
        <f>INDEX(Products!$C$2:$C$37, MATCH(D654, Products!$A$2:$A$37, 0))</f>
        <v>Home &amp; Kitchen</v>
      </c>
      <c r="J654">
        <f>INDEX(Products!$E$2:$E$37, MATCH(D654, Products!$A$2:$A$37, 0))</f>
        <v>290</v>
      </c>
      <c r="K654" s="9">
        <f t="shared" si="40"/>
        <v>499</v>
      </c>
      <c r="L654">
        <f t="shared" si="41"/>
        <v>290</v>
      </c>
      <c r="M654" s="9">
        <f t="shared" si="42"/>
        <v>209</v>
      </c>
      <c r="N654" t="str">
        <f t="shared" si="43"/>
        <v>Feb</v>
      </c>
    </row>
    <row r="655" spans="1:14" x14ac:dyDescent="0.3">
      <c r="A655" s="2" t="s">
        <v>721</v>
      </c>
      <c r="B655" s="6">
        <v>45714</v>
      </c>
      <c r="C655" s="2" t="s">
        <v>28</v>
      </c>
      <c r="D655" s="2" t="s">
        <v>129</v>
      </c>
      <c r="E655" s="2">
        <v>1</v>
      </c>
      <c r="F655" s="7">
        <v>149</v>
      </c>
      <c r="G655" s="8">
        <v>0.05</v>
      </c>
      <c r="H655" s="9" t="str">
        <f>INDEX(Products!$B$2:$B$37, MATCH(D655, Products!$A$2:$A$37, 0))</f>
        <v>Power Bank 20000mAh</v>
      </c>
      <c r="I655" t="str">
        <f>INDEX(Products!$C$2:$C$37, MATCH(D655, Products!$A$2:$A$37, 0))</f>
        <v>Electronics</v>
      </c>
      <c r="J655">
        <f>INDEX(Products!$E$2:$E$37, MATCH(D655, Products!$A$2:$A$37, 0))</f>
        <v>70</v>
      </c>
      <c r="K655" s="9">
        <f t="shared" si="40"/>
        <v>141.54999999999998</v>
      </c>
      <c r="L655">
        <f t="shared" si="41"/>
        <v>70</v>
      </c>
      <c r="M655" s="9">
        <f t="shared" si="42"/>
        <v>71.549999999999983</v>
      </c>
      <c r="N655" t="str">
        <f t="shared" si="43"/>
        <v>Feb</v>
      </c>
    </row>
    <row r="656" spans="1:14" x14ac:dyDescent="0.3">
      <c r="A656" s="2" t="s">
        <v>722</v>
      </c>
      <c r="B656" s="6">
        <v>45714</v>
      </c>
      <c r="C656" s="2" t="s">
        <v>28</v>
      </c>
      <c r="D656" s="2" t="s">
        <v>37</v>
      </c>
      <c r="E656" s="2">
        <v>1</v>
      </c>
      <c r="F656" s="7">
        <v>249</v>
      </c>
      <c r="G656" s="8">
        <v>0.1</v>
      </c>
      <c r="H656" s="9" t="str">
        <f>INDEX(Products!$B$2:$B$37, MATCH(D656, Products!$A$2:$A$37, 0))</f>
        <v>Sunglasses Polarised</v>
      </c>
      <c r="I656" t="str">
        <f>INDEX(Products!$C$2:$C$37, MATCH(D656, Products!$A$2:$A$37, 0))</f>
        <v>Fashion</v>
      </c>
      <c r="J656">
        <f>INDEX(Products!$E$2:$E$37, MATCH(D656, Products!$A$2:$A$37, 0))</f>
        <v>95</v>
      </c>
      <c r="K656" s="9">
        <f t="shared" si="40"/>
        <v>224.1</v>
      </c>
      <c r="L656">
        <f t="shared" si="41"/>
        <v>95</v>
      </c>
      <c r="M656" s="9">
        <f t="shared" si="42"/>
        <v>129.1</v>
      </c>
      <c r="N656" t="str">
        <f t="shared" si="43"/>
        <v>Feb</v>
      </c>
    </row>
    <row r="657" spans="1:14" x14ac:dyDescent="0.3">
      <c r="A657" s="2" t="s">
        <v>723</v>
      </c>
      <c r="B657" s="6">
        <v>45714</v>
      </c>
      <c r="C657" s="2" t="s">
        <v>31</v>
      </c>
      <c r="D657" s="2" t="s">
        <v>39</v>
      </c>
      <c r="E657" s="2">
        <v>2</v>
      </c>
      <c r="F657" s="7">
        <v>199</v>
      </c>
      <c r="G657" s="8">
        <v>0.15</v>
      </c>
      <c r="H657" s="9" t="str">
        <f>INDEX(Products!$B$2:$B$37, MATCH(D657, Products!$A$2:$A$37, 0))</f>
        <v>Bakhoor Gift Set</v>
      </c>
      <c r="I657" t="str">
        <f>INDEX(Products!$C$2:$C$37, MATCH(D657, Products!$A$2:$A$37, 0))</f>
        <v>Beauty</v>
      </c>
      <c r="J657">
        <f>INDEX(Products!$E$2:$E$37, MATCH(D657, Products!$A$2:$A$37, 0))</f>
        <v>90</v>
      </c>
      <c r="K657" s="9">
        <f t="shared" si="40"/>
        <v>338.3</v>
      </c>
      <c r="L657">
        <f t="shared" si="41"/>
        <v>180</v>
      </c>
      <c r="M657" s="9">
        <f t="shared" si="42"/>
        <v>158.30000000000001</v>
      </c>
      <c r="N657" t="str">
        <f t="shared" si="43"/>
        <v>Feb</v>
      </c>
    </row>
    <row r="658" spans="1:14" x14ac:dyDescent="0.3">
      <c r="A658" s="2" t="s">
        <v>724</v>
      </c>
      <c r="B658" s="6">
        <v>45714</v>
      </c>
      <c r="C658" s="2" t="s">
        <v>44</v>
      </c>
      <c r="D658" s="2" t="s">
        <v>35</v>
      </c>
      <c r="E658" s="2">
        <v>2</v>
      </c>
      <c r="F658" s="7">
        <v>179</v>
      </c>
      <c r="G658" s="8">
        <v>0</v>
      </c>
      <c r="H658" s="9" t="str">
        <f>INDEX(Products!$B$2:$B$37, MATCH(D658, Products!$A$2:$A$37, 0))</f>
        <v>Men's Linen Shirt</v>
      </c>
      <c r="I658" t="str">
        <f>INDEX(Products!$C$2:$C$37, MATCH(D658, Products!$A$2:$A$37, 0))</f>
        <v>Fashion</v>
      </c>
      <c r="J658">
        <f>INDEX(Products!$E$2:$E$37, MATCH(D658, Products!$A$2:$A$37, 0))</f>
        <v>70</v>
      </c>
      <c r="K658" s="9">
        <f t="shared" si="40"/>
        <v>358</v>
      </c>
      <c r="L658">
        <f t="shared" si="41"/>
        <v>140</v>
      </c>
      <c r="M658" s="9">
        <f t="shared" si="42"/>
        <v>218</v>
      </c>
      <c r="N658" t="str">
        <f t="shared" si="43"/>
        <v>Feb</v>
      </c>
    </row>
    <row r="659" spans="1:14" x14ac:dyDescent="0.3">
      <c r="A659" s="2" t="s">
        <v>725</v>
      </c>
      <c r="B659" s="6">
        <v>45714</v>
      </c>
      <c r="C659" s="2" t="s">
        <v>48</v>
      </c>
      <c r="D659" s="2" t="s">
        <v>80</v>
      </c>
      <c r="E659" s="2">
        <v>4</v>
      </c>
      <c r="F659" s="7">
        <v>149</v>
      </c>
      <c r="G659" s="8">
        <v>0</v>
      </c>
      <c r="H659" s="9" t="str">
        <f>INDEX(Products!$B$2:$B$37, MATCH(D659, Products!$A$2:$A$37, 0))</f>
        <v>Vitamin C Serum</v>
      </c>
      <c r="I659" t="str">
        <f>INDEX(Products!$C$2:$C$37, MATCH(D659, Products!$A$2:$A$37, 0))</f>
        <v>Beauty</v>
      </c>
      <c r="J659">
        <f>INDEX(Products!$E$2:$E$37, MATCH(D659, Products!$A$2:$A$37, 0))</f>
        <v>55</v>
      </c>
      <c r="K659" s="9">
        <f t="shared" si="40"/>
        <v>596</v>
      </c>
      <c r="L659">
        <f t="shared" si="41"/>
        <v>220</v>
      </c>
      <c r="M659" s="9">
        <f t="shared" si="42"/>
        <v>376</v>
      </c>
      <c r="N659" t="str">
        <f t="shared" si="43"/>
        <v>Feb</v>
      </c>
    </row>
    <row r="660" spans="1:14" x14ac:dyDescent="0.3">
      <c r="A660" s="2" t="s">
        <v>726</v>
      </c>
      <c r="B660" s="6">
        <v>45714</v>
      </c>
      <c r="C660" s="2" t="s">
        <v>44</v>
      </c>
      <c r="D660" s="2" t="s">
        <v>103</v>
      </c>
      <c r="E660" s="2">
        <v>1</v>
      </c>
      <c r="F660" s="7">
        <v>89</v>
      </c>
      <c r="G660" s="8">
        <v>0.05</v>
      </c>
      <c r="H660" s="9" t="str">
        <f>INDEX(Products!$B$2:$B$37, MATCH(D660, Products!$A$2:$A$37, 0))</f>
        <v>Sunscreen SPF50</v>
      </c>
      <c r="I660" t="str">
        <f>INDEX(Products!$C$2:$C$37, MATCH(D660, Products!$A$2:$A$37, 0))</f>
        <v>Beauty</v>
      </c>
      <c r="J660">
        <f>INDEX(Products!$E$2:$E$37, MATCH(D660, Products!$A$2:$A$37, 0))</f>
        <v>40</v>
      </c>
      <c r="K660" s="9">
        <f t="shared" si="40"/>
        <v>84.55</v>
      </c>
      <c r="L660">
        <f t="shared" si="41"/>
        <v>40</v>
      </c>
      <c r="M660" s="9">
        <f t="shared" si="42"/>
        <v>44.55</v>
      </c>
      <c r="N660" t="str">
        <f t="shared" si="43"/>
        <v>Feb</v>
      </c>
    </row>
    <row r="661" spans="1:14" x14ac:dyDescent="0.3">
      <c r="A661" s="2" t="s">
        <v>727</v>
      </c>
      <c r="B661" s="6">
        <v>45714</v>
      </c>
      <c r="C661" s="2" t="s">
        <v>44</v>
      </c>
      <c r="D661" s="2" t="s">
        <v>78</v>
      </c>
      <c r="E661" s="2">
        <v>1</v>
      </c>
      <c r="F661" s="7">
        <v>499</v>
      </c>
      <c r="G661" s="8">
        <v>0.2</v>
      </c>
      <c r="H661" s="9" t="str">
        <f>INDEX(Products!$B$2:$B$37, MATCH(D661, Products!$A$2:$A$37, 0))</f>
        <v>Air Fryer 5L</v>
      </c>
      <c r="I661" t="str">
        <f>INDEX(Products!$C$2:$C$37, MATCH(D661, Products!$A$2:$A$37, 0))</f>
        <v>Home &amp; Kitchen</v>
      </c>
      <c r="J661">
        <f>INDEX(Products!$E$2:$E$37, MATCH(D661, Products!$A$2:$A$37, 0))</f>
        <v>290</v>
      </c>
      <c r="K661" s="9">
        <f t="shared" si="40"/>
        <v>399.20000000000005</v>
      </c>
      <c r="L661">
        <f t="shared" si="41"/>
        <v>290</v>
      </c>
      <c r="M661" s="9">
        <f t="shared" si="42"/>
        <v>109.20000000000005</v>
      </c>
      <c r="N661" t="str">
        <f t="shared" si="43"/>
        <v>Feb</v>
      </c>
    </row>
    <row r="662" spans="1:14" x14ac:dyDescent="0.3">
      <c r="A662" s="2" t="s">
        <v>728</v>
      </c>
      <c r="B662" s="6">
        <v>45714</v>
      </c>
      <c r="C662" s="2" t="s">
        <v>48</v>
      </c>
      <c r="D662" s="2" t="s">
        <v>115</v>
      </c>
      <c r="E662" s="2">
        <v>1</v>
      </c>
      <c r="F662" s="7">
        <v>129</v>
      </c>
      <c r="G662" s="8">
        <v>0.2</v>
      </c>
      <c r="H662" s="9" t="str">
        <f>INDEX(Products!$B$2:$B$37, MATCH(D662, Products!$A$2:$A$37, 0))</f>
        <v>Electric Kettle</v>
      </c>
      <c r="I662" t="str">
        <f>INDEX(Products!$C$2:$C$37, MATCH(D662, Products!$A$2:$A$37, 0))</f>
        <v>Home &amp; Kitchen</v>
      </c>
      <c r="J662">
        <f>INDEX(Products!$E$2:$E$37, MATCH(D662, Products!$A$2:$A$37, 0))</f>
        <v>60</v>
      </c>
      <c r="K662" s="9">
        <f t="shared" si="40"/>
        <v>103.2</v>
      </c>
      <c r="L662">
        <f t="shared" si="41"/>
        <v>60</v>
      </c>
      <c r="M662" s="9">
        <f t="shared" si="42"/>
        <v>43.2</v>
      </c>
      <c r="N662" t="str">
        <f t="shared" si="43"/>
        <v>Feb</v>
      </c>
    </row>
    <row r="663" spans="1:14" x14ac:dyDescent="0.3">
      <c r="A663" s="2" t="s">
        <v>729</v>
      </c>
      <c r="B663" s="6">
        <v>45714</v>
      </c>
      <c r="C663" s="2" t="s">
        <v>41</v>
      </c>
      <c r="D663" s="2" t="s">
        <v>52</v>
      </c>
      <c r="E663" s="2">
        <v>1</v>
      </c>
      <c r="F663" s="7">
        <v>299</v>
      </c>
      <c r="G663" s="8">
        <v>0.2</v>
      </c>
      <c r="H663" s="9" t="str">
        <f>INDEX(Products!$B$2:$B$37, MATCH(D663, Products!$A$2:$A$37, 0))</f>
        <v>Hair Dryer Ionic</v>
      </c>
      <c r="I663" t="str">
        <f>INDEX(Products!$C$2:$C$37, MATCH(D663, Products!$A$2:$A$37, 0))</f>
        <v>Beauty</v>
      </c>
      <c r="J663">
        <f>INDEX(Products!$E$2:$E$37, MATCH(D663, Products!$A$2:$A$37, 0))</f>
        <v>240</v>
      </c>
      <c r="K663" s="9">
        <f t="shared" si="40"/>
        <v>239.20000000000002</v>
      </c>
      <c r="L663">
        <f t="shared" si="41"/>
        <v>240</v>
      </c>
      <c r="M663" s="9">
        <f t="shared" si="42"/>
        <v>-0.79999999999998295</v>
      </c>
      <c r="N663" t="str">
        <f t="shared" si="43"/>
        <v>Feb</v>
      </c>
    </row>
    <row r="664" spans="1:14" x14ac:dyDescent="0.3">
      <c r="A664" s="2" t="s">
        <v>730</v>
      </c>
      <c r="B664" s="6">
        <v>45714</v>
      </c>
      <c r="C664" s="2" t="s">
        <v>44</v>
      </c>
      <c r="D664" s="2" t="s">
        <v>29</v>
      </c>
      <c r="E664" s="2">
        <v>1</v>
      </c>
      <c r="F664" s="7">
        <v>229</v>
      </c>
      <c r="G664" s="8">
        <v>0</v>
      </c>
      <c r="H664" s="9" t="str">
        <f>INDEX(Products!$B$2:$B$37, MATCH(D664, Products!$A$2:$A$37, 0))</f>
        <v>Women's Summer Dress</v>
      </c>
      <c r="I664" t="str">
        <f>INDEX(Products!$C$2:$C$37, MATCH(D664, Products!$A$2:$A$37, 0))</f>
        <v>Fashion</v>
      </c>
      <c r="J664">
        <f>INDEX(Products!$E$2:$E$37, MATCH(D664, Products!$A$2:$A$37, 0))</f>
        <v>120</v>
      </c>
      <c r="K664" s="9">
        <f t="shared" si="40"/>
        <v>229</v>
      </c>
      <c r="L664">
        <f t="shared" si="41"/>
        <v>120</v>
      </c>
      <c r="M664" s="9">
        <f t="shared" si="42"/>
        <v>109</v>
      </c>
      <c r="N664" t="str">
        <f t="shared" si="43"/>
        <v>Feb</v>
      </c>
    </row>
    <row r="665" spans="1:14" x14ac:dyDescent="0.3">
      <c r="A665" s="2" t="s">
        <v>731</v>
      </c>
      <c r="B665" s="6">
        <v>45714</v>
      </c>
      <c r="C665" s="2" t="s">
        <v>41</v>
      </c>
      <c r="D665" s="2" t="s">
        <v>78</v>
      </c>
      <c r="E665" s="2">
        <v>2</v>
      </c>
      <c r="F665" s="7">
        <v>499</v>
      </c>
      <c r="G665" s="8">
        <v>0</v>
      </c>
      <c r="H665" s="9" t="str">
        <f>INDEX(Products!$B$2:$B$37, MATCH(D665, Products!$A$2:$A$37, 0))</f>
        <v>Air Fryer 5L</v>
      </c>
      <c r="I665" t="str">
        <f>INDEX(Products!$C$2:$C$37, MATCH(D665, Products!$A$2:$A$37, 0))</f>
        <v>Home &amp; Kitchen</v>
      </c>
      <c r="J665">
        <f>INDEX(Products!$E$2:$E$37, MATCH(D665, Products!$A$2:$A$37, 0))</f>
        <v>290</v>
      </c>
      <c r="K665" s="9">
        <f t="shared" si="40"/>
        <v>998</v>
      </c>
      <c r="L665">
        <f t="shared" si="41"/>
        <v>580</v>
      </c>
      <c r="M665" s="9">
        <f t="shared" si="42"/>
        <v>418</v>
      </c>
      <c r="N665" t="str">
        <f t="shared" si="43"/>
        <v>Feb</v>
      </c>
    </row>
    <row r="666" spans="1:14" x14ac:dyDescent="0.3">
      <c r="A666" s="2" t="s">
        <v>732</v>
      </c>
      <c r="B666" s="6">
        <v>45715</v>
      </c>
      <c r="C666" s="2" t="s">
        <v>41</v>
      </c>
      <c r="D666" s="2" t="s">
        <v>49</v>
      </c>
      <c r="E666" s="2">
        <v>1</v>
      </c>
      <c r="F666" s="7">
        <v>149</v>
      </c>
      <c r="G666" s="8">
        <v>0</v>
      </c>
      <c r="H666" s="9" t="str">
        <f>INDEX(Products!$B$2:$B$37, MATCH(D666, Products!$A$2:$A$37, 0))</f>
        <v>Kids' Sneakers</v>
      </c>
      <c r="I666" t="str">
        <f>INDEX(Products!$C$2:$C$37, MATCH(D666, Products!$A$2:$A$37, 0))</f>
        <v>Fashion</v>
      </c>
      <c r="J666">
        <f>INDEX(Products!$E$2:$E$37, MATCH(D666, Products!$A$2:$A$37, 0))</f>
        <v>80</v>
      </c>
      <c r="K666" s="9">
        <f t="shared" si="40"/>
        <v>149</v>
      </c>
      <c r="L666">
        <f t="shared" si="41"/>
        <v>80</v>
      </c>
      <c r="M666" s="9">
        <f t="shared" si="42"/>
        <v>69</v>
      </c>
      <c r="N666" t="str">
        <f t="shared" si="43"/>
        <v>Feb</v>
      </c>
    </row>
    <row r="667" spans="1:14" x14ac:dyDescent="0.3">
      <c r="A667" s="2" t="s">
        <v>733</v>
      </c>
      <c r="B667" s="6">
        <v>45715</v>
      </c>
      <c r="C667" s="2" t="s">
        <v>28</v>
      </c>
      <c r="D667" s="2" t="s">
        <v>56</v>
      </c>
      <c r="E667" s="2">
        <v>1</v>
      </c>
      <c r="F667" s="7">
        <v>289</v>
      </c>
      <c r="G667" s="8">
        <v>0.1</v>
      </c>
      <c r="H667" s="9" t="str">
        <f>INDEX(Products!$B$2:$B$37, MATCH(D667, Products!$A$2:$A$37, 0))</f>
        <v>Ceramic Dinner Set</v>
      </c>
      <c r="I667" t="str">
        <f>INDEX(Products!$C$2:$C$37, MATCH(D667, Products!$A$2:$A$37, 0))</f>
        <v>Home &amp; Kitchen</v>
      </c>
      <c r="J667">
        <f>INDEX(Products!$E$2:$E$37, MATCH(D667, Products!$A$2:$A$37, 0))</f>
        <v>140</v>
      </c>
      <c r="K667" s="9">
        <f t="shared" si="40"/>
        <v>260.10000000000002</v>
      </c>
      <c r="L667">
        <f t="shared" si="41"/>
        <v>140</v>
      </c>
      <c r="M667" s="9">
        <f t="shared" si="42"/>
        <v>120.10000000000002</v>
      </c>
      <c r="N667" t="str">
        <f t="shared" si="43"/>
        <v>Feb</v>
      </c>
    </row>
    <row r="668" spans="1:14" x14ac:dyDescent="0.3">
      <c r="A668" s="2" t="s">
        <v>734</v>
      </c>
      <c r="B668" s="6">
        <v>45715</v>
      </c>
      <c r="C668" s="2" t="s">
        <v>28</v>
      </c>
      <c r="D668" s="2" t="s">
        <v>194</v>
      </c>
      <c r="E668" s="2">
        <v>2</v>
      </c>
      <c r="F668" s="7">
        <v>699</v>
      </c>
      <c r="G668" s="8">
        <v>0</v>
      </c>
      <c r="H668" s="9" t="str">
        <f>INDEX(Products!$B$2:$B$37, MATCH(D668, Products!$A$2:$A$37, 0))</f>
        <v>Leather Handbag</v>
      </c>
      <c r="I668" t="str">
        <f>INDEX(Products!$C$2:$C$37, MATCH(D668, Products!$A$2:$A$37, 0))</f>
        <v>Fashion</v>
      </c>
      <c r="J668">
        <f>INDEX(Products!$E$2:$E$37, MATCH(D668, Products!$A$2:$A$37, 0))</f>
        <v>380</v>
      </c>
      <c r="K668" s="9">
        <f t="shared" si="40"/>
        <v>1398</v>
      </c>
      <c r="L668">
        <f t="shared" si="41"/>
        <v>760</v>
      </c>
      <c r="M668" s="9">
        <f t="shared" si="42"/>
        <v>638</v>
      </c>
      <c r="N668" t="str">
        <f t="shared" si="43"/>
        <v>Feb</v>
      </c>
    </row>
    <row r="669" spans="1:14" x14ac:dyDescent="0.3">
      <c r="A669" s="2" t="s">
        <v>735</v>
      </c>
      <c r="B669" s="6">
        <v>45715</v>
      </c>
      <c r="C669" s="2" t="s">
        <v>41</v>
      </c>
      <c r="D669" s="2" t="s">
        <v>129</v>
      </c>
      <c r="E669" s="2">
        <v>1</v>
      </c>
      <c r="F669" s="7">
        <v>149</v>
      </c>
      <c r="G669" s="8">
        <v>0.2</v>
      </c>
      <c r="H669" s="9" t="str">
        <f>INDEX(Products!$B$2:$B$37, MATCH(D669, Products!$A$2:$A$37, 0))</f>
        <v>Power Bank 20000mAh</v>
      </c>
      <c r="I669" t="str">
        <f>INDEX(Products!$C$2:$C$37, MATCH(D669, Products!$A$2:$A$37, 0))</f>
        <v>Electronics</v>
      </c>
      <c r="J669">
        <f>INDEX(Products!$E$2:$E$37, MATCH(D669, Products!$A$2:$A$37, 0))</f>
        <v>70</v>
      </c>
      <c r="K669" s="9">
        <f t="shared" si="40"/>
        <v>119.2</v>
      </c>
      <c r="L669">
        <f t="shared" si="41"/>
        <v>70</v>
      </c>
      <c r="M669" s="9">
        <f t="shared" si="42"/>
        <v>49.2</v>
      </c>
      <c r="N669" t="str">
        <f t="shared" si="43"/>
        <v>Feb</v>
      </c>
    </row>
    <row r="670" spans="1:14" x14ac:dyDescent="0.3">
      <c r="A670" s="2" t="s">
        <v>736</v>
      </c>
      <c r="B670" s="6">
        <v>45715</v>
      </c>
      <c r="C670" s="2" t="s">
        <v>28</v>
      </c>
      <c r="D670" s="2" t="s">
        <v>56</v>
      </c>
      <c r="E670" s="2">
        <v>4</v>
      </c>
      <c r="F670" s="7">
        <v>289</v>
      </c>
      <c r="G670" s="8">
        <v>0.15</v>
      </c>
      <c r="H670" s="9" t="str">
        <f>INDEX(Products!$B$2:$B$37, MATCH(D670, Products!$A$2:$A$37, 0))</f>
        <v>Ceramic Dinner Set</v>
      </c>
      <c r="I670" t="str">
        <f>INDEX(Products!$C$2:$C$37, MATCH(D670, Products!$A$2:$A$37, 0))</f>
        <v>Home &amp; Kitchen</v>
      </c>
      <c r="J670">
        <f>INDEX(Products!$E$2:$E$37, MATCH(D670, Products!$A$2:$A$37, 0))</f>
        <v>140</v>
      </c>
      <c r="K670" s="9">
        <f t="shared" si="40"/>
        <v>982.6</v>
      </c>
      <c r="L670">
        <f t="shared" si="41"/>
        <v>560</v>
      </c>
      <c r="M670" s="9">
        <f t="shared" si="42"/>
        <v>422.6</v>
      </c>
      <c r="N670" t="str">
        <f t="shared" si="43"/>
        <v>Feb</v>
      </c>
    </row>
    <row r="671" spans="1:14" x14ac:dyDescent="0.3">
      <c r="A671" s="2" t="s">
        <v>737</v>
      </c>
      <c r="B671" s="6">
        <v>45715</v>
      </c>
      <c r="C671" s="2" t="s">
        <v>41</v>
      </c>
      <c r="D671" s="2" t="s">
        <v>80</v>
      </c>
      <c r="E671" s="2">
        <v>1</v>
      </c>
      <c r="F671" s="7">
        <v>149</v>
      </c>
      <c r="G671" s="8">
        <v>0.2</v>
      </c>
      <c r="H671" s="9" t="str">
        <f>INDEX(Products!$B$2:$B$37, MATCH(D671, Products!$A$2:$A$37, 0))</f>
        <v>Vitamin C Serum</v>
      </c>
      <c r="I671" t="str">
        <f>INDEX(Products!$C$2:$C$37, MATCH(D671, Products!$A$2:$A$37, 0))</f>
        <v>Beauty</v>
      </c>
      <c r="J671">
        <f>INDEX(Products!$E$2:$E$37, MATCH(D671, Products!$A$2:$A$37, 0))</f>
        <v>55</v>
      </c>
      <c r="K671" s="9">
        <f t="shared" si="40"/>
        <v>119.2</v>
      </c>
      <c r="L671">
        <f t="shared" si="41"/>
        <v>55</v>
      </c>
      <c r="M671" s="9">
        <f t="shared" si="42"/>
        <v>64.2</v>
      </c>
      <c r="N671" t="str">
        <f t="shared" si="43"/>
        <v>Feb</v>
      </c>
    </row>
    <row r="672" spans="1:14" x14ac:dyDescent="0.3">
      <c r="A672" s="2" t="s">
        <v>738</v>
      </c>
      <c r="B672" s="6">
        <v>45715</v>
      </c>
      <c r="C672" s="2" t="s">
        <v>41</v>
      </c>
      <c r="D672" s="2" t="s">
        <v>126</v>
      </c>
      <c r="E672" s="2">
        <v>1</v>
      </c>
      <c r="F672" s="7">
        <v>89</v>
      </c>
      <c r="G672" s="8">
        <v>0</v>
      </c>
      <c r="H672" s="9" t="str">
        <f>INDEX(Products!$B$2:$B$37, MATCH(D672, Products!$A$2:$A$37, 0))</f>
        <v>USB-C Fast Charger</v>
      </c>
      <c r="I672" t="str">
        <f>INDEX(Products!$C$2:$C$37, MATCH(D672, Products!$A$2:$A$37, 0))</f>
        <v>Electronics</v>
      </c>
      <c r="J672">
        <f>INDEX(Products!$E$2:$E$37, MATCH(D672, Products!$A$2:$A$37, 0))</f>
        <v>35</v>
      </c>
      <c r="K672" s="9">
        <f t="shared" si="40"/>
        <v>89</v>
      </c>
      <c r="L672">
        <f t="shared" si="41"/>
        <v>35</v>
      </c>
      <c r="M672" s="9">
        <f t="shared" si="42"/>
        <v>54</v>
      </c>
      <c r="N672" t="str">
        <f t="shared" si="43"/>
        <v>Feb</v>
      </c>
    </row>
    <row r="673" spans="1:14" x14ac:dyDescent="0.3">
      <c r="A673" s="2" t="s">
        <v>739</v>
      </c>
      <c r="B673" s="6">
        <v>45715</v>
      </c>
      <c r="C673" s="2" t="s">
        <v>44</v>
      </c>
      <c r="D673" s="2" t="s">
        <v>42</v>
      </c>
      <c r="E673" s="2">
        <v>1</v>
      </c>
      <c r="F673" s="7">
        <v>399</v>
      </c>
      <c r="G673" s="8">
        <v>0.2</v>
      </c>
      <c r="H673" s="9" t="str">
        <f>INDEX(Products!$B$2:$B$37, MATCH(D673, Products!$A$2:$A$37, 0))</f>
        <v>Wireless Earbuds Pro</v>
      </c>
      <c r="I673" t="str">
        <f>INDEX(Products!$C$2:$C$37, MATCH(D673, Products!$A$2:$A$37, 0))</f>
        <v>Electronics</v>
      </c>
      <c r="J673">
        <f>INDEX(Products!$E$2:$E$37, MATCH(D673, Products!$A$2:$A$37, 0))</f>
        <v>230</v>
      </c>
      <c r="K673" s="9">
        <f t="shared" si="40"/>
        <v>319.20000000000005</v>
      </c>
      <c r="L673">
        <f t="shared" si="41"/>
        <v>230</v>
      </c>
      <c r="M673" s="9">
        <f t="shared" si="42"/>
        <v>89.200000000000045</v>
      </c>
      <c r="N673" t="str">
        <f t="shared" si="43"/>
        <v>Feb</v>
      </c>
    </row>
    <row r="674" spans="1:14" x14ac:dyDescent="0.3">
      <c r="A674" s="2" t="s">
        <v>740</v>
      </c>
      <c r="B674" s="6">
        <v>45715</v>
      </c>
      <c r="C674" s="2" t="s">
        <v>41</v>
      </c>
      <c r="D674" s="2" t="s">
        <v>37</v>
      </c>
      <c r="E674" s="2">
        <v>2</v>
      </c>
      <c r="F674" s="7">
        <v>249</v>
      </c>
      <c r="G674" s="8">
        <v>0</v>
      </c>
      <c r="H674" s="9" t="str">
        <f>INDEX(Products!$B$2:$B$37, MATCH(D674, Products!$A$2:$A$37, 0))</f>
        <v>Sunglasses Polarised</v>
      </c>
      <c r="I674" t="str">
        <f>INDEX(Products!$C$2:$C$37, MATCH(D674, Products!$A$2:$A$37, 0))</f>
        <v>Fashion</v>
      </c>
      <c r="J674">
        <f>INDEX(Products!$E$2:$E$37, MATCH(D674, Products!$A$2:$A$37, 0))</f>
        <v>95</v>
      </c>
      <c r="K674" s="9">
        <f t="shared" si="40"/>
        <v>498</v>
      </c>
      <c r="L674">
        <f t="shared" si="41"/>
        <v>190</v>
      </c>
      <c r="M674" s="9">
        <f t="shared" si="42"/>
        <v>308</v>
      </c>
      <c r="N674" t="str">
        <f t="shared" si="43"/>
        <v>Feb</v>
      </c>
    </row>
    <row r="675" spans="1:14" x14ac:dyDescent="0.3">
      <c r="A675" s="2" t="s">
        <v>741</v>
      </c>
      <c r="B675" s="6">
        <v>45716</v>
      </c>
      <c r="C675" s="2" t="s">
        <v>48</v>
      </c>
      <c r="D675" s="2" t="s">
        <v>46</v>
      </c>
      <c r="E675" s="2">
        <v>4</v>
      </c>
      <c r="F675" s="7">
        <v>189</v>
      </c>
      <c r="G675" s="8">
        <v>0</v>
      </c>
      <c r="H675" s="9" t="str">
        <f>INDEX(Products!$B$2:$B$37, MATCH(D675, Products!$A$2:$A$37, 0))</f>
        <v>Makeup Palette</v>
      </c>
      <c r="I675" t="str">
        <f>INDEX(Products!$C$2:$C$37, MATCH(D675, Products!$A$2:$A$37, 0))</f>
        <v>Beauty</v>
      </c>
      <c r="J675">
        <f>INDEX(Products!$E$2:$E$37, MATCH(D675, Products!$A$2:$A$37, 0))</f>
        <v>85</v>
      </c>
      <c r="K675" s="9">
        <f t="shared" si="40"/>
        <v>756</v>
      </c>
      <c r="L675">
        <f t="shared" si="41"/>
        <v>340</v>
      </c>
      <c r="M675" s="9">
        <f t="shared" si="42"/>
        <v>416</v>
      </c>
      <c r="N675" t="str">
        <f t="shared" si="43"/>
        <v>Feb</v>
      </c>
    </row>
    <row r="676" spans="1:14" x14ac:dyDescent="0.3">
      <c r="A676" s="2" t="s">
        <v>742</v>
      </c>
      <c r="B676" s="6">
        <v>45716</v>
      </c>
      <c r="C676" s="2" t="s">
        <v>41</v>
      </c>
      <c r="D676" s="2" t="s">
        <v>37</v>
      </c>
      <c r="E676" s="2">
        <v>1</v>
      </c>
      <c r="F676" s="7">
        <v>249</v>
      </c>
      <c r="G676" s="8">
        <v>0.05</v>
      </c>
      <c r="H676" s="9" t="str">
        <f>INDEX(Products!$B$2:$B$37, MATCH(D676, Products!$A$2:$A$37, 0))</f>
        <v>Sunglasses Polarised</v>
      </c>
      <c r="I676" t="str">
        <f>INDEX(Products!$C$2:$C$37, MATCH(D676, Products!$A$2:$A$37, 0))</f>
        <v>Fashion</v>
      </c>
      <c r="J676">
        <f>INDEX(Products!$E$2:$E$37, MATCH(D676, Products!$A$2:$A$37, 0))</f>
        <v>95</v>
      </c>
      <c r="K676" s="9">
        <f t="shared" si="40"/>
        <v>236.54999999999998</v>
      </c>
      <c r="L676">
        <f t="shared" si="41"/>
        <v>95</v>
      </c>
      <c r="M676" s="9">
        <f t="shared" si="42"/>
        <v>141.54999999999998</v>
      </c>
      <c r="N676" t="str">
        <f t="shared" si="43"/>
        <v>Feb</v>
      </c>
    </row>
    <row r="677" spans="1:14" x14ac:dyDescent="0.3">
      <c r="A677" s="2" t="s">
        <v>743</v>
      </c>
      <c r="B677" s="6">
        <v>45716</v>
      </c>
      <c r="C677" s="2" t="s">
        <v>31</v>
      </c>
      <c r="D677" s="2" t="s">
        <v>39</v>
      </c>
      <c r="E677" s="2">
        <v>1</v>
      </c>
      <c r="F677" s="7">
        <v>199</v>
      </c>
      <c r="G677" s="8">
        <v>0.1</v>
      </c>
      <c r="H677" s="9" t="str">
        <f>INDEX(Products!$B$2:$B$37, MATCH(D677, Products!$A$2:$A$37, 0))</f>
        <v>Bakhoor Gift Set</v>
      </c>
      <c r="I677" t="str">
        <f>INDEX(Products!$C$2:$C$37, MATCH(D677, Products!$A$2:$A$37, 0))</f>
        <v>Beauty</v>
      </c>
      <c r="J677">
        <f>INDEX(Products!$E$2:$E$37, MATCH(D677, Products!$A$2:$A$37, 0))</f>
        <v>90</v>
      </c>
      <c r="K677" s="9">
        <f t="shared" si="40"/>
        <v>179.1</v>
      </c>
      <c r="L677">
        <f t="shared" si="41"/>
        <v>90</v>
      </c>
      <c r="M677" s="9">
        <f t="shared" si="42"/>
        <v>89.1</v>
      </c>
      <c r="N677" t="str">
        <f t="shared" si="43"/>
        <v>Feb</v>
      </c>
    </row>
    <row r="678" spans="1:14" x14ac:dyDescent="0.3">
      <c r="A678" s="2" t="s">
        <v>744</v>
      </c>
      <c r="B678" s="6">
        <v>45716</v>
      </c>
      <c r="C678" s="2" t="s">
        <v>41</v>
      </c>
      <c r="D678" s="2" t="s">
        <v>149</v>
      </c>
      <c r="E678" s="2">
        <v>3</v>
      </c>
      <c r="F678" s="7">
        <v>399</v>
      </c>
      <c r="G678" s="8">
        <v>0</v>
      </c>
      <c r="H678" s="9" t="str">
        <f>INDEX(Products!$B$2:$B$37, MATCH(D678, Products!$A$2:$A$37, 0))</f>
        <v>Blender Pro 1200W</v>
      </c>
      <c r="I678" t="str">
        <f>INDEX(Products!$C$2:$C$37, MATCH(D678, Products!$A$2:$A$37, 0))</f>
        <v>Home &amp; Kitchen</v>
      </c>
      <c r="J678">
        <f>INDEX(Products!$E$2:$E$37, MATCH(D678, Products!$A$2:$A$37, 0))</f>
        <v>250</v>
      </c>
      <c r="K678" s="9">
        <f t="shared" si="40"/>
        <v>1197</v>
      </c>
      <c r="L678">
        <f t="shared" si="41"/>
        <v>750</v>
      </c>
      <c r="M678" s="9">
        <f t="shared" si="42"/>
        <v>447</v>
      </c>
      <c r="N678" t="str">
        <f t="shared" si="43"/>
        <v>Feb</v>
      </c>
    </row>
    <row r="679" spans="1:14" x14ac:dyDescent="0.3">
      <c r="A679" s="2" t="s">
        <v>745</v>
      </c>
      <c r="B679" s="6">
        <v>45716</v>
      </c>
      <c r="C679" s="2" t="s">
        <v>44</v>
      </c>
      <c r="D679" s="2" t="s">
        <v>83</v>
      </c>
      <c r="E679" s="2">
        <v>1</v>
      </c>
      <c r="F679" s="7">
        <v>229</v>
      </c>
      <c r="G679" s="8">
        <v>0.05</v>
      </c>
      <c r="H679" s="9" t="str">
        <f>INDEX(Products!$B$2:$B$37, MATCH(D679, Products!$A$2:$A$37, 0))</f>
        <v>Cycling Helmet</v>
      </c>
      <c r="I679" t="str">
        <f>INDEX(Products!$C$2:$C$37, MATCH(D679, Products!$A$2:$A$37, 0))</f>
        <v>Sports</v>
      </c>
      <c r="J679">
        <f>INDEX(Products!$E$2:$E$37, MATCH(D679, Products!$A$2:$A$37, 0))</f>
        <v>120</v>
      </c>
      <c r="K679" s="9">
        <f t="shared" si="40"/>
        <v>217.54999999999998</v>
      </c>
      <c r="L679">
        <f t="shared" si="41"/>
        <v>120</v>
      </c>
      <c r="M679" s="9">
        <f t="shared" si="42"/>
        <v>97.549999999999983</v>
      </c>
      <c r="N679" t="str">
        <f t="shared" si="43"/>
        <v>Feb</v>
      </c>
    </row>
    <row r="680" spans="1:14" x14ac:dyDescent="0.3">
      <c r="A680" s="2" t="s">
        <v>746</v>
      </c>
      <c r="B680" s="6">
        <v>45716</v>
      </c>
      <c r="C680" s="2" t="s">
        <v>31</v>
      </c>
      <c r="D680" s="2" t="s">
        <v>115</v>
      </c>
      <c r="E680" s="2">
        <v>1</v>
      </c>
      <c r="F680" s="7">
        <v>129</v>
      </c>
      <c r="G680" s="8">
        <v>0.3</v>
      </c>
      <c r="H680" s="9" t="str">
        <f>INDEX(Products!$B$2:$B$37, MATCH(D680, Products!$A$2:$A$37, 0))</f>
        <v>Electric Kettle</v>
      </c>
      <c r="I680" t="str">
        <f>INDEX(Products!$C$2:$C$37, MATCH(D680, Products!$A$2:$A$37, 0))</f>
        <v>Home &amp; Kitchen</v>
      </c>
      <c r="J680">
        <f>INDEX(Products!$E$2:$E$37, MATCH(D680, Products!$A$2:$A$37, 0))</f>
        <v>60</v>
      </c>
      <c r="K680" s="9">
        <f t="shared" si="40"/>
        <v>90.3</v>
      </c>
      <c r="L680">
        <f t="shared" si="41"/>
        <v>60</v>
      </c>
      <c r="M680" s="9">
        <f t="shared" si="42"/>
        <v>30.299999999999997</v>
      </c>
      <c r="N680" t="str">
        <f t="shared" si="43"/>
        <v>Feb</v>
      </c>
    </row>
    <row r="681" spans="1:14" x14ac:dyDescent="0.3">
      <c r="A681" s="2" t="s">
        <v>747</v>
      </c>
      <c r="B681" s="6">
        <v>45716</v>
      </c>
      <c r="C681" s="2" t="s">
        <v>44</v>
      </c>
      <c r="D681" s="2" t="s">
        <v>165</v>
      </c>
      <c r="E681" s="2">
        <v>1</v>
      </c>
      <c r="F681" s="7">
        <v>69</v>
      </c>
      <c r="G681" s="8">
        <v>0.3</v>
      </c>
      <c r="H681" s="9" t="str">
        <f>INDEX(Products!$B$2:$B$37, MATCH(D681, Products!$A$2:$A$37, 0))</f>
        <v>Swim Goggles</v>
      </c>
      <c r="I681" t="str">
        <f>INDEX(Products!$C$2:$C$37, MATCH(D681, Products!$A$2:$A$37, 0))</f>
        <v>Sports</v>
      </c>
      <c r="J681">
        <f>INDEX(Products!$E$2:$E$37, MATCH(D681, Products!$A$2:$A$37, 0))</f>
        <v>25</v>
      </c>
      <c r="K681" s="9">
        <f t="shared" si="40"/>
        <v>48.3</v>
      </c>
      <c r="L681">
        <f t="shared" si="41"/>
        <v>25</v>
      </c>
      <c r="M681" s="9">
        <f t="shared" si="42"/>
        <v>23.299999999999997</v>
      </c>
      <c r="N681" t="str">
        <f t="shared" si="43"/>
        <v>Feb</v>
      </c>
    </row>
    <row r="682" spans="1:14" x14ac:dyDescent="0.3">
      <c r="A682" s="2" t="s">
        <v>748</v>
      </c>
      <c r="B682" s="6">
        <v>45716</v>
      </c>
      <c r="C682" s="2" t="s">
        <v>41</v>
      </c>
      <c r="D682" s="2" t="s">
        <v>37</v>
      </c>
      <c r="E682" s="2">
        <v>3</v>
      </c>
      <c r="F682" s="7">
        <v>249</v>
      </c>
      <c r="G682" s="8">
        <v>0.05</v>
      </c>
      <c r="H682" s="9" t="str">
        <f>INDEX(Products!$B$2:$B$37, MATCH(D682, Products!$A$2:$A$37, 0))</f>
        <v>Sunglasses Polarised</v>
      </c>
      <c r="I682" t="str">
        <f>INDEX(Products!$C$2:$C$37, MATCH(D682, Products!$A$2:$A$37, 0))</f>
        <v>Fashion</v>
      </c>
      <c r="J682">
        <f>INDEX(Products!$E$2:$E$37, MATCH(D682, Products!$A$2:$A$37, 0))</f>
        <v>95</v>
      </c>
      <c r="K682" s="9">
        <f t="shared" si="40"/>
        <v>709.65</v>
      </c>
      <c r="L682">
        <f t="shared" si="41"/>
        <v>285</v>
      </c>
      <c r="M682" s="9">
        <f t="shared" si="42"/>
        <v>424.65</v>
      </c>
      <c r="N682" t="str">
        <f t="shared" si="43"/>
        <v>Feb</v>
      </c>
    </row>
    <row r="683" spans="1:14" x14ac:dyDescent="0.3">
      <c r="A683" s="2" t="s">
        <v>749</v>
      </c>
      <c r="B683" s="6">
        <v>45716</v>
      </c>
      <c r="C683" s="2" t="s">
        <v>41</v>
      </c>
      <c r="D683" s="2" t="s">
        <v>115</v>
      </c>
      <c r="E683" s="2">
        <v>1</v>
      </c>
      <c r="F683" s="7">
        <v>129</v>
      </c>
      <c r="G683" s="8">
        <v>0.15</v>
      </c>
      <c r="H683" s="9" t="str">
        <f>INDEX(Products!$B$2:$B$37, MATCH(D683, Products!$A$2:$A$37, 0))</f>
        <v>Electric Kettle</v>
      </c>
      <c r="I683" t="str">
        <f>INDEX(Products!$C$2:$C$37, MATCH(D683, Products!$A$2:$A$37, 0))</f>
        <v>Home &amp; Kitchen</v>
      </c>
      <c r="J683">
        <f>INDEX(Products!$E$2:$E$37, MATCH(D683, Products!$A$2:$A$37, 0))</f>
        <v>60</v>
      </c>
      <c r="K683" s="9">
        <f t="shared" si="40"/>
        <v>109.64999999999999</v>
      </c>
      <c r="L683">
        <f t="shared" si="41"/>
        <v>60</v>
      </c>
      <c r="M683" s="9">
        <f t="shared" si="42"/>
        <v>49.649999999999991</v>
      </c>
      <c r="N683" t="str">
        <f t="shared" si="43"/>
        <v>Feb</v>
      </c>
    </row>
    <row r="684" spans="1:14" x14ac:dyDescent="0.3">
      <c r="A684" s="2" t="s">
        <v>750</v>
      </c>
      <c r="B684" s="6">
        <v>45716</v>
      </c>
      <c r="C684" s="2" t="s">
        <v>41</v>
      </c>
      <c r="D684" s="2" t="s">
        <v>113</v>
      </c>
      <c r="E684" s="2">
        <v>1</v>
      </c>
      <c r="F684" s="7">
        <v>1199</v>
      </c>
      <c r="G684" s="8">
        <v>0.25</v>
      </c>
      <c r="H684" s="9" t="str">
        <f>INDEX(Products!$B$2:$B$37, MATCH(D684, Products!$A$2:$A$37, 0))</f>
        <v>Robot Vacuum S3</v>
      </c>
      <c r="I684" t="str">
        <f>INDEX(Products!$C$2:$C$37, MATCH(D684, Products!$A$2:$A$37, 0))</f>
        <v>Home &amp; Kitchen</v>
      </c>
      <c r="J684">
        <f>INDEX(Products!$E$2:$E$37, MATCH(D684, Products!$A$2:$A$37, 0))</f>
        <v>1080</v>
      </c>
      <c r="K684" s="9">
        <f t="shared" si="40"/>
        <v>899.25</v>
      </c>
      <c r="L684">
        <f t="shared" si="41"/>
        <v>1080</v>
      </c>
      <c r="M684" s="9">
        <f t="shared" si="42"/>
        <v>-180.75</v>
      </c>
      <c r="N684" t="str">
        <f t="shared" si="43"/>
        <v>Feb</v>
      </c>
    </row>
    <row r="685" spans="1:14" x14ac:dyDescent="0.3">
      <c r="A685" s="2" t="s">
        <v>751</v>
      </c>
      <c r="B685" s="6">
        <v>45716</v>
      </c>
      <c r="C685" s="2" t="s">
        <v>28</v>
      </c>
      <c r="D685" s="2" t="s">
        <v>103</v>
      </c>
      <c r="E685" s="2">
        <v>2</v>
      </c>
      <c r="F685" s="7">
        <v>89</v>
      </c>
      <c r="G685" s="8">
        <v>0</v>
      </c>
      <c r="H685" s="9" t="str">
        <f>INDEX(Products!$B$2:$B$37, MATCH(D685, Products!$A$2:$A$37, 0))</f>
        <v>Sunscreen SPF50</v>
      </c>
      <c r="I685" t="str">
        <f>INDEX(Products!$C$2:$C$37, MATCH(D685, Products!$A$2:$A$37, 0))</f>
        <v>Beauty</v>
      </c>
      <c r="J685">
        <f>INDEX(Products!$E$2:$E$37, MATCH(D685, Products!$A$2:$A$37, 0))</f>
        <v>40</v>
      </c>
      <c r="K685" s="9">
        <f t="shared" si="40"/>
        <v>178</v>
      </c>
      <c r="L685">
        <f t="shared" si="41"/>
        <v>80</v>
      </c>
      <c r="M685" s="9">
        <f t="shared" si="42"/>
        <v>98</v>
      </c>
      <c r="N685" t="str">
        <f t="shared" si="43"/>
        <v>Feb</v>
      </c>
    </row>
    <row r="686" spans="1:14" x14ac:dyDescent="0.3">
      <c r="A686" s="2" t="s">
        <v>752</v>
      </c>
      <c r="B686" s="6">
        <v>45716</v>
      </c>
      <c r="C686" s="2" t="s">
        <v>41</v>
      </c>
      <c r="D686" s="2" t="s">
        <v>99</v>
      </c>
      <c r="E686" s="2">
        <v>1</v>
      </c>
      <c r="F686" s="7">
        <v>459</v>
      </c>
      <c r="G686" s="8">
        <v>0.3</v>
      </c>
      <c r="H686" s="9" t="str">
        <f>INDEX(Products!$B$2:$B$37, MATCH(D686, Products!$A$2:$A$37, 0))</f>
        <v>Gaming Headset X</v>
      </c>
      <c r="I686" t="str">
        <f>INDEX(Products!$C$2:$C$37, MATCH(D686, Products!$A$2:$A$37, 0))</f>
        <v>Electronics</v>
      </c>
      <c r="J686">
        <f>INDEX(Products!$E$2:$E$37, MATCH(D686, Products!$A$2:$A$37, 0))</f>
        <v>300</v>
      </c>
      <c r="K686" s="9">
        <f t="shared" si="40"/>
        <v>321.29999999999995</v>
      </c>
      <c r="L686">
        <f t="shared" si="41"/>
        <v>300</v>
      </c>
      <c r="M686" s="9">
        <f t="shared" si="42"/>
        <v>21.299999999999955</v>
      </c>
      <c r="N686" t="str">
        <f t="shared" si="43"/>
        <v>Feb</v>
      </c>
    </row>
    <row r="687" spans="1:14" x14ac:dyDescent="0.3">
      <c r="A687" s="2" t="s">
        <v>753</v>
      </c>
      <c r="B687" s="6">
        <v>45717</v>
      </c>
      <c r="C687" s="2" t="s">
        <v>41</v>
      </c>
      <c r="D687" s="2" t="s">
        <v>95</v>
      </c>
      <c r="E687" s="2">
        <v>1</v>
      </c>
      <c r="F687" s="7">
        <v>259</v>
      </c>
      <c r="G687" s="8">
        <v>0.2</v>
      </c>
      <c r="H687" s="9" t="str">
        <f>INDEX(Products!$B$2:$B$37, MATCH(D687, Products!$A$2:$A$37, 0))</f>
        <v>Bed Linen Set (King)</v>
      </c>
      <c r="I687" t="str">
        <f>INDEX(Products!$C$2:$C$37, MATCH(D687, Products!$A$2:$A$37, 0))</f>
        <v>Home &amp; Kitchen</v>
      </c>
      <c r="J687">
        <f>INDEX(Products!$E$2:$E$37, MATCH(D687, Products!$A$2:$A$37, 0))</f>
        <v>115</v>
      </c>
      <c r="K687" s="9">
        <f t="shared" si="40"/>
        <v>207.20000000000002</v>
      </c>
      <c r="L687">
        <f t="shared" si="41"/>
        <v>115</v>
      </c>
      <c r="M687" s="9">
        <f t="shared" si="42"/>
        <v>92.200000000000017</v>
      </c>
      <c r="N687" t="str">
        <f t="shared" si="43"/>
        <v>Mar</v>
      </c>
    </row>
    <row r="688" spans="1:14" x14ac:dyDescent="0.3">
      <c r="A688" s="2" t="s">
        <v>754</v>
      </c>
      <c r="B688" s="6">
        <v>45717</v>
      </c>
      <c r="C688" s="2" t="s">
        <v>41</v>
      </c>
      <c r="D688" s="2" t="s">
        <v>58</v>
      </c>
      <c r="E688" s="2">
        <v>1</v>
      </c>
      <c r="F688" s="7">
        <v>459</v>
      </c>
      <c r="G688" s="8">
        <v>0.3</v>
      </c>
      <c r="H688" s="9" t="str">
        <f>INDEX(Products!$B$2:$B$37, MATCH(D688, Products!$A$2:$A$37, 0))</f>
        <v>Women's Abaya Classic</v>
      </c>
      <c r="I688" t="str">
        <f>INDEX(Products!$C$2:$C$37, MATCH(D688, Products!$A$2:$A$37, 0))</f>
        <v>Fashion</v>
      </c>
      <c r="J688">
        <f>INDEX(Products!$E$2:$E$37, MATCH(D688, Products!$A$2:$A$37, 0))</f>
        <v>190</v>
      </c>
      <c r="K688" s="9">
        <f t="shared" si="40"/>
        <v>321.29999999999995</v>
      </c>
      <c r="L688">
        <f t="shared" si="41"/>
        <v>190</v>
      </c>
      <c r="M688" s="9">
        <f t="shared" si="42"/>
        <v>131.29999999999995</v>
      </c>
      <c r="N688" t="str">
        <f t="shared" si="43"/>
        <v>Mar</v>
      </c>
    </row>
    <row r="689" spans="1:14" x14ac:dyDescent="0.3">
      <c r="A689" s="2" t="s">
        <v>755</v>
      </c>
      <c r="B689" s="6">
        <v>45717</v>
      </c>
      <c r="C689" s="2" t="s">
        <v>41</v>
      </c>
      <c r="D689" s="2" t="s">
        <v>65</v>
      </c>
      <c r="E689" s="2">
        <v>2</v>
      </c>
      <c r="F689" s="7">
        <v>129</v>
      </c>
      <c r="G689" s="8">
        <v>0.1</v>
      </c>
      <c r="H689" s="9" t="str">
        <f>INDEX(Products!$B$2:$B$37, MATCH(D689, Products!$A$2:$A$37, 0))</f>
        <v>Yoga Mat Premium</v>
      </c>
      <c r="I689" t="str">
        <f>INDEX(Products!$C$2:$C$37, MATCH(D689, Products!$A$2:$A$37, 0))</f>
        <v>Sports</v>
      </c>
      <c r="J689">
        <f>INDEX(Products!$E$2:$E$37, MATCH(D689, Products!$A$2:$A$37, 0))</f>
        <v>60</v>
      </c>
      <c r="K689" s="9">
        <f t="shared" si="40"/>
        <v>232.20000000000002</v>
      </c>
      <c r="L689">
        <f t="shared" si="41"/>
        <v>120</v>
      </c>
      <c r="M689" s="9">
        <f t="shared" si="42"/>
        <v>112.20000000000002</v>
      </c>
      <c r="N689" t="str">
        <f t="shared" si="43"/>
        <v>Mar</v>
      </c>
    </row>
    <row r="690" spans="1:14" x14ac:dyDescent="0.3">
      <c r="A690" s="2" t="s">
        <v>756</v>
      </c>
      <c r="B690" s="6">
        <v>45717</v>
      </c>
      <c r="C690" s="2" t="s">
        <v>28</v>
      </c>
      <c r="D690" s="2" t="s">
        <v>149</v>
      </c>
      <c r="E690" s="2">
        <v>3</v>
      </c>
      <c r="F690" s="7">
        <v>399</v>
      </c>
      <c r="G690" s="8">
        <v>0.3</v>
      </c>
      <c r="H690" s="9" t="str">
        <f>INDEX(Products!$B$2:$B$37, MATCH(D690, Products!$A$2:$A$37, 0))</f>
        <v>Blender Pro 1200W</v>
      </c>
      <c r="I690" t="str">
        <f>INDEX(Products!$C$2:$C$37, MATCH(D690, Products!$A$2:$A$37, 0))</f>
        <v>Home &amp; Kitchen</v>
      </c>
      <c r="J690">
        <f>INDEX(Products!$E$2:$E$37, MATCH(D690, Products!$A$2:$A$37, 0))</f>
        <v>250</v>
      </c>
      <c r="K690" s="9">
        <f t="shared" si="40"/>
        <v>837.9</v>
      </c>
      <c r="L690">
        <f t="shared" si="41"/>
        <v>750</v>
      </c>
      <c r="M690" s="9">
        <f t="shared" si="42"/>
        <v>87.899999999999977</v>
      </c>
      <c r="N690" t="str">
        <f t="shared" si="43"/>
        <v>Mar</v>
      </c>
    </row>
    <row r="691" spans="1:14" x14ac:dyDescent="0.3">
      <c r="A691" s="2" t="s">
        <v>757</v>
      </c>
      <c r="B691" s="6">
        <v>45717</v>
      </c>
      <c r="C691" s="2" t="s">
        <v>44</v>
      </c>
      <c r="D691" s="2" t="s">
        <v>58</v>
      </c>
      <c r="E691" s="2">
        <v>2</v>
      </c>
      <c r="F691" s="7">
        <v>459</v>
      </c>
      <c r="G691" s="8">
        <v>0</v>
      </c>
      <c r="H691" s="9" t="str">
        <f>INDEX(Products!$B$2:$B$37, MATCH(D691, Products!$A$2:$A$37, 0))</f>
        <v>Women's Abaya Classic</v>
      </c>
      <c r="I691" t="str">
        <f>INDEX(Products!$C$2:$C$37, MATCH(D691, Products!$A$2:$A$37, 0))</f>
        <v>Fashion</v>
      </c>
      <c r="J691">
        <f>INDEX(Products!$E$2:$E$37, MATCH(D691, Products!$A$2:$A$37, 0))</f>
        <v>190</v>
      </c>
      <c r="K691" s="9">
        <f t="shared" si="40"/>
        <v>918</v>
      </c>
      <c r="L691">
        <f t="shared" si="41"/>
        <v>380</v>
      </c>
      <c r="M691" s="9">
        <f t="shared" si="42"/>
        <v>538</v>
      </c>
      <c r="N691" t="str">
        <f t="shared" si="43"/>
        <v>Mar</v>
      </c>
    </row>
    <row r="692" spans="1:14" x14ac:dyDescent="0.3">
      <c r="A692" s="2" t="s">
        <v>758</v>
      </c>
      <c r="B692" s="6">
        <v>45717</v>
      </c>
      <c r="C692" s="2" t="s">
        <v>41</v>
      </c>
      <c r="D692" s="2" t="s">
        <v>103</v>
      </c>
      <c r="E692" s="2">
        <v>3</v>
      </c>
      <c r="F692" s="7">
        <v>89</v>
      </c>
      <c r="G692" s="8">
        <v>0.05</v>
      </c>
      <c r="H692" s="9" t="str">
        <f>INDEX(Products!$B$2:$B$37, MATCH(D692, Products!$A$2:$A$37, 0))</f>
        <v>Sunscreen SPF50</v>
      </c>
      <c r="I692" t="str">
        <f>INDEX(Products!$C$2:$C$37, MATCH(D692, Products!$A$2:$A$37, 0))</f>
        <v>Beauty</v>
      </c>
      <c r="J692">
        <f>INDEX(Products!$E$2:$E$37, MATCH(D692, Products!$A$2:$A$37, 0))</f>
        <v>40</v>
      </c>
      <c r="K692" s="9">
        <f t="shared" si="40"/>
        <v>253.64999999999998</v>
      </c>
      <c r="L692">
        <f t="shared" si="41"/>
        <v>120</v>
      </c>
      <c r="M692" s="9">
        <f t="shared" si="42"/>
        <v>133.64999999999998</v>
      </c>
      <c r="N692" t="str">
        <f t="shared" si="43"/>
        <v>Mar</v>
      </c>
    </row>
    <row r="693" spans="1:14" x14ac:dyDescent="0.3">
      <c r="A693" s="2" t="s">
        <v>759</v>
      </c>
      <c r="B693" s="6">
        <v>45718</v>
      </c>
      <c r="C693" s="2" t="s">
        <v>44</v>
      </c>
      <c r="D693" s="2" t="s">
        <v>39</v>
      </c>
      <c r="E693" s="2">
        <v>1</v>
      </c>
      <c r="F693" s="7">
        <v>199</v>
      </c>
      <c r="G693" s="8">
        <v>0.05</v>
      </c>
      <c r="H693" s="9" t="str">
        <f>INDEX(Products!$B$2:$B$37, MATCH(D693, Products!$A$2:$A$37, 0))</f>
        <v>Bakhoor Gift Set</v>
      </c>
      <c r="I693" t="str">
        <f>INDEX(Products!$C$2:$C$37, MATCH(D693, Products!$A$2:$A$37, 0))</f>
        <v>Beauty</v>
      </c>
      <c r="J693">
        <f>INDEX(Products!$E$2:$E$37, MATCH(D693, Products!$A$2:$A$37, 0))</f>
        <v>90</v>
      </c>
      <c r="K693" s="9">
        <f t="shared" si="40"/>
        <v>189.04999999999998</v>
      </c>
      <c r="L693">
        <f t="shared" si="41"/>
        <v>90</v>
      </c>
      <c r="M693" s="9">
        <f t="shared" si="42"/>
        <v>99.049999999999983</v>
      </c>
      <c r="N693" t="str">
        <f t="shared" si="43"/>
        <v>Mar</v>
      </c>
    </row>
    <row r="694" spans="1:14" x14ac:dyDescent="0.3">
      <c r="A694" s="2" t="s">
        <v>760</v>
      </c>
      <c r="B694" s="6">
        <v>45718</v>
      </c>
      <c r="C694" s="2" t="s">
        <v>41</v>
      </c>
      <c r="D694" s="2" t="s">
        <v>99</v>
      </c>
      <c r="E694" s="2">
        <v>1</v>
      </c>
      <c r="F694" s="7">
        <v>459</v>
      </c>
      <c r="G694" s="8">
        <v>0</v>
      </c>
      <c r="H694" s="9" t="str">
        <f>INDEX(Products!$B$2:$B$37, MATCH(D694, Products!$A$2:$A$37, 0))</f>
        <v>Gaming Headset X</v>
      </c>
      <c r="I694" t="str">
        <f>INDEX(Products!$C$2:$C$37, MATCH(D694, Products!$A$2:$A$37, 0))</f>
        <v>Electronics</v>
      </c>
      <c r="J694">
        <f>INDEX(Products!$E$2:$E$37, MATCH(D694, Products!$A$2:$A$37, 0))</f>
        <v>300</v>
      </c>
      <c r="K694" s="9">
        <f t="shared" si="40"/>
        <v>459</v>
      </c>
      <c r="L694">
        <f t="shared" si="41"/>
        <v>300</v>
      </c>
      <c r="M694" s="9">
        <f t="shared" si="42"/>
        <v>159</v>
      </c>
      <c r="N694" t="str">
        <f t="shared" si="43"/>
        <v>Mar</v>
      </c>
    </row>
    <row r="695" spans="1:14" x14ac:dyDescent="0.3">
      <c r="A695" s="2" t="s">
        <v>761</v>
      </c>
      <c r="B695" s="6">
        <v>45718</v>
      </c>
      <c r="C695" s="2" t="s">
        <v>28</v>
      </c>
      <c r="D695" s="2" t="s">
        <v>165</v>
      </c>
      <c r="E695" s="2">
        <v>1</v>
      </c>
      <c r="F695" s="7">
        <v>69</v>
      </c>
      <c r="G695" s="8">
        <v>0.05</v>
      </c>
      <c r="H695" s="9" t="str">
        <f>INDEX(Products!$B$2:$B$37, MATCH(D695, Products!$A$2:$A$37, 0))</f>
        <v>Swim Goggles</v>
      </c>
      <c r="I695" t="str">
        <f>INDEX(Products!$C$2:$C$37, MATCH(D695, Products!$A$2:$A$37, 0))</f>
        <v>Sports</v>
      </c>
      <c r="J695">
        <f>INDEX(Products!$E$2:$E$37, MATCH(D695, Products!$A$2:$A$37, 0))</f>
        <v>25</v>
      </c>
      <c r="K695" s="9">
        <f t="shared" si="40"/>
        <v>65.55</v>
      </c>
      <c r="L695">
        <f t="shared" si="41"/>
        <v>25</v>
      </c>
      <c r="M695" s="9">
        <f t="shared" si="42"/>
        <v>40.549999999999997</v>
      </c>
      <c r="N695" t="str">
        <f t="shared" si="43"/>
        <v>Mar</v>
      </c>
    </row>
    <row r="696" spans="1:14" x14ac:dyDescent="0.3">
      <c r="A696" s="2" t="s">
        <v>762</v>
      </c>
      <c r="B696" s="6">
        <v>45718</v>
      </c>
      <c r="C696" s="2" t="s">
        <v>41</v>
      </c>
      <c r="D696" s="2" t="s">
        <v>149</v>
      </c>
      <c r="E696" s="2">
        <v>3</v>
      </c>
      <c r="F696" s="7">
        <v>399</v>
      </c>
      <c r="G696" s="8">
        <v>0</v>
      </c>
      <c r="H696" s="9" t="str">
        <f>INDEX(Products!$B$2:$B$37, MATCH(D696, Products!$A$2:$A$37, 0))</f>
        <v>Blender Pro 1200W</v>
      </c>
      <c r="I696" t="str">
        <f>INDEX(Products!$C$2:$C$37, MATCH(D696, Products!$A$2:$A$37, 0))</f>
        <v>Home &amp; Kitchen</v>
      </c>
      <c r="J696">
        <f>INDEX(Products!$E$2:$E$37, MATCH(D696, Products!$A$2:$A$37, 0))</f>
        <v>250</v>
      </c>
      <c r="K696" s="9">
        <f t="shared" si="40"/>
        <v>1197</v>
      </c>
      <c r="L696">
        <f t="shared" si="41"/>
        <v>750</v>
      </c>
      <c r="M696" s="9">
        <f t="shared" si="42"/>
        <v>447</v>
      </c>
      <c r="N696" t="str">
        <f t="shared" si="43"/>
        <v>Mar</v>
      </c>
    </row>
    <row r="697" spans="1:14" x14ac:dyDescent="0.3">
      <c r="A697" s="2" t="s">
        <v>763</v>
      </c>
      <c r="B697" s="6">
        <v>45718</v>
      </c>
      <c r="C697" s="2" t="s">
        <v>41</v>
      </c>
      <c r="D697" s="2" t="s">
        <v>52</v>
      </c>
      <c r="E697" s="2">
        <v>1</v>
      </c>
      <c r="F697" s="7">
        <v>299</v>
      </c>
      <c r="G697" s="8">
        <v>0.2</v>
      </c>
      <c r="H697" s="9" t="str">
        <f>INDEX(Products!$B$2:$B$37, MATCH(D697, Products!$A$2:$A$37, 0))</f>
        <v>Hair Dryer Ionic</v>
      </c>
      <c r="I697" t="str">
        <f>INDEX(Products!$C$2:$C$37, MATCH(D697, Products!$A$2:$A$37, 0))</f>
        <v>Beauty</v>
      </c>
      <c r="J697">
        <f>INDEX(Products!$E$2:$E$37, MATCH(D697, Products!$A$2:$A$37, 0))</f>
        <v>240</v>
      </c>
      <c r="K697" s="9">
        <f t="shared" si="40"/>
        <v>239.20000000000002</v>
      </c>
      <c r="L697">
        <f t="shared" si="41"/>
        <v>240</v>
      </c>
      <c r="M697" s="9">
        <f t="shared" si="42"/>
        <v>-0.79999999999998295</v>
      </c>
      <c r="N697" t="str">
        <f t="shared" si="43"/>
        <v>Mar</v>
      </c>
    </row>
    <row r="698" spans="1:14" x14ac:dyDescent="0.3">
      <c r="A698" s="2" t="s">
        <v>764</v>
      </c>
      <c r="B698" s="6">
        <v>45718</v>
      </c>
      <c r="C698" s="2" t="s">
        <v>44</v>
      </c>
      <c r="D698" s="2" t="s">
        <v>131</v>
      </c>
      <c r="E698" s="2">
        <v>2</v>
      </c>
      <c r="F698" s="7">
        <v>899</v>
      </c>
      <c r="G698" s="8">
        <v>0.2</v>
      </c>
      <c r="H698" s="9" t="str">
        <f>INDEX(Products!$B$2:$B$37, MATCH(D698, Products!$A$2:$A$37, 0))</f>
        <v>4K Action Camera</v>
      </c>
      <c r="I698" t="str">
        <f>INDEX(Products!$C$2:$C$37, MATCH(D698, Products!$A$2:$A$37, 0))</f>
        <v>Electronics</v>
      </c>
      <c r="J698">
        <f>INDEX(Products!$E$2:$E$37, MATCH(D698, Products!$A$2:$A$37, 0))</f>
        <v>610</v>
      </c>
      <c r="K698" s="9">
        <f t="shared" si="40"/>
        <v>1438.4</v>
      </c>
      <c r="L698">
        <f t="shared" si="41"/>
        <v>1220</v>
      </c>
      <c r="M698" s="9">
        <f t="shared" si="42"/>
        <v>218.40000000000009</v>
      </c>
      <c r="N698" t="str">
        <f t="shared" si="43"/>
        <v>Mar</v>
      </c>
    </row>
    <row r="699" spans="1:14" x14ac:dyDescent="0.3">
      <c r="A699" s="2" t="s">
        <v>765</v>
      </c>
      <c r="B699" s="6">
        <v>45718</v>
      </c>
      <c r="C699" s="2" t="s">
        <v>28</v>
      </c>
      <c r="D699" s="2" t="s">
        <v>60</v>
      </c>
      <c r="E699" s="2">
        <v>2</v>
      </c>
      <c r="F699" s="7">
        <v>99</v>
      </c>
      <c r="G699" s="8">
        <v>0</v>
      </c>
      <c r="H699" s="9" t="str">
        <f>INDEX(Products!$B$2:$B$37, MATCH(D699, Products!$A$2:$A$37, 0))</f>
        <v>Football Size 5</v>
      </c>
      <c r="I699" t="str">
        <f>INDEX(Products!$C$2:$C$37, MATCH(D699, Products!$A$2:$A$37, 0))</f>
        <v>Sports</v>
      </c>
      <c r="J699">
        <f>INDEX(Products!$E$2:$E$37, MATCH(D699, Products!$A$2:$A$37, 0))</f>
        <v>45</v>
      </c>
      <c r="K699" s="9">
        <f t="shared" si="40"/>
        <v>198</v>
      </c>
      <c r="L699">
        <f t="shared" si="41"/>
        <v>90</v>
      </c>
      <c r="M699" s="9">
        <f t="shared" si="42"/>
        <v>108</v>
      </c>
      <c r="N699" t="str">
        <f t="shared" si="43"/>
        <v>Mar</v>
      </c>
    </row>
    <row r="700" spans="1:14" x14ac:dyDescent="0.3">
      <c r="A700" s="2" t="s">
        <v>766</v>
      </c>
      <c r="B700" s="6">
        <v>45718</v>
      </c>
      <c r="C700" s="2" t="s">
        <v>41</v>
      </c>
      <c r="D700" s="2" t="s">
        <v>39</v>
      </c>
      <c r="E700" s="2">
        <v>2</v>
      </c>
      <c r="F700" s="7">
        <v>199</v>
      </c>
      <c r="G700" s="8">
        <v>0</v>
      </c>
      <c r="H700" s="9" t="str">
        <f>INDEX(Products!$B$2:$B$37, MATCH(D700, Products!$A$2:$A$37, 0))</f>
        <v>Bakhoor Gift Set</v>
      </c>
      <c r="I700" t="str">
        <f>INDEX(Products!$C$2:$C$37, MATCH(D700, Products!$A$2:$A$37, 0))</f>
        <v>Beauty</v>
      </c>
      <c r="J700">
        <f>INDEX(Products!$E$2:$E$37, MATCH(D700, Products!$A$2:$A$37, 0))</f>
        <v>90</v>
      </c>
      <c r="K700" s="9">
        <f t="shared" si="40"/>
        <v>398</v>
      </c>
      <c r="L700">
        <f t="shared" si="41"/>
        <v>180</v>
      </c>
      <c r="M700" s="9">
        <f t="shared" si="42"/>
        <v>218</v>
      </c>
      <c r="N700" t="str">
        <f t="shared" si="43"/>
        <v>Mar</v>
      </c>
    </row>
    <row r="701" spans="1:14" x14ac:dyDescent="0.3">
      <c r="A701" s="2" t="s">
        <v>767</v>
      </c>
      <c r="B701" s="6">
        <v>45718</v>
      </c>
      <c r="C701" s="2" t="s">
        <v>41</v>
      </c>
      <c r="D701" s="2" t="s">
        <v>33</v>
      </c>
      <c r="E701" s="2">
        <v>1</v>
      </c>
      <c r="F701" s="7">
        <v>199</v>
      </c>
      <c r="G701" s="8">
        <v>0.15</v>
      </c>
      <c r="H701" s="9" t="str">
        <f>INDEX(Products!$B$2:$B$37, MATCH(D701, Products!$A$2:$A$37, 0))</f>
        <v>Fitness Band Lite</v>
      </c>
      <c r="I701" t="str">
        <f>INDEX(Products!$C$2:$C$37, MATCH(D701, Products!$A$2:$A$37, 0))</f>
        <v>Electronics</v>
      </c>
      <c r="J701">
        <f>INDEX(Products!$E$2:$E$37, MATCH(D701, Products!$A$2:$A$37, 0))</f>
        <v>175</v>
      </c>
      <c r="K701" s="9">
        <f t="shared" si="40"/>
        <v>169.15</v>
      </c>
      <c r="L701">
        <f t="shared" si="41"/>
        <v>175</v>
      </c>
      <c r="M701" s="9">
        <f t="shared" si="42"/>
        <v>-5.8499999999999943</v>
      </c>
      <c r="N701" t="str">
        <f t="shared" si="43"/>
        <v>Mar</v>
      </c>
    </row>
    <row r="702" spans="1:14" x14ac:dyDescent="0.3">
      <c r="A702" s="2" t="s">
        <v>768</v>
      </c>
      <c r="B702" s="6">
        <v>45718</v>
      </c>
      <c r="C702" s="2" t="s">
        <v>44</v>
      </c>
      <c r="D702" s="2" t="s">
        <v>68</v>
      </c>
      <c r="E702" s="2">
        <v>2</v>
      </c>
      <c r="F702" s="7">
        <v>249</v>
      </c>
      <c r="G702" s="8">
        <v>0</v>
      </c>
      <c r="H702" s="9" t="str">
        <f>INDEX(Products!$B$2:$B$37, MATCH(D702, Products!$A$2:$A$37, 0))</f>
        <v>Bluetooth Speaker Mini</v>
      </c>
      <c r="I702" t="str">
        <f>INDEX(Products!$C$2:$C$37, MATCH(D702, Products!$A$2:$A$37, 0))</f>
        <v>Electronics</v>
      </c>
      <c r="J702">
        <f>INDEX(Products!$E$2:$E$37, MATCH(D702, Products!$A$2:$A$37, 0))</f>
        <v>150</v>
      </c>
      <c r="K702" s="9">
        <f t="shared" si="40"/>
        <v>498</v>
      </c>
      <c r="L702">
        <f t="shared" si="41"/>
        <v>300</v>
      </c>
      <c r="M702" s="9">
        <f t="shared" si="42"/>
        <v>198</v>
      </c>
      <c r="N702" t="str">
        <f t="shared" si="43"/>
        <v>Mar</v>
      </c>
    </row>
    <row r="703" spans="1:14" x14ac:dyDescent="0.3">
      <c r="A703" s="2" t="s">
        <v>769</v>
      </c>
      <c r="B703" s="6">
        <v>45718</v>
      </c>
      <c r="C703" s="2" t="s">
        <v>44</v>
      </c>
      <c r="D703" s="2" t="s">
        <v>46</v>
      </c>
      <c r="E703" s="2">
        <v>1</v>
      </c>
      <c r="F703" s="7">
        <v>189</v>
      </c>
      <c r="G703" s="8">
        <v>0</v>
      </c>
      <c r="H703" s="9" t="str">
        <f>INDEX(Products!$B$2:$B$37, MATCH(D703, Products!$A$2:$A$37, 0))</f>
        <v>Makeup Palette</v>
      </c>
      <c r="I703" t="str">
        <f>INDEX(Products!$C$2:$C$37, MATCH(D703, Products!$A$2:$A$37, 0))</f>
        <v>Beauty</v>
      </c>
      <c r="J703">
        <f>INDEX(Products!$E$2:$E$37, MATCH(D703, Products!$A$2:$A$37, 0))</f>
        <v>85</v>
      </c>
      <c r="K703" s="9">
        <f t="shared" si="40"/>
        <v>189</v>
      </c>
      <c r="L703">
        <f t="shared" si="41"/>
        <v>85</v>
      </c>
      <c r="M703" s="9">
        <f t="shared" si="42"/>
        <v>104</v>
      </c>
      <c r="N703" t="str">
        <f t="shared" si="43"/>
        <v>Mar</v>
      </c>
    </row>
    <row r="704" spans="1:14" x14ac:dyDescent="0.3">
      <c r="A704" s="2" t="s">
        <v>770</v>
      </c>
      <c r="B704" s="6">
        <v>45718</v>
      </c>
      <c r="C704" s="2" t="s">
        <v>28</v>
      </c>
      <c r="D704" s="2" t="s">
        <v>89</v>
      </c>
      <c r="E704" s="2">
        <v>1</v>
      </c>
      <c r="F704" s="7">
        <v>399</v>
      </c>
      <c r="G704" s="8">
        <v>0</v>
      </c>
      <c r="H704" s="9" t="str">
        <f>INDEX(Products!$B$2:$B$37, MATCH(D704, Products!$A$2:$A$37, 0))</f>
        <v>Men's Kandura Premium</v>
      </c>
      <c r="I704" t="str">
        <f>INDEX(Products!$C$2:$C$37, MATCH(D704, Products!$A$2:$A$37, 0))</f>
        <v>Fashion</v>
      </c>
      <c r="J704">
        <f>INDEX(Products!$E$2:$E$37, MATCH(D704, Products!$A$2:$A$37, 0))</f>
        <v>210</v>
      </c>
      <c r="K704" s="9">
        <f t="shared" si="40"/>
        <v>399</v>
      </c>
      <c r="L704">
        <f t="shared" si="41"/>
        <v>210</v>
      </c>
      <c r="M704" s="9">
        <f t="shared" si="42"/>
        <v>189</v>
      </c>
      <c r="N704" t="str">
        <f t="shared" si="43"/>
        <v>Mar</v>
      </c>
    </row>
    <row r="705" spans="1:14" x14ac:dyDescent="0.3">
      <c r="A705" s="2" t="s">
        <v>771</v>
      </c>
      <c r="B705" s="6">
        <v>45718</v>
      </c>
      <c r="C705" s="2" t="s">
        <v>44</v>
      </c>
      <c r="D705" s="2" t="s">
        <v>129</v>
      </c>
      <c r="E705" s="2">
        <v>1</v>
      </c>
      <c r="F705" s="7">
        <v>149</v>
      </c>
      <c r="G705" s="8">
        <v>0</v>
      </c>
      <c r="H705" s="9" t="str">
        <f>INDEX(Products!$B$2:$B$37, MATCH(D705, Products!$A$2:$A$37, 0))</f>
        <v>Power Bank 20000mAh</v>
      </c>
      <c r="I705" t="str">
        <f>INDEX(Products!$C$2:$C$37, MATCH(D705, Products!$A$2:$A$37, 0))</f>
        <v>Electronics</v>
      </c>
      <c r="J705">
        <f>INDEX(Products!$E$2:$E$37, MATCH(D705, Products!$A$2:$A$37, 0))</f>
        <v>70</v>
      </c>
      <c r="K705" s="9">
        <f t="shared" si="40"/>
        <v>149</v>
      </c>
      <c r="L705">
        <f t="shared" si="41"/>
        <v>70</v>
      </c>
      <c r="M705" s="9">
        <f t="shared" si="42"/>
        <v>79</v>
      </c>
      <c r="N705" t="str">
        <f t="shared" si="43"/>
        <v>Mar</v>
      </c>
    </row>
    <row r="706" spans="1:14" x14ac:dyDescent="0.3">
      <c r="A706" s="2" t="s">
        <v>772</v>
      </c>
      <c r="B706" s="6">
        <v>45718</v>
      </c>
      <c r="C706" s="2" t="s">
        <v>48</v>
      </c>
      <c r="D706" s="2" t="s">
        <v>29</v>
      </c>
      <c r="E706" s="2">
        <v>1</v>
      </c>
      <c r="F706" s="7">
        <v>229</v>
      </c>
      <c r="G706" s="8">
        <v>0.15</v>
      </c>
      <c r="H706" s="9" t="str">
        <f>INDEX(Products!$B$2:$B$37, MATCH(D706, Products!$A$2:$A$37, 0))</f>
        <v>Women's Summer Dress</v>
      </c>
      <c r="I706" t="str">
        <f>INDEX(Products!$C$2:$C$37, MATCH(D706, Products!$A$2:$A$37, 0))</f>
        <v>Fashion</v>
      </c>
      <c r="J706">
        <f>INDEX(Products!$E$2:$E$37, MATCH(D706, Products!$A$2:$A$37, 0))</f>
        <v>120</v>
      </c>
      <c r="K706" s="9">
        <f t="shared" ref="K706:K769" si="44">E706*F706*(1-G706)</f>
        <v>194.65</v>
      </c>
      <c r="L706">
        <f t="shared" ref="L706:L769" si="45">E706*J706</f>
        <v>120</v>
      </c>
      <c r="M706" s="9">
        <f t="shared" ref="M706:M769" si="46">K706-L706</f>
        <v>74.650000000000006</v>
      </c>
      <c r="N706" t="str">
        <f t="shared" ref="N706:N769" si="47">TEXT(B706,"mmm")</f>
        <v>Mar</v>
      </c>
    </row>
    <row r="707" spans="1:14" x14ac:dyDescent="0.3">
      <c r="A707" s="2" t="s">
        <v>773</v>
      </c>
      <c r="B707" s="6">
        <v>45718</v>
      </c>
      <c r="C707" s="2" t="s">
        <v>44</v>
      </c>
      <c r="D707" s="2" t="s">
        <v>106</v>
      </c>
      <c r="E707" s="2">
        <v>1</v>
      </c>
      <c r="F707" s="7">
        <v>1299</v>
      </c>
      <c r="G707" s="8">
        <v>0.2</v>
      </c>
      <c r="H707" s="9" t="str">
        <f>INDEX(Products!$B$2:$B$37, MATCH(D707, Products!$A$2:$A$37, 0))</f>
        <v>Smart Watch Series 5</v>
      </c>
      <c r="I707" t="str">
        <f>INDEX(Products!$C$2:$C$37, MATCH(D707, Products!$A$2:$A$37, 0))</f>
        <v>Electronics</v>
      </c>
      <c r="J707">
        <f>INDEX(Products!$E$2:$E$37, MATCH(D707, Products!$A$2:$A$37, 0))</f>
        <v>820</v>
      </c>
      <c r="K707" s="9">
        <f t="shared" si="44"/>
        <v>1039.2</v>
      </c>
      <c r="L707">
        <f t="shared" si="45"/>
        <v>820</v>
      </c>
      <c r="M707" s="9">
        <f t="shared" si="46"/>
        <v>219.20000000000005</v>
      </c>
      <c r="N707" t="str">
        <f t="shared" si="47"/>
        <v>Mar</v>
      </c>
    </row>
    <row r="708" spans="1:14" x14ac:dyDescent="0.3">
      <c r="A708" s="2" t="s">
        <v>774</v>
      </c>
      <c r="B708" s="6">
        <v>45719</v>
      </c>
      <c r="C708" s="2" t="s">
        <v>41</v>
      </c>
      <c r="D708" s="2" t="s">
        <v>95</v>
      </c>
      <c r="E708" s="2">
        <v>2</v>
      </c>
      <c r="F708" s="7">
        <v>259</v>
      </c>
      <c r="G708" s="8">
        <v>0.2</v>
      </c>
      <c r="H708" s="9" t="str">
        <f>INDEX(Products!$B$2:$B$37, MATCH(D708, Products!$A$2:$A$37, 0))</f>
        <v>Bed Linen Set (King)</v>
      </c>
      <c r="I708" t="str">
        <f>INDEX(Products!$C$2:$C$37, MATCH(D708, Products!$A$2:$A$37, 0))</f>
        <v>Home &amp; Kitchen</v>
      </c>
      <c r="J708">
        <f>INDEX(Products!$E$2:$E$37, MATCH(D708, Products!$A$2:$A$37, 0))</f>
        <v>115</v>
      </c>
      <c r="K708" s="9">
        <f t="shared" si="44"/>
        <v>414.40000000000003</v>
      </c>
      <c r="L708">
        <f t="shared" si="45"/>
        <v>230</v>
      </c>
      <c r="M708" s="9">
        <f t="shared" si="46"/>
        <v>184.40000000000003</v>
      </c>
      <c r="N708" t="str">
        <f t="shared" si="47"/>
        <v>Mar</v>
      </c>
    </row>
    <row r="709" spans="1:14" x14ac:dyDescent="0.3">
      <c r="A709" s="2" t="s">
        <v>775</v>
      </c>
      <c r="B709" s="6">
        <v>45719</v>
      </c>
      <c r="C709" s="2" t="s">
        <v>41</v>
      </c>
      <c r="D709" s="2" t="s">
        <v>80</v>
      </c>
      <c r="E709" s="2">
        <v>1</v>
      </c>
      <c r="F709" s="7">
        <v>149</v>
      </c>
      <c r="G709" s="8">
        <v>0.1</v>
      </c>
      <c r="H709" s="9" t="str">
        <f>INDEX(Products!$B$2:$B$37, MATCH(D709, Products!$A$2:$A$37, 0))</f>
        <v>Vitamin C Serum</v>
      </c>
      <c r="I709" t="str">
        <f>INDEX(Products!$C$2:$C$37, MATCH(D709, Products!$A$2:$A$37, 0))</f>
        <v>Beauty</v>
      </c>
      <c r="J709">
        <f>INDEX(Products!$E$2:$E$37, MATCH(D709, Products!$A$2:$A$37, 0))</f>
        <v>55</v>
      </c>
      <c r="K709" s="9">
        <f t="shared" si="44"/>
        <v>134.1</v>
      </c>
      <c r="L709">
        <f t="shared" si="45"/>
        <v>55</v>
      </c>
      <c r="M709" s="9">
        <f t="shared" si="46"/>
        <v>79.099999999999994</v>
      </c>
      <c r="N709" t="str">
        <f t="shared" si="47"/>
        <v>Mar</v>
      </c>
    </row>
    <row r="710" spans="1:14" x14ac:dyDescent="0.3">
      <c r="A710" s="2" t="s">
        <v>776</v>
      </c>
      <c r="B710" s="6">
        <v>45719</v>
      </c>
      <c r="C710" s="2" t="s">
        <v>31</v>
      </c>
      <c r="D710" s="2" t="s">
        <v>149</v>
      </c>
      <c r="E710" s="2">
        <v>1</v>
      </c>
      <c r="F710" s="7">
        <v>399</v>
      </c>
      <c r="G710" s="8">
        <v>0</v>
      </c>
      <c r="H710" s="9" t="str">
        <f>INDEX(Products!$B$2:$B$37, MATCH(D710, Products!$A$2:$A$37, 0))</f>
        <v>Blender Pro 1200W</v>
      </c>
      <c r="I710" t="str">
        <f>INDEX(Products!$C$2:$C$37, MATCH(D710, Products!$A$2:$A$37, 0))</f>
        <v>Home &amp; Kitchen</v>
      </c>
      <c r="J710">
        <f>INDEX(Products!$E$2:$E$37, MATCH(D710, Products!$A$2:$A$37, 0))</f>
        <v>250</v>
      </c>
      <c r="K710" s="9">
        <f t="shared" si="44"/>
        <v>399</v>
      </c>
      <c r="L710">
        <f t="shared" si="45"/>
        <v>250</v>
      </c>
      <c r="M710" s="9">
        <f t="shared" si="46"/>
        <v>149</v>
      </c>
      <c r="N710" t="str">
        <f t="shared" si="47"/>
        <v>Mar</v>
      </c>
    </row>
    <row r="711" spans="1:14" x14ac:dyDescent="0.3">
      <c r="A711" s="2" t="s">
        <v>777</v>
      </c>
      <c r="B711" s="6">
        <v>45719</v>
      </c>
      <c r="C711" s="2" t="s">
        <v>28</v>
      </c>
      <c r="D711" s="2" t="s">
        <v>42</v>
      </c>
      <c r="E711" s="2">
        <v>1</v>
      </c>
      <c r="F711" s="7">
        <v>399</v>
      </c>
      <c r="G711" s="8">
        <v>0.2</v>
      </c>
      <c r="H711" s="9" t="str">
        <f>INDEX(Products!$B$2:$B$37, MATCH(D711, Products!$A$2:$A$37, 0))</f>
        <v>Wireless Earbuds Pro</v>
      </c>
      <c r="I711" t="str">
        <f>INDEX(Products!$C$2:$C$37, MATCH(D711, Products!$A$2:$A$37, 0))</f>
        <v>Electronics</v>
      </c>
      <c r="J711">
        <f>INDEX(Products!$E$2:$E$37, MATCH(D711, Products!$A$2:$A$37, 0))</f>
        <v>230</v>
      </c>
      <c r="K711" s="9">
        <f t="shared" si="44"/>
        <v>319.20000000000005</v>
      </c>
      <c r="L711">
        <f t="shared" si="45"/>
        <v>230</v>
      </c>
      <c r="M711" s="9">
        <f t="shared" si="46"/>
        <v>89.200000000000045</v>
      </c>
      <c r="N711" t="str">
        <f t="shared" si="47"/>
        <v>Mar</v>
      </c>
    </row>
    <row r="712" spans="1:14" x14ac:dyDescent="0.3">
      <c r="A712" s="2" t="s">
        <v>778</v>
      </c>
      <c r="B712" s="6">
        <v>45719</v>
      </c>
      <c r="C712" s="2" t="s">
        <v>48</v>
      </c>
      <c r="D712" s="2" t="s">
        <v>52</v>
      </c>
      <c r="E712" s="2">
        <v>1</v>
      </c>
      <c r="F712" s="7">
        <v>299</v>
      </c>
      <c r="G712" s="8">
        <v>0.15</v>
      </c>
      <c r="H712" s="9" t="str">
        <f>INDEX(Products!$B$2:$B$37, MATCH(D712, Products!$A$2:$A$37, 0))</f>
        <v>Hair Dryer Ionic</v>
      </c>
      <c r="I712" t="str">
        <f>INDEX(Products!$C$2:$C$37, MATCH(D712, Products!$A$2:$A$37, 0))</f>
        <v>Beauty</v>
      </c>
      <c r="J712">
        <f>INDEX(Products!$E$2:$E$37, MATCH(D712, Products!$A$2:$A$37, 0))</f>
        <v>240</v>
      </c>
      <c r="K712" s="9">
        <f t="shared" si="44"/>
        <v>254.15</v>
      </c>
      <c r="L712">
        <f t="shared" si="45"/>
        <v>240</v>
      </c>
      <c r="M712" s="9">
        <f t="shared" si="46"/>
        <v>14.150000000000006</v>
      </c>
      <c r="N712" t="str">
        <f t="shared" si="47"/>
        <v>Mar</v>
      </c>
    </row>
    <row r="713" spans="1:14" x14ac:dyDescent="0.3">
      <c r="A713" s="2" t="s">
        <v>779</v>
      </c>
      <c r="B713" s="6">
        <v>45719</v>
      </c>
      <c r="C713" s="2" t="s">
        <v>48</v>
      </c>
      <c r="D713" s="2" t="s">
        <v>58</v>
      </c>
      <c r="E713" s="2">
        <v>1</v>
      </c>
      <c r="F713" s="7">
        <v>459</v>
      </c>
      <c r="G713" s="8">
        <v>0.2</v>
      </c>
      <c r="H713" s="9" t="str">
        <f>INDEX(Products!$B$2:$B$37, MATCH(D713, Products!$A$2:$A$37, 0))</f>
        <v>Women's Abaya Classic</v>
      </c>
      <c r="I713" t="str">
        <f>INDEX(Products!$C$2:$C$37, MATCH(D713, Products!$A$2:$A$37, 0))</f>
        <v>Fashion</v>
      </c>
      <c r="J713">
        <f>INDEX(Products!$E$2:$E$37, MATCH(D713, Products!$A$2:$A$37, 0))</f>
        <v>190</v>
      </c>
      <c r="K713" s="9">
        <f t="shared" si="44"/>
        <v>367.20000000000005</v>
      </c>
      <c r="L713">
        <f t="shared" si="45"/>
        <v>190</v>
      </c>
      <c r="M713" s="9">
        <f t="shared" si="46"/>
        <v>177.20000000000005</v>
      </c>
      <c r="N713" t="str">
        <f t="shared" si="47"/>
        <v>Mar</v>
      </c>
    </row>
    <row r="714" spans="1:14" x14ac:dyDescent="0.3">
      <c r="A714" s="2" t="s">
        <v>780</v>
      </c>
      <c r="B714" s="6">
        <v>45719</v>
      </c>
      <c r="C714" s="2" t="s">
        <v>44</v>
      </c>
      <c r="D714" s="2" t="s">
        <v>103</v>
      </c>
      <c r="E714" s="2">
        <v>1</v>
      </c>
      <c r="F714" s="7">
        <v>89</v>
      </c>
      <c r="G714" s="8">
        <v>0.2</v>
      </c>
      <c r="H714" s="9" t="str">
        <f>INDEX(Products!$B$2:$B$37, MATCH(D714, Products!$A$2:$A$37, 0))</f>
        <v>Sunscreen SPF50</v>
      </c>
      <c r="I714" t="str">
        <f>INDEX(Products!$C$2:$C$37, MATCH(D714, Products!$A$2:$A$37, 0))</f>
        <v>Beauty</v>
      </c>
      <c r="J714">
        <f>INDEX(Products!$E$2:$E$37, MATCH(D714, Products!$A$2:$A$37, 0))</f>
        <v>40</v>
      </c>
      <c r="K714" s="9">
        <f t="shared" si="44"/>
        <v>71.2</v>
      </c>
      <c r="L714">
        <f t="shared" si="45"/>
        <v>40</v>
      </c>
      <c r="M714" s="9">
        <f t="shared" si="46"/>
        <v>31.200000000000003</v>
      </c>
      <c r="N714" t="str">
        <f t="shared" si="47"/>
        <v>Mar</v>
      </c>
    </row>
    <row r="715" spans="1:14" x14ac:dyDescent="0.3">
      <c r="A715" s="2" t="s">
        <v>781</v>
      </c>
      <c r="B715" s="6">
        <v>45719</v>
      </c>
      <c r="C715" s="2" t="s">
        <v>31</v>
      </c>
      <c r="D715" s="2" t="s">
        <v>126</v>
      </c>
      <c r="E715" s="2">
        <v>3</v>
      </c>
      <c r="F715" s="7">
        <v>89</v>
      </c>
      <c r="G715" s="8">
        <v>0</v>
      </c>
      <c r="H715" s="9" t="str">
        <f>INDEX(Products!$B$2:$B$37, MATCH(D715, Products!$A$2:$A$37, 0))</f>
        <v>USB-C Fast Charger</v>
      </c>
      <c r="I715" t="str">
        <f>INDEX(Products!$C$2:$C$37, MATCH(D715, Products!$A$2:$A$37, 0))</f>
        <v>Electronics</v>
      </c>
      <c r="J715">
        <f>INDEX(Products!$E$2:$E$37, MATCH(D715, Products!$A$2:$A$37, 0))</f>
        <v>35</v>
      </c>
      <c r="K715" s="9">
        <f t="shared" si="44"/>
        <v>267</v>
      </c>
      <c r="L715">
        <f t="shared" si="45"/>
        <v>105</v>
      </c>
      <c r="M715" s="9">
        <f t="shared" si="46"/>
        <v>162</v>
      </c>
      <c r="N715" t="str">
        <f t="shared" si="47"/>
        <v>Mar</v>
      </c>
    </row>
    <row r="716" spans="1:14" x14ac:dyDescent="0.3">
      <c r="A716" s="2" t="s">
        <v>782</v>
      </c>
      <c r="B716" s="6">
        <v>45719</v>
      </c>
      <c r="C716" s="2" t="s">
        <v>28</v>
      </c>
      <c r="D716" s="2" t="s">
        <v>68</v>
      </c>
      <c r="E716" s="2">
        <v>1</v>
      </c>
      <c r="F716" s="7">
        <v>249</v>
      </c>
      <c r="G716" s="8">
        <v>0.05</v>
      </c>
      <c r="H716" s="9" t="str">
        <f>INDEX(Products!$B$2:$B$37, MATCH(D716, Products!$A$2:$A$37, 0))</f>
        <v>Bluetooth Speaker Mini</v>
      </c>
      <c r="I716" t="str">
        <f>INDEX(Products!$C$2:$C$37, MATCH(D716, Products!$A$2:$A$37, 0))</f>
        <v>Electronics</v>
      </c>
      <c r="J716">
        <f>INDEX(Products!$E$2:$E$37, MATCH(D716, Products!$A$2:$A$37, 0))</f>
        <v>150</v>
      </c>
      <c r="K716" s="9">
        <f t="shared" si="44"/>
        <v>236.54999999999998</v>
      </c>
      <c r="L716">
        <f t="shared" si="45"/>
        <v>150</v>
      </c>
      <c r="M716" s="9">
        <f t="shared" si="46"/>
        <v>86.549999999999983</v>
      </c>
      <c r="N716" t="str">
        <f t="shared" si="47"/>
        <v>Mar</v>
      </c>
    </row>
    <row r="717" spans="1:14" x14ac:dyDescent="0.3">
      <c r="A717" s="2" t="s">
        <v>783</v>
      </c>
      <c r="B717" s="6">
        <v>45719</v>
      </c>
      <c r="C717" s="2" t="s">
        <v>31</v>
      </c>
      <c r="D717" s="2" t="s">
        <v>78</v>
      </c>
      <c r="E717" s="2">
        <v>1</v>
      </c>
      <c r="F717" s="7">
        <v>499</v>
      </c>
      <c r="G717" s="8">
        <v>0</v>
      </c>
      <c r="H717" s="9" t="str">
        <f>INDEX(Products!$B$2:$B$37, MATCH(D717, Products!$A$2:$A$37, 0))</f>
        <v>Air Fryer 5L</v>
      </c>
      <c r="I717" t="str">
        <f>INDEX(Products!$C$2:$C$37, MATCH(D717, Products!$A$2:$A$37, 0))</f>
        <v>Home &amp; Kitchen</v>
      </c>
      <c r="J717">
        <f>INDEX(Products!$E$2:$E$37, MATCH(D717, Products!$A$2:$A$37, 0))</f>
        <v>290</v>
      </c>
      <c r="K717" s="9">
        <f t="shared" si="44"/>
        <v>499</v>
      </c>
      <c r="L717">
        <f t="shared" si="45"/>
        <v>290</v>
      </c>
      <c r="M717" s="9">
        <f t="shared" si="46"/>
        <v>209</v>
      </c>
      <c r="N717" t="str">
        <f t="shared" si="47"/>
        <v>Mar</v>
      </c>
    </row>
    <row r="718" spans="1:14" x14ac:dyDescent="0.3">
      <c r="A718" s="2" t="s">
        <v>784</v>
      </c>
      <c r="B718" s="6">
        <v>45719</v>
      </c>
      <c r="C718" s="2" t="s">
        <v>41</v>
      </c>
      <c r="D718" s="2" t="s">
        <v>33</v>
      </c>
      <c r="E718" s="2">
        <v>1</v>
      </c>
      <c r="F718" s="7">
        <v>199</v>
      </c>
      <c r="G718" s="8">
        <v>0.25</v>
      </c>
      <c r="H718" s="9" t="str">
        <f>INDEX(Products!$B$2:$B$37, MATCH(D718, Products!$A$2:$A$37, 0))</f>
        <v>Fitness Band Lite</v>
      </c>
      <c r="I718" t="str">
        <f>INDEX(Products!$C$2:$C$37, MATCH(D718, Products!$A$2:$A$37, 0))</f>
        <v>Electronics</v>
      </c>
      <c r="J718">
        <f>INDEX(Products!$E$2:$E$37, MATCH(D718, Products!$A$2:$A$37, 0))</f>
        <v>175</v>
      </c>
      <c r="K718" s="9">
        <f t="shared" si="44"/>
        <v>149.25</v>
      </c>
      <c r="L718">
        <f t="shared" si="45"/>
        <v>175</v>
      </c>
      <c r="M718" s="9">
        <f t="shared" si="46"/>
        <v>-25.75</v>
      </c>
      <c r="N718" t="str">
        <f t="shared" si="47"/>
        <v>Mar</v>
      </c>
    </row>
    <row r="719" spans="1:14" x14ac:dyDescent="0.3">
      <c r="A719" s="2" t="s">
        <v>785</v>
      </c>
      <c r="B719" s="6">
        <v>45719</v>
      </c>
      <c r="C719" s="2" t="s">
        <v>28</v>
      </c>
      <c r="D719" s="2" t="s">
        <v>60</v>
      </c>
      <c r="E719" s="2">
        <v>1</v>
      </c>
      <c r="F719" s="7">
        <v>99</v>
      </c>
      <c r="G719" s="8">
        <v>0</v>
      </c>
      <c r="H719" s="9" t="str">
        <f>INDEX(Products!$B$2:$B$37, MATCH(D719, Products!$A$2:$A$37, 0))</f>
        <v>Football Size 5</v>
      </c>
      <c r="I719" t="str">
        <f>INDEX(Products!$C$2:$C$37, MATCH(D719, Products!$A$2:$A$37, 0))</f>
        <v>Sports</v>
      </c>
      <c r="J719">
        <f>INDEX(Products!$E$2:$E$37, MATCH(D719, Products!$A$2:$A$37, 0))</f>
        <v>45</v>
      </c>
      <c r="K719" s="9">
        <f t="shared" si="44"/>
        <v>99</v>
      </c>
      <c r="L719">
        <f t="shared" si="45"/>
        <v>45</v>
      </c>
      <c r="M719" s="9">
        <f t="shared" si="46"/>
        <v>54</v>
      </c>
      <c r="N719" t="str">
        <f t="shared" si="47"/>
        <v>Mar</v>
      </c>
    </row>
    <row r="720" spans="1:14" x14ac:dyDescent="0.3">
      <c r="A720" s="2" t="s">
        <v>786</v>
      </c>
      <c r="B720" s="6">
        <v>45719</v>
      </c>
      <c r="C720" s="2" t="s">
        <v>28</v>
      </c>
      <c r="D720" s="2" t="s">
        <v>95</v>
      </c>
      <c r="E720" s="2">
        <v>1</v>
      </c>
      <c r="F720" s="7">
        <v>259</v>
      </c>
      <c r="G720" s="8">
        <v>0.1</v>
      </c>
      <c r="H720" s="9" t="str">
        <f>INDEX(Products!$B$2:$B$37, MATCH(D720, Products!$A$2:$A$37, 0))</f>
        <v>Bed Linen Set (King)</v>
      </c>
      <c r="I720" t="str">
        <f>INDEX(Products!$C$2:$C$37, MATCH(D720, Products!$A$2:$A$37, 0))</f>
        <v>Home &amp; Kitchen</v>
      </c>
      <c r="J720">
        <f>INDEX(Products!$E$2:$E$37, MATCH(D720, Products!$A$2:$A$37, 0))</f>
        <v>115</v>
      </c>
      <c r="K720" s="9">
        <f t="shared" si="44"/>
        <v>233.1</v>
      </c>
      <c r="L720">
        <f t="shared" si="45"/>
        <v>115</v>
      </c>
      <c r="M720" s="9">
        <f t="shared" si="46"/>
        <v>118.1</v>
      </c>
      <c r="N720" t="str">
        <f t="shared" si="47"/>
        <v>Mar</v>
      </c>
    </row>
    <row r="721" spans="1:14" x14ac:dyDescent="0.3">
      <c r="A721" s="2" t="s">
        <v>787</v>
      </c>
      <c r="B721" s="6">
        <v>45719</v>
      </c>
      <c r="C721" s="2" t="s">
        <v>31</v>
      </c>
      <c r="D721" s="2" t="s">
        <v>165</v>
      </c>
      <c r="E721" s="2">
        <v>1</v>
      </c>
      <c r="F721" s="7">
        <v>69</v>
      </c>
      <c r="G721" s="8">
        <v>0.05</v>
      </c>
      <c r="H721" s="9" t="str">
        <f>INDEX(Products!$B$2:$B$37, MATCH(D721, Products!$A$2:$A$37, 0))</f>
        <v>Swim Goggles</v>
      </c>
      <c r="I721" t="str">
        <f>INDEX(Products!$C$2:$C$37, MATCH(D721, Products!$A$2:$A$37, 0))</f>
        <v>Sports</v>
      </c>
      <c r="J721">
        <f>INDEX(Products!$E$2:$E$37, MATCH(D721, Products!$A$2:$A$37, 0))</f>
        <v>25</v>
      </c>
      <c r="K721" s="9">
        <f t="shared" si="44"/>
        <v>65.55</v>
      </c>
      <c r="L721">
        <f t="shared" si="45"/>
        <v>25</v>
      </c>
      <c r="M721" s="9">
        <f t="shared" si="46"/>
        <v>40.549999999999997</v>
      </c>
      <c r="N721" t="str">
        <f t="shared" si="47"/>
        <v>Mar</v>
      </c>
    </row>
    <row r="722" spans="1:14" x14ac:dyDescent="0.3">
      <c r="A722" s="2" t="s">
        <v>788</v>
      </c>
      <c r="B722" s="6">
        <v>45719</v>
      </c>
      <c r="C722" s="2" t="s">
        <v>41</v>
      </c>
      <c r="D722" s="2" t="s">
        <v>99</v>
      </c>
      <c r="E722" s="2">
        <v>1</v>
      </c>
      <c r="F722" s="7">
        <v>459</v>
      </c>
      <c r="G722" s="8">
        <v>0.05</v>
      </c>
      <c r="H722" s="9" t="str">
        <f>INDEX(Products!$B$2:$B$37, MATCH(D722, Products!$A$2:$A$37, 0))</f>
        <v>Gaming Headset X</v>
      </c>
      <c r="I722" t="str">
        <f>INDEX(Products!$C$2:$C$37, MATCH(D722, Products!$A$2:$A$37, 0))</f>
        <v>Electronics</v>
      </c>
      <c r="J722">
        <f>INDEX(Products!$E$2:$E$37, MATCH(D722, Products!$A$2:$A$37, 0))</f>
        <v>300</v>
      </c>
      <c r="K722" s="9">
        <f t="shared" si="44"/>
        <v>436.04999999999995</v>
      </c>
      <c r="L722">
        <f t="shared" si="45"/>
        <v>300</v>
      </c>
      <c r="M722" s="9">
        <f t="shared" si="46"/>
        <v>136.04999999999995</v>
      </c>
      <c r="N722" t="str">
        <f t="shared" si="47"/>
        <v>Mar</v>
      </c>
    </row>
    <row r="723" spans="1:14" x14ac:dyDescent="0.3">
      <c r="A723" s="2" t="s">
        <v>789</v>
      </c>
      <c r="B723" s="6">
        <v>45719</v>
      </c>
      <c r="C723" s="2" t="s">
        <v>41</v>
      </c>
      <c r="D723" s="2" t="s">
        <v>56</v>
      </c>
      <c r="E723" s="2">
        <v>2</v>
      </c>
      <c r="F723" s="7">
        <v>289</v>
      </c>
      <c r="G723" s="8">
        <v>0.1</v>
      </c>
      <c r="H723" s="9" t="str">
        <f>INDEX(Products!$B$2:$B$37, MATCH(D723, Products!$A$2:$A$37, 0))</f>
        <v>Ceramic Dinner Set</v>
      </c>
      <c r="I723" t="str">
        <f>INDEX(Products!$C$2:$C$37, MATCH(D723, Products!$A$2:$A$37, 0))</f>
        <v>Home &amp; Kitchen</v>
      </c>
      <c r="J723">
        <f>INDEX(Products!$E$2:$E$37, MATCH(D723, Products!$A$2:$A$37, 0))</f>
        <v>140</v>
      </c>
      <c r="K723" s="9">
        <f t="shared" si="44"/>
        <v>520.20000000000005</v>
      </c>
      <c r="L723">
        <f t="shared" si="45"/>
        <v>280</v>
      </c>
      <c r="M723" s="9">
        <f t="shared" si="46"/>
        <v>240.20000000000005</v>
      </c>
      <c r="N723" t="str">
        <f t="shared" si="47"/>
        <v>Mar</v>
      </c>
    </row>
    <row r="724" spans="1:14" x14ac:dyDescent="0.3">
      <c r="A724" s="2" t="s">
        <v>790</v>
      </c>
      <c r="B724" s="6">
        <v>45719</v>
      </c>
      <c r="C724" s="2" t="s">
        <v>44</v>
      </c>
      <c r="D724" s="2" t="s">
        <v>75</v>
      </c>
      <c r="E724" s="2">
        <v>2</v>
      </c>
      <c r="F724" s="7">
        <v>549</v>
      </c>
      <c r="G724" s="8">
        <v>0.1</v>
      </c>
      <c r="H724" s="9" t="str">
        <f>INDEX(Products!$B$2:$B$37, MATCH(D724, Products!$A$2:$A$37, 0))</f>
        <v>Oud Perfume 100ml</v>
      </c>
      <c r="I724" t="str">
        <f>INDEX(Products!$C$2:$C$37, MATCH(D724, Products!$A$2:$A$37, 0))</f>
        <v>Beauty</v>
      </c>
      <c r="J724">
        <f>INDEX(Products!$E$2:$E$37, MATCH(D724, Products!$A$2:$A$37, 0))</f>
        <v>250</v>
      </c>
      <c r="K724" s="9">
        <f t="shared" si="44"/>
        <v>988.2</v>
      </c>
      <c r="L724">
        <f t="shared" si="45"/>
        <v>500</v>
      </c>
      <c r="M724" s="9">
        <f t="shared" si="46"/>
        <v>488.20000000000005</v>
      </c>
      <c r="N724" t="str">
        <f t="shared" si="47"/>
        <v>Mar</v>
      </c>
    </row>
    <row r="725" spans="1:14" x14ac:dyDescent="0.3">
      <c r="A725" s="2" t="s">
        <v>791</v>
      </c>
      <c r="B725" s="6">
        <v>45720</v>
      </c>
      <c r="C725" s="2" t="s">
        <v>41</v>
      </c>
      <c r="D725" s="2" t="s">
        <v>49</v>
      </c>
      <c r="E725" s="2">
        <v>2</v>
      </c>
      <c r="F725" s="7">
        <v>149</v>
      </c>
      <c r="G725" s="8">
        <v>0.05</v>
      </c>
      <c r="H725" s="9" t="str">
        <f>INDEX(Products!$B$2:$B$37, MATCH(D725, Products!$A$2:$A$37, 0))</f>
        <v>Kids' Sneakers</v>
      </c>
      <c r="I725" t="str">
        <f>INDEX(Products!$C$2:$C$37, MATCH(D725, Products!$A$2:$A$37, 0))</f>
        <v>Fashion</v>
      </c>
      <c r="J725">
        <f>INDEX(Products!$E$2:$E$37, MATCH(D725, Products!$A$2:$A$37, 0))</f>
        <v>80</v>
      </c>
      <c r="K725" s="9">
        <f t="shared" si="44"/>
        <v>283.09999999999997</v>
      </c>
      <c r="L725">
        <f t="shared" si="45"/>
        <v>160</v>
      </c>
      <c r="M725" s="9">
        <f t="shared" si="46"/>
        <v>123.09999999999997</v>
      </c>
      <c r="N725" t="str">
        <f t="shared" si="47"/>
        <v>Mar</v>
      </c>
    </row>
    <row r="726" spans="1:14" x14ac:dyDescent="0.3">
      <c r="A726" s="2" t="s">
        <v>792</v>
      </c>
      <c r="B726" s="6">
        <v>45720</v>
      </c>
      <c r="C726" s="2" t="s">
        <v>44</v>
      </c>
      <c r="D726" s="2" t="s">
        <v>49</v>
      </c>
      <c r="E726" s="2">
        <v>2</v>
      </c>
      <c r="F726" s="7">
        <v>149</v>
      </c>
      <c r="G726" s="8">
        <v>0</v>
      </c>
      <c r="H726" s="9" t="str">
        <f>INDEX(Products!$B$2:$B$37, MATCH(D726, Products!$A$2:$A$37, 0))</f>
        <v>Kids' Sneakers</v>
      </c>
      <c r="I726" t="str">
        <f>INDEX(Products!$C$2:$C$37, MATCH(D726, Products!$A$2:$A$37, 0))</f>
        <v>Fashion</v>
      </c>
      <c r="J726">
        <f>INDEX(Products!$E$2:$E$37, MATCH(D726, Products!$A$2:$A$37, 0))</f>
        <v>80</v>
      </c>
      <c r="K726" s="9">
        <f t="shared" si="44"/>
        <v>298</v>
      </c>
      <c r="L726">
        <f t="shared" si="45"/>
        <v>160</v>
      </c>
      <c r="M726" s="9">
        <f t="shared" si="46"/>
        <v>138</v>
      </c>
      <c r="N726" t="str">
        <f t="shared" si="47"/>
        <v>Mar</v>
      </c>
    </row>
    <row r="727" spans="1:14" x14ac:dyDescent="0.3">
      <c r="A727" s="2" t="s">
        <v>793</v>
      </c>
      <c r="B727" s="6">
        <v>45720</v>
      </c>
      <c r="C727" s="2" t="s">
        <v>48</v>
      </c>
      <c r="D727" s="2" t="s">
        <v>95</v>
      </c>
      <c r="E727" s="2">
        <v>1</v>
      </c>
      <c r="F727" s="7">
        <v>259</v>
      </c>
      <c r="G727" s="8">
        <v>0.05</v>
      </c>
      <c r="H727" s="9" t="str">
        <f>INDEX(Products!$B$2:$B$37, MATCH(D727, Products!$A$2:$A$37, 0))</f>
        <v>Bed Linen Set (King)</v>
      </c>
      <c r="I727" t="str">
        <f>INDEX(Products!$C$2:$C$37, MATCH(D727, Products!$A$2:$A$37, 0))</f>
        <v>Home &amp; Kitchen</v>
      </c>
      <c r="J727">
        <f>INDEX(Products!$E$2:$E$37, MATCH(D727, Products!$A$2:$A$37, 0))</f>
        <v>115</v>
      </c>
      <c r="K727" s="9">
        <f t="shared" si="44"/>
        <v>246.04999999999998</v>
      </c>
      <c r="L727">
        <f t="shared" si="45"/>
        <v>115</v>
      </c>
      <c r="M727" s="9">
        <f t="shared" si="46"/>
        <v>131.04999999999998</v>
      </c>
      <c r="N727" t="str">
        <f t="shared" si="47"/>
        <v>Mar</v>
      </c>
    </row>
    <row r="728" spans="1:14" x14ac:dyDescent="0.3">
      <c r="A728" s="2" t="s">
        <v>794</v>
      </c>
      <c r="B728" s="6">
        <v>45720</v>
      </c>
      <c r="C728" s="2" t="s">
        <v>44</v>
      </c>
      <c r="D728" s="2" t="s">
        <v>29</v>
      </c>
      <c r="E728" s="2">
        <v>2</v>
      </c>
      <c r="F728" s="7">
        <v>229</v>
      </c>
      <c r="G728" s="8">
        <v>0.2</v>
      </c>
      <c r="H728" s="9" t="str">
        <f>INDEX(Products!$B$2:$B$37, MATCH(D728, Products!$A$2:$A$37, 0))</f>
        <v>Women's Summer Dress</v>
      </c>
      <c r="I728" t="str">
        <f>INDEX(Products!$C$2:$C$37, MATCH(D728, Products!$A$2:$A$37, 0))</f>
        <v>Fashion</v>
      </c>
      <c r="J728">
        <f>INDEX(Products!$E$2:$E$37, MATCH(D728, Products!$A$2:$A$37, 0))</f>
        <v>120</v>
      </c>
      <c r="K728" s="9">
        <f t="shared" si="44"/>
        <v>366.40000000000003</v>
      </c>
      <c r="L728">
        <f t="shared" si="45"/>
        <v>240</v>
      </c>
      <c r="M728" s="9">
        <f t="shared" si="46"/>
        <v>126.40000000000003</v>
      </c>
      <c r="N728" t="str">
        <f t="shared" si="47"/>
        <v>Mar</v>
      </c>
    </row>
    <row r="729" spans="1:14" x14ac:dyDescent="0.3">
      <c r="A729" s="2" t="s">
        <v>795</v>
      </c>
      <c r="B729" s="6">
        <v>45720</v>
      </c>
      <c r="C729" s="2" t="s">
        <v>44</v>
      </c>
      <c r="D729" s="2" t="s">
        <v>42</v>
      </c>
      <c r="E729" s="2">
        <v>2</v>
      </c>
      <c r="F729" s="7">
        <v>399</v>
      </c>
      <c r="G729" s="8">
        <v>0.05</v>
      </c>
      <c r="H729" s="9" t="str">
        <f>INDEX(Products!$B$2:$B$37, MATCH(D729, Products!$A$2:$A$37, 0))</f>
        <v>Wireless Earbuds Pro</v>
      </c>
      <c r="I729" t="str">
        <f>INDEX(Products!$C$2:$C$37, MATCH(D729, Products!$A$2:$A$37, 0))</f>
        <v>Electronics</v>
      </c>
      <c r="J729">
        <f>INDEX(Products!$E$2:$E$37, MATCH(D729, Products!$A$2:$A$37, 0))</f>
        <v>230</v>
      </c>
      <c r="K729" s="9">
        <f t="shared" si="44"/>
        <v>758.09999999999991</v>
      </c>
      <c r="L729">
        <f t="shared" si="45"/>
        <v>460</v>
      </c>
      <c r="M729" s="9">
        <f t="shared" si="46"/>
        <v>298.09999999999991</v>
      </c>
      <c r="N729" t="str">
        <f t="shared" si="47"/>
        <v>Mar</v>
      </c>
    </row>
    <row r="730" spans="1:14" x14ac:dyDescent="0.3">
      <c r="A730" s="2" t="s">
        <v>796</v>
      </c>
      <c r="B730" s="6">
        <v>45720</v>
      </c>
      <c r="C730" s="2" t="s">
        <v>41</v>
      </c>
      <c r="D730" s="2" t="s">
        <v>35</v>
      </c>
      <c r="E730" s="2">
        <v>1</v>
      </c>
      <c r="F730" s="7">
        <v>179</v>
      </c>
      <c r="G730" s="8">
        <v>0.2</v>
      </c>
      <c r="H730" s="9" t="str">
        <f>INDEX(Products!$B$2:$B$37, MATCH(D730, Products!$A$2:$A$37, 0))</f>
        <v>Men's Linen Shirt</v>
      </c>
      <c r="I730" t="str">
        <f>INDEX(Products!$C$2:$C$37, MATCH(D730, Products!$A$2:$A$37, 0))</f>
        <v>Fashion</v>
      </c>
      <c r="J730">
        <f>INDEX(Products!$E$2:$E$37, MATCH(D730, Products!$A$2:$A$37, 0))</f>
        <v>70</v>
      </c>
      <c r="K730" s="9">
        <f t="shared" si="44"/>
        <v>143.20000000000002</v>
      </c>
      <c r="L730">
        <f t="shared" si="45"/>
        <v>70</v>
      </c>
      <c r="M730" s="9">
        <f t="shared" si="46"/>
        <v>73.200000000000017</v>
      </c>
      <c r="N730" t="str">
        <f t="shared" si="47"/>
        <v>Mar</v>
      </c>
    </row>
    <row r="731" spans="1:14" x14ac:dyDescent="0.3">
      <c r="A731" s="2" t="s">
        <v>797</v>
      </c>
      <c r="B731" s="6">
        <v>45720</v>
      </c>
      <c r="C731" s="2" t="s">
        <v>28</v>
      </c>
      <c r="D731" s="2" t="s">
        <v>70</v>
      </c>
      <c r="E731" s="2">
        <v>2</v>
      </c>
      <c r="F731" s="7">
        <v>429</v>
      </c>
      <c r="G731" s="8">
        <v>0</v>
      </c>
      <c r="H731" s="9" t="str">
        <f>INDEX(Products!$B$2:$B$37, MATCH(D731, Products!$A$2:$A$37, 0))</f>
        <v>Running Shoes Elite</v>
      </c>
      <c r="I731" t="str">
        <f>INDEX(Products!$C$2:$C$37, MATCH(D731, Products!$A$2:$A$37, 0))</f>
        <v>Fashion</v>
      </c>
      <c r="J731">
        <f>INDEX(Products!$E$2:$E$37, MATCH(D731, Products!$A$2:$A$37, 0))</f>
        <v>300</v>
      </c>
      <c r="K731" s="9">
        <f t="shared" si="44"/>
        <v>858</v>
      </c>
      <c r="L731">
        <f t="shared" si="45"/>
        <v>600</v>
      </c>
      <c r="M731" s="9">
        <f t="shared" si="46"/>
        <v>258</v>
      </c>
      <c r="N731" t="str">
        <f t="shared" si="47"/>
        <v>Mar</v>
      </c>
    </row>
    <row r="732" spans="1:14" x14ac:dyDescent="0.3">
      <c r="A732" s="2" t="s">
        <v>798</v>
      </c>
      <c r="B732" s="6">
        <v>45721</v>
      </c>
      <c r="C732" s="2" t="s">
        <v>48</v>
      </c>
      <c r="D732" s="2" t="s">
        <v>39</v>
      </c>
      <c r="E732" s="2">
        <v>1</v>
      </c>
      <c r="F732" s="7">
        <v>199</v>
      </c>
      <c r="G732" s="8">
        <v>0</v>
      </c>
      <c r="H732" s="9" t="str">
        <f>INDEX(Products!$B$2:$B$37, MATCH(D732, Products!$A$2:$A$37, 0))</f>
        <v>Bakhoor Gift Set</v>
      </c>
      <c r="I732" t="str">
        <f>INDEX(Products!$C$2:$C$37, MATCH(D732, Products!$A$2:$A$37, 0))</f>
        <v>Beauty</v>
      </c>
      <c r="J732">
        <f>INDEX(Products!$E$2:$E$37, MATCH(D732, Products!$A$2:$A$37, 0))</f>
        <v>90</v>
      </c>
      <c r="K732" s="9">
        <f t="shared" si="44"/>
        <v>199</v>
      </c>
      <c r="L732">
        <f t="shared" si="45"/>
        <v>90</v>
      </c>
      <c r="M732" s="9">
        <f t="shared" si="46"/>
        <v>109</v>
      </c>
      <c r="N732" t="str">
        <f t="shared" si="47"/>
        <v>Mar</v>
      </c>
    </row>
    <row r="733" spans="1:14" x14ac:dyDescent="0.3">
      <c r="A733" s="2" t="s">
        <v>799</v>
      </c>
      <c r="B733" s="6">
        <v>45721</v>
      </c>
      <c r="C733" s="2" t="s">
        <v>44</v>
      </c>
      <c r="D733" s="2" t="s">
        <v>42</v>
      </c>
      <c r="E733" s="2">
        <v>2</v>
      </c>
      <c r="F733" s="7">
        <v>399</v>
      </c>
      <c r="G733" s="8">
        <v>0</v>
      </c>
      <c r="H733" s="9" t="str">
        <f>INDEX(Products!$B$2:$B$37, MATCH(D733, Products!$A$2:$A$37, 0))</f>
        <v>Wireless Earbuds Pro</v>
      </c>
      <c r="I733" t="str">
        <f>INDEX(Products!$C$2:$C$37, MATCH(D733, Products!$A$2:$A$37, 0))</f>
        <v>Electronics</v>
      </c>
      <c r="J733">
        <f>INDEX(Products!$E$2:$E$37, MATCH(D733, Products!$A$2:$A$37, 0))</f>
        <v>230</v>
      </c>
      <c r="K733" s="9">
        <f t="shared" si="44"/>
        <v>798</v>
      </c>
      <c r="L733">
        <f t="shared" si="45"/>
        <v>460</v>
      </c>
      <c r="M733" s="9">
        <f t="shared" si="46"/>
        <v>338</v>
      </c>
      <c r="N733" t="str">
        <f t="shared" si="47"/>
        <v>Mar</v>
      </c>
    </row>
    <row r="734" spans="1:14" x14ac:dyDescent="0.3">
      <c r="A734" s="2" t="s">
        <v>800</v>
      </c>
      <c r="B734" s="6">
        <v>45721</v>
      </c>
      <c r="C734" s="2" t="s">
        <v>44</v>
      </c>
      <c r="D734" s="2" t="s">
        <v>39</v>
      </c>
      <c r="E734" s="2">
        <v>1</v>
      </c>
      <c r="F734" s="7">
        <v>199</v>
      </c>
      <c r="G734" s="8">
        <v>0</v>
      </c>
      <c r="H734" s="9" t="str">
        <f>INDEX(Products!$B$2:$B$37, MATCH(D734, Products!$A$2:$A$37, 0))</f>
        <v>Bakhoor Gift Set</v>
      </c>
      <c r="I734" t="str">
        <f>INDEX(Products!$C$2:$C$37, MATCH(D734, Products!$A$2:$A$37, 0))</f>
        <v>Beauty</v>
      </c>
      <c r="J734">
        <f>INDEX(Products!$E$2:$E$37, MATCH(D734, Products!$A$2:$A$37, 0))</f>
        <v>90</v>
      </c>
      <c r="K734" s="9">
        <f t="shared" si="44"/>
        <v>199</v>
      </c>
      <c r="L734">
        <f t="shared" si="45"/>
        <v>90</v>
      </c>
      <c r="M734" s="9">
        <f t="shared" si="46"/>
        <v>109</v>
      </c>
      <c r="N734" t="str">
        <f t="shared" si="47"/>
        <v>Mar</v>
      </c>
    </row>
    <row r="735" spans="1:14" x14ac:dyDescent="0.3">
      <c r="A735" s="2" t="s">
        <v>801</v>
      </c>
      <c r="B735" s="6">
        <v>45721</v>
      </c>
      <c r="C735" s="2" t="s">
        <v>41</v>
      </c>
      <c r="D735" s="2" t="s">
        <v>46</v>
      </c>
      <c r="E735" s="2">
        <v>1</v>
      </c>
      <c r="F735" s="7">
        <v>189</v>
      </c>
      <c r="G735" s="8">
        <v>0.2</v>
      </c>
      <c r="H735" s="9" t="str">
        <f>INDEX(Products!$B$2:$B$37, MATCH(D735, Products!$A$2:$A$37, 0))</f>
        <v>Makeup Palette</v>
      </c>
      <c r="I735" t="str">
        <f>INDEX(Products!$C$2:$C$37, MATCH(D735, Products!$A$2:$A$37, 0))</f>
        <v>Beauty</v>
      </c>
      <c r="J735">
        <f>INDEX(Products!$E$2:$E$37, MATCH(D735, Products!$A$2:$A$37, 0))</f>
        <v>85</v>
      </c>
      <c r="K735" s="9">
        <f t="shared" si="44"/>
        <v>151.20000000000002</v>
      </c>
      <c r="L735">
        <f t="shared" si="45"/>
        <v>85</v>
      </c>
      <c r="M735" s="9">
        <f t="shared" si="46"/>
        <v>66.200000000000017</v>
      </c>
      <c r="N735" t="str">
        <f t="shared" si="47"/>
        <v>Mar</v>
      </c>
    </row>
    <row r="736" spans="1:14" x14ac:dyDescent="0.3">
      <c r="A736" s="2" t="s">
        <v>802</v>
      </c>
      <c r="B736" s="6">
        <v>45721</v>
      </c>
      <c r="C736" s="2" t="s">
        <v>41</v>
      </c>
      <c r="D736" s="2" t="s">
        <v>68</v>
      </c>
      <c r="E736" s="2">
        <v>1</v>
      </c>
      <c r="F736" s="7">
        <v>249</v>
      </c>
      <c r="G736" s="8">
        <v>0</v>
      </c>
      <c r="H736" s="9" t="str">
        <f>INDEX(Products!$B$2:$B$37, MATCH(D736, Products!$A$2:$A$37, 0))</f>
        <v>Bluetooth Speaker Mini</v>
      </c>
      <c r="I736" t="str">
        <f>INDEX(Products!$C$2:$C$37, MATCH(D736, Products!$A$2:$A$37, 0))</f>
        <v>Electronics</v>
      </c>
      <c r="J736">
        <f>INDEX(Products!$E$2:$E$37, MATCH(D736, Products!$A$2:$A$37, 0))</f>
        <v>150</v>
      </c>
      <c r="K736" s="9">
        <f t="shared" si="44"/>
        <v>249</v>
      </c>
      <c r="L736">
        <f t="shared" si="45"/>
        <v>150</v>
      </c>
      <c r="M736" s="9">
        <f t="shared" si="46"/>
        <v>99</v>
      </c>
      <c r="N736" t="str">
        <f t="shared" si="47"/>
        <v>Mar</v>
      </c>
    </row>
    <row r="737" spans="1:14" x14ac:dyDescent="0.3">
      <c r="A737" s="2" t="s">
        <v>803</v>
      </c>
      <c r="B737" s="6">
        <v>45721</v>
      </c>
      <c r="C737" s="2" t="s">
        <v>44</v>
      </c>
      <c r="D737" s="2" t="s">
        <v>80</v>
      </c>
      <c r="E737" s="2">
        <v>1</v>
      </c>
      <c r="F737" s="7">
        <v>149</v>
      </c>
      <c r="G737" s="8">
        <v>0.3</v>
      </c>
      <c r="H737" s="9" t="str">
        <f>INDEX(Products!$B$2:$B$37, MATCH(D737, Products!$A$2:$A$37, 0))</f>
        <v>Vitamin C Serum</v>
      </c>
      <c r="I737" t="str">
        <f>INDEX(Products!$C$2:$C$37, MATCH(D737, Products!$A$2:$A$37, 0))</f>
        <v>Beauty</v>
      </c>
      <c r="J737">
        <f>INDEX(Products!$E$2:$E$37, MATCH(D737, Products!$A$2:$A$37, 0))</f>
        <v>55</v>
      </c>
      <c r="K737" s="9">
        <f t="shared" si="44"/>
        <v>104.3</v>
      </c>
      <c r="L737">
        <f t="shared" si="45"/>
        <v>55</v>
      </c>
      <c r="M737" s="9">
        <f t="shared" si="46"/>
        <v>49.3</v>
      </c>
      <c r="N737" t="str">
        <f t="shared" si="47"/>
        <v>Mar</v>
      </c>
    </row>
    <row r="738" spans="1:14" x14ac:dyDescent="0.3">
      <c r="A738" s="2" t="s">
        <v>804</v>
      </c>
      <c r="B738" s="6">
        <v>45721</v>
      </c>
      <c r="C738" s="2" t="s">
        <v>48</v>
      </c>
      <c r="D738" s="2" t="s">
        <v>80</v>
      </c>
      <c r="E738" s="2">
        <v>2</v>
      </c>
      <c r="F738" s="7">
        <v>149</v>
      </c>
      <c r="G738" s="8">
        <v>0.15</v>
      </c>
      <c r="H738" s="9" t="str">
        <f>INDEX(Products!$B$2:$B$37, MATCH(D738, Products!$A$2:$A$37, 0))</f>
        <v>Vitamin C Serum</v>
      </c>
      <c r="I738" t="str">
        <f>INDEX(Products!$C$2:$C$37, MATCH(D738, Products!$A$2:$A$37, 0))</f>
        <v>Beauty</v>
      </c>
      <c r="J738">
        <f>INDEX(Products!$E$2:$E$37, MATCH(D738, Products!$A$2:$A$37, 0))</f>
        <v>55</v>
      </c>
      <c r="K738" s="9">
        <f t="shared" si="44"/>
        <v>253.29999999999998</v>
      </c>
      <c r="L738">
        <f t="shared" si="45"/>
        <v>110</v>
      </c>
      <c r="M738" s="9">
        <f t="shared" si="46"/>
        <v>143.29999999999998</v>
      </c>
      <c r="N738" t="str">
        <f t="shared" si="47"/>
        <v>Mar</v>
      </c>
    </row>
    <row r="739" spans="1:14" x14ac:dyDescent="0.3">
      <c r="A739" s="2" t="s">
        <v>805</v>
      </c>
      <c r="B739" s="6">
        <v>45721</v>
      </c>
      <c r="C739" s="2" t="s">
        <v>28</v>
      </c>
      <c r="D739" s="2" t="s">
        <v>126</v>
      </c>
      <c r="E739" s="2">
        <v>2</v>
      </c>
      <c r="F739" s="7">
        <v>89</v>
      </c>
      <c r="G739" s="8">
        <v>0</v>
      </c>
      <c r="H739" s="9" t="str">
        <f>INDEX(Products!$B$2:$B$37, MATCH(D739, Products!$A$2:$A$37, 0))</f>
        <v>USB-C Fast Charger</v>
      </c>
      <c r="I739" t="str">
        <f>INDEX(Products!$C$2:$C$37, MATCH(D739, Products!$A$2:$A$37, 0))</f>
        <v>Electronics</v>
      </c>
      <c r="J739">
        <f>INDEX(Products!$E$2:$E$37, MATCH(D739, Products!$A$2:$A$37, 0))</f>
        <v>35</v>
      </c>
      <c r="K739" s="9">
        <f t="shared" si="44"/>
        <v>178</v>
      </c>
      <c r="L739">
        <f t="shared" si="45"/>
        <v>70</v>
      </c>
      <c r="M739" s="9">
        <f t="shared" si="46"/>
        <v>108</v>
      </c>
      <c r="N739" t="str">
        <f t="shared" si="47"/>
        <v>Mar</v>
      </c>
    </row>
    <row r="740" spans="1:14" x14ac:dyDescent="0.3">
      <c r="A740" s="2" t="s">
        <v>806</v>
      </c>
      <c r="B740" s="6">
        <v>45721</v>
      </c>
      <c r="C740" s="2" t="s">
        <v>44</v>
      </c>
      <c r="D740" s="2" t="s">
        <v>35</v>
      </c>
      <c r="E740" s="2">
        <v>2</v>
      </c>
      <c r="F740" s="7">
        <v>179</v>
      </c>
      <c r="G740" s="8">
        <v>0</v>
      </c>
      <c r="H740" s="9" t="str">
        <f>INDEX(Products!$B$2:$B$37, MATCH(D740, Products!$A$2:$A$37, 0))</f>
        <v>Men's Linen Shirt</v>
      </c>
      <c r="I740" t="str">
        <f>INDEX(Products!$C$2:$C$37, MATCH(D740, Products!$A$2:$A$37, 0))</f>
        <v>Fashion</v>
      </c>
      <c r="J740">
        <f>INDEX(Products!$E$2:$E$37, MATCH(D740, Products!$A$2:$A$37, 0))</f>
        <v>70</v>
      </c>
      <c r="K740" s="9">
        <f t="shared" si="44"/>
        <v>358</v>
      </c>
      <c r="L740">
        <f t="shared" si="45"/>
        <v>140</v>
      </c>
      <c r="M740" s="9">
        <f t="shared" si="46"/>
        <v>218</v>
      </c>
      <c r="N740" t="str">
        <f t="shared" si="47"/>
        <v>Mar</v>
      </c>
    </row>
    <row r="741" spans="1:14" x14ac:dyDescent="0.3">
      <c r="A741" s="2" t="s">
        <v>807</v>
      </c>
      <c r="B741" s="6">
        <v>45722</v>
      </c>
      <c r="C741" s="2" t="s">
        <v>31</v>
      </c>
      <c r="D741" s="2" t="s">
        <v>115</v>
      </c>
      <c r="E741" s="2">
        <v>1</v>
      </c>
      <c r="F741" s="7">
        <v>129</v>
      </c>
      <c r="G741" s="8">
        <v>0.1</v>
      </c>
      <c r="H741" s="9" t="str">
        <f>INDEX(Products!$B$2:$B$37, MATCH(D741, Products!$A$2:$A$37, 0))</f>
        <v>Electric Kettle</v>
      </c>
      <c r="I741" t="str">
        <f>INDEX(Products!$C$2:$C$37, MATCH(D741, Products!$A$2:$A$37, 0))</f>
        <v>Home &amp; Kitchen</v>
      </c>
      <c r="J741">
        <f>INDEX(Products!$E$2:$E$37, MATCH(D741, Products!$A$2:$A$37, 0))</f>
        <v>60</v>
      </c>
      <c r="K741" s="9">
        <f t="shared" si="44"/>
        <v>116.10000000000001</v>
      </c>
      <c r="L741">
        <f t="shared" si="45"/>
        <v>60</v>
      </c>
      <c r="M741" s="9">
        <f t="shared" si="46"/>
        <v>56.100000000000009</v>
      </c>
      <c r="N741" t="str">
        <f t="shared" si="47"/>
        <v>Mar</v>
      </c>
    </row>
    <row r="742" spans="1:14" x14ac:dyDescent="0.3">
      <c r="A742" s="2" t="s">
        <v>808</v>
      </c>
      <c r="B742" s="6">
        <v>45722</v>
      </c>
      <c r="C742" s="2" t="s">
        <v>28</v>
      </c>
      <c r="D742" s="2" t="s">
        <v>35</v>
      </c>
      <c r="E742" s="2">
        <v>1</v>
      </c>
      <c r="F742" s="7">
        <v>179</v>
      </c>
      <c r="G742" s="8">
        <v>0</v>
      </c>
      <c r="H742" s="9" t="str">
        <f>INDEX(Products!$B$2:$B$37, MATCH(D742, Products!$A$2:$A$37, 0))</f>
        <v>Men's Linen Shirt</v>
      </c>
      <c r="I742" t="str">
        <f>INDEX(Products!$C$2:$C$37, MATCH(D742, Products!$A$2:$A$37, 0))</f>
        <v>Fashion</v>
      </c>
      <c r="J742">
        <f>INDEX(Products!$E$2:$E$37, MATCH(D742, Products!$A$2:$A$37, 0))</f>
        <v>70</v>
      </c>
      <c r="K742" s="9">
        <f t="shared" si="44"/>
        <v>179</v>
      </c>
      <c r="L742">
        <f t="shared" si="45"/>
        <v>70</v>
      </c>
      <c r="M742" s="9">
        <f t="shared" si="46"/>
        <v>109</v>
      </c>
      <c r="N742" t="str">
        <f t="shared" si="47"/>
        <v>Mar</v>
      </c>
    </row>
    <row r="743" spans="1:14" x14ac:dyDescent="0.3">
      <c r="A743" s="2" t="s">
        <v>809</v>
      </c>
      <c r="B743" s="6">
        <v>45722</v>
      </c>
      <c r="C743" s="2" t="s">
        <v>28</v>
      </c>
      <c r="D743" s="2" t="s">
        <v>126</v>
      </c>
      <c r="E743" s="2">
        <v>1</v>
      </c>
      <c r="F743" s="7">
        <v>89</v>
      </c>
      <c r="G743" s="8">
        <v>0.15</v>
      </c>
      <c r="H743" s="9" t="str">
        <f>INDEX(Products!$B$2:$B$37, MATCH(D743, Products!$A$2:$A$37, 0))</f>
        <v>USB-C Fast Charger</v>
      </c>
      <c r="I743" t="str">
        <f>INDEX(Products!$C$2:$C$37, MATCH(D743, Products!$A$2:$A$37, 0))</f>
        <v>Electronics</v>
      </c>
      <c r="J743">
        <f>INDEX(Products!$E$2:$E$37, MATCH(D743, Products!$A$2:$A$37, 0))</f>
        <v>35</v>
      </c>
      <c r="K743" s="9">
        <f t="shared" si="44"/>
        <v>75.649999999999991</v>
      </c>
      <c r="L743">
        <f t="shared" si="45"/>
        <v>35</v>
      </c>
      <c r="M743" s="9">
        <f t="shared" si="46"/>
        <v>40.649999999999991</v>
      </c>
      <c r="N743" t="str">
        <f t="shared" si="47"/>
        <v>Mar</v>
      </c>
    </row>
    <row r="744" spans="1:14" x14ac:dyDescent="0.3">
      <c r="A744" s="2" t="s">
        <v>810</v>
      </c>
      <c r="B744" s="6">
        <v>45722</v>
      </c>
      <c r="C744" s="2" t="s">
        <v>41</v>
      </c>
      <c r="D744" s="2" t="s">
        <v>103</v>
      </c>
      <c r="E744" s="2">
        <v>2</v>
      </c>
      <c r="F744" s="7">
        <v>89</v>
      </c>
      <c r="G744" s="8">
        <v>0.05</v>
      </c>
      <c r="H744" s="9" t="str">
        <f>INDEX(Products!$B$2:$B$37, MATCH(D744, Products!$A$2:$A$37, 0))</f>
        <v>Sunscreen SPF50</v>
      </c>
      <c r="I744" t="str">
        <f>INDEX(Products!$C$2:$C$37, MATCH(D744, Products!$A$2:$A$37, 0))</f>
        <v>Beauty</v>
      </c>
      <c r="J744">
        <f>INDEX(Products!$E$2:$E$37, MATCH(D744, Products!$A$2:$A$37, 0))</f>
        <v>40</v>
      </c>
      <c r="K744" s="9">
        <f t="shared" si="44"/>
        <v>169.1</v>
      </c>
      <c r="L744">
        <f t="shared" si="45"/>
        <v>80</v>
      </c>
      <c r="M744" s="9">
        <f t="shared" si="46"/>
        <v>89.1</v>
      </c>
      <c r="N744" t="str">
        <f t="shared" si="47"/>
        <v>Mar</v>
      </c>
    </row>
    <row r="745" spans="1:14" x14ac:dyDescent="0.3">
      <c r="A745" s="2" t="s">
        <v>811</v>
      </c>
      <c r="B745" s="6">
        <v>45722</v>
      </c>
      <c r="C745" s="2" t="s">
        <v>48</v>
      </c>
      <c r="D745" s="2" t="s">
        <v>35</v>
      </c>
      <c r="E745" s="2">
        <v>2</v>
      </c>
      <c r="F745" s="7">
        <v>179</v>
      </c>
      <c r="G745" s="8">
        <v>0.15</v>
      </c>
      <c r="H745" s="9" t="str">
        <f>INDEX(Products!$B$2:$B$37, MATCH(D745, Products!$A$2:$A$37, 0))</f>
        <v>Men's Linen Shirt</v>
      </c>
      <c r="I745" t="str">
        <f>INDEX(Products!$C$2:$C$37, MATCH(D745, Products!$A$2:$A$37, 0))</f>
        <v>Fashion</v>
      </c>
      <c r="J745">
        <f>INDEX(Products!$E$2:$E$37, MATCH(D745, Products!$A$2:$A$37, 0))</f>
        <v>70</v>
      </c>
      <c r="K745" s="9">
        <f t="shared" si="44"/>
        <v>304.3</v>
      </c>
      <c r="L745">
        <f t="shared" si="45"/>
        <v>140</v>
      </c>
      <c r="M745" s="9">
        <f t="shared" si="46"/>
        <v>164.3</v>
      </c>
      <c r="N745" t="str">
        <f t="shared" si="47"/>
        <v>Mar</v>
      </c>
    </row>
    <row r="746" spans="1:14" x14ac:dyDescent="0.3">
      <c r="A746" s="2" t="s">
        <v>812</v>
      </c>
      <c r="B746" s="6">
        <v>45722</v>
      </c>
      <c r="C746" s="2" t="s">
        <v>44</v>
      </c>
      <c r="D746" s="2" t="s">
        <v>103</v>
      </c>
      <c r="E746" s="2">
        <v>1</v>
      </c>
      <c r="F746" s="7">
        <v>89</v>
      </c>
      <c r="G746" s="8">
        <v>0</v>
      </c>
      <c r="H746" s="9" t="str">
        <f>INDEX(Products!$B$2:$B$37, MATCH(D746, Products!$A$2:$A$37, 0))</f>
        <v>Sunscreen SPF50</v>
      </c>
      <c r="I746" t="str">
        <f>INDEX(Products!$C$2:$C$37, MATCH(D746, Products!$A$2:$A$37, 0))</f>
        <v>Beauty</v>
      </c>
      <c r="J746">
        <f>INDEX(Products!$E$2:$E$37, MATCH(D746, Products!$A$2:$A$37, 0))</f>
        <v>40</v>
      </c>
      <c r="K746" s="9">
        <f t="shared" si="44"/>
        <v>89</v>
      </c>
      <c r="L746">
        <f t="shared" si="45"/>
        <v>40</v>
      </c>
      <c r="M746" s="9">
        <f t="shared" si="46"/>
        <v>49</v>
      </c>
      <c r="N746" t="str">
        <f t="shared" si="47"/>
        <v>Mar</v>
      </c>
    </row>
    <row r="747" spans="1:14" x14ac:dyDescent="0.3">
      <c r="A747" s="2" t="s">
        <v>813</v>
      </c>
      <c r="B747" s="6">
        <v>45722</v>
      </c>
      <c r="C747" s="2" t="s">
        <v>28</v>
      </c>
      <c r="D747" s="2" t="s">
        <v>78</v>
      </c>
      <c r="E747" s="2">
        <v>1</v>
      </c>
      <c r="F747" s="7">
        <v>499</v>
      </c>
      <c r="G747" s="8">
        <v>0.3</v>
      </c>
      <c r="H747" s="9" t="str">
        <f>INDEX(Products!$B$2:$B$37, MATCH(D747, Products!$A$2:$A$37, 0))</f>
        <v>Air Fryer 5L</v>
      </c>
      <c r="I747" t="str">
        <f>INDEX(Products!$C$2:$C$37, MATCH(D747, Products!$A$2:$A$37, 0))</f>
        <v>Home &amp; Kitchen</v>
      </c>
      <c r="J747">
        <f>INDEX(Products!$E$2:$E$37, MATCH(D747, Products!$A$2:$A$37, 0))</f>
        <v>290</v>
      </c>
      <c r="K747" s="9">
        <f t="shared" si="44"/>
        <v>349.29999999999995</v>
      </c>
      <c r="L747">
        <f t="shared" si="45"/>
        <v>290</v>
      </c>
      <c r="M747" s="9">
        <f t="shared" si="46"/>
        <v>59.299999999999955</v>
      </c>
      <c r="N747" t="str">
        <f t="shared" si="47"/>
        <v>Mar</v>
      </c>
    </row>
    <row r="748" spans="1:14" x14ac:dyDescent="0.3">
      <c r="A748" s="2" t="s">
        <v>814</v>
      </c>
      <c r="B748" s="6">
        <v>45722</v>
      </c>
      <c r="C748" s="2" t="s">
        <v>44</v>
      </c>
      <c r="D748" s="2" t="s">
        <v>68</v>
      </c>
      <c r="E748" s="2">
        <v>1</v>
      </c>
      <c r="F748" s="7">
        <v>249</v>
      </c>
      <c r="G748" s="8">
        <v>0.05</v>
      </c>
      <c r="H748" s="9" t="str">
        <f>INDEX(Products!$B$2:$B$37, MATCH(D748, Products!$A$2:$A$37, 0))</f>
        <v>Bluetooth Speaker Mini</v>
      </c>
      <c r="I748" t="str">
        <f>INDEX(Products!$C$2:$C$37, MATCH(D748, Products!$A$2:$A$37, 0))</f>
        <v>Electronics</v>
      </c>
      <c r="J748">
        <f>INDEX(Products!$E$2:$E$37, MATCH(D748, Products!$A$2:$A$37, 0))</f>
        <v>150</v>
      </c>
      <c r="K748" s="9">
        <f t="shared" si="44"/>
        <v>236.54999999999998</v>
      </c>
      <c r="L748">
        <f t="shared" si="45"/>
        <v>150</v>
      </c>
      <c r="M748" s="9">
        <f t="shared" si="46"/>
        <v>86.549999999999983</v>
      </c>
      <c r="N748" t="str">
        <f t="shared" si="47"/>
        <v>Mar</v>
      </c>
    </row>
    <row r="749" spans="1:14" x14ac:dyDescent="0.3">
      <c r="A749" s="2" t="s">
        <v>815</v>
      </c>
      <c r="B749" s="6">
        <v>45722</v>
      </c>
      <c r="C749" s="2" t="s">
        <v>48</v>
      </c>
      <c r="D749" s="2" t="s">
        <v>129</v>
      </c>
      <c r="E749" s="2">
        <v>3</v>
      </c>
      <c r="F749" s="7">
        <v>149</v>
      </c>
      <c r="G749" s="8">
        <v>0</v>
      </c>
      <c r="H749" s="9" t="str">
        <f>INDEX(Products!$B$2:$B$37, MATCH(D749, Products!$A$2:$A$37, 0))</f>
        <v>Power Bank 20000mAh</v>
      </c>
      <c r="I749" t="str">
        <f>INDEX(Products!$C$2:$C$37, MATCH(D749, Products!$A$2:$A$37, 0))</f>
        <v>Electronics</v>
      </c>
      <c r="J749">
        <f>INDEX(Products!$E$2:$E$37, MATCH(D749, Products!$A$2:$A$37, 0))</f>
        <v>70</v>
      </c>
      <c r="K749" s="9">
        <f t="shared" si="44"/>
        <v>447</v>
      </c>
      <c r="L749">
        <f t="shared" si="45"/>
        <v>210</v>
      </c>
      <c r="M749" s="9">
        <f t="shared" si="46"/>
        <v>237</v>
      </c>
      <c r="N749" t="str">
        <f t="shared" si="47"/>
        <v>Mar</v>
      </c>
    </row>
    <row r="750" spans="1:14" x14ac:dyDescent="0.3">
      <c r="A750" s="2" t="s">
        <v>816</v>
      </c>
      <c r="B750" s="6">
        <v>45722</v>
      </c>
      <c r="C750" s="2" t="s">
        <v>28</v>
      </c>
      <c r="D750" s="2" t="s">
        <v>109</v>
      </c>
      <c r="E750" s="2">
        <v>2</v>
      </c>
      <c r="F750" s="7">
        <v>1499</v>
      </c>
      <c r="G750" s="8">
        <v>0</v>
      </c>
      <c r="H750" s="9" t="str">
        <f>INDEX(Products!$B$2:$B$37, MATCH(D750, Products!$A$2:$A$37, 0))</f>
        <v>Espresso Machine</v>
      </c>
      <c r="I750" t="str">
        <f>INDEX(Products!$C$2:$C$37, MATCH(D750, Products!$A$2:$A$37, 0))</f>
        <v>Home &amp; Kitchen</v>
      </c>
      <c r="J750">
        <f>INDEX(Products!$E$2:$E$37, MATCH(D750, Products!$A$2:$A$37, 0))</f>
        <v>1050</v>
      </c>
      <c r="K750" s="9">
        <f t="shared" si="44"/>
        <v>2998</v>
      </c>
      <c r="L750">
        <f t="shared" si="45"/>
        <v>2100</v>
      </c>
      <c r="M750" s="9">
        <f t="shared" si="46"/>
        <v>898</v>
      </c>
      <c r="N750" t="str">
        <f t="shared" si="47"/>
        <v>Mar</v>
      </c>
    </row>
    <row r="751" spans="1:14" x14ac:dyDescent="0.3">
      <c r="A751" s="2" t="s">
        <v>817</v>
      </c>
      <c r="B751" s="6">
        <v>45722</v>
      </c>
      <c r="C751" s="2" t="s">
        <v>44</v>
      </c>
      <c r="D751" s="2" t="s">
        <v>129</v>
      </c>
      <c r="E751" s="2">
        <v>1</v>
      </c>
      <c r="F751" s="7">
        <v>149</v>
      </c>
      <c r="G751" s="8">
        <v>0.1</v>
      </c>
      <c r="H751" s="9" t="str">
        <f>INDEX(Products!$B$2:$B$37, MATCH(D751, Products!$A$2:$A$37, 0))</f>
        <v>Power Bank 20000mAh</v>
      </c>
      <c r="I751" t="str">
        <f>INDEX(Products!$C$2:$C$37, MATCH(D751, Products!$A$2:$A$37, 0))</f>
        <v>Electronics</v>
      </c>
      <c r="J751">
        <f>INDEX(Products!$E$2:$E$37, MATCH(D751, Products!$A$2:$A$37, 0))</f>
        <v>70</v>
      </c>
      <c r="K751" s="9">
        <f t="shared" si="44"/>
        <v>134.1</v>
      </c>
      <c r="L751">
        <f t="shared" si="45"/>
        <v>70</v>
      </c>
      <c r="M751" s="9">
        <f t="shared" si="46"/>
        <v>64.099999999999994</v>
      </c>
      <c r="N751" t="str">
        <f t="shared" si="47"/>
        <v>Mar</v>
      </c>
    </row>
    <row r="752" spans="1:14" x14ac:dyDescent="0.3">
      <c r="A752" s="2" t="s">
        <v>818</v>
      </c>
      <c r="B752" s="6">
        <v>45722</v>
      </c>
      <c r="C752" s="2" t="s">
        <v>41</v>
      </c>
      <c r="D752" s="2" t="s">
        <v>37</v>
      </c>
      <c r="E752" s="2">
        <v>2</v>
      </c>
      <c r="F752" s="7">
        <v>249</v>
      </c>
      <c r="G752" s="8">
        <v>0</v>
      </c>
      <c r="H752" s="9" t="str">
        <f>INDEX(Products!$B$2:$B$37, MATCH(D752, Products!$A$2:$A$37, 0))</f>
        <v>Sunglasses Polarised</v>
      </c>
      <c r="I752" t="str">
        <f>INDEX(Products!$C$2:$C$37, MATCH(D752, Products!$A$2:$A$37, 0))</f>
        <v>Fashion</v>
      </c>
      <c r="J752">
        <f>INDEX(Products!$E$2:$E$37, MATCH(D752, Products!$A$2:$A$37, 0))</f>
        <v>95</v>
      </c>
      <c r="K752" s="9">
        <f t="shared" si="44"/>
        <v>498</v>
      </c>
      <c r="L752">
        <f t="shared" si="45"/>
        <v>190</v>
      </c>
      <c r="M752" s="9">
        <f t="shared" si="46"/>
        <v>308</v>
      </c>
      <c r="N752" t="str">
        <f t="shared" si="47"/>
        <v>Mar</v>
      </c>
    </row>
    <row r="753" spans="1:14" x14ac:dyDescent="0.3">
      <c r="A753" s="2" t="s">
        <v>819</v>
      </c>
      <c r="B753" s="6">
        <v>45722</v>
      </c>
      <c r="C753" s="2" t="s">
        <v>28</v>
      </c>
      <c r="D753" s="2" t="s">
        <v>35</v>
      </c>
      <c r="E753" s="2">
        <v>3</v>
      </c>
      <c r="F753" s="7">
        <v>179</v>
      </c>
      <c r="G753" s="8">
        <v>0.1</v>
      </c>
      <c r="H753" s="9" t="str">
        <f>INDEX(Products!$B$2:$B$37, MATCH(D753, Products!$A$2:$A$37, 0))</f>
        <v>Men's Linen Shirt</v>
      </c>
      <c r="I753" t="str">
        <f>INDEX(Products!$C$2:$C$37, MATCH(D753, Products!$A$2:$A$37, 0))</f>
        <v>Fashion</v>
      </c>
      <c r="J753">
        <f>INDEX(Products!$E$2:$E$37, MATCH(D753, Products!$A$2:$A$37, 0))</f>
        <v>70</v>
      </c>
      <c r="K753" s="9">
        <f t="shared" si="44"/>
        <v>483.3</v>
      </c>
      <c r="L753">
        <f t="shared" si="45"/>
        <v>210</v>
      </c>
      <c r="M753" s="9">
        <f t="shared" si="46"/>
        <v>273.3</v>
      </c>
      <c r="N753" t="str">
        <f t="shared" si="47"/>
        <v>Mar</v>
      </c>
    </row>
    <row r="754" spans="1:14" x14ac:dyDescent="0.3">
      <c r="A754" s="2" t="s">
        <v>820</v>
      </c>
      <c r="B754" s="6">
        <v>45722</v>
      </c>
      <c r="C754" s="2" t="s">
        <v>48</v>
      </c>
      <c r="D754" s="2" t="s">
        <v>92</v>
      </c>
      <c r="E754" s="2">
        <v>3</v>
      </c>
      <c r="F754" s="7">
        <v>349</v>
      </c>
      <c r="G754" s="8">
        <v>0</v>
      </c>
      <c r="H754" s="9" t="str">
        <f>INDEX(Products!$B$2:$B$37, MATCH(D754, Products!$A$2:$A$37, 0))</f>
        <v>Non-stick Cookware Set</v>
      </c>
      <c r="I754" t="str">
        <f>INDEX(Products!$C$2:$C$37, MATCH(D754, Products!$A$2:$A$37, 0))</f>
        <v>Home &amp; Kitchen</v>
      </c>
      <c r="J754">
        <f>INDEX(Products!$E$2:$E$37, MATCH(D754, Products!$A$2:$A$37, 0))</f>
        <v>170</v>
      </c>
      <c r="K754" s="9">
        <f t="shared" si="44"/>
        <v>1047</v>
      </c>
      <c r="L754">
        <f t="shared" si="45"/>
        <v>510</v>
      </c>
      <c r="M754" s="9">
        <f t="shared" si="46"/>
        <v>537</v>
      </c>
      <c r="N754" t="str">
        <f t="shared" si="47"/>
        <v>Mar</v>
      </c>
    </row>
    <row r="755" spans="1:14" x14ac:dyDescent="0.3">
      <c r="A755" s="2" t="s">
        <v>821</v>
      </c>
      <c r="B755" s="6">
        <v>45723</v>
      </c>
      <c r="C755" s="2" t="s">
        <v>41</v>
      </c>
      <c r="D755" s="2" t="s">
        <v>80</v>
      </c>
      <c r="E755" s="2">
        <v>1</v>
      </c>
      <c r="F755" s="7">
        <v>149</v>
      </c>
      <c r="G755" s="8">
        <v>0</v>
      </c>
      <c r="H755" s="9" t="str">
        <f>INDEX(Products!$B$2:$B$37, MATCH(D755, Products!$A$2:$A$37, 0))</f>
        <v>Vitamin C Serum</v>
      </c>
      <c r="I755" t="str">
        <f>INDEX(Products!$C$2:$C$37, MATCH(D755, Products!$A$2:$A$37, 0))</f>
        <v>Beauty</v>
      </c>
      <c r="J755">
        <f>INDEX(Products!$E$2:$E$37, MATCH(D755, Products!$A$2:$A$37, 0))</f>
        <v>55</v>
      </c>
      <c r="K755" s="9">
        <f t="shared" si="44"/>
        <v>149</v>
      </c>
      <c r="L755">
        <f t="shared" si="45"/>
        <v>55</v>
      </c>
      <c r="M755" s="9">
        <f t="shared" si="46"/>
        <v>94</v>
      </c>
      <c r="N755" t="str">
        <f t="shared" si="47"/>
        <v>Mar</v>
      </c>
    </row>
    <row r="756" spans="1:14" x14ac:dyDescent="0.3">
      <c r="A756" s="2" t="s">
        <v>822</v>
      </c>
      <c r="B756" s="6">
        <v>45723</v>
      </c>
      <c r="C756" s="2" t="s">
        <v>48</v>
      </c>
      <c r="D756" s="2" t="s">
        <v>75</v>
      </c>
      <c r="E756" s="2">
        <v>1</v>
      </c>
      <c r="F756" s="7">
        <v>549</v>
      </c>
      <c r="G756" s="8">
        <v>0.2</v>
      </c>
      <c r="H756" s="9" t="str">
        <f>INDEX(Products!$B$2:$B$37, MATCH(D756, Products!$A$2:$A$37, 0))</f>
        <v>Oud Perfume 100ml</v>
      </c>
      <c r="I756" t="str">
        <f>INDEX(Products!$C$2:$C$37, MATCH(D756, Products!$A$2:$A$37, 0))</f>
        <v>Beauty</v>
      </c>
      <c r="J756">
        <f>INDEX(Products!$E$2:$E$37, MATCH(D756, Products!$A$2:$A$37, 0))</f>
        <v>250</v>
      </c>
      <c r="K756" s="9">
        <f t="shared" si="44"/>
        <v>439.20000000000005</v>
      </c>
      <c r="L756">
        <f t="shared" si="45"/>
        <v>250</v>
      </c>
      <c r="M756" s="9">
        <f t="shared" si="46"/>
        <v>189.20000000000005</v>
      </c>
      <c r="N756" t="str">
        <f t="shared" si="47"/>
        <v>Mar</v>
      </c>
    </row>
    <row r="757" spans="1:14" x14ac:dyDescent="0.3">
      <c r="A757" s="2" t="s">
        <v>823</v>
      </c>
      <c r="B757" s="6">
        <v>45723</v>
      </c>
      <c r="C757" s="2" t="s">
        <v>48</v>
      </c>
      <c r="D757" s="2" t="s">
        <v>149</v>
      </c>
      <c r="E757" s="2">
        <v>1</v>
      </c>
      <c r="F757" s="7">
        <v>399</v>
      </c>
      <c r="G757" s="8">
        <v>0</v>
      </c>
      <c r="H757" s="9" t="str">
        <f>INDEX(Products!$B$2:$B$37, MATCH(D757, Products!$A$2:$A$37, 0))</f>
        <v>Blender Pro 1200W</v>
      </c>
      <c r="I757" t="str">
        <f>INDEX(Products!$C$2:$C$37, MATCH(D757, Products!$A$2:$A$37, 0))</f>
        <v>Home &amp; Kitchen</v>
      </c>
      <c r="J757">
        <f>INDEX(Products!$E$2:$E$37, MATCH(D757, Products!$A$2:$A$37, 0))</f>
        <v>250</v>
      </c>
      <c r="K757" s="9">
        <f t="shared" si="44"/>
        <v>399</v>
      </c>
      <c r="L757">
        <f t="shared" si="45"/>
        <v>250</v>
      </c>
      <c r="M757" s="9">
        <f t="shared" si="46"/>
        <v>149</v>
      </c>
      <c r="N757" t="str">
        <f t="shared" si="47"/>
        <v>Mar</v>
      </c>
    </row>
    <row r="758" spans="1:14" x14ac:dyDescent="0.3">
      <c r="A758" s="2" t="s">
        <v>824</v>
      </c>
      <c r="B758" s="6">
        <v>45723</v>
      </c>
      <c r="C758" s="2" t="s">
        <v>41</v>
      </c>
      <c r="D758" s="2" t="s">
        <v>49</v>
      </c>
      <c r="E758" s="2">
        <v>3</v>
      </c>
      <c r="F758" s="7">
        <v>149</v>
      </c>
      <c r="G758" s="8">
        <v>0.2</v>
      </c>
      <c r="H758" s="9" t="str">
        <f>INDEX(Products!$B$2:$B$37, MATCH(D758, Products!$A$2:$A$37, 0))</f>
        <v>Kids' Sneakers</v>
      </c>
      <c r="I758" t="str">
        <f>INDEX(Products!$C$2:$C$37, MATCH(D758, Products!$A$2:$A$37, 0))</f>
        <v>Fashion</v>
      </c>
      <c r="J758">
        <f>INDEX(Products!$E$2:$E$37, MATCH(D758, Products!$A$2:$A$37, 0))</f>
        <v>80</v>
      </c>
      <c r="K758" s="9">
        <f t="shared" si="44"/>
        <v>357.6</v>
      </c>
      <c r="L758">
        <f t="shared" si="45"/>
        <v>240</v>
      </c>
      <c r="M758" s="9">
        <f t="shared" si="46"/>
        <v>117.60000000000002</v>
      </c>
      <c r="N758" t="str">
        <f t="shared" si="47"/>
        <v>Mar</v>
      </c>
    </row>
    <row r="759" spans="1:14" x14ac:dyDescent="0.3">
      <c r="A759" s="2" t="s">
        <v>825</v>
      </c>
      <c r="B759" s="6">
        <v>45724</v>
      </c>
      <c r="C759" s="2" t="s">
        <v>48</v>
      </c>
      <c r="D759" s="2" t="s">
        <v>39</v>
      </c>
      <c r="E759" s="2">
        <v>2</v>
      </c>
      <c r="F759" s="7">
        <v>199</v>
      </c>
      <c r="G759" s="8">
        <v>0</v>
      </c>
      <c r="H759" s="9" t="str">
        <f>INDEX(Products!$B$2:$B$37, MATCH(D759, Products!$A$2:$A$37, 0))</f>
        <v>Bakhoor Gift Set</v>
      </c>
      <c r="I759" t="str">
        <f>INDEX(Products!$C$2:$C$37, MATCH(D759, Products!$A$2:$A$37, 0))</f>
        <v>Beauty</v>
      </c>
      <c r="J759">
        <f>INDEX(Products!$E$2:$E$37, MATCH(D759, Products!$A$2:$A$37, 0))</f>
        <v>90</v>
      </c>
      <c r="K759" s="9">
        <f t="shared" si="44"/>
        <v>398</v>
      </c>
      <c r="L759">
        <f t="shared" si="45"/>
        <v>180</v>
      </c>
      <c r="M759" s="9">
        <f t="shared" si="46"/>
        <v>218</v>
      </c>
      <c r="N759" t="str">
        <f t="shared" si="47"/>
        <v>Mar</v>
      </c>
    </row>
    <row r="760" spans="1:14" x14ac:dyDescent="0.3">
      <c r="A760" s="2" t="s">
        <v>826</v>
      </c>
      <c r="B760" s="6">
        <v>45724</v>
      </c>
      <c r="C760" s="2" t="s">
        <v>31</v>
      </c>
      <c r="D760" s="2" t="s">
        <v>89</v>
      </c>
      <c r="E760" s="2">
        <v>1</v>
      </c>
      <c r="F760" s="7">
        <v>399</v>
      </c>
      <c r="G760" s="8">
        <v>0.05</v>
      </c>
      <c r="H760" s="9" t="str">
        <f>INDEX(Products!$B$2:$B$37, MATCH(D760, Products!$A$2:$A$37, 0))</f>
        <v>Men's Kandura Premium</v>
      </c>
      <c r="I760" t="str">
        <f>INDEX(Products!$C$2:$C$37, MATCH(D760, Products!$A$2:$A$37, 0))</f>
        <v>Fashion</v>
      </c>
      <c r="J760">
        <f>INDEX(Products!$E$2:$E$37, MATCH(D760, Products!$A$2:$A$37, 0))</f>
        <v>210</v>
      </c>
      <c r="K760" s="9">
        <f t="shared" si="44"/>
        <v>379.04999999999995</v>
      </c>
      <c r="L760">
        <f t="shared" si="45"/>
        <v>210</v>
      </c>
      <c r="M760" s="9">
        <f t="shared" si="46"/>
        <v>169.04999999999995</v>
      </c>
      <c r="N760" t="str">
        <f t="shared" si="47"/>
        <v>Mar</v>
      </c>
    </row>
    <row r="761" spans="1:14" x14ac:dyDescent="0.3">
      <c r="A761" s="2" t="s">
        <v>827</v>
      </c>
      <c r="B761" s="6">
        <v>45724</v>
      </c>
      <c r="C761" s="2" t="s">
        <v>28</v>
      </c>
      <c r="D761" s="2" t="s">
        <v>70</v>
      </c>
      <c r="E761" s="2">
        <v>1</v>
      </c>
      <c r="F761" s="7">
        <v>429</v>
      </c>
      <c r="G761" s="8">
        <v>0.1</v>
      </c>
      <c r="H761" s="9" t="str">
        <f>INDEX(Products!$B$2:$B$37, MATCH(D761, Products!$A$2:$A$37, 0))</f>
        <v>Running Shoes Elite</v>
      </c>
      <c r="I761" t="str">
        <f>INDEX(Products!$C$2:$C$37, MATCH(D761, Products!$A$2:$A$37, 0))</f>
        <v>Fashion</v>
      </c>
      <c r="J761">
        <f>INDEX(Products!$E$2:$E$37, MATCH(D761, Products!$A$2:$A$37, 0))</f>
        <v>300</v>
      </c>
      <c r="K761" s="9">
        <f t="shared" si="44"/>
        <v>386.1</v>
      </c>
      <c r="L761">
        <f t="shared" si="45"/>
        <v>300</v>
      </c>
      <c r="M761" s="9">
        <f t="shared" si="46"/>
        <v>86.100000000000023</v>
      </c>
      <c r="N761" t="str">
        <f t="shared" si="47"/>
        <v>Mar</v>
      </c>
    </row>
    <row r="762" spans="1:14" x14ac:dyDescent="0.3">
      <c r="A762" s="2" t="s">
        <v>828</v>
      </c>
      <c r="B762" s="6">
        <v>45724</v>
      </c>
      <c r="C762" s="2" t="s">
        <v>48</v>
      </c>
      <c r="D762" s="2" t="s">
        <v>106</v>
      </c>
      <c r="E762" s="2">
        <v>2</v>
      </c>
      <c r="F762" s="7">
        <v>1299</v>
      </c>
      <c r="G762" s="8">
        <v>0</v>
      </c>
      <c r="H762" s="9" t="str">
        <f>INDEX(Products!$B$2:$B$37, MATCH(D762, Products!$A$2:$A$37, 0))</f>
        <v>Smart Watch Series 5</v>
      </c>
      <c r="I762" t="str">
        <f>INDEX(Products!$C$2:$C$37, MATCH(D762, Products!$A$2:$A$37, 0))</f>
        <v>Electronics</v>
      </c>
      <c r="J762">
        <f>INDEX(Products!$E$2:$E$37, MATCH(D762, Products!$A$2:$A$37, 0))</f>
        <v>820</v>
      </c>
      <c r="K762" s="9">
        <f t="shared" si="44"/>
        <v>2598</v>
      </c>
      <c r="L762">
        <f t="shared" si="45"/>
        <v>1640</v>
      </c>
      <c r="M762" s="9">
        <f t="shared" si="46"/>
        <v>958</v>
      </c>
      <c r="N762" t="str">
        <f t="shared" si="47"/>
        <v>Mar</v>
      </c>
    </row>
    <row r="763" spans="1:14" x14ac:dyDescent="0.3">
      <c r="A763" s="2" t="s">
        <v>829</v>
      </c>
      <c r="B763" s="6">
        <v>45724</v>
      </c>
      <c r="C763" s="2" t="s">
        <v>41</v>
      </c>
      <c r="D763" s="2" t="s">
        <v>35</v>
      </c>
      <c r="E763" s="2">
        <v>1</v>
      </c>
      <c r="F763" s="7">
        <v>179</v>
      </c>
      <c r="G763" s="8">
        <v>0.05</v>
      </c>
      <c r="H763" s="9" t="str">
        <f>INDEX(Products!$B$2:$B$37, MATCH(D763, Products!$A$2:$A$37, 0))</f>
        <v>Men's Linen Shirt</v>
      </c>
      <c r="I763" t="str">
        <f>INDEX(Products!$C$2:$C$37, MATCH(D763, Products!$A$2:$A$37, 0))</f>
        <v>Fashion</v>
      </c>
      <c r="J763">
        <f>INDEX(Products!$E$2:$E$37, MATCH(D763, Products!$A$2:$A$37, 0))</f>
        <v>70</v>
      </c>
      <c r="K763" s="9">
        <f t="shared" si="44"/>
        <v>170.04999999999998</v>
      </c>
      <c r="L763">
        <f t="shared" si="45"/>
        <v>70</v>
      </c>
      <c r="M763" s="9">
        <f t="shared" si="46"/>
        <v>100.04999999999998</v>
      </c>
      <c r="N763" t="str">
        <f t="shared" si="47"/>
        <v>Mar</v>
      </c>
    </row>
    <row r="764" spans="1:14" x14ac:dyDescent="0.3">
      <c r="A764" s="2" t="s">
        <v>830</v>
      </c>
      <c r="B764" s="6">
        <v>45724</v>
      </c>
      <c r="C764" s="2" t="s">
        <v>28</v>
      </c>
      <c r="D764" s="2" t="s">
        <v>70</v>
      </c>
      <c r="E764" s="2">
        <v>1</v>
      </c>
      <c r="F764" s="7">
        <v>429</v>
      </c>
      <c r="G764" s="8">
        <v>0</v>
      </c>
      <c r="H764" s="9" t="str">
        <f>INDEX(Products!$B$2:$B$37, MATCH(D764, Products!$A$2:$A$37, 0))</f>
        <v>Running Shoes Elite</v>
      </c>
      <c r="I764" t="str">
        <f>INDEX(Products!$C$2:$C$37, MATCH(D764, Products!$A$2:$A$37, 0))</f>
        <v>Fashion</v>
      </c>
      <c r="J764">
        <f>INDEX(Products!$E$2:$E$37, MATCH(D764, Products!$A$2:$A$37, 0))</f>
        <v>300</v>
      </c>
      <c r="K764" s="9">
        <f t="shared" si="44"/>
        <v>429</v>
      </c>
      <c r="L764">
        <f t="shared" si="45"/>
        <v>300</v>
      </c>
      <c r="M764" s="9">
        <f t="shared" si="46"/>
        <v>129</v>
      </c>
      <c r="N764" t="str">
        <f t="shared" si="47"/>
        <v>Mar</v>
      </c>
    </row>
    <row r="765" spans="1:14" x14ac:dyDescent="0.3">
      <c r="A765" s="2" t="s">
        <v>831</v>
      </c>
      <c r="B765" s="6">
        <v>45724</v>
      </c>
      <c r="C765" s="2" t="s">
        <v>48</v>
      </c>
      <c r="D765" s="2" t="s">
        <v>126</v>
      </c>
      <c r="E765" s="2">
        <v>1</v>
      </c>
      <c r="F765" s="7">
        <v>89</v>
      </c>
      <c r="G765" s="8">
        <v>0.2</v>
      </c>
      <c r="H765" s="9" t="str">
        <f>INDEX(Products!$B$2:$B$37, MATCH(D765, Products!$A$2:$A$37, 0))</f>
        <v>USB-C Fast Charger</v>
      </c>
      <c r="I765" t="str">
        <f>INDEX(Products!$C$2:$C$37, MATCH(D765, Products!$A$2:$A$37, 0))</f>
        <v>Electronics</v>
      </c>
      <c r="J765">
        <f>INDEX(Products!$E$2:$E$37, MATCH(D765, Products!$A$2:$A$37, 0))</f>
        <v>35</v>
      </c>
      <c r="K765" s="9">
        <f t="shared" si="44"/>
        <v>71.2</v>
      </c>
      <c r="L765">
        <f t="shared" si="45"/>
        <v>35</v>
      </c>
      <c r="M765" s="9">
        <f t="shared" si="46"/>
        <v>36.200000000000003</v>
      </c>
      <c r="N765" t="str">
        <f t="shared" si="47"/>
        <v>Mar</v>
      </c>
    </row>
    <row r="766" spans="1:14" x14ac:dyDescent="0.3">
      <c r="A766" s="2" t="s">
        <v>832</v>
      </c>
      <c r="B766" s="6">
        <v>45724</v>
      </c>
      <c r="C766" s="2" t="s">
        <v>41</v>
      </c>
      <c r="D766" s="2" t="s">
        <v>65</v>
      </c>
      <c r="E766" s="2">
        <v>2</v>
      </c>
      <c r="F766" s="7">
        <v>129</v>
      </c>
      <c r="G766" s="8">
        <v>0.05</v>
      </c>
      <c r="H766" s="9" t="str">
        <f>INDEX(Products!$B$2:$B$37, MATCH(D766, Products!$A$2:$A$37, 0))</f>
        <v>Yoga Mat Premium</v>
      </c>
      <c r="I766" t="str">
        <f>INDEX(Products!$C$2:$C$37, MATCH(D766, Products!$A$2:$A$37, 0))</f>
        <v>Sports</v>
      </c>
      <c r="J766">
        <f>INDEX(Products!$E$2:$E$37, MATCH(D766, Products!$A$2:$A$37, 0))</f>
        <v>60</v>
      </c>
      <c r="K766" s="9">
        <f t="shared" si="44"/>
        <v>245.1</v>
      </c>
      <c r="L766">
        <f t="shared" si="45"/>
        <v>120</v>
      </c>
      <c r="M766" s="9">
        <f t="shared" si="46"/>
        <v>125.1</v>
      </c>
      <c r="N766" t="str">
        <f t="shared" si="47"/>
        <v>Mar</v>
      </c>
    </row>
    <row r="767" spans="1:14" x14ac:dyDescent="0.3">
      <c r="A767" s="2" t="s">
        <v>833</v>
      </c>
      <c r="B767" s="6">
        <v>45724</v>
      </c>
      <c r="C767" s="2" t="s">
        <v>44</v>
      </c>
      <c r="D767" s="2" t="s">
        <v>80</v>
      </c>
      <c r="E767" s="2">
        <v>2</v>
      </c>
      <c r="F767" s="7">
        <v>149</v>
      </c>
      <c r="G767" s="8">
        <v>0</v>
      </c>
      <c r="H767" s="9" t="str">
        <f>INDEX(Products!$B$2:$B$37, MATCH(D767, Products!$A$2:$A$37, 0))</f>
        <v>Vitamin C Serum</v>
      </c>
      <c r="I767" t="str">
        <f>INDEX(Products!$C$2:$C$37, MATCH(D767, Products!$A$2:$A$37, 0))</f>
        <v>Beauty</v>
      </c>
      <c r="J767">
        <f>INDEX(Products!$E$2:$E$37, MATCH(D767, Products!$A$2:$A$37, 0))</f>
        <v>55</v>
      </c>
      <c r="K767" s="9">
        <f t="shared" si="44"/>
        <v>298</v>
      </c>
      <c r="L767">
        <f t="shared" si="45"/>
        <v>110</v>
      </c>
      <c r="M767" s="9">
        <f t="shared" si="46"/>
        <v>188</v>
      </c>
      <c r="N767" t="str">
        <f t="shared" si="47"/>
        <v>Mar</v>
      </c>
    </row>
    <row r="768" spans="1:14" x14ac:dyDescent="0.3">
      <c r="A768" s="2" t="s">
        <v>834</v>
      </c>
      <c r="B768" s="6">
        <v>45724</v>
      </c>
      <c r="C768" s="2" t="s">
        <v>44</v>
      </c>
      <c r="D768" s="2" t="s">
        <v>163</v>
      </c>
      <c r="E768" s="2">
        <v>2</v>
      </c>
      <c r="F768" s="7">
        <v>2499</v>
      </c>
      <c r="G768" s="8">
        <v>0.2</v>
      </c>
      <c r="H768" s="9" t="str">
        <f>INDEX(Products!$B$2:$B$37, MATCH(D768, Products!$A$2:$A$37, 0))</f>
        <v>Treadmill Compact</v>
      </c>
      <c r="I768" t="str">
        <f>INDEX(Products!$C$2:$C$37, MATCH(D768, Products!$A$2:$A$37, 0))</f>
        <v>Sports</v>
      </c>
      <c r="J768">
        <f>INDEX(Products!$E$2:$E$37, MATCH(D768, Products!$A$2:$A$37, 0))</f>
        <v>2150</v>
      </c>
      <c r="K768" s="9">
        <f t="shared" si="44"/>
        <v>3998.4</v>
      </c>
      <c r="L768">
        <f t="shared" si="45"/>
        <v>4300</v>
      </c>
      <c r="M768" s="9">
        <f t="shared" si="46"/>
        <v>-301.59999999999991</v>
      </c>
      <c r="N768" t="str">
        <f t="shared" si="47"/>
        <v>Mar</v>
      </c>
    </row>
    <row r="769" spans="1:14" x14ac:dyDescent="0.3">
      <c r="A769" s="2" t="s">
        <v>835</v>
      </c>
      <c r="B769" s="6">
        <v>45724</v>
      </c>
      <c r="C769" s="2" t="s">
        <v>44</v>
      </c>
      <c r="D769" s="2" t="s">
        <v>46</v>
      </c>
      <c r="E769" s="2">
        <v>2</v>
      </c>
      <c r="F769" s="7">
        <v>189</v>
      </c>
      <c r="G769" s="8">
        <v>0.15</v>
      </c>
      <c r="H769" s="9" t="str">
        <f>INDEX(Products!$B$2:$B$37, MATCH(D769, Products!$A$2:$A$37, 0))</f>
        <v>Makeup Palette</v>
      </c>
      <c r="I769" t="str">
        <f>INDEX(Products!$C$2:$C$37, MATCH(D769, Products!$A$2:$A$37, 0))</f>
        <v>Beauty</v>
      </c>
      <c r="J769">
        <f>INDEX(Products!$E$2:$E$37, MATCH(D769, Products!$A$2:$A$37, 0))</f>
        <v>85</v>
      </c>
      <c r="K769" s="9">
        <f t="shared" si="44"/>
        <v>321.3</v>
      </c>
      <c r="L769">
        <f t="shared" si="45"/>
        <v>170</v>
      </c>
      <c r="M769" s="9">
        <f t="shared" si="46"/>
        <v>151.30000000000001</v>
      </c>
      <c r="N769" t="str">
        <f t="shared" si="47"/>
        <v>Mar</v>
      </c>
    </row>
    <row r="770" spans="1:14" x14ac:dyDescent="0.3">
      <c r="A770" s="2" t="s">
        <v>836</v>
      </c>
      <c r="B770" s="6">
        <v>45725</v>
      </c>
      <c r="C770" s="2" t="s">
        <v>41</v>
      </c>
      <c r="D770" s="2" t="s">
        <v>39</v>
      </c>
      <c r="E770" s="2">
        <v>3</v>
      </c>
      <c r="F770" s="7">
        <v>199</v>
      </c>
      <c r="G770" s="8">
        <v>0</v>
      </c>
      <c r="H770" s="9" t="str">
        <f>INDEX(Products!$B$2:$B$37, MATCH(D770, Products!$A$2:$A$37, 0))</f>
        <v>Bakhoor Gift Set</v>
      </c>
      <c r="I770" t="str">
        <f>INDEX(Products!$C$2:$C$37, MATCH(D770, Products!$A$2:$A$37, 0))</f>
        <v>Beauty</v>
      </c>
      <c r="J770">
        <f>INDEX(Products!$E$2:$E$37, MATCH(D770, Products!$A$2:$A$37, 0))</f>
        <v>90</v>
      </c>
      <c r="K770" s="9">
        <f t="shared" ref="K770:K833" si="48">E770*F770*(1-G770)</f>
        <v>597</v>
      </c>
      <c r="L770">
        <f t="shared" ref="L770:L833" si="49">E770*J770</f>
        <v>270</v>
      </c>
      <c r="M770" s="9">
        <f t="shared" ref="M770:M833" si="50">K770-L770</f>
        <v>327</v>
      </c>
      <c r="N770" t="str">
        <f t="shared" ref="N770:N833" si="51">TEXT(B770,"mmm")</f>
        <v>Mar</v>
      </c>
    </row>
    <row r="771" spans="1:14" x14ac:dyDescent="0.3">
      <c r="A771" s="2" t="s">
        <v>837</v>
      </c>
      <c r="B771" s="6">
        <v>45725</v>
      </c>
      <c r="C771" s="2" t="s">
        <v>28</v>
      </c>
      <c r="D771" s="2" t="s">
        <v>68</v>
      </c>
      <c r="E771" s="2">
        <v>2</v>
      </c>
      <c r="F771" s="7">
        <v>249</v>
      </c>
      <c r="G771" s="8">
        <v>0</v>
      </c>
      <c r="H771" s="9" t="str">
        <f>INDEX(Products!$B$2:$B$37, MATCH(D771, Products!$A$2:$A$37, 0))</f>
        <v>Bluetooth Speaker Mini</v>
      </c>
      <c r="I771" t="str">
        <f>INDEX(Products!$C$2:$C$37, MATCH(D771, Products!$A$2:$A$37, 0))</f>
        <v>Electronics</v>
      </c>
      <c r="J771">
        <f>INDEX(Products!$E$2:$E$37, MATCH(D771, Products!$A$2:$A$37, 0))</f>
        <v>150</v>
      </c>
      <c r="K771" s="9">
        <f t="shared" si="48"/>
        <v>498</v>
      </c>
      <c r="L771">
        <f t="shared" si="49"/>
        <v>300</v>
      </c>
      <c r="M771" s="9">
        <f t="shared" si="50"/>
        <v>198</v>
      </c>
      <c r="N771" t="str">
        <f t="shared" si="51"/>
        <v>Mar</v>
      </c>
    </row>
    <row r="772" spans="1:14" x14ac:dyDescent="0.3">
      <c r="A772" s="2" t="s">
        <v>838</v>
      </c>
      <c r="B772" s="6">
        <v>45725</v>
      </c>
      <c r="C772" s="2" t="s">
        <v>44</v>
      </c>
      <c r="D772" s="2" t="s">
        <v>194</v>
      </c>
      <c r="E772" s="2">
        <v>1</v>
      </c>
      <c r="F772" s="7">
        <v>699</v>
      </c>
      <c r="G772" s="8">
        <v>0.1</v>
      </c>
      <c r="H772" s="9" t="str">
        <f>INDEX(Products!$B$2:$B$37, MATCH(D772, Products!$A$2:$A$37, 0))</f>
        <v>Leather Handbag</v>
      </c>
      <c r="I772" t="str">
        <f>INDEX(Products!$C$2:$C$37, MATCH(D772, Products!$A$2:$A$37, 0))</f>
        <v>Fashion</v>
      </c>
      <c r="J772">
        <f>INDEX(Products!$E$2:$E$37, MATCH(D772, Products!$A$2:$A$37, 0))</f>
        <v>380</v>
      </c>
      <c r="K772" s="9">
        <f t="shared" si="48"/>
        <v>629.1</v>
      </c>
      <c r="L772">
        <f t="shared" si="49"/>
        <v>380</v>
      </c>
      <c r="M772" s="9">
        <f t="shared" si="50"/>
        <v>249.10000000000002</v>
      </c>
      <c r="N772" t="str">
        <f t="shared" si="51"/>
        <v>Mar</v>
      </c>
    </row>
    <row r="773" spans="1:14" x14ac:dyDescent="0.3">
      <c r="A773" s="2" t="s">
        <v>839</v>
      </c>
      <c r="B773" s="6">
        <v>45725</v>
      </c>
      <c r="C773" s="2" t="s">
        <v>44</v>
      </c>
      <c r="D773" s="2" t="s">
        <v>194</v>
      </c>
      <c r="E773" s="2">
        <v>1</v>
      </c>
      <c r="F773" s="7">
        <v>699</v>
      </c>
      <c r="G773" s="8">
        <v>0.15</v>
      </c>
      <c r="H773" s="9" t="str">
        <f>INDEX(Products!$B$2:$B$37, MATCH(D773, Products!$A$2:$A$37, 0))</f>
        <v>Leather Handbag</v>
      </c>
      <c r="I773" t="str">
        <f>INDEX(Products!$C$2:$C$37, MATCH(D773, Products!$A$2:$A$37, 0))</f>
        <v>Fashion</v>
      </c>
      <c r="J773">
        <f>INDEX(Products!$E$2:$E$37, MATCH(D773, Products!$A$2:$A$37, 0))</f>
        <v>380</v>
      </c>
      <c r="K773" s="9">
        <f t="shared" si="48"/>
        <v>594.15</v>
      </c>
      <c r="L773">
        <f t="shared" si="49"/>
        <v>380</v>
      </c>
      <c r="M773" s="9">
        <f t="shared" si="50"/>
        <v>214.14999999999998</v>
      </c>
      <c r="N773" t="str">
        <f t="shared" si="51"/>
        <v>Mar</v>
      </c>
    </row>
    <row r="774" spans="1:14" x14ac:dyDescent="0.3">
      <c r="A774" s="2" t="s">
        <v>840</v>
      </c>
      <c r="B774" s="6">
        <v>45725</v>
      </c>
      <c r="C774" s="2" t="s">
        <v>28</v>
      </c>
      <c r="D774" s="2" t="s">
        <v>49</v>
      </c>
      <c r="E774" s="2">
        <v>2</v>
      </c>
      <c r="F774" s="7">
        <v>149</v>
      </c>
      <c r="G774" s="8">
        <v>0.3</v>
      </c>
      <c r="H774" s="9" t="str">
        <f>INDEX(Products!$B$2:$B$37, MATCH(D774, Products!$A$2:$A$37, 0))</f>
        <v>Kids' Sneakers</v>
      </c>
      <c r="I774" t="str">
        <f>INDEX(Products!$C$2:$C$37, MATCH(D774, Products!$A$2:$A$37, 0))</f>
        <v>Fashion</v>
      </c>
      <c r="J774">
        <f>INDEX(Products!$E$2:$E$37, MATCH(D774, Products!$A$2:$A$37, 0))</f>
        <v>80</v>
      </c>
      <c r="K774" s="9">
        <f t="shared" si="48"/>
        <v>208.6</v>
      </c>
      <c r="L774">
        <f t="shared" si="49"/>
        <v>160</v>
      </c>
      <c r="M774" s="9">
        <f t="shared" si="50"/>
        <v>48.599999999999994</v>
      </c>
      <c r="N774" t="str">
        <f t="shared" si="51"/>
        <v>Mar</v>
      </c>
    </row>
    <row r="775" spans="1:14" x14ac:dyDescent="0.3">
      <c r="A775" s="2" t="s">
        <v>841</v>
      </c>
      <c r="B775" s="6">
        <v>45725</v>
      </c>
      <c r="C775" s="2" t="s">
        <v>41</v>
      </c>
      <c r="D775" s="2" t="s">
        <v>165</v>
      </c>
      <c r="E775" s="2">
        <v>1</v>
      </c>
      <c r="F775" s="7">
        <v>69</v>
      </c>
      <c r="G775" s="8">
        <v>0</v>
      </c>
      <c r="H775" s="9" t="str">
        <f>INDEX(Products!$B$2:$B$37, MATCH(D775, Products!$A$2:$A$37, 0))</f>
        <v>Swim Goggles</v>
      </c>
      <c r="I775" t="str">
        <f>INDEX(Products!$C$2:$C$37, MATCH(D775, Products!$A$2:$A$37, 0))</f>
        <v>Sports</v>
      </c>
      <c r="J775">
        <f>INDEX(Products!$E$2:$E$37, MATCH(D775, Products!$A$2:$A$37, 0))</f>
        <v>25</v>
      </c>
      <c r="K775" s="9">
        <f t="shared" si="48"/>
        <v>69</v>
      </c>
      <c r="L775">
        <f t="shared" si="49"/>
        <v>25</v>
      </c>
      <c r="M775" s="9">
        <f t="shared" si="50"/>
        <v>44</v>
      </c>
      <c r="N775" t="str">
        <f t="shared" si="51"/>
        <v>Mar</v>
      </c>
    </row>
    <row r="776" spans="1:14" x14ac:dyDescent="0.3">
      <c r="A776" s="2" t="s">
        <v>842</v>
      </c>
      <c r="B776" s="6">
        <v>45725</v>
      </c>
      <c r="C776" s="2" t="s">
        <v>48</v>
      </c>
      <c r="D776" s="2" t="s">
        <v>56</v>
      </c>
      <c r="E776" s="2">
        <v>1</v>
      </c>
      <c r="F776" s="7">
        <v>289</v>
      </c>
      <c r="G776" s="8">
        <v>0</v>
      </c>
      <c r="H776" s="9" t="str">
        <f>INDEX(Products!$B$2:$B$37, MATCH(D776, Products!$A$2:$A$37, 0))</f>
        <v>Ceramic Dinner Set</v>
      </c>
      <c r="I776" t="str">
        <f>INDEX(Products!$C$2:$C$37, MATCH(D776, Products!$A$2:$A$37, 0))</f>
        <v>Home &amp; Kitchen</v>
      </c>
      <c r="J776">
        <f>INDEX(Products!$E$2:$E$37, MATCH(D776, Products!$A$2:$A$37, 0))</f>
        <v>140</v>
      </c>
      <c r="K776" s="9">
        <f t="shared" si="48"/>
        <v>289</v>
      </c>
      <c r="L776">
        <f t="shared" si="49"/>
        <v>140</v>
      </c>
      <c r="M776" s="9">
        <f t="shared" si="50"/>
        <v>149</v>
      </c>
      <c r="N776" t="str">
        <f t="shared" si="51"/>
        <v>Mar</v>
      </c>
    </row>
    <row r="777" spans="1:14" x14ac:dyDescent="0.3">
      <c r="A777" s="2" t="s">
        <v>843</v>
      </c>
      <c r="B777" s="6">
        <v>45725</v>
      </c>
      <c r="C777" s="2" t="s">
        <v>28</v>
      </c>
      <c r="D777" s="2" t="s">
        <v>129</v>
      </c>
      <c r="E777" s="2">
        <v>1</v>
      </c>
      <c r="F777" s="7">
        <v>149</v>
      </c>
      <c r="G777" s="8">
        <v>0.2</v>
      </c>
      <c r="H777" s="9" t="str">
        <f>INDEX(Products!$B$2:$B$37, MATCH(D777, Products!$A$2:$A$37, 0))</f>
        <v>Power Bank 20000mAh</v>
      </c>
      <c r="I777" t="str">
        <f>INDEX(Products!$C$2:$C$37, MATCH(D777, Products!$A$2:$A$37, 0))</f>
        <v>Electronics</v>
      </c>
      <c r="J777">
        <f>INDEX(Products!$E$2:$E$37, MATCH(D777, Products!$A$2:$A$37, 0))</f>
        <v>70</v>
      </c>
      <c r="K777" s="9">
        <f t="shared" si="48"/>
        <v>119.2</v>
      </c>
      <c r="L777">
        <f t="shared" si="49"/>
        <v>70</v>
      </c>
      <c r="M777" s="9">
        <f t="shared" si="50"/>
        <v>49.2</v>
      </c>
      <c r="N777" t="str">
        <f t="shared" si="51"/>
        <v>Mar</v>
      </c>
    </row>
    <row r="778" spans="1:14" x14ac:dyDescent="0.3">
      <c r="A778" s="2" t="s">
        <v>844</v>
      </c>
      <c r="B778" s="6">
        <v>45725</v>
      </c>
      <c r="C778" s="2" t="s">
        <v>44</v>
      </c>
      <c r="D778" s="2" t="s">
        <v>106</v>
      </c>
      <c r="E778" s="2">
        <v>4</v>
      </c>
      <c r="F778" s="7">
        <v>1299</v>
      </c>
      <c r="G778" s="8">
        <v>0.1</v>
      </c>
      <c r="H778" s="9" t="str">
        <f>INDEX(Products!$B$2:$B$37, MATCH(D778, Products!$A$2:$A$37, 0))</f>
        <v>Smart Watch Series 5</v>
      </c>
      <c r="I778" t="str">
        <f>INDEX(Products!$C$2:$C$37, MATCH(D778, Products!$A$2:$A$37, 0))</f>
        <v>Electronics</v>
      </c>
      <c r="J778">
        <f>INDEX(Products!$E$2:$E$37, MATCH(D778, Products!$A$2:$A$37, 0))</f>
        <v>820</v>
      </c>
      <c r="K778" s="9">
        <f t="shared" si="48"/>
        <v>4676.4000000000005</v>
      </c>
      <c r="L778">
        <f t="shared" si="49"/>
        <v>3280</v>
      </c>
      <c r="M778" s="9">
        <f t="shared" si="50"/>
        <v>1396.4000000000005</v>
      </c>
      <c r="N778" t="str">
        <f t="shared" si="51"/>
        <v>Mar</v>
      </c>
    </row>
    <row r="779" spans="1:14" x14ac:dyDescent="0.3">
      <c r="A779" s="2" t="s">
        <v>845</v>
      </c>
      <c r="B779" s="6">
        <v>45725</v>
      </c>
      <c r="C779" s="2" t="s">
        <v>41</v>
      </c>
      <c r="D779" s="2" t="s">
        <v>33</v>
      </c>
      <c r="E779" s="2">
        <v>1</v>
      </c>
      <c r="F779" s="7">
        <v>199</v>
      </c>
      <c r="G779" s="8">
        <v>0.15</v>
      </c>
      <c r="H779" s="9" t="str">
        <f>INDEX(Products!$B$2:$B$37, MATCH(D779, Products!$A$2:$A$37, 0))</f>
        <v>Fitness Band Lite</v>
      </c>
      <c r="I779" t="str">
        <f>INDEX(Products!$C$2:$C$37, MATCH(D779, Products!$A$2:$A$37, 0))</f>
        <v>Electronics</v>
      </c>
      <c r="J779">
        <f>INDEX(Products!$E$2:$E$37, MATCH(D779, Products!$A$2:$A$37, 0))</f>
        <v>175</v>
      </c>
      <c r="K779" s="9">
        <f t="shared" si="48"/>
        <v>169.15</v>
      </c>
      <c r="L779">
        <f t="shared" si="49"/>
        <v>175</v>
      </c>
      <c r="M779" s="9">
        <f t="shared" si="50"/>
        <v>-5.8499999999999943</v>
      </c>
      <c r="N779" t="str">
        <f t="shared" si="51"/>
        <v>Mar</v>
      </c>
    </row>
    <row r="780" spans="1:14" x14ac:dyDescent="0.3">
      <c r="A780" s="2" t="s">
        <v>846</v>
      </c>
      <c r="B780" s="6">
        <v>45725</v>
      </c>
      <c r="C780" s="2" t="s">
        <v>28</v>
      </c>
      <c r="D780" s="2" t="s">
        <v>126</v>
      </c>
      <c r="E780" s="2">
        <v>1</v>
      </c>
      <c r="F780" s="7">
        <v>89</v>
      </c>
      <c r="G780" s="8">
        <v>0</v>
      </c>
      <c r="H780" s="9" t="str">
        <f>INDEX(Products!$B$2:$B$37, MATCH(D780, Products!$A$2:$A$37, 0))</f>
        <v>USB-C Fast Charger</v>
      </c>
      <c r="I780" t="str">
        <f>INDEX(Products!$C$2:$C$37, MATCH(D780, Products!$A$2:$A$37, 0))</f>
        <v>Electronics</v>
      </c>
      <c r="J780">
        <f>INDEX(Products!$E$2:$E$37, MATCH(D780, Products!$A$2:$A$37, 0))</f>
        <v>35</v>
      </c>
      <c r="K780" s="9">
        <f t="shared" si="48"/>
        <v>89</v>
      </c>
      <c r="L780">
        <f t="shared" si="49"/>
        <v>35</v>
      </c>
      <c r="M780" s="9">
        <f t="shared" si="50"/>
        <v>54</v>
      </c>
      <c r="N780" t="str">
        <f t="shared" si="51"/>
        <v>Mar</v>
      </c>
    </row>
    <row r="781" spans="1:14" x14ac:dyDescent="0.3">
      <c r="A781" s="2" t="s">
        <v>847</v>
      </c>
      <c r="B781" s="6">
        <v>45725</v>
      </c>
      <c r="C781" s="2" t="s">
        <v>28</v>
      </c>
      <c r="D781" s="2" t="s">
        <v>103</v>
      </c>
      <c r="E781" s="2">
        <v>1</v>
      </c>
      <c r="F781" s="7">
        <v>89</v>
      </c>
      <c r="G781" s="8">
        <v>0.1</v>
      </c>
      <c r="H781" s="9" t="str">
        <f>INDEX(Products!$B$2:$B$37, MATCH(D781, Products!$A$2:$A$37, 0))</f>
        <v>Sunscreen SPF50</v>
      </c>
      <c r="I781" t="str">
        <f>INDEX(Products!$C$2:$C$37, MATCH(D781, Products!$A$2:$A$37, 0))</f>
        <v>Beauty</v>
      </c>
      <c r="J781">
        <f>INDEX(Products!$E$2:$E$37, MATCH(D781, Products!$A$2:$A$37, 0))</f>
        <v>40</v>
      </c>
      <c r="K781" s="9">
        <f t="shared" si="48"/>
        <v>80.100000000000009</v>
      </c>
      <c r="L781">
        <f t="shared" si="49"/>
        <v>40</v>
      </c>
      <c r="M781" s="9">
        <f t="shared" si="50"/>
        <v>40.100000000000009</v>
      </c>
      <c r="N781" t="str">
        <f t="shared" si="51"/>
        <v>Mar</v>
      </c>
    </row>
    <row r="782" spans="1:14" x14ac:dyDescent="0.3">
      <c r="A782" s="2" t="s">
        <v>848</v>
      </c>
      <c r="B782" s="6">
        <v>45725</v>
      </c>
      <c r="C782" s="2" t="s">
        <v>44</v>
      </c>
      <c r="D782" s="2" t="s">
        <v>37</v>
      </c>
      <c r="E782" s="2">
        <v>1</v>
      </c>
      <c r="F782" s="7">
        <v>249</v>
      </c>
      <c r="G782" s="8">
        <v>0</v>
      </c>
      <c r="H782" s="9" t="str">
        <f>INDEX(Products!$B$2:$B$37, MATCH(D782, Products!$A$2:$A$37, 0))</f>
        <v>Sunglasses Polarised</v>
      </c>
      <c r="I782" t="str">
        <f>INDEX(Products!$C$2:$C$37, MATCH(D782, Products!$A$2:$A$37, 0))</f>
        <v>Fashion</v>
      </c>
      <c r="J782">
        <f>INDEX(Products!$E$2:$E$37, MATCH(D782, Products!$A$2:$A$37, 0))</f>
        <v>95</v>
      </c>
      <c r="K782" s="9">
        <f t="shared" si="48"/>
        <v>249</v>
      </c>
      <c r="L782">
        <f t="shared" si="49"/>
        <v>95</v>
      </c>
      <c r="M782" s="9">
        <f t="shared" si="50"/>
        <v>154</v>
      </c>
      <c r="N782" t="str">
        <f t="shared" si="51"/>
        <v>Mar</v>
      </c>
    </row>
    <row r="783" spans="1:14" x14ac:dyDescent="0.3">
      <c r="A783" s="2" t="s">
        <v>849</v>
      </c>
      <c r="B783" s="6">
        <v>45726</v>
      </c>
      <c r="C783" s="2" t="s">
        <v>44</v>
      </c>
      <c r="D783" s="2" t="s">
        <v>39</v>
      </c>
      <c r="E783" s="2">
        <v>1</v>
      </c>
      <c r="F783" s="7">
        <v>199</v>
      </c>
      <c r="G783" s="8">
        <v>0</v>
      </c>
      <c r="H783" s="9" t="str">
        <f>INDEX(Products!$B$2:$B$37, MATCH(D783, Products!$A$2:$A$37, 0))</f>
        <v>Bakhoor Gift Set</v>
      </c>
      <c r="I783" t="str">
        <f>INDEX(Products!$C$2:$C$37, MATCH(D783, Products!$A$2:$A$37, 0))</f>
        <v>Beauty</v>
      </c>
      <c r="J783">
        <f>INDEX(Products!$E$2:$E$37, MATCH(D783, Products!$A$2:$A$37, 0))</f>
        <v>90</v>
      </c>
      <c r="K783" s="9">
        <f t="shared" si="48"/>
        <v>199</v>
      </c>
      <c r="L783">
        <f t="shared" si="49"/>
        <v>90</v>
      </c>
      <c r="M783" s="9">
        <f t="shared" si="50"/>
        <v>109</v>
      </c>
      <c r="N783" t="str">
        <f t="shared" si="51"/>
        <v>Mar</v>
      </c>
    </row>
    <row r="784" spans="1:14" x14ac:dyDescent="0.3">
      <c r="A784" s="2" t="s">
        <v>850</v>
      </c>
      <c r="B784" s="6">
        <v>45726</v>
      </c>
      <c r="C784" s="2" t="s">
        <v>28</v>
      </c>
      <c r="D784" s="2" t="s">
        <v>78</v>
      </c>
      <c r="E784" s="2">
        <v>1</v>
      </c>
      <c r="F784" s="7">
        <v>499</v>
      </c>
      <c r="G784" s="8">
        <v>0.1</v>
      </c>
      <c r="H784" s="9" t="str">
        <f>INDEX(Products!$B$2:$B$37, MATCH(D784, Products!$A$2:$A$37, 0))</f>
        <v>Air Fryer 5L</v>
      </c>
      <c r="I784" t="str">
        <f>INDEX(Products!$C$2:$C$37, MATCH(D784, Products!$A$2:$A$37, 0))</f>
        <v>Home &amp; Kitchen</v>
      </c>
      <c r="J784">
        <f>INDEX(Products!$E$2:$E$37, MATCH(D784, Products!$A$2:$A$37, 0))</f>
        <v>290</v>
      </c>
      <c r="K784" s="9">
        <f t="shared" si="48"/>
        <v>449.1</v>
      </c>
      <c r="L784">
        <f t="shared" si="49"/>
        <v>290</v>
      </c>
      <c r="M784" s="9">
        <f t="shared" si="50"/>
        <v>159.10000000000002</v>
      </c>
      <c r="N784" t="str">
        <f t="shared" si="51"/>
        <v>Mar</v>
      </c>
    </row>
    <row r="785" spans="1:14" x14ac:dyDescent="0.3">
      <c r="A785" s="2" t="s">
        <v>851</v>
      </c>
      <c r="B785" s="6">
        <v>45726</v>
      </c>
      <c r="C785" s="2" t="s">
        <v>41</v>
      </c>
      <c r="D785" s="2" t="s">
        <v>115</v>
      </c>
      <c r="E785" s="2">
        <v>3</v>
      </c>
      <c r="F785" s="7">
        <v>129</v>
      </c>
      <c r="G785" s="8">
        <v>0.05</v>
      </c>
      <c r="H785" s="9" t="str">
        <f>INDEX(Products!$B$2:$B$37, MATCH(D785, Products!$A$2:$A$37, 0))</f>
        <v>Electric Kettle</v>
      </c>
      <c r="I785" t="str">
        <f>INDEX(Products!$C$2:$C$37, MATCH(D785, Products!$A$2:$A$37, 0))</f>
        <v>Home &amp; Kitchen</v>
      </c>
      <c r="J785">
        <f>INDEX(Products!$E$2:$E$37, MATCH(D785, Products!$A$2:$A$37, 0))</f>
        <v>60</v>
      </c>
      <c r="K785" s="9">
        <f t="shared" si="48"/>
        <v>367.65</v>
      </c>
      <c r="L785">
        <f t="shared" si="49"/>
        <v>180</v>
      </c>
      <c r="M785" s="9">
        <f t="shared" si="50"/>
        <v>187.64999999999998</v>
      </c>
      <c r="N785" t="str">
        <f t="shared" si="51"/>
        <v>Mar</v>
      </c>
    </row>
    <row r="786" spans="1:14" x14ac:dyDescent="0.3">
      <c r="A786" s="2" t="s">
        <v>852</v>
      </c>
      <c r="B786" s="6">
        <v>45726</v>
      </c>
      <c r="C786" s="2" t="s">
        <v>41</v>
      </c>
      <c r="D786" s="2" t="s">
        <v>37</v>
      </c>
      <c r="E786" s="2">
        <v>3</v>
      </c>
      <c r="F786" s="7">
        <v>249</v>
      </c>
      <c r="G786" s="8">
        <v>0.2</v>
      </c>
      <c r="H786" s="9" t="str">
        <f>INDEX(Products!$B$2:$B$37, MATCH(D786, Products!$A$2:$A$37, 0))</f>
        <v>Sunglasses Polarised</v>
      </c>
      <c r="I786" t="str">
        <f>INDEX(Products!$C$2:$C$37, MATCH(D786, Products!$A$2:$A$37, 0))</f>
        <v>Fashion</v>
      </c>
      <c r="J786">
        <f>INDEX(Products!$E$2:$E$37, MATCH(D786, Products!$A$2:$A$37, 0))</f>
        <v>95</v>
      </c>
      <c r="K786" s="9">
        <f t="shared" si="48"/>
        <v>597.6</v>
      </c>
      <c r="L786">
        <f t="shared" si="49"/>
        <v>285</v>
      </c>
      <c r="M786" s="9">
        <f t="shared" si="50"/>
        <v>312.60000000000002</v>
      </c>
      <c r="N786" t="str">
        <f t="shared" si="51"/>
        <v>Mar</v>
      </c>
    </row>
    <row r="787" spans="1:14" x14ac:dyDescent="0.3">
      <c r="A787" s="2" t="s">
        <v>853</v>
      </c>
      <c r="B787" s="6">
        <v>45726</v>
      </c>
      <c r="C787" s="2" t="s">
        <v>31</v>
      </c>
      <c r="D787" s="2" t="s">
        <v>103</v>
      </c>
      <c r="E787" s="2">
        <v>2</v>
      </c>
      <c r="F787" s="7">
        <v>89</v>
      </c>
      <c r="G787" s="8">
        <v>0.1</v>
      </c>
      <c r="H787" s="9" t="str">
        <f>INDEX(Products!$B$2:$B$37, MATCH(D787, Products!$A$2:$A$37, 0))</f>
        <v>Sunscreen SPF50</v>
      </c>
      <c r="I787" t="str">
        <f>INDEX(Products!$C$2:$C$37, MATCH(D787, Products!$A$2:$A$37, 0))</f>
        <v>Beauty</v>
      </c>
      <c r="J787">
        <f>INDEX(Products!$E$2:$E$37, MATCH(D787, Products!$A$2:$A$37, 0))</f>
        <v>40</v>
      </c>
      <c r="K787" s="9">
        <f t="shared" si="48"/>
        <v>160.20000000000002</v>
      </c>
      <c r="L787">
        <f t="shared" si="49"/>
        <v>80</v>
      </c>
      <c r="M787" s="9">
        <f t="shared" si="50"/>
        <v>80.200000000000017</v>
      </c>
      <c r="N787" t="str">
        <f t="shared" si="51"/>
        <v>Mar</v>
      </c>
    </row>
    <row r="788" spans="1:14" x14ac:dyDescent="0.3">
      <c r="A788" s="2" t="s">
        <v>854</v>
      </c>
      <c r="B788" s="6">
        <v>45726</v>
      </c>
      <c r="C788" s="2" t="s">
        <v>44</v>
      </c>
      <c r="D788" s="2" t="s">
        <v>99</v>
      </c>
      <c r="E788" s="2">
        <v>4</v>
      </c>
      <c r="F788" s="7">
        <v>459</v>
      </c>
      <c r="G788" s="8">
        <v>0.1</v>
      </c>
      <c r="H788" s="9" t="str">
        <f>INDEX(Products!$B$2:$B$37, MATCH(D788, Products!$A$2:$A$37, 0))</f>
        <v>Gaming Headset X</v>
      </c>
      <c r="I788" t="str">
        <f>INDEX(Products!$C$2:$C$37, MATCH(D788, Products!$A$2:$A$37, 0))</f>
        <v>Electronics</v>
      </c>
      <c r="J788">
        <f>INDEX(Products!$E$2:$E$37, MATCH(D788, Products!$A$2:$A$37, 0))</f>
        <v>300</v>
      </c>
      <c r="K788" s="9">
        <f t="shared" si="48"/>
        <v>1652.4</v>
      </c>
      <c r="L788">
        <f t="shared" si="49"/>
        <v>1200</v>
      </c>
      <c r="M788" s="9">
        <f t="shared" si="50"/>
        <v>452.40000000000009</v>
      </c>
      <c r="N788" t="str">
        <f t="shared" si="51"/>
        <v>Mar</v>
      </c>
    </row>
    <row r="789" spans="1:14" x14ac:dyDescent="0.3">
      <c r="A789" s="2" t="s">
        <v>855</v>
      </c>
      <c r="B789" s="6">
        <v>45726</v>
      </c>
      <c r="C789" s="2" t="s">
        <v>28</v>
      </c>
      <c r="D789" s="2" t="s">
        <v>49</v>
      </c>
      <c r="E789" s="2">
        <v>1</v>
      </c>
      <c r="F789" s="7">
        <v>149</v>
      </c>
      <c r="G789" s="8">
        <v>0</v>
      </c>
      <c r="H789" s="9" t="str">
        <f>INDEX(Products!$B$2:$B$37, MATCH(D789, Products!$A$2:$A$37, 0))</f>
        <v>Kids' Sneakers</v>
      </c>
      <c r="I789" t="str">
        <f>INDEX(Products!$C$2:$C$37, MATCH(D789, Products!$A$2:$A$37, 0))</f>
        <v>Fashion</v>
      </c>
      <c r="J789">
        <f>INDEX(Products!$E$2:$E$37, MATCH(D789, Products!$A$2:$A$37, 0))</f>
        <v>80</v>
      </c>
      <c r="K789" s="9">
        <f t="shared" si="48"/>
        <v>149</v>
      </c>
      <c r="L789">
        <f t="shared" si="49"/>
        <v>80</v>
      </c>
      <c r="M789" s="9">
        <f t="shared" si="50"/>
        <v>69</v>
      </c>
      <c r="N789" t="str">
        <f t="shared" si="51"/>
        <v>Mar</v>
      </c>
    </row>
    <row r="790" spans="1:14" x14ac:dyDescent="0.3">
      <c r="A790" s="2" t="s">
        <v>856</v>
      </c>
      <c r="B790" s="6">
        <v>45726</v>
      </c>
      <c r="C790" s="2" t="s">
        <v>28</v>
      </c>
      <c r="D790" s="2" t="s">
        <v>129</v>
      </c>
      <c r="E790" s="2">
        <v>1</v>
      </c>
      <c r="F790" s="7">
        <v>149</v>
      </c>
      <c r="G790" s="8">
        <v>0</v>
      </c>
      <c r="H790" s="9" t="str">
        <f>INDEX(Products!$B$2:$B$37, MATCH(D790, Products!$A$2:$A$37, 0))</f>
        <v>Power Bank 20000mAh</v>
      </c>
      <c r="I790" t="str">
        <f>INDEX(Products!$C$2:$C$37, MATCH(D790, Products!$A$2:$A$37, 0))</f>
        <v>Electronics</v>
      </c>
      <c r="J790">
        <f>INDEX(Products!$E$2:$E$37, MATCH(D790, Products!$A$2:$A$37, 0))</f>
        <v>70</v>
      </c>
      <c r="K790" s="9">
        <f t="shared" si="48"/>
        <v>149</v>
      </c>
      <c r="L790">
        <f t="shared" si="49"/>
        <v>70</v>
      </c>
      <c r="M790" s="9">
        <f t="shared" si="50"/>
        <v>79</v>
      </c>
      <c r="N790" t="str">
        <f t="shared" si="51"/>
        <v>Mar</v>
      </c>
    </row>
    <row r="791" spans="1:14" x14ac:dyDescent="0.3">
      <c r="A791" s="2" t="s">
        <v>857</v>
      </c>
      <c r="B791" s="6">
        <v>45726</v>
      </c>
      <c r="C791" s="2" t="s">
        <v>41</v>
      </c>
      <c r="D791" s="2" t="s">
        <v>42</v>
      </c>
      <c r="E791" s="2">
        <v>1</v>
      </c>
      <c r="F791" s="7">
        <v>399</v>
      </c>
      <c r="G791" s="8">
        <v>0</v>
      </c>
      <c r="H791" s="9" t="str">
        <f>INDEX(Products!$B$2:$B$37, MATCH(D791, Products!$A$2:$A$37, 0))</f>
        <v>Wireless Earbuds Pro</v>
      </c>
      <c r="I791" t="str">
        <f>INDEX(Products!$C$2:$C$37, MATCH(D791, Products!$A$2:$A$37, 0))</f>
        <v>Electronics</v>
      </c>
      <c r="J791">
        <f>INDEX(Products!$E$2:$E$37, MATCH(D791, Products!$A$2:$A$37, 0))</f>
        <v>230</v>
      </c>
      <c r="K791" s="9">
        <f t="shared" si="48"/>
        <v>399</v>
      </c>
      <c r="L791">
        <f t="shared" si="49"/>
        <v>230</v>
      </c>
      <c r="M791" s="9">
        <f t="shared" si="50"/>
        <v>169</v>
      </c>
      <c r="N791" t="str">
        <f t="shared" si="51"/>
        <v>Mar</v>
      </c>
    </row>
    <row r="792" spans="1:14" x14ac:dyDescent="0.3">
      <c r="A792" s="2" t="s">
        <v>858</v>
      </c>
      <c r="B792" s="6">
        <v>45726</v>
      </c>
      <c r="C792" s="2" t="s">
        <v>31</v>
      </c>
      <c r="D792" s="2" t="s">
        <v>49</v>
      </c>
      <c r="E792" s="2">
        <v>1</v>
      </c>
      <c r="F792" s="7">
        <v>149</v>
      </c>
      <c r="G792" s="8">
        <v>0.15</v>
      </c>
      <c r="H792" s="9" t="str">
        <f>INDEX(Products!$B$2:$B$37, MATCH(D792, Products!$A$2:$A$37, 0))</f>
        <v>Kids' Sneakers</v>
      </c>
      <c r="I792" t="str">
        <f>INDEX(Products!$C$2:$C$37, MATCH(D792, Products!$A$2:$A$37, 0))</f>
        <v>Fashion</v>
      </c>
      <c r="J792">
        <f>INDEX(Products!$E$2:$E$37, MATCH(D792, Products!$A$2:$A$37, 0))</f>
        <v>80</v>
      </c>
      <c r="K792" s="9">
        <f t="shared" si="48"/>
        <v>126.64999999999999</v>
      </c>
      <c r="L792">
        <f t="shared" si="49"/>
        <v>80</v>
      </c>
      <c r="M792" s="9">
        <f t="shared" si="50"/>
        <v>46.649999999999991</v>
      </c>
      <c r="N792" t="str">
        <f t="shared" si="51"/>
        <v>Mar</v>
      </c>
    </row>
    <row r="793" spans="1:14" x14ac:dyDescent="0.3">
      <c r="A793" s="2" t="s">
        <v>859</v>
      </c>
      <c r="B793" s="6">
        <v>45726</v>
      </c>
      <c r="C793" s="2" t="s">
        <v>41</v>
      </c>
      <c r="D793" s="2" t="s">
        <v>35</v>
      </c>
      <c r="E793" s="2">
        <v>2</v>
      </c>
      <c r="F793" s="7">
        <v>179</v>
      </c>
      <c r="G793" s="8">
        <v>0.2</v>
      </c>
      <c r="H793" s="9" t="str">
        <f>INDEX(Products!$B$2:$B$37, MATCH(D793, Products!$A$2:$A$37, 0))</f>
        <v>Men's Linen Shirt</v>
      </c>
      <c r="I793" t="str">
        <f>INDEX(Products!$C$2:$C$37, MATCH(D793, Products!$A$2:$A$37, 0))</f>
        <v>Fashion</v>
      </c>
      <c r="J793">
        <f>INDEX(Products!$E$2:$E$37, MATCH(D793, Products!$A$2:$A$37, 0))</f>
        <v>70</v>
      </c>
      <c r="K793" s="9">
        <f t="shared" si="48"/>
        <v>286.40000000000003</v>
      </c>
      <c r="L793">
        <f t="shared" si="49"/>
        <v>140</v>
      </c>
      <c r="M793" s="9">
        <f t="shared" si="50"/>
        <v>146.40000000000003</v>
      </c>
      <c r="N793" t="str">
        <f t="shared" si="51"/>
        <v>Mar</v>
      </c>
    </row>
    <row r="794" spans="1:14" x14ac:dyDescent="0.3">
      <c r="A794" s="2" t="s">
        <v>860</v>
      </c>
      <c r="B794" s="6">
        <v>45726</v>
      </c>
      <c r="C794" s="2" t="s">
        <v>31</v>
      </c>
      <c r="D794" s="2" t="s">
        <v>29</v>
      </c>
      <c r="E794" s="2">
        <v>1</v>
      </c>
      <c r="F794" s="7">
        <v>229</v>
      </c>
      <c r="G794" s="8">
        <v>0</v>
      </c>
      <c r="H794" s="9" t="str">
        <f>INDEX(Products!$B$2:$B$37, MATCH(D794, Products!$A$2:$A$37, 0))</f>
        <v>Women's Summer Dress</v>
      </c>
      <c r="I794" t="str">
        <f>INDEX(Products!$C$2:$C$37, MATCH(D794, Products!$A$2:$A$37, 0))</f>
        <v>Fashion</v>
      </c>
      <c r="J794">
        <f>INDEX(Products!$E$2:$E$37, MATCH(D794, Products!$A$2:$A$37, 0))</f>
        <v>120</v>
      </c>
      <c r="K794" s="9">
        <f t="shared" si="48"/>
        <v>229</v>
      </c>
      <c r="L794">
        <f t="shared" si="49"/>
        <v>120</v>
      </c>
      <c r="M794" s="9">
        <f t="shared" si="50"/>
        <v>109</v>
      </c>
      <c r="N794" t="str">
        <f t="shared" si="51"/>
        <v>Mar</v>
      </c>
    </row>
    <row r="795" spans="1:14" x14ac:dyDescent="0.3">
      <c r="A795" s="2" t="s">
        <v>861</v>
      </c>
      <c r="B795" s="6">
        <v>45726</v>
      </c>
      <c r="C795" s="2" t="s">
        <v>31</v>
      </c>
      <c r="D795" s="2" t="s">
        <v>37</v>
      </c>
      <c r="E795" s="2">
        <v>1</v>
      </c>
      <c r="F795" s="7">
        <v>249</v>
      </c>
      <c r="G795" s="8">
        <v>0</v>
      </c>
      <c r="H795" s="9" t="str">
        <f>INDEX(Products!$B$2:$B$37, MATCH(D795, Products!$A$2:$A$37, 0))</f>
        <v>Sunglasses Polarised</v>
      </c>
      <c r="I795" t="str">
        <f>INDEX(Products!$C$2:$C$37, MATCH(D795, Products!$A$2:$A$37, 0))</f>
        <v>Fashion</v>
      </c>
      <c r="J795">
        <f>INDEX(Products!$E$2:$E$37, MATCH(D795, Products!$A$2:$A$37, 0))</f>
        <v>95</v>
      </c>
      <c r="K795" s="9">
        <f t="shared" si="48"/>
        <v>249</v>
      </c>
      <c r="L795">
        <f t="shared" si="49"/>
        <v>95</v>
      </c>
      <c r="M795" s="9">
        <f t="shared" si="50"/>
        <v>154</v>
      </c>
      <c r="N795" t="str">
        <f t="shared" si="51"/>
        <v>Mar</v>
      </c>
    </row>
    <row r="796" spans="1:14" x14ac:dyDescent="0.3">
      <c r="A796" s="2" t="s">
        <v>862</v>
      </c>
      <c r="B796" s="6">
        <v>45726</v>
      </c>
      <c r="C796" s="2" t="s">
        <v>44</v>
      </c>
      <c r="D796" s="2" t="s">
        <v>39</v>
      </c>
      <c r="E796" s="2">
        <v>1</v>
      </c>
      <c r="F796" s="7">
        <v>199</v>
      </c>
      <c r="G796" s="8">
        <v>0.05</v>
      </c>
      <c r="H796" s="9" t="str">
        <f>INDEX(Products!$B$2:$B$37, MATCH(D796, Products!$A$2:$A$37, 0))</f>
        <v>Bakhoor Gift Set</v>
      </c>
      <c r="I796" t="str">
        <f>INDEX(Products!$C$2:$C$37, MATCH(D796, Products!$A$2:$A$37, 0))</f>
        <v>Beauty</v>
      </c>
      <c r="J796">
        <f>INDEX(Products!$E$2:$E$37, MATCH(D796, Products!$A$2:$A$37, 0))</f>
        <v>90</v>
      </c>
      <c r="K796" s="9">
        <f t="shared" si="48"/>
        <v>189.04999999999998</v>
      </c>
      <c r="L796">
        <f t="shared" si="49"/>
        <v>90</v>
      </c>
      <c r="M796" s="9">
        <f t="shared" si="50"/>
        <v>99.049999999999983</v>
      </c>
      <c r="N796" t="str">
        <f t="shared" si="51"/>
        <v>Mar</v>
      </c>
    </row>
    <row r="797" spans="1:14" x14ac:dyDescent="0.3">
      <c r="A797" s="2" t="s">
        <v>863</v>
      </c>
      <c r="B797" s="6">
        <v>45726</v>
      </c>
      <c r="C797" s="2" t="s">
        <v>44</v>
      </c>
      <c r="D797" s="2" t="s">
        <v>99</v>
      </c>
      <c r="E797" s="2">
        <v>1</v>
      </c>
      <c r="F797" s="7">
        <v>459</v>
      </c>
      <c r="G797" s="8">
        <v>0</v>
      </c>
      <c r="H797" s="9" t="str">
        <f>INDEX(Products!$B$2:$B$37, MATCH(D797, Products!$A$2:$A$37, 0))</f>
        <v>Gaming Headset X</v>
      </c>
      <c r="I797" t="str">
        <f>INDEX(Products!$C$2:$C$37, MATCH(D797, Products!$A$2:$A$37, 0))</f>
        <v>Electronics</v>
      </c>
      <c r="J797">
        <f>INDEX(Products!$E$2:$E$37, MATCH(D797, Products!$A$2:$A$37, 0))</f>
        <v>300</v>
      </c>
      <c r="K797" s="9">
        <f t="shared" si="48"/>
        <v>459</v>
      </c>
      <c r="L797">
        <f t="shared" si="49"/>
        <v>300</v>
      </c>
      <c r="M797" s="9">
        <f t="shared" si="50"/>
        <v>159</v>
      </c>
      <c r="N797" t="str">
        <f t="shared" si="51"/>
        <v>Mar</v>
      </c>
    </row>
    <row r="798" spans="1:14" x14ac:dyDescent="0.3">
      <c r="A798" s="2" t="s">
        <v>864</v>
      </c>
      <c r="B798" s="6">
        <v>45726</v>
      </c>
      <c r="C798" s="2" t="s">
        <v>41</v>
      </c>
      <c r="D798" s="2" t="s">
        <v>35</v>
      </c>
      <c r="E798" s="2">
        <v>1</v>
      </c>
      <c r="F798" s="7">
        <v>179</v>
      </c>
      <c r="G798" s="8">
        <v>0</v>
      </c>
      <c r="H798" s="9" t="str">
        <f>INDEX(Products!$B$2:$B$37, MATCH(D798, Products!$A$2:$A$37, 0))</f>
        <v>Men's Linen Shirt</v>
      </c>
      <c r="I798" t="str">
        <f>INDEX(Products!$C$2:$C$37, MATCH(D798, Products!$A$2:$A$37, 0))</f>
        <v>Fashion</v>
      </c>
      <c r="J798">
        <f>INDEX(Products!$E$2:$E$37, MATCH(D798, Products!$A$2:$A$37, 0))</f>
        <v>70</v>
      </c>
      <c r="K798" s="9">
        <f t="shared" si="48"/>
        <v>179</v>
      </c>
      <c r="L798">
        <f t="shared" si="49"/>
        <v>70</v>
      </c>
      <c r="M798" s="9">
        <f t="shared" si="50"/>
        <v>109</v>
      </c>
      <c r="N798" t="str">
        <f t="shared" si="51"/>
        <v>Mar</v>
      </c>
    </row>
    <row r="799" spans="1:14" x14ac:dyDescent="0.3">
      <c r="A799" s="2" t="s">
        <v>865</v>
      </c>
      <c r="B799" s="6">
        <v>45727</v>
      </c>
      <c r="C799" s="2" t="s">
        <v>48</v>
      </c>
      <c r="D799" s="2" t="s">
        <v>99</v>
      </c>
      <c r="E799" s="2">
        <v>1</v>
      </c>
      <c r="F799" s="7">
        <v>459</v>
      </c>
      <c r="G799" s="8">
        <v>0</v>
      </c>
      <c r="H799" s="9" t="str">
        <f>INDEX(Products!$B$2:$B$37, MATCH(D799, Products!$A$2:$A$37, 0))</f>
        <v>Gaming Headset X</v>
      </c>
      <c r="I799" t="str">
        <f>INDEX(Products!$C$2:$C$37, MATCH(D799, Products!$A$2:$A$37, 0))</f>
        <v>Electronics</v>
      </c>
      <c r="J799">
        <f>INDEX(Products!$E$2:$E$37, MATCH(D799, Products!$A$2:$A$37, 0))</f>
        <v>300</v>
      </c>
      <c r="K799" s="9">
        <f t="shared" si="48"/>
        <v>459</v>
      </c>
      <c r="L799">
        <f t="shared" si="49"/>
        <v>300</v>
      </c>
      <c r="M799" s="9">
        <f t="shared" si="50"/>
        <v>159</v>
      </c>
      <c r="N799" t="str">
        <f t="shared" si="51"/>
        <v>Mar</v>
      </c>
    </row>
    <row r="800" spans="1:14" x14ac:dyDescent="0.3">
      <c r="A800" s="2" t="s">
        <v>866</v>
      </c>
      <c r="B800" s="6">
        <v>45727</v>
      </c>
      <c r="C800" s="2" t="s">
        <v>41</v>
      </c>
      <c r="D800" s="2" t="s">
        <v>68</v>
      </c>
      <c r="E800" s="2">
        <v>1</v>
      </c>
      <c r="F800" s="7">
        <v>249</v>
      </c>
      <c r="G800" s="8">
        <v>0.1</v>
      </c>
      <c r="H800" s="9" t="str">
        <f>INDEX(Products!$B$2:$B$37, MATCH(D800, Products!$A$2:$A$37, 0))</f>
        <v>Bluetooth Speaker Mini</v>
      </c>
      <c r="I800" t="str">
        <f>INDEX(Products!$C$2:$C$37, MATCH(D800, Products!$A$2:$A$37, 0))</f>
        <v>Electronics</v>
      </c>
      <c r="J800">
        <f>INDEX(Products!$E$2:$E$37, MATCH(D800, Products!$A$2:$A$37, 0))</f>
        <v>150</v>
      </c>
      <c r="K800" s="9">
        <f t="shared" si="48"/>
        <v>224.1</v>
      </c>
      <c r="L800">
        <f t="shared" si="49"/>
        <v>150</v>
      </c>
      <c r="M800" s="9">
        <f t="shared" si="50"/>
        <v>74.099999999999994</v>
      </c>
      <c r="N800" t="str">
        <f t="shared" si="51"/>
        <v>Mar</v>
      </c>
    </row>
    <row r="801" spans="1:14" x14ac:dyDescent="0.3">
      <c r="A801" s="2" t="s">
        <v>867</v>
      </c>
      <c r="B801" s="6">
        <v>45727</v>
      </c>
      <c r="C801" s="2" t="s">
        <v>28</v>
      </c>
      <c r="D801" s="2" t="s">
        <v>68</v>
      </c>
      <c r="E801" s="2">
        <v>1</v>
      </c>
      <c r="F801" s="7">
        <v>249</v>
      </c>
      <c r="G801" s="8">
        <v>0</v>
      </c>
      <c r="H801" s="9" t="str">
        <f>INDEX(Products!$B$2:$B$37, MATCH(D801, Products!$A$2:$A$37, 0))</f>
        <v>Bluetooth Speaker Mini</v>
      </c>
      <c r="I801" t="str">
        <f>INDEX(Products!$C$2:$C$37, MATCH(D801, Products!$A$2:$A$37, 0))</f>
        <v>Electronics</v>
      </c>
      <c r="J801">
        <f>INDEX(Products!$E$2:$E$37, MATCH(D801, Products!$A$2:$A$37, 0))</f>
        <v>150</v>
      </c>
      <c r="K801" s="9">
        <f t="shared" si="48"/>
        <v>249</v>
      </c>
      <c r="L801">
        <f t="shared" si="49"/>
        <v>150</v>
      </c>
      <c r="M801" s="9">
        <f t="shared" si="50"/>
        <v>99</v>
      </c>
      <c r="N801" t="str">
        <f t="shared" si="51"/>
        <v>Mar</v>
      </c>
    </row>
    <row r="802" spans="1:14" x14ac:dyDescent="0.3">
      <c r="A802" s="2" t="s">
        <v>868</v>
      </c>
      <c r="B802" s="6">
        <v>45727</v>
      </c>
      <c r="C802" s="2" t="s">
        <v>28</v>
      </c>
      <c r="D802" s="2" t="s">
        <v>95</v>
      </c>
      <c r="E802" s="2">
        <v>3</v>
      </c>
      <c r="F802" s="7">
        <v>259</v>
      </c>
      <c r="G802" s="8">
        <v>0</v>
      </c>
      <c r="H802" s="9" t="str">
        <f>INDEX(Products!$B$2:$B$37, MATCH(D802, Products!$A$2:$A$37, 0))</f>
        <v>Bed Linen Set (King)</v>
      </c>
      <c r="I802" t="str">
        <f>INDEX(Products!$C$2:$C$37, MATCH(D802, Products!$A$2:$A$37, 0))</f>
        <v>Home &amp; Kitchen</v>
      </c>
      <c r="J802">
        <f>INDEX(Products!$E$2:$E$37, MATCH(D802, Products!$A$2:$A$37, 0))</f>
        <v>115</v>
      </c>
      <c r="K802" s="9">
        <f t="shared" si="48"/>
        <v>777</v>
      </c>
      <c r="L802">
        <f t="shared" si="49"/>
        <v>345</v>
      </c>
      <c r="M802" s="9">
        <f t="shared" si="50"/>
        <v>432</v>
      </c>
      <c r="N802" t="str">
        <f t="shared" si="51"/>
        <v>Mar</v>
      </c>
    </row>
    <row r="803" spans="1:14" x14ac:dyDescent="0.3">
      <c r="A803" s="2" t="s">
        <v>869</v>
      </c>
      <c r="B803" s="6">
        <v>45727</v>
      </c>
      <c r="C803" s="2" t="s">
        <v>44</v>
      </c>
      <c r="D803" s="2" t="s">
        <v>49</v>
      </c>
      <c r="E803" s="2">
        <v>1</v>
      </c>
      <c r="F803" s="7">
        <v>149</v>
      </c>
      <c r="G803" s="8">
        <v>0.1</v>
      </c>
      <c r="H803" s="9" t="str">
        <f>INDEX(Products!$B$2:$B$37, MATCH(D803, Products!$A$2:$A$37, 0))</f>
        <v>Kids' Sneakers</v>
      </c>
      <c r="I803" t="str">
        <f>INDEX(Products!$C$2:$C$37, MATCH(D803, Products!$A$2:$A$37, 0))</f>
        <v>Fashion</v>
      </c>
      <c r="J803">
        <f>INDEX(Products!$E$2:$E$37, MATCH(D803, Products!$A$2:$A$37, 0))</f>
        <v>80</v>
      </c>
      <c r="K803" s="9">
        <f t="shared" si="48"/>
        <v>134.1</v>
      </c>
      <c r="L803">
        <f t="shared" si="49"/>
        <v>80</v>
      </c>
      <c r="M803" s="9">
        <f t="shared" si="50"/>
        <v>54.099999999999994</v>
      </c>
      <c r="N803" t="str">
        <f t="shared" si="51"/>
        <v>Mar</v>
      </c>
    </row>
    <row r="804" spans="1:14" x14ac:dyDescent="0.3">
      <c r="A804" s="2" t="s">
        <v>870</v>
      </c>
      <c r="B804" s="6">
        <v>45728</v>
      </c>
      <c r="C804" s="2" t="s">
        <v>28</v>
      </c>
      <c r="D804" s="2" t="s">
        <v>70</v>
      </c>
      <c r="E804" s="2">
        <v>1</v>
      </c>
      <c r="F804" s="7">
        <v>429</v>
      </c>
      <c r="G804" s="8">
        <v>0.05</v>
      </c>
      <c r="H804" s="9" t="str">
        <f>INDEX(Products!$B$2:$B$37, MATCH(D804, Products!$A$2:$A$37, 0))</f>
        <v>Running Shoes Elite</v>
      </c>
      <c r="I804" t="str">
        <f>INDEX(Products!$C$2:$C$37, MATCH(D804, Products!$A$2:$A$37, 0))</f>
        <v>Fashion</v>
      </c>
      <c r="J804">
        <f>INDEX(Products!$E$2:$E$37, MATCH(D804, Products!$A$2:$A$37, 0))</f>
        <v>300</v>
      </c>
      <c r="K804" s="9">
        <f t="shared" si="48"/>
        <v>407.54999999999995</v>
      </c>
      <c r="L804">
        <f t="shared" si="49"/>
        <v>300</v>
      </c>
      <c r="M804" s="9">
        <f t="shared" si="50"/>
        <v>107.54999999999995</v>
      </c>
      <c r="N804" t="str">
        <f t="shared" si="51"/>
        <v>Mar</v>
      </c>
    </row>
    <row r="805" spans="1:14" x14ac:dyDescent="0.3">
      <c r="A805" s="2" t="s">
        <v>871</v>
      </c>
      <c r="B805" s="6">
        <v>45728</v>
      </c>
      <c r="C805" s="2" t="s">
        <v>31</v>
      </c>
      <c r="D805" s="2" t="s">
        <v>95</v>
      </c>
      <c r="E805" s="2">
        <v>1</v>
      </c>
      <c r="F805" s="7">
        <v>259</v>
      </c>
      <c r="G805" s="8">
        <v>0.05</v>
      </c>
      <c r="H805" s="9" t="str">
        <f>INDEX(Products!$B$2:$B$37, MATCH(D805, Products!$A$2:$A$37, 0))</f>
        <v>Bed Linen Set (King)</v>
      </c>
      <c r="I805" t="str">
        <f>INDEX(Products!$C$2:$C$37, MATCH(D805, Products!$A$2:$A$37, 0))</f>
        <v>Home &amp; Kitchen</v>
      </c>
      <c r="J805">
        <f>INDEX(Products!$E$2:$E$37, MATCH(D805, Products!$A$2:$A$37, 0))</f>
        <v>115</v>
      </c>
      <c r="K805" s="9">
        <f t="shared" si="48"/>
        <v>246.04999999999998</v>
      </c>
      <c r="L805">
        <f t="shared" si="49"/>
        <v>115</v>
      </c>
      <c r="M805" s="9">
        <f t="shared" si="50"/>
        <v>131.04999999999998</v>
      </c>
      <c r="N805" t="str">
        <f t="shared" si="51"/>
        <v>Mar</v>
      </c>
    </row>
    <row r="806" spans="1:14" x14ac:dyDescent="0.3">
      <c r="A806" s="2" t="s">
        <v>872</v>
      </c>
      <c r="B806" s="6">
        <v>45728</v>
      </c>
      <c r="C806" s="2" t="s">
        <v>31</v>
      </c>
      <c r="D806" s="2" t="s">
        <v>52</v>
      </c>
      <c r="E806" s="2">
        <v>2</v>
      </c>
      <c r="F806" s="7">
        <v>299</v>
      </c>
      <c r="G806" s="8">
        <v>0.1</v>
      </c>
      <c r="H806" s="9" t="str">
        <f>INDEX(Products!$B$2:$B$37, MATCH(D806, Products!$A$2:$A$37, 0))</f>
        <v>Hair Dryer Ionic</v>
      </c>
      <c r="I806" t="str">
        <f>INDEX(Products!$C$2:$C$37, MATCH(D806, Products!$A$2:$A$37, 0))</f>
        <v>Beauty</v>
      </c>
      <c r="J806">
        <f>INDEX(Products!$E$2:$E$37, MATCH(D806, Products!$A$2:$A$37, 0))</f>
        <v>240</v>
      </c>
      <c r="K806" s="9">
        <f t="shared" si="48"/>
        <v>538.20000000000005</v>
      </c>
      <c r="L806">
        <f t="shared" si="49"/>
        <v>480</v>
      </c>
      <c r="M806" s="9">
        <f t="shared" si="50"/>
        <v>58.200000000000045</v>
      </c>
      <c r="N806" t="str">
        <f t="shared" si="51"/>
        <v>Mar</v>
      </c>
    </row>
    <row r="807" spans="1:14" x14ac:dyDescent="0.3">
      <c r="A807" s="2" t="s">
        <v>873</v>
      </c>
      <c r="B807" s="6">
        <v>45728</v>
      </c>
      <c r="C807" s="2" t="s">
        <v>48</v>
      </c>
      <c r="D807" s="2" t="s">
        <v>70</v>
      </c>
      <c r="E807" s="2">
        <v>3</v>
      </c>
      <c r="F807" s="7">
        <v>429</v>
      </c>
      <c r="G807" s="8">
        <v>0</v>
      </c>
      <c r="H807" s="9" t="str">
        <f>INDEX(Products!$B$2:$B$37, MATCH(D807, Products!$A$2:$A$37, 0))</f>
        <v>Running Shoes Elite</v>
      </c>
      <c r="I807" t="str">
        <f>INDEX(Products!$C$2:$C$37, MATCH(D807, Products!$A$2:$A$37, 0))</f>
        <v>Fashion</v>
      </c>
      <c r="J807">
        <f>INDEX(Products!$E$2:$E$37, MATCH(D807, Products!$A$2:$A$37, 0))</f>
        <v>300</v>
      </c>
      <c r="K807" s="9">
        <f t="shared" si="48"/>
        <v>1287</v>
      </c>
      <c r="L807">
        <f t="shared" si="49"/>
        <v>900</v>
      </c>
      <c r="M807" s="9">
        <f t="shared" si="50"/>
        <v>387</v>
      </c>
      <c r="N807" t="str">
        <f t="shared" si="51"/>
        <v>Mar</v>
      </c>
    </row>
    <row r="808" spans="1:14" x14ac:dyDescent="0.3">
      <c r="A808" s="2" t="s">
        <v>874</v>
      </c>
      <c r="B808" s="6">
        <v>45728</v>
      </c>
      <c r="C808" s="2" t="s">
        <v>41</v>
      </c>
      <c r="D808" s="2" t="s">
        <v>83</v>
      </c>
      <c r="E808" s="2">
        <v>1</v>
      </c>
      <c r="F808" s="7">
        <v>229</v>
      </c>
      <c r="G808" s="8">
        <v>0.15</v>
      </c>
      <c r="H808" s="9" t="str">
        <f>INDEX(Products!$B$2:$B$37, MATCH(D808, Products!$A$2:$A$37, 0))</f>
        <v>Cycling Helmet</v>
      </c>
      <c r="I808" t="str">
        <f>INDEX(Products!$C$2:$C$37, MATCH(D808, Products!$A$2:$A$37, 0))</f>
        <v>Sports</v>
      </c>
      <c r="J808">
        <f>INDEX(Products!$E$2:$E$37, MATCH(D808, Products!$A$2:$A$37, 0))</f>
        <v>120</v>
      </c>
      <c r="K808" s="9">
        <f t="shared" si="48"/>
        <v>194.65</v>
      </c>
      <c r="L808">
        <f t="shared" si="49"/>
        <v>120</v>
      </c>
      <c r="M808" s="9">
        <f t="shared" si="50"/>
        <v>74.650000000000006</v>
      </c>
      <c r="N808" t="str">
        <f t="shared" si="51"/>
        <v>Mar</v>
      </c>
    </row>
    <row r="809" spans="1:14" x14ac:dyDescent="0.3">
      <c r="A809" s="2" t="s">
        <v>875</v>
      </c>
      <c r="B809" s="6">
        <v>45728</v>
      </c>
      <c r="C809" s="2" t="s">
        <v>41</v>
      </c>
      <c r="D809" s="2" t="s">
        <v>99</v>
      </c>
      <c r="E809" s="2">
        <v>1</v>
      </c>
      <c r="F809" s="7">
        <v>459</v>
      </c>
      <c r="G809" s="8">
        <v>0.1</v>
      </c>
      <c r="H809" s="9" t="str">
        <f>INDEX(Products!$B$2:$B$37, MATCH(D809, Products!$A$2:$A$37, 0))</f>
        <v>Gaming Headset X</v>
      </c>
      <c r="I809" t="str">
        <f>INDEX(Products!$C$2:$C$37, MATCH(D809, Products!$A$2:$A$37, 0))</f>
        <v>Electronics</v>
      </c>
      <c r="J809">
        <f>INDEX(Products!$E$2:$E$37, MATCH(D809, Products!$A$2:$A$37, 0))</f>
        <v>300</v>
      </c>
      <c r="K809" s="9">
        <f t="shared" si="48"/>
        <v>413.1</v>
      </c>
      <c r="L809">
        <f t="shared" si="49"/>
        <v>300</v>
      </c>
      <c r="M809" s="9">
        <f t="shared" si="50"/>
        <v>113.10000000000002</v>
      </c>
      <c r="N809" t="str">
        <f t="shared" si="51"/>
        <v>Mar</v>
      </c>
    </row>
    <row r="810" spans="1:14" x14ac:dyDescent="0.3">
      <c r="A810" s="2" t="s">
        <v>876</v>
      </c>
      <c r="B810" s="6">
        <v>45728</v>
      </c>
      <c r="C810" s="2" t="s">
        <v>41</v>
      </c>
      <c r="D810" s="2" t="s">
        <v>29</v>
      </c>
      <c r="E810" s="2">
        <v>1</v>
      </c>
      <c r="F810" s="7">
        <v>229</v>
      </c>
      <c r="G810" s="8">
        <v>0.05</v>
      </c>
      <c r="H810" s="9" t="str">
        <f>INDEX(Products!$B$2:$B$37, MATCH(D810, Products!$A$2:$A$37, 0))</f>
        <v>Women's Summer Dress</v>
      </c>
      <c r="I810" t="str">
        <f>INDEX(Products!$C$2:$C$37, MATCH(D810, Products!$A$2:$A$37, 0))</f>
        <v>Fashion</v>
      </c>
      <c r="J810">
        <f>INDEX(Products!$E$2:$E$37, MATCH(D810, Products!$A$2:$A$37, 0))</f>
        <v>120</v>
      </c>
      <c r="K810" s="9">
        <f t="shared" si="48"/>
        <v>217.54999999999998</v>
      </c>
      <c r="L810">
        <f t="shared" si="49"/>
        <v>120</v>
      </c>
      <c r="M810" s="9">
        <f t="shared" si="50"/>
        <v>97.549999999999983</v>
      </c>
      <c r="N810" t="str">
        <f t="shared" si="51"/>
        <v>Mar</v>
      </c>
    </row>
    <row r="811" spans="1:14" x14ac:dyDescent="0.3">
      <c r="A811" s="2" t="s">
        <v>877</v>
      </c>
      <c r="B811" s="6">
        <v>45728</v>
      </c>
      <c r="C811" s="2" t="s">
        <v>44</v>
      </c>
      <c r="D811" s="2" t="s">
        <v>75</v>
      </c>
      <c r="E811" s="2">
        <v>2</v>
      </c>
      <c r="F811" s="7">
        <v>549</v>
      </c>
      <c r="G811" s="8">
        <v>0</v>
      </c>
      <c r="H811" s="9" t="str">
        <f>INDEX(Products!$B$2:$B$37, MATCH(D811, Products!$A$2:$A$37, 0))</f>
        <v>Oud Perfume 100ml</v>
      </c>
      <c r="I811" t="str">
        <f>INDEX(Products!$C$2:$C$37, MATCH(D811, Products!$A$2:$A$37, 0))</f>
        <v>Beauty</v>
      </c>
      <c r="J811">
        <f>INDEX(Products!$E$2:$E$37, MATCH(D811, Products!$A$2:$A$37, 0))</f>
        <v>250</v>
      </c>
      <c r="K811" s="9">
        <f t="shared" si="48"/>
        <v>1098</v>
      </c>
      <c r="L811">
        <f t="shared" si="49"/>
        <v>500</v>
      </c>
      <c r="M811" s="9">
        <f t="shared" si="50"/>
        <v>598</v>
      </c>
      <c r="N811" t="str">
        <f t="shared" si="51"/>
        <v>Mar</v>
      </c>
    </row>
    <row r="812" spans="1:14" x14ac:dyDescent="0.3">
      <c r="A812" s="2" t="s">
        <v>878</v>
      </c>
      <c r="B812" s="6">
        <v>45728</v>
      </c>
      <c r="C812" s="2" t="s">
        <v>28</v>
      </c>
      <c r="D812" s="2" t="s">
        <v>80</v>
      </c>
      <c r="E812" s="2">
        <v>2</v>
      </c>
      <c r="F812" s="7">
        <v>149</v>
      </c>
      <c r="G812" s="8">
        <v>0</v>
      </c>
      <c r="H812" s="9" t="str">
        <f>INDEX(Products!$B$2:$B$37, MATCH(D812, Products!$A$2:$A$37, 0))</f>
        <v>Vitamin C Serum</v>
      </c>
      <c r="I812" t="str">
        <f>INDEX(Products!$C$2:$C$37, MATCH(D812, Products!$A$2:$A$37, 0))</f>
        <v>Beauty</v>
      </c>
      <c r="J812">
        <f>INDEX(Products!$E$2:$E$37, MATCH(D812, Products!$A$2:$A$37, 0))</f>
        <v>55</v>
      </c>
      <c r="K812" s="9">
        <f t="shared" si="48"/>
        <v>298</v>
      </c>
      <c r="L812">
        <f t="shared" si="49"/>
        <v>110</v>
      </c>
      <c r="M812" s="9">
        <f t="shared" si="50"/>
        <v>188</v>
      </c>
      <c r="N812" t="str">
        <f t="shared" si="51"/>
        <v>Mar</v>
      </c>
    </row>
    <row r="813" spans="1:14" x14ac:dyDescent="0.3">
      <c r="A813" s="2" t="s">
        <v>879</v>
      </c>
      <c r="B813" s="6">
        <v>45728</v>
      </c>
      <c r="C813" s="2" t="s">
        <v>41</v>
      </c>
      <c r="D813" s="2" t="s">
        <v>37</v>
      </c>
      <c r="E813" s="2">
        <v>2</v>
      </c>
      <c r="F813" s="7">
        <v>249</v>
      </c>
      <c r="G813" s="8">
        <v>0.15</v>
      </c>
      <c r="H813" s="9" t="str">
        <f>INDEX(Products!$B$2:$B$37, MATCH(D813, Products!$A$2:$A$37, 0))</f>
        <v>Sunglasses Polarised</v>
      </c>
      <c r="I813" t="str">
        <f>INDEX(Products!$C$2:$C$37, MATCH(D813, Products!$A$2:$A$37, 0))</f>
        <v>Fashion</v>
      </c>
      <c r="J813">
        <f>INDEX(Products!$E$2:$E$37, MATCH(D813, Products!$A$2:$A$37, 0))</f>
        <v>95</v>
      </c>
      <c r="K813" s="9">
        <f t="shared" si="48"/>
        <v>423.3</v>
      </c>
      <c r="L813">
        <f t="shared" si="49"/>
        <v>190</v>
      </c>
      <c r="M813" s="9">
        <f t="shared" si="50"/>
        <v>233.3</v>
      </c>
      <c r="N813" t="str">
        <f t="shared" si="51"/>
        <v>Mar</v>
      </c>
    </row>
    <row r="814" spans="1:14" x14ac:dyDescent="0.3">
      <c r="A814" s="2" t="s">
        <v>880</v>
      </c>
      <c r="B814" s="6">
        <v>45728</v>
      </c>
      <c r="C814" s="2" t="s">
        <v>28</v>
      </c>
      <c r="D814" s="2" t="s">
        <v>115</v>
      </c>
      <c r="E814" s="2">
        <v>1</v>
      </c>
      <c r="F814" s="7">
        <v>129</v>
      </c>
      <c r="G814" s="8">
        <v>0.05</v>
      </c>
      <c r="H814" s="9" t="str">
        <f>INDEX(Products!$B$2:$B$37, MATCH(D814, Products!$A$2:$A$37, 0))</f>
        <v>Electric Kettle</v>
      </c>
      <c r="I814" t="str">
        <f>INDEX(Products!$C$2:$C$37, MATCH(D814, Products!$A$2:$A$37, 0))</f>
        <v>Home &amp; Kitchen</v>
      </c>
      <c r="J814">
        <f>INDEX(Products!$E$2:$E$37, MATCH(D814, Products!$A$2:$A$37, 0))</f>
        <v>60</v>
      </c>
      <c r="K814" s="9">
        <f t="shared" si="48"/>
        <v>122.55</v>
      </c>
      <c r="L814">
        <f t="shared" si="49"/>
        <v>60</v>
      </c>
      <c r="M814" s="9">
        <f t="shared" si="50"/>
        <v>62.55</v>
      </c>
      <c r="N814" t="str">
        <f t="shared" si="51"/>
        <v>Mar</v>
      </c>
    </row>
    <row r="815" spans="1:14" x14ac:dyDescent="0.3">
      <c r="A815" s="2" t="s">
        <v>881</v>
      </c>
      <c r="B815" s="6">
        <v>45728</v>
      </c>
      <c r="C815" s="2" t="s">
        <v>41</v>
      </c>
      <c r="D815" s="2" t="s">
        <v>78</v>
      </c>
      <c r="E815" s="2">
        <v>1</v>
      </c>
      <c r="F815" s="7">
        <v>499</v>
      </c>
      <c r="G815" s="8">
        <v>0.1</v>
      </c>
      <c r="H815" s="9" t="str">
        <f>INDEX(Products!$B$2:$B$37, MATCH(D815, Products!$A$2:$A$37, 0))</f>
        <v>Air Fryer 5L</v>
      </c>
      <c r="I815" t="str">
        <f>INDEX(Products!$C$2:$C$37, MATCH(D815, Products!$A$2:$A$37, 0))</f>
        <v>Home &amp; Kitchen</v>
      </c>
      <c r="J815">
        <f>INDEX(Products!$E$2:$E$37, MATCH(D815, Products!$A$2:$A$37, 0))</f>
        <v>290</v>
      </c>
      <c r="K815" s="9">
        <f t="shared" si="48"/>
        <v>449.1</v>
      </c>
      <c r="L815">
        <f t="shared" si="49"/>
        <v>290</v>
      </c>
      <c r="M815" s="9">
        <f t="shared" si="50"/>
        <v>159.10000000000002</v>
      </c>
      <c r="N815" t="str">
        <f t="shared" si="51"/>
        <v>Mar</v>
      </c>
    </row>
    <row r="816" spans="1:14" x14ac:dyDescent="0.3">
      <c r="A816" s="2" t="s">
        <v>882</v>
      </c>
      <c r="B816" s="6">
        <v>45729</v>
      </c>
      <c r="C816" s="2" t="s">
        <v>28</v>
      </c>
      <c r="D816" s="2" t="s">
        <v>29</v>
      </c>
      <c r="E816" s="2">
        <v>1</v>
      </c>
      <c r="F816" s="7">
        <v>229</v>
      </c>
      <c r="G816" s="8">
        <v>0.05</v>
      </c>
      <c r="H816" s="9" t="str">
        <f>INDEX(Products!$B$2:$B$37, MATCH(D816, Products!$A$2:$A$37, 0))</f>
        <v>Women's Summer Dress</v>
      </c>
      <c r="I816" t="str">
        <f>INDEX(Products!$C$2:$C$37, MATCH(D816, Products!$A$2:$A$37, 0))</f>
        <v>Fashion</v>
      </c>
      <c r="J816">
        <f>INDEX(Products!$E$2:$E$37, MATCH(D816, Products!$A$2:$A$37, 0))</f>
        <v>120</v>
      </c>
      <c r="K816" s="9">
        <f t="shared" si="48"/>
        <v>217.54999999999998</v>
      </c>
      <c r="L816">
        <f t="shared" si="49"/>
        <v>120</v>
      </c>
      <c r="M816" s="9">
        <f t="shared" si="50"/>
        <v>97.549999999999983</v>
      </c>
      <c r="N816" t="str">
        <f t="shared" si="51"/>
        <v>Mar</v>
      </c>
    </row>
    <row r="817" spans="1:14" x14ac:dyDescent="0.3">
      <c r="A817" s="2" t="s">
        <v>883</v>
      </c>
      <c r="B817" s="6">
        <v>45729</v>
      </c>
      <c r="C817" s="2" t="s">
        <v>48</v>
      </c>
      <c r="D817" s="2" t="s">
        <v>58</v>
      </c>
      <c r="E817" s="2">
        <v>1</v>
      </c>
      <c r="F817" s="7">
        <v>459</v>
      </c>
      <c r="G817" s="8">
        <v>0.15</v>
      </c>
      <c r="H817" s="9" t="str">
        <f>INDEX(Products!$B$2:$B$37, MATCH(D817, Products!$A$2:$A$37, 0))</f>
        <v>Women's Abaya Classic</v>
      </c>
      <c r="I817" t="str">
        <f>INDEX(Products!$C$2:$C$37, MATCH(D817, Products!$A$2:$A$37, 0))</f>
        <v>Fashion</v>
      </c>
      <c r="J817">
        <f>INDEX(Products!$E$2:$E$37, MATCH(D817, Products!$A$2:$A$37, 0))</f>
        <v>190</v>
      </c>
      <c r="K817" s="9">
        <f t="shared" si="48"/>
        <v>390.15</v>
      </c>
      <c r="L817">
        <f t="shared" si="49"/>
        <v>190</v>
      </c>
      <c r="M817" s="9">
        <f t="shared" si="50"/>
        <v>200.14999999999998</v>
      </c>
      <c r="N817" t="str">
        <f t="shared" si="51"/>
        <v>Mar</v>
      </c>
    </row>
    <row r="818" spans="1:14" x14ac:dyDescent="0.3">
      <c r="A818" s="2" t="s">
        <v>884</v>
      </c>
      <c r="B818" s="6">
        <v>45729</v>
      </c>
      <c r="C818" s="2" t="s">
        <v>44</v>
      </c>
      <c r="D818" s="2" t="s">
        <v>52</v>
      </c>
      <c r="E818" s="2">
        <v>1</v>
      </c>
      <c r="F818" s="7">
        <v>299</v>
      </c>
      <c r="G818" s="8">
        <v>0.15</v>
      </c>
      <c r="H818" s="9" t="str">
        <f>INDEX(Products!$B$2:$B$37, MATCH(D818, Products!$A$2:$A$37, 0))</f>
        <v>Hair Dryer Ionic</v>
      </c>
      <c r="I818" t="str">
        <f>INDEX(Products!$C$2:$C$37, MATCH(D818, Products!$A$2:$A$37, 0))</f>
        <v>Beauty</v>
      </c>
      <c r="J818">
        <f>INDEX(Products!$E$2:$E$37, MATCH(D818, Products!$A$2:$A$37, 0))</f>
        <v>240</v>
      </c>
      <c r="K818" s="9">
        <f t="shared" si="48"/>
        <v>254.15</v>
      </c>
      <c r="L818">
        <f t="shared" si="49"/>
        <v>240</v>
      </c>
      <c r="M818" s="9">
        <f t="shared" si="50"/>
        <v>14.150000000000006</v>
      </c>
      <c r="N818" t="str">
        <f t="shared" si="51"/>
        <v>Mar</v>
      </c>
    </row>
    <row r="819" spans="1:14" x14ac:dyDescent="0.3">
      <c r="A819" s="2" t="s">
        <v>885</v>
      </c>
      <c r="B819" s="6">
        <v>45729</v>
      </c>
      <c r="C819" s="2" t="s">
        <v>41</v>
      </c>
      <c r="D819" s="2" t="s">
        <v>194</v>
      </c>
      <c r="E819" s="2">
        <v>1</v>
      </c>
      <c r="F819" s="7">
        <v>699</v>
      </c>
      <c r="G819" s="8">
        <v>0.05</v>
      </c>
      <c r="H819" s="9" t="str">
        <f>INDEX(Products!$B$2:$B$37, MATCH(D819, Products!$A$2:$A$37, 0))</f>
        <v>Leather Handbag</v>
      </c>
      <c r="I819" t="str">
        <f>INDEX(Products!$C$2:$C$37, MATCH(D819, Products!$A$2:$A$37, 0))</f>
        <v>Fashion</v>
      </c>
      <c r="J819">
        <f>INDEX(Products!$E$2:$E$37, MATCH(D819, Products!$A$2:$A$37, 0))</f>
        <v>380</v>
      </c>
      <c r="K819" s="9">
        <f t="shared" si="48"/>
        <v>664.05</v>
      </c>
      <c r="L819">
        <f t="shared" si="49"/>
        <v>380</v>
      </c>
      <c r="M819" s="9">
        <f t="shared" si="50"/>
        <v>284.04999999999995</v>
      </c>
      <c r="N819" t="str">
        <f t="shared" si="51"/>
        <v>Mar</v>
      </c>
    </row>
    <row r="820" spans="1:14" x14ac:dyDescent="0.3">
      <c r="A820" s="2" t="s">
        <v>886</v>
      </c>
      <c r="B820" s="6">
        <v>45729</v>
      </c>
      <c r="C820" s="2" t="s">
        <v>44</v>
      </c>
      <c r="D820" s="2" t="s">
        <v>126</v>
      </c>
      <c r="E820" s="2">
        <v>3</v>
      </c>
      <c r="F820" s="7">
        <v>89</v>
      </c>
      <c r="G820" s="8">
        <v>0.3</v>
      </c>
      <c r="H820" s="9" t="str">
        <f>INDEX(Products!$B$2:$B$37, MATCH(D820, Products!$A$2:$A$37, 0))</f>
        <v>USB-C Fast Charger</v>
      </c>
      <c r="I820" t="str">
        <f>INDEX(Products!$C$2:$C$37, MATCH(D820, Products!$A$2:$A$37, 0))</f>
        <v>Electronics</v>
      </c>
      <c r="J820">
        <f>INDEX(Products!$E$2:$E$37, MATCH(D820, Products!$A$2:$A$37, 0))</f>
        <v>35</v>
      </c>
      <c r="K820" s="9">
        <f t="shared" si="48"/>
        <v>186.89999999999998</v>
      </c>
      <c r="L820">
        <f t="shared" si="49"/>
        <v>105</v>
      </c>
      <c r="M820" s="9">
        <f t="shared" si="50"/>
        <v>81.899999999999977</v>
      </c>
      <c r="N820" t="str">
        <f t="shared" si="51"/>
        <v>Mar</v>
      </c>
    </row>
    <row r="821" spans="1:14" x14ac:dyDescent="0.3">
      <c r="A821" s="2" t="s">
        <v>887</v>
      </c>
      <c r="B821" s="6">
        <v>45729</v>
      </c>
      <c r="C821" s="2" t="s">
        <v>31</v>
      </c>
      <c r="D821" s="2" t="s">
        <v>165</v>
      </c>
      <c r="E821" s="2">
        <v>1</v>
      </c>
      <c r="F821" s="7">
        <v>69</v>
      </c>
      <c r="G821" s="8">
        <v>0.05</v>
      </c>
      <c r="H821" s="9" t="str">
        <f>INDEX(Products!$B$2:$B$37, MATCH(D821, Products!$A$2:$A$37, 0))</f>
        <v>Swim Goggles</v>
      </c>
      <c r="I821" t="str">
        <f>INDEX(Products!$C$2:$C$37, MATCH(D821, Products!$A$2:$A$37, 0))</f>
        <v>Sports</v>
      </c>
      <c r="J821">
        <f>INDEX(Products!$E$2:$E$37, MATCH(D821, Products!$A$2:$A$37, 0))</f>
        <v>25</v>
      </c>
      <c r="K821" s="9">
        <f t="shared" si="48"/>
        <v>65.55</v>
      </c>
      <c r="L821">
        <f t="shared" si="49"/>
        <v>25</v>
      </c>
      <c r="M821" s="9">
        <f t="shared" si="50"/>
        <v>40.549999999999997</v>
      </c>
      <c r="N821" t="str">
        <f t="shared" si="51"/>
        <v>Mar</v>
      </c>
    </row>
    <row r="822" spans="1:14" x14ac:dyDescent="0.3">
      <c r="A822" s="2" t="s">
        <v>888</v>
      </c>
      <c r="B822" s="6">
        <v>45729</v>
      </c>
      <c r="C822" s="2" t="s">
        <v>28</v>
      </c>
      <c r="D822" s="2" t="s">
        <v>95</v>
      </c>
      <c r="E822" s="2">
        <v>4</v>
      </c>
      <c r="F822" s="7">
        <v>259</v>
      </c>
      <c r="G822" s="8">
        <v>0.2</v>
      </c>
      <c r="H822" s="9" t="str">
        <f>INDEX(Products!$B$2:$B$37, MATCH(D822, Products!$A$2:$A$37, 0))</f>
        <v>Bed Linen Set (King)</v>
      </c>
      <c r="I822" t="str">
        <f>INDEX(Products!$C$2:$C$37, MATCH(D822, Products!$A$2:$A$37, 0))</f>
        <v>Home &amp; Kitchen</v>
      </c>
      <c r="J822">
        <f>INDEX(Products!$E$2:$E$37, MATCH(D822, Products!$A$2:$A$37, 0))</f>
        <v>115</v>
      </c>
      <c r="K822" s="9">
        <f t="shared" si="48"/>
        <v>828.80000000000007</v>
      </c>
      <c r="L822">
        <f t="shared" si="49"/>
        <v>460</v>
      </c>
      <c r="M822" s="9">
        <f t="shared" si="50"/>
        <v>368.80000000000007</v>
      </c>
      <c r="N822" t="str">
        <f t="shared" si="51"/>
        <v>Mar</v>
      </c>
    </row>
    <row r="823" spans="1:14" x14ac:dyDescent="0.3">
      <c r="A823" s="2" t="s">
        <v>889</v>
      </c>
      <c r="B823" s="6">
        <v>45729</v>
      </c>
      <c r="C823" s="2" t="s">
        <v>41</v>
      </c>
      <c r="D823" s="2" t="s">
        <v>95</v>
      </c>
      <c r="E823" s="2">
        <v>2</v>
      </c>
      <c r="F823" s="7">
        <v>259</v>
      </c>
      <c r="G823" s="8">
        <v>0</v>
      </c>
      <c r="H823" s="9" t="str">
        <f>INDEX(Products!$B$2:$B$37, MATCH(D823, Products!$A$2:$A$37, 0))</f>
        <v>Bed Linen Set (King)</v>
      </c>
      <c r="I823" t="str">
        <f>INDEX(Products!$C$2:$C$37, MATCH(D823, Products!$A$2:$A$37, 0))</f>
        <v>Home &amp; Kitchen</v>
      </c>
      <c r="J823">
        <f>INDEX(Products!$E$2:$E$37, MATCH(D823, Products!$A$2:$A$37, 0))</f>
        <v>115</v>
      </c>
      <c r="K823" s="9">
        <f t="shared" si="48"/>
        <v>518</v>
      </c>
      <c r="L823">
        <f t="shared" si="49"/>
        <v>230</v>
      </c>
      <c r="M823" s="9">
        <f t="shared" si="50"/>
        <v>288</v>
      </c>
      <c r="N823" t="str">
        <f t="shared" si="51"/>
        <v>Mar</v>
      </c>
    </row>
    <row r="824" spans="1:14" x14ac:dyDescent="0.3">
      <c r="A824" s="2" t="s">
        <v>890</v>
      </c>
      <c r="B824" s="6">
        <v>45729</v>
      </c>
      <c r="C824" s="2" t="s">
        <v>28</v>
      </c>
      <c r="D824" s="2" t="s">
        <v>92</v>
      </c>
      <c r="E824" s="2">
        <v>1</v>
      </c>
      <c r="F824" s="7">
        <v>349</v>
      </c>
      <c r="G824" s="8">
        <v>0</v>
      </c>
      <c r="H824" s="9" t="str">
        <f>INDEX(Products!$B$2:$B$37, MATCH(D824, Products!$A$2:$A$37, 0))</f>
        <v>Non-stick Cookware Set</v>
      </c>
      <c r="I824" t="str">
        <f>INDEX(Products!$C$2:$C$37, MATCH(D824, Products!$A$2:$A$37, 0))</f>
        <v>Home &amp; Kitchen</v>
      </c>
      <c r="J824">
        <f>INDEX(Products!$E$2:$E$37, MATCH(D824, Products!$A$2:$A$37, 0))</f>
        <v>170</v>
      </c>
      <c r="K824" s="9">
        <f t="shared" si="48"/>
        <v>349</v>
      </c>
      <c r="L824">
        <f t="shared" si="49"/>
        <v>170</v>
      </c>
      <c r="M824" s="9">
        <f t="shared" si="50"/>
        <v>179</v>
      </c>
      <c r="N824" t="str">
        <f t="shared" si="51"/>
        <v>Mar</v>
      </c>
    </row>
    <row r="825" spans="1:14" x14ac:dyDescent="0.3">
      <c r="A825" s="2" t="s">
        <v>891</v>
      </c>
      <c r="B825" s="6">
        <v>45729</v>
      </c>
      <c r="C825" s="2" t="s">
        <v>48</v>
      </c>
      <c r="D825" s="2" t="s">
        <v>60</v>
      </c>
      <c r="E825" s="2">
        <v>2</v>
      </c>
      <c r="F825" s="7">
        <v>99</v>
      </c>
      <c r="G825" s="8">
        <v>0.1</v>
      </c>
      <c r="H825" s="9" t="str">
        <f>INDEX(Products!$B$2:$B$37, MATCH(D825, Products!$A$2:$A$37, 0))</f>
        <v>Football Size 5</v>
      </c>
      <c r="I825" t="str">
        <f>INDEX(Products!$C$2:$C$37, MATCH(D825, Products!$A$2:$A$37, 0))</f>
        <v>Sports</v>
      </c>
      <c r="J825">
        <f>INDEX(Products!$E$2:$E$37, MATCH(D825, Products!$A$2:$A$37, 0))</f>
        <v>45</v>
      </c>
      <c r="K825" s="9">
        <f t="shared" si="48"/>
        <v>178.20000000000002</v>
      </c>
      <c r="L825">
        <f t="shared" si="49"/>
        <v>90</v>
      </c>
      <c r="M825" s="9">
        <f t="shared" si="50"/>
        <v>88.200000000000017</v>
      </c>
      <c r="N825" t="str">
        <f t="shared" si="51"/>
        <v>Mar</v>
      </c>
    </row>
    <row r="826" spans="1:14" x14ac:dyDescent="0.3">
      <c r="A826" s="2" t="s">
        <v>892</v>
      </c>
      <c r="B826" s="6">
        <v>45729</v>
      </c>
      <c r="C826" s="2" t="s">
        <v>41</v>
      </c>
      <c r="D826" s="2" t="s">
        <v>29</v>
      </c>
      <c r="E826" s="2">
        <v>2</v>
      </c>
      <c r="F826" s="7">
        <v>229</v>
      </c>
      <c r="G826" s="8">
        <v>0</v>
      </c>
      <c r="H826" s="9" t="str">
        <f>INDEX(Products!$B$2:$B$37, MATCH(D826, Products!$A$2:$A$37, 0))</f>
        <v>Women's Summer Dress</v>
      </c>
      <c r="I826" t="str">
        <f>INDEX(Products!$C$2:$C$37, MATCH(D826, Products!$A$2:$A$37, 0))</f>
        <v>Fashion</v>
      </c>
      <c r="J826">
        <f>INDEX(Products!$E$2:$E$37, MATCH(D826, Products!$A$2:$A$37, 0))</f>
        <v>120</v>
      </c>
      <c r="K826" s="9">
        <f t="shared" si="48"/>
        <v>458</v>
      </c>
      <c r="L826">
        <f t="shared" si="49"/>
        <v>240</v>
      </c>
      <c r="M826" s="9">
        <f t="shared" si="50"/>
        <v>218</v>
      </c>
      <c r="N826" t="str">
        <f t="shared" si="51"/>
        <v>Mar</v>
      </c>
    </row>
    <row r="827" spans="1:14" x14ac:dyDescent="0.3">
      <c r="A827" s="2" t="s">
        <v>893</v>
      </c>
      <c r="B827" s="6">
        <v>45729</v>
      </c>
      <c r="C827" s="2" t="s">
        <v>31</v>
      </c>
      <c r="D827" s="2" t="s">
        <v>129</v>
      </c>
      <c r="E827" s="2">
        <v>2</v>
      </c>
      <c r="F827" s="7">
        <v>149</v>
      </c>
      <c r="G827" s="8">
        <v>0.05</v>
      </c>
      <c r="H827" s="9" t="str">
        <f>INDEX(Products!$B$2:$B$37, MATCH(D827, Products!$A$2:$A$37, 0))</f>
        <v>Power Bank 20000mAh</v>
      </c>
      <c r="I827" t="str">
        <f>INDEX(Products!$C$2:$C$37, MATCH(D827, Products!$A$2:$A$37, 0))</f>
        <v>Electronics</v>
      </c>
      <c r="J827">
        <f>INDEX(Products!$E$2:$E$37, MATCH(D827, Products!$A$2:$A$37, 0))</f>
        <v>70</v>
      </c>
      <c r="K827" s="9">
        <f t="shared" si="48"/>
        <v>283.09999999999997</v>
      </c>
      <c r="L827">
        <f t="shared" si="49"/>
        <v>140</v>
      </c>
      <c r="M827" s="9">
        <f t="shared" si="50"/>
        <v>143.09999999999997</v>
      </c>
      <c r="N827" t="str">
        <f t="shared" si="51"/>
        <v>Mar</v>
      </c>
    </row>
    <row r="828" spans="1:14" x14ac:dyDescent="0.3">
      <c r="A828" s="2" t="s">
        <v>894</v>
      </c>
      <c r="B828" s="6">
        <v>45729</v>
      </c>
      <c r="C828" s="2" t="s">
        <v>41</v>
      </c>
      <c r="D828" s="2" t="s">
        <v>42</v>
      </c>
      <c r="E828" s="2">
        <v>1</v>
      </c>
      <c r="F828" s="7">
        <v>399</v>
      </c>
      <c r="G828" s="8">
        <v>0.1</v>
      </c>
      <c r="H828" s="9" t="str">
        <f>INDEX(Products!$B$2:$B$37, MATCH(D828, Products!$A$2:$A$37, 0))</f>
        <v>Wireless Earbuds Pro</v>
      </c>
      <c r="I828" t="str">
        <f>INDEX(Products!$C$2:$C$37, MATCH(D828, Products!$A$2:$A$37, 0))</f>
        <v>Electronics</v>
      </c>
      <c r="J828">
        <f>INDEX(Products!$E$2:$E$37, MATCH(D828, Products!$A$2:$A$37, 0))</f>
        <v>230</v>
      </c>
      <c r="K828" s="9">
        <f t="shared" si="48"/>
        <v>359.1</v>
      </c>
      <c r="L828">
        <f t="shared" si="49"/>
        <v>230</v>
      </c>
      <c r="M828" s="9">
        <f t="shared" si="50"/>
        <v>129.10000000000002</v>
      </c>
      <c r="N828" t="str">
        <f t="shared" si="51"/>
        <v>Mar</v>
      </c>
    </row>
    <row r="829" spans="1:14" x14ac:dyDescent="0.3">
      <c r="A829" s="2" t="s">
        <v>895</v>
      </c>
      <c r="B829" s="6">
        <v>45729</v>
      </c>
      <c r="C829" s="2" t="s">
        <v>41</v>
      </c>
      <c r="D829" s="2" t="s">
        <v>65</v>
      </c>
      <c r="E829" s="2">
        <v>1</v>
      </c>
      <c r="F829" s="7">
        <v>129</v>
      </c>
      <c r="G829" s="8">
        <v>0.3</v>
      </c>
      <c r="H829" s="9" t="str">
        <f>INDEX(Products!$B$2:$B$37, MATCH(D829, Products!$A$2:$A$37, 0))</f>
        <v>Yoga Mat Premium</v>
      </c>
      <c r="I829" t="str">
        <f>INDEX(Products!$C$2:$C$37, MATCH(D829, Products!$A$2:$A$37, 0))</f>
        <v>Sports</v>
      </c>
      <c r="J829">
        <f>INDEX(Products!$E$2:$E$37, MATCH(D829, Products!$A$2:$A$37, 0))</f>
        <v>60</v>
      </c>
      <c r="K829" s="9">
        <f t="shared" si="48"/>
        <v>90.3</v>
      </c>
      <c r="L829">
        <f t="shared" si="49"/>
        <v>60</v>
      </c>
      <c r="M829" s="9">
        <f t="shared" si="50"/>
        <v>30.299999999999997</v>
      </c>
      <c r="N829" t="str">
        <f t="shared" si="51"/>
        <v>Mar</v>
      </c>
    </row>
    <row r="830" spans="1:14" x14ac:dyDescent="0.3">
      <c r="A830" s="2" t="s">
        <v>896</v>
      </c>
      <c r="B830" s="6">
        <v>45729</v>
      </c>
      <c r="C830" s="2" t="s">
        <v>31</v>
      </c>
      <c r="D830" s="2" t="s">
        <v>37</v>
      </c>
      <c r="E830" s="2">
        <v>2</v>
      </c>
      <c r="F830" s="7">
        <v>249</v>
      </c>
      <c r="G830" s="8">
        <v>0.3</v>
      </c>
      <c r="H830" s="9" t="str">
        <f>INDEX(Products!$B$2:$B$37, MATCH(D830, Products!$A$2:$A$37, 0))</f>
        <v>Sunglasses Polarised</v>
      </c>
      <c r="I830" t="str">
        <f>INDEX(Products!$C$2:$C$37, MATCH(D830, Products!$A$2:$A$37, 0))</f>
        <v>Fashion</v>
      </c>
      <c r="J830">
        <f>INDEX(Products!$E$2:$E$37, MATCH(D830, Products!$A$2:$A$37, 0))</f>
        <v>95</v>
      </c>
      <c r="K830" s="9">
        <f t="shared" si="48"/>
        <v>348.59999999999997</v>
      </c>
      <c r="L830">
        <f t="shared" si="49"/>
        <v>190</v>
      </c>
      <c r="M830" s="9">
        <f t="shared" si="50"/>
        <v>158.59999999999997</v>
      </c>
      <c r="N830" t="str">
        <f t="shared" si="51"/>
        <v>Mar</v>
      </c>
    </row>
    <row r="831" spans="1:14" x14ac:dyDescent="0.3">
      <c r="A831" s="2" t="s">
        <v>897</v>
      </c>
      <c r="B831" s="6">
        <v>45729</v>
      </c>
      <c r="C831" s="2" t="s">
        <v>41</v>
      </c>
      <c r="D831" s="2" t="s">
        <v>87</v>
      </c>
      <c r="E831" s="2">
        <v>3</v>
      </c>
      <c r="F831" s="7">
        <v>799</v>
      </c>
      <c r="G831" s="8">
        <v>0.2</v>
      </c>
      <c r="H831" s="9" t="str">
        <f>INDEX(Products!$B$2:$B$37, MATCH(D831, Products!$A$2:$A$37, 0))</f>
        <v>Adjustable Dumbbells</v>
      </c>
      <c r="I831" t="str">
        <f>INDEX(Products!$C$2:$C$37, MATCH(D831, Products!$A$2:$A$37, 0))</f>
        <v>Sports</v>
      </c>
      <c r="J831">
        <f>INDEX(Products!$E$2:$E$37, MATCH(D831, Products!$A$2:$A$37, 0))</f>
        <v>700</v>
      </c>
      <c r="K831" s="9">
        <f t="shared" si="48"/>
        <v>1917.6000000000001</v>
      </c>
      <c r="L831">
        <f t="shared" si="49"/>
        <v>2100</v>
      </c>
      <c r="M831" s="9">
        <f t="shared" si="50"/>
        <v>-182.39999999999986</v>
      </c>
      <c r="N831" t="str">
        <f t="shared" si="51"/>
        <v>Mar</v>
      </c>
    </row>
    <row r="832" spans="1:14" x14ac:dyDescent="0.3">
      <c r="A832" s="2" t="s">
        <v>898</v>
      </c>
      <c r="B832" s="6">
        <v>45729</v>
      </c>
      <c r="C832" s="2" t="s">
        <v>44</v>
      </c>
      <c r="D832" s="2" t="s">
        <v>95</v>
      </c>
      <c r="E832" s="2">
        <v>3</v>
      </c>
      <c r="F832" s="7">
        <v>259</v>
      </c>
      <c r="G832" s="8">
        <v>0.1</v>
      </c>
      <c r="H832" s="9" t="str">
        <f>INDEX(Products!$B$2:$B$37, MATCH(D832, Products!$A$2:$A$37, 0))</f>
        <v>Bed Linen Set (King)</v>
      </c>
      <c r="I832" t="str">
        <f>INDEX(Products!$C$2:$C$37, MATCH(D832, Products!$A$2:$A$37, 0))</f>
        <v>Home &amp; Kitchen</v>
      </c>
      <c r="J832">
        <f>INDEX(Products!$E$2:$E$37, MATCH(D832, Products!$A$2:$A$37, 0))</f>
        <v>115</v>
      </c>
      <c r="K832" s="9">
        <f t="shared" si="48"/>
        <v>699.30000000000007</v>
      </c>
      <c r="L832">
        <f t="shared" si="49"/>
        <v>345</v>
      </c>
      <c r="M832" s="9">
        <f t="shared" si="50"/>
        <v>354.30000000000007</v>
      </c>
      <c r="N832" t="str">
        <f t="shared" si="51"/>
        <v>Mar</v>
      </c>
    </row>
    <row r="833" spans="1:14" x14ac:dyDescent="0.3">
      <c r="A833" s="2" t="s">
        <v>899</v>
      </c>
      <c r="B833" s="6">
        <v>45729</v>
      </c>
      <c r="C833" s="2" t="s">
        <v>44</v>
      </c>
      <c r="D833" s="2" t="s">
        <v>49</v>
      </c>
      <c r="E833" s="2">
        <v>1</v>
      </c>
      <c r="F833" s="7">
        <v>149</v>
      </c>
      <c r="G833" s="8">
        <v>0.1</v>
      </c>
      <c r="H833" s="9" t="str">
        <f>INDEX(Products!$B$2:$B$37, MATCH(D833, Products!$A$2:$A$37, 0))</f>
        <v>Kids' Sneakers</v>
      </c>
      <c r="I833" t="str">
        <f>INDEX(Products!$C$2:$C$37, MATCH(D833, Products!$A$2:$A$37, 0))</f>
        <v>Fashion</v>
      </c>
      <c r="J833">
        <f>INDEX(Products!$E$2:$E$37, MATCH(D833, Products!$A$2:$A$37, 0))</f>
        <v>80</v>
      </c>
      <c r="K833" s="9">
        <f t="shared" si="48"/>
        <v>134.1</v>
      </c>
      <c r="L833">
        <f t="shared" si="49"/>
        <v>80</v>
      </c>
      <c r="M833" s="9">
        <f t="shared" si="50"/>
        <v>54.099999999999994</v>
      </c>
      <c r="N833" t="str">
        <f t="shared" si="51"/>
        <v>Mar</v>
      </c>
    </row>
    <row r="834" spans="1:14" x14ac:dyDescent="0.3">
      <c r="A834" s="2" t="s">
        <v>900</v>
      </c>
      <c r="B834" s="6">
        <v>45730</v>
      </c>
      <c r="C834" s="2" t="s">
        <v>41</v>
      </c>
      <c r="D834" s="2" t="s">
        <v>46</v>
      </c>
      <c r="E834" s="2">
        <v>1</v>
      </c>
      <c r="F834" s="7">
        <v>189</v>
      </c>
      <c r="G834" s="8">
        <v>0</v>
      </c>
      <c r="H834" s="9" t="str">
        <f>INDEX(Products!$B$2:$B$37, MATCH(D834, Products!$A$2:$A$37, 0))</f>
        <v>Makeup Palette</v>
      </c>
      <c r="I834" t="str">
        <f>INDEX(Products!$C$2:$C$37, MATCH(D834, Products!$A$2:$A$37, 0))</f>
        <v>Beauty</v>
      </c>
      <c r="J834">
        <f>INDEX(Products!$E$2:$E$37, MATCH(D834, Products!$A$2:$A$37, 0))</f>
        <v>85</v>
      </c>
      <c r="K834" s="9">
        <f t="shared" ref="K834:K897" si="52">E834*F834*(1-G834)</f>
        <v>189</v>
      </c>
      <c r="L834">
        <f t="shared" ref="L834:L897" si="53">E834*J834</f>
        <v>85</v>
      </c>
      <c r="M834" s="9">
        <f t="shared" ref="M834:M897" si="54">K834-L834</f>
        <v>104</v>
      </c>
      <c r="N834" t="str">
        <f t="shared" ref="N834:N897" si="55">TEXT(B834,"mmm")</f>
        <v>Mar</v>
      </c>
    </row>
    <row r="835" spans="1:14" x14ac:dyDescent="0.3">
      <c r="A835" s="2" t="s">
        <v>901</v>
      </c>
      <c r="B835" s="6">
        <v>45730</v>
      </c>
      <c r="C835" s="2" t="s">
        <v>31</v>
      </c>
      <c r="D835" s="2" t="s">
        <v>68</v>
      </c>
      <c r="E835" s="2">
        <v>1</v>
      </c>
      <c r="F835" s="7">
        <v>249</v>
      </c>
      <c r="G835" s="8">
        <v>0</v>
      </c>
      <c r="H835" s="9" t="str">
        <f>INDEX(Products!$B$2:$B$37, MATCH(D835, Products!$A$2:$A$37, 0))</f>
        <v>Bluetooth Speaker Mini</v>
      </c>
      <c r="I835" t="str">
        <f>INDEX(Products!$C$2:$C$37, MATCH(D835, Products!$A$2:$A$37, 0))</f>
        <v>Electronics</v>
      </c>
      <c r="J835">
        <f>INDEX(Products!$E$2:$E$37, MATCH(D835, Products!$A$2:$A$37, 0))</f>
        <v>150</v>
      </c>
      <c r="K835" s="9">
        <f t="shared" si="52"/>
        <v>249</v>
      </c>
      <c r="L835">
        <f t="shared" si="53"/>
        <v>150</v>
      </c>
      <c r="M835" s="9">
        <f t="shared" si="54"/>
        <v>99</v>
      </c>
      <c r="N835" t="str">
        <f t="shared" si="55"/>
        <v>Mar</v>
      </c>
    </row>
    <row r="836" spans="1:14" x14ac:dyDescent="0.3">
      <c r="A836" s="2" t="s">
        <v>902</v>
      </c>
      <c r="B836" s="6">
        <v>45730</v>
      </c>
      <c r="C836" s="2" t="s">
        <v>28</v>
      </c>
      <c r="D836" s="2" t="s">
        <v>29</v>
      </c>
      <c r="E836" s="2">
        <v>1</v>
      </c>
      <c r="F836" s="7">
        <v>229</v>
      </c>
      <c r="G836" s="8">
        <v>0.05</v>
      </c>
      <c r="H836" s="9" t="str">
        <f>INDEX(Products!$B$2:$B$37, MATCH(D836, Products!$A$2:$A$37, 0))</f>
        <v>Women's Summer Dress</v>
      </c>
      <c r="I836" t="str">
        <f>INDEX(Products!$C$2:$C$37, MATCH(D836, Products!$A$2:$A$37, 0))</f>
        <v>Fashion</v>
      </c>
      <c r="J836">
        <f>INDEX(Products!$E$2:$E$37, MATCH(D836, Products!$A$2:$A$37, 0))</f>
        <v>120</v>
      </c>
      <c r="K836" s="9">
        <f t="shared" si="52"/>
        <v>217.54999999999998</v>
      </c>
      <c r="L836">
        <f t="shared" si="53"/>
        <v>120</v>
      </c>
      <c r="M836" s="9">
        <f t="shared" si="54"/>
        <v>97.549999999999983</v>
      </c>
      <c r="N836" t="str">
        <f t="shared" si="55"/>
        <v>Mar</v>
      </c>
    </row>
    <row r="837" spans="1:14" x14ac:dyDescent="0.3">
      <c r="A837" s="2" t="s">
        <v>903</v>
      </c>
      <c r="B837" s="6">
        <v>45730</v>
      </c>
      <c r="C837" s="2" t="s">
        <v>44</v>
      </c>
      <c r="D837" s="2" t="s">
        <v>29</v>
      </c>
      <c r="E837" s="2">
        <v>1</v>
      </c>
      <c r="F837" s="7">
        <v>229</v>
      </c>
      <c r="G837" s="8">
        <v>0.05</v>
      </c>
      <c r="H837" s="9" t="str">
        <f>INDEX(Products!$B$2:$B$37, MATCH(D837, Products!$A$2:$A$37, 0))</f>
        <v>Women's Summer Dress</v>
      </c>
      <c r="I837" t="str">
        <f>INDEX(Products!$C$2:$C$37, MATCH(D837, Products!$A$2:$A$37, 0))</f>
        <v>Fashion</v>
      </c>
      <c r="J837">
        <f>INDEX(Products!$E$2:$E$37, MATCH(D837, Products!$A$2:$A$37, 0))</f>
        <v>120</v>
      </c>
      <c r="K837" s="9">
        <f t="shared" si="52"/>
        <v>217.54999999999998</v>
      </c>
      <c r="L837">
        <f t="shared" si="53"/>
        <v>120</v>
      </c>
      <c r="M837" s="9">
        <f t="shared" si="54"/>
        <v>97.549999999999983</v>
      </c>
      <c r="N837" t="str">
        <f t="shared" si="55"/>
        <v>Mar</v>
      </c>
    </row>
    <row r="838" spans="1:14" x14ac:dyDescent="0.3">
      <c r="A838" s="2" t="s">
        <v>904</v>
      </c>
      <c r="B838" s="6">
        <v>45730</v>
      </c>
      <c r="C838" s="2" t="s">
        <v>44</v>
      </c>
      <c r="D838" s="2" t="s">
        <v>35</v>
      </c>
      <c r="E838" s="2">
        <v>4</v>
      </c>
      <c r="F838" s="7">
        <v>179</v>
      </c>
      <c r="G838" s="8">
        <v>0</v>
      </c>
      <c r="H838" s="9" t="str">
        <f>INDEX(Products!$B$2:$B$37, MATCH(D838, Products!$A$2:$A$37, 0))</f>
        <v>Men's Linen Shirt</v>
      </c>
      <c r="I838" t="str">
        <f>INDEX(Products!$C$2:$C$37, MATCH(D838, Products!$A$2:$A$37, 0))</f>
        <v>Fashion</v>
      </c>
      <c r="J838">
        <f>INDEX(Products!$E$2:$E$37, MATCH(D838, Products!$A$2:$A$37, 0))</f>
        <v>70</v>
      </c>
      <c r="K838" s="9">
        <f t="shared" si="52"/>
        <v>716</v>
      </c>
      <c r="L838">
        <f t="shared" si="53"/>
        <v>280</v>
      </c>
      <c r="M838" s="9">
        <f t="shared" si="54"/>
        <v>436</v>
      </c>
      <c r="N838" t="str">
        <f t="shared" si="55"/>
        <v>Mar</v>
      </c>
    </row>
    <row r="839" spans="1:14" x14ac:dyDescent="0.3">
      <c r="A839" s="2" t="s">
        <v>905</v>
      </c>
      <c r="B839" s="6">
        <v>45730</v>
      </c>
      <c r="C839" s="2" t="s">
        <v>31</v>
      </c>
      <c r="D839" s="2" t="s">
        <v>75</v>
      </c>
      <c r="E839" s="2">
        <v>2</v>
      </c>
      <c r="F839" s="7">
        <v>549</v>
      </c>
      <c r="G839" s="8">
        <v>0</v>
      </c>
      <c r="H839" s="9" t="str">
        <f>INDEX(Products!$B$2:$B$37, MATCH(D839, Products!$A$2:$A$37, 0))</f>
        <v>Oud Perfume 100ml</v>
      </c>
      <c r="I839" t="str">
        <f>INDEX(Products!$C$2:$C$37, MATCH(D839, Products!$A$2:$A$37, 0))</f>
        <v>Beauty</v>
      </c>
      <c r="J839">
        <f>INDEX(Products!$E$2:$E$37, MATCH(D839, Products!$A$2:$A$37, 0))</f>
        <v>250</v>
      </c>
      <c r="K839" s="9">
        <f t="shared" si="52"/>
        <v>1098</v>
      </c>
      <c r="L839">
        <f t="shared" si="53"/>
        <v>500</v>
      </c>
      <c r="M839" s="9">
        <f t="shared" si="54"/>
        <v>598</v>
      </c>
      <c r="N839" t="str">
        <f t="shared" si="55"/>
        <v>Mar</v>
      </c>
    </row>
    <row r="840" spans="1:14" x14ac:dyDescent="0.3">
      <c r="A840" s="2" t="s">
        <v>906</v>
      </c>
      <c r="B840" s="6">
        <v>45730</v>
      </c>
      <c r="C840" s="2" t="s">
        <v>44</v>
      </c>
      <c r="D840" s="2" t="s">
        <v>103</v>
      </c>
      <c r="E840" s="2">
        <v>1</v>
      </c>
      <c r="F840" s="7">
        <v>89</v>
      </c>
      <c r="G840" s="8">
        <v>0</v>
      </c>
      <c r="H840" s="9" t="str">
        <f>INDEX(Products!$B$2:$B$37, MATCH(D840, Products!$A$2:$A$37, 0))</f>
        <v>Sunscreen SPF50</v>
      </c>
      <c r="I840" t="str">
        <f>INDEX(Products!$C$2:$C$37, MATCH(D840, Products!$A$2:$A$37, 0))</f>
        <v>Beauty</v>
      </c>
      <c r="J840">
        <f>INDEX(Products!$E$2:$E$37, MATCH(D840, Products!$A$2:$A$37, 0))</f>
        <v>40</v>
      </c>
      <c r="K840" s="9">
        <f t="shared" si="52"/>
        <v>89</v>
      </c>
      <c r="L840">
        <f t="shared" si="53"/>
        <v>40</v>
      </c>
      <c r="M840" s="9">
        <f t="shared" si="54"/>
        <v>49</v>
      </c>
      <c r="N840" t="str">
        <f t="shared" si="55"/>
        <v>Mar</v>
      </c>
    </row>
    <row r="841" spans="1:14" x14ac:dyDescent="0.3">
      <c r="A841" s="2" t="s">
        <v>907</v>
      </c>
      <c r="B841" s="6">
        <v>45730</v>
      </c>
      <c r="C841" s="2" t="s">
        <v>44</v>
      </c>
      <c r="D841" s="2" t="s">
        <v>29</v>
      </c>
      <c r="E841" s="2">
        <v>1</v>
      </c>
      <c r="F841" s="7">
        <v>229</v>
      </c>
      <c r="G841" s="8">
        <v>0</v>
      </c>
      <c r="H841" s="9" t="str">
        <f>INDEX(Products!$B$2:$B$37, MATCH(D841, Products!$A$2:$A$37, 0))</f>
        <v>Women's Summer Dress</v>
      </c>
      <c r="I841" t="str">
        <f>INDEX(Products!$C$2:$C$37, MATCH(D841, Products!$A$2:$A$37, 0))</f>
        <v>Fashion</v>
      </c>
      <c r="J841">
        <f>INDEX(Products!$E$2:$E$37, MATCH(D841, Products!$A$2:$A$37, 0))</f>
        <v>120</v>
      </c>
      <c r="K841" s="9">
        <f t="shared" si="52"/>
        <v>229</v>
      </c>
      <c r="L841">
        <f t="shared" si="53"/>
        <v>120</v>
      </c>
      <c r="M841" s="9">
        <f t="shared" si="54"/>
        <v>109</v>
      </c>
      <c r="N841" t="str">
        <f t="shared" si="55"/>
        <v>Mar</v>
      </c>
    </row>
    <row r="842" spans="1:14" x14ac:dyDescent="0.3">
      <c r="A842" s="2" t="s">
        <v>908</v>
      </c>
      <c r="B842" s="6">
        <v>45730</v>
      </c>
      <c r="C842" s="2" t="s">
        <v>28</v>
      </c>
      <c r="D842" s="2" t="s">
        <v>95</v>
      </c>
      <c r="E842" s="2">
        <v>2</v>
      </c>
      <c r="F842" s="7">
        <v>259</v>
      </c>
      <c r="G842" s="8">
        <v>0</v>
      </c>
      <c r="H842" s="9" t="str">
        <f>INDEX(Products!$B$2:$B$37, MATCH(D842, Products!$A$2:$A$37, 0))</f>
        <v>Bed Linen Set (King)</v>
      </c>
      <c r="I842" t="str">
        <f>INDEX(Products!$C$2:$C$37, MATCH(D842, Products!$A$2:$A$37, 0))</f>
        <v>Home &amp; Kitchen</v>
      </c>
      <c r="J842">
        <f>INDEX(Products!$E$2:$E$37, MATCH(D842, Products!$A$2:$A$37, 0))</f>
        <v>115</v>
      </c>
      <c r="K842" s="9">
        <f t="shared" si="52"/>
        <v>518</v>
      </c>
      <c r="L842">
        <f t="shared" si="53"/>
        <v>230</v>
      </c>
      <c r="M842" s="9">
        <f t="shared" si="54"/>
        <v>288</v>
      </c>
      <c r="N842" t="str">
        <f t="shared" si="55"/>
        <v>Mar</v>
      </c>
    </row>
    <row r="843" spans="1:14" x14ac:dyDescent="0.3">
      <c r="A843" s="2" t="s">
        <v>909</v>
      </c>
      <c r="B843" s="6">
        <v>45730</v>
      </c>
      <c r="C843" s="2" t="s">
        <v>48</v>
      </c>
      <c r="D843" s="2" t="s">
        <v>70</v>
      </c>
      <c r="E843" s="2">
        <v>2</v>
      </c>
      <c r="F843" s="7">
        <v>429</v>
      </c>
      <c r="G843" s="8">
        <v>0.2</v>
      </c>
      <c r="H843" s="9" t="str">
        <f>INDEX(Products!$B$2:$B$37, MATCH(D843, Products!$A$2:$A$37, 0))</f>
        <v>Running Shoes Elite</v>
      </c>
      <c r="I843" t="str">
        <f>INDEX(Products!$C$2:$C$37, MATCH(D843, Products!$A$2:$A$37, 0))</f>
        <v>Fashion</v>
      </c>
      <c r="J843">
        <f>INDEX(Products!$E$2:$E$37, MATCH(D843, Products!$A$2:$A$37, 0))</f>
        <v>300</v>
      </c>
      <c r="K843" s="9">
        <f t="shared" si="52"/>
        <v>686.40000000000009</v>
      </c>
      <c r="L843">
        <f t="shared" si="53"/>
        <v>600</v>
      </c>
      <c r="M843" s="9">
        <f t="shared" si="54"/>
        <v>86.400000000000091</v>
      </c>
      <c r="N843" t="str">
        <f t="shared" si="55"/>
        <v>Mar</v>
      </c>
    </row>
    <row r="844" spans="1:14" x14ac:dyDescent="0.3">
      <c r="A844" s="2" t="s">
        <v>910</v>
      </c>
      <c r="B844" s="6">
        <v>45730</v>
      </c>
      <c r="C844" s="2" t="s">
        <v>41</v>
      </c>
      <c r="D844" s="2" t="s">
        <v>49</v>
      </c>
      <c r="E844" s="2">
        <v>1</v>
      </c>
      <c r="F844" s="7">
        <v>149</v>
      </c>
      <c r="G844" s="8">
        <v>0.15</v>
      </c>
      <c r="H844" s="9" t="str">
        <f>INDEX(Products!$B$2:$B$37, MATCH(D844, Products!$A$2:$A$37, 0))</f>
        <v>Kids' Sneakers</v>
      </c>
      <c r="I844" t="str">
        <f>INDEX(Products!$C$2:$C$37, MATCH(D844, Products!$A$2:$A$37, 0))</f>
        <v>Fashion</v>
      </c>
      <c r="J844">
        <f>INDEX(Products!$E$2:$E$37, MATCH(D844, Products!$A$2:$A$37, 0))</f>
        <v>80</v>
      </c>
      <c r="K844" s="9">
        <f t="shared" si="52"/>
        <v>126.64999999999999</v>
      </c>
      <c r="L844">
        <f t="shared" si="53"/>
        <v>80</v>
      </c>
      <c r="M844" s="9">
        <f t="shared" si="54"/>
        <v>46.649999999999991</v>
      </c>
      <c r="N844" t="str">
        <f t="shared" si="55"/>
        <v>Mar</v>
      </c>
    </row>
    <row r="845" spans="1:14" x14ac:dyDescent="0.3">
      <c r="A845" s="2" t="s">
        <v>911</v>
      </c>
      <c r="B845" s="6">
        <v>45730</v>
      </c>
      <c r="C845" s="2" t="s">
        <v>28</v>
      </c>
      <c r="D845" s="2" t="s">
        <v>35</v>
      </c>
      <c r="E845" s="2">
        <v>1</v>
      </c>
      <c r="F845" s="7">
        <v>179</v>
      </c>
      <c r="G845" s="8">
        <v>0.1</v>
      </c>
      <c r="H845" s="9" t="str">
        <f>INDEX(Products!$B$2:$B$37, MATCH(D845, Products!$A$2:$A$37, 0))</f>
        <v>Men's Linen Shirt</v>
      </c>
      <c r="I845" t="str">
        <f>INDEX(Products!$C$2:$C$37, MATCH(D845, Products!$A$2:$A$37, 0))</f>
        <v>Fashion</v>
      </c>
      <c r="J845">
        <f>INDEX(Products!$E$2:$E$37, MATCH(D845, Products!$A$2:$A$37, 0))</f>
        <v>70</v>
      </c>
      <c r="K845" s="9">
        <f t="shared" si="52"/>
        <v>161.1</v>
      </c>
      <c r="L845">
        <f t="shared" si="53"/>
        <v>70</v>
      </c>
      <c r="M845" s="9">
        <f t="shared" si="54"/>
        <v>91.1</v>
      </c>
      <c r="N845" t="str">
        <f t="shared" si="55"/>
        <v>Mar</v>
      </c>
    </row>
    <row r="846" spans="1:14" x14ac:dyDescent="0.3">
      <c r="A846" s="2" t="s">
        <v>912</v>
      </c>
      <c r="B846" s="6">
        <v>45730</v>
      </c>
      <c r="C846" s="2" t="s">
        <v>48</v>
      </c>
      <c r="D846" s="2" t="s">
        <v>37</v>
      </c>
      <c r="E846" s="2">
        <v>2</v>
      </c>
      <c r="F846" s="7">
        <v>249</v>
      </c>
      <c r="G846" s="8">
        <v>0.05</v>
      </c>
      <c r="H846" s="9" t="str">
        <f>INDEX(Products!$B$2:$B$37, MATCH(D846, Products!$A$2:$A$37, 0))</f>
        <v>Sunglasses Polarised</v>
      </c>
      <c r="I846" t="str">
        <f>INDEX(Products!$C$2:$C$37, MATCH(D846, Products!$A$2:$A$37, 0))</f>
        <v>Fashion</v>
      </c>
      <c r="J846">
        <f>INDEX(Products!$E$2:$E$37, MATCH(D846, Products!$A$2:$A$37, 0))</f>
        <v>95</v>
      </c>
      <c r="K846" s="9">
        <f t="shared" si="52"/>
        <v>473.09999999999997</v>
      </c>
      <c r="L846">
        <f t="shared" si="53"/>
        <v>190</v>
      </c>
      <c r="M846" s="9">
        <f t="shared" si="54"/>
        <v>283.09999999999997</v>
      </c>
      <c r="N846" t="str">
        <f t="shared" si="55"/>
        <v>Mar</v>
      </c>
    </row>
    <row r="847" spans="1:14" x14ac:dyDescent="0.3">
      <c r="A847" s="2" t="s">
        <v>913</v>
      </c>
      <c r="B847" s="6">
        <v>45731</v>
      </c>
      <c r="C847" s="2" t="s">
        <v>48</v>
      </c>
      <c r="D847" s="2" t="s">
        <v>60</v>
      </c>
      <c r="E847" s="2">
        <v>1</v>
      </c>
      <c r="F847" s="7">
        <v>99</v>
      </c>
      <c r="G847" s="8">
        <v>0.1</v>
      </c>
      <c r="H847" s="9" t="str">
        <f>INDEX(Products!$B$2:$B$37, MATCH(D847, Products!$A$2:$A$37, 0))</f>
        <v>Football Size 5</v>
      </c>
      <c r="I847" t="str">
        <f>INDEX(Products!$C$2:$C$37, MATCH(D847, Products!$A$2:$A$37, 0))</f>
        <v>Sports</v>
      </c>
      <c r="J847">
        <f>INDEX(Products!$E$2:$E$37, MATCH(D847, Products!$A$2:$A$37, 0))</f>
        <v>45</v>
      </c>
      <c r="K847" s="9">
        <f t="shared" si="52"/>
        <v>89.100000000000009</v>
      </c>
      <c r="L847">
        <f t="shared" si="53"/>
        <v>45</v>
      </c>
      <c r="M847" s="9">
        <f t="shared" si="54"/>
        <v>44.100000000000009</v>
      </c>
      <c r="N847" t="str">
        <f t="shared" si="55"/>
        <v>Mar</v>
      </c>
    </row>
    <row r="848" spans="1:14" x14ac:dyDescent="0.3">
      <c r="A848" s="2" t="s">
        <v>914</v>
      </c>
      <c r="B848" s="6">
        <v>45731</v>
      </c>
      <c r="C848" s="2" t="s">
        <v>44</v>
      </c>
      <c r="D848" s="2" t="s">
        <v>106</v>
      </c>
      <c r="E848" s="2">
        <v>1</v>
      </c>
      <c r="F848" s="7">
        <v>1299</v>
      </c>
      <c r="G848" s="8">
        <v>0</v>
      </c>
      <c r="H848" s="9" t="str">
        <f>INDEX(Products!$B$2:$B$37, MATCH(D848, Products!$A$2:$A$37, 0))</f>
        <v>Smart Watch Series 5</v>
      </c>
      <c r="I848" t="str">
        <f>INDEX(Products!$C$2:$C$37, MATCH(D848, Products!$A$2:$A$37, 0))</f>
        <v>Electronics</v>
      </c>
      <c r="J848">
        <f>INDEX(Products!$E$2:$E$37, MATCH(D848, Products!$A$2:$A$37, 0))</f>
        <v>820</v>
      </c>
      <c r="K848" s="9">
        <f t="shared" si="52"/>
        <v>1299</v>
      </c>
      <c r="L848">
        <f t="shared" si="53"/>
        <v>820</v>
      </c>
      <c r="M848" s="9">
        <f t="shared" si="54"/>
        <v>479</v>
      </c>
      <c r="N848" t="str">
        <f t="shared" si="55"/>
        <v>Mar</v>
      </c>
    </row>
    <row r="849" spans="1:14" x14ac:dyDescent="0.3">
      <c r="A849" s="2" t="s">
        <v>915</v>
      </c>
      <c r="B849" s="6">
        <v>45731</v>
      </c>
      <c r="C849" s="2" t="s">
        <v>28</v>
      </c>
      <c r="D849" s="2" t="s">
        <v>129</v>
      </c>
      <c r="E849" s="2">
        <v>2</v>
      </c>
      <c r="F849" s="7">
        <v>149</v>
      </c>
      <c r="G849" s="8">
        <v>0</v>
      </c>
      <c r="H849" s="9" t="str">
        <f>INDEX(Products!$B$2:$B$37, MATCH(D849, Products!$A$2:$A$37, 0))</f>
        <v>Power Bank 20000mAh</v>
      </c>
      <c r="I849" t="str">
        <f>INDEX(Products!$C$2:$C$37, MATCH(D849, Products!$A$2:$A$37, 0))</f>
        <v>Electronics</v>
      </c>
      <c r="J849">
        <f>INDEX(Products!$E$2:$E$37, MATCH(D849, Products!$A$2:$A$37, 0))</f>
        <v>70</v>
      </c>
      <c r="K849" s="9">
        <f t="shared" si="52"/>
        <v>298</v>
      </c>
      <c r="L849">
        <f t="shared" si="53"/>
        <v>140</v>
      </c>
      <c r="M849" s="9">
        <f t="shared" si="54"/>
        <v>158</v>
      </c>
      <c r="N849" t="str">
        <f t="shared" si="55"/>
        <v>Mar</v>
      </c>
    </row>
    <row r="850" spans="1:14" x14ac:dyDescent="0.3">
      <c r="A850" s="2" t="s">
        <v>916</v>
      </c>
      <c r="B850" s="6">
        <v>45731</v>
      </c>
      <c r="C850" s="2" t="s">
        <v>44</v>
      </c>
      <c r="D850" s="2" t="s">
        <v>149</v>
      </c>
      <c r="E850" s="2">
        <v>1</v>
      </c>
      <c r="F850" s="7">
        <v>399</v>
      </c>
      <c r="G850" s="8">
        <v>0.05</v>
      </c>
      <c r="H850" s="9" t="str">
        <f>INDEX(Products!$B$2:$B$37, MATCH(D850, Products!$A$2:$A$37, 0))</f>
        <v>Blender Pro 1200W</v>
      </c>
      <c r="I850" t="str">
        <f>INDEX(Products!$C$2:$C$37, MATCH(D850, Products!$A$2:$A$37, 0))</f>
        <v>Home &amp; Kitchen</v>
      </c>
      <c r="J850">
        <f>INDEX(Products!$E$2:$E$37, MATCH(D850, Products!$A$2:$A$37, 0))</f>
        <v>250</v>
      </c>
      <c r="K850" s="9">
        <f t="shared" si="52"/>
        <v>379.04999999999995</v>
      </c>
      <c r="L850">
        <f t="shared" si="53"/>
        <v>250</v>
      </c>
      <c r="M850" s="9">
        <f t="shared" si="54"/>
        <v>129.04999999999995</v>
      </c>
      <c r="N850" t="str">
        <f t="shared" si="55"/>
        <v>Mar</v>
      </c>
    </row>
    <row r="851" spans="1:14" x14ac:dyDescent="0.3">
      <c r="A851" s="2" t="s">
        <v>917</v>
      </c>
      <c r="B851" s="6">
        <v>45731</v>
      </c>
      <c r="C851" s="2" t="s">
        <v>31</v>
      </c>
      <c r="D851" s="2" t="s">
        <v>68</v>
      </c>
      <c r="E851" s="2">
        <v>1</v>
      </c>
      <c r="F851" s="7">
        <v>249</v>
      </c>
      <c r="G851" s="8">
        <v>0</v>
      </c>
      <c r="H851" s="9" t="str">
        <f>INDEX(Products!$B$2:$B$37, MATCH(D851, Products!$A$2:$A$37, 0))</f>
        <v>Bluetooth Speaker Mini</v>
      </c>
      <c r="I851" t="str">
        <f>INDEX(Products!$C$2:$C$37, MATCH(D851, Products!$A$2:$A$37, 0))</f>
        <v>Electronics</v>
      </c>
      <c r="J851">
        <f>INDEX(Products!$E$2:$E$37, MATCH(D851, Products!$A$2:$A$37, 0))</f>
        <v>150</v>
      </c>
      <c r="K851" s="9">
        <f t="shared" si="52"/>
        <v>249</v>
      </c>
      <c r="L851">
        <f t="shared" si="53"/>
        <v>150</v>
      </c>
      <c r="M851" s="9">
        <f t="shared" si="54"/>
        <v>99</v>
      </c>
      <c r="N851" t="str">
        <f t="shared" si="55"/>
        <v>Mar</v>
      </c>
    </row>
    <row r="852" spans="1:14" x14ac:dyDescent="0.3">
      <c r="A852" s="2" t="s">
        <v>918</v>
      </c>
      <c r="B852" s="6">
        <v>45731</v>
      </c>
      <c r="C852" s="2" t="s">
        <v>44</v>
      </c>
      <c r="D852" s="2" t="s">
        <v>52</v>
      </c>
      <c r="E852" s="2">
        <v>3</v>
      </c>
      <c r="F852" s="7">
        <v>299</v>
      </c>
      <c r="G852" s="8">
        <v>0.15</v>
      </c>
      <c r="H852" s="9" t="str">
        <f>INDEX(Products!$B$2:$B$37, MATCH(D852, Products!$A$2:$A$37, 0))</f>
        <v>Hair Dryer Ionic</v>
      </c>
      <c r="I852" t="str">
        <f>INDEX(Products!$C$2:$C$37, MATCH(D852, Products!$A$2:$A$37, 0))</f>
        <v>Beauty</v>
      </c>
      <c r="J852">
        <f>INDEX(Products!$E$2:$E$37, MATCH(D852, Products!$A$2:$A$37, 0))</f>
        <v>240</v>
      </c>
      <c r="K852" s="9">
        <f t="shared" si="52"/>
        <v>762.44999999999993</v>
      </c>
      <c r="L852">
        <f t="shared" si="53"/>
        <v>720</v>
      </c>
      <c r="M852" s="9">
        <f t="shared" si="54"/>
        <v>42.449999999999932</v>
      </c>
      <c r="N852" t="str">
        <f t="shared" si="55"/>
        <v>Mar</v>
      </c>
    </row>
    <row r="853" spans="1:14" x14ac:dyDescent="0.3">
      <c r="A853" s="2" t="s">
        <v>919</v>
      </c>
      <c r="B853" s="6">
        <v>45731</v>
      </c>
      <c r="C853" s="2" t="s">
        <v>41</v>
      </c>
      <c r="D853" s="2" t="s">
        <v>65</v>
      </c>
      <c r="E853" s="2">
        <v>1</v>
      </c>
      <c r="F853" s="7">
        <v>129</v>
      </c>
      <c r="G853" s="8">
        <v>0.1</v>
      </c>
      <c r="H853" s="9" t="str">
        <f>INDEX(Products!$B$2:$B$37, MATCH(D853, Products!$A$2:$A$37, 0))</f>
        <v>Yoga Mat Premium</v>
      </c>
      <c r="I853" t="str">
        <f>INDEX(Products!$C$2:$C$37, MATCH(D853, Products!$A$2:$A$37, 0))</f>
        <v>Sports</v>
      </c>
      <c r="J853">
        <f>INDEX(Products!$E$2:$E$37, MATCH(D853, Products!$A$2:$A$37, 0))</f>
        <v>60</v>
      </c>
      <c r="K853" s="9">
        <f t="shared" si="52"/>
        <v>116.10000000000001</v>
      </c>
      <c r="L853">
        <f t="shared" si="53"/>
        <v>60</v>
      </c>
      <c r="M853" s="9">
        <f t="shared" si="54"/>
        <v>56.100000000000009</v>
      </c>
      <c r="N853" t="str">
        <f t="shared" si="55"/>
        <v>Mar</v>
      </c>
    </row>
    <row r="854" spans="1:14" x14ac:dyDescent="0.3">
      <c r="A854" s="2" t="s">
        <v>920</v>
      </c>
      <c r="B854" s="6">
        <v>45731</v>
      </c>
      <c r="C854" s="2" t="s">
        <v>28</v>
      </c>
      <c r="D854" s="2" t="s">
        <v>99</v>
      </c>
      <c r="E854" s="2">
        <v>1</v>
      </c>
      <c r="F854" s="7">
        <v>459</v>
      </c>
      <c r="G854" s="8">
        <v>0.3</v>
      </c>
      <c r="H854" s="9" t="str">
        <f>INDEX(Products!$B$2:$B$37, MATCH(D854, Products!$A$2:$A$37, 0))</f>
        <v>Gaming Headset X</v>
      </c>
      <c r="I854" t="str">
        <f>INDEX(Products!$C$2:$C$37, MATCH(D854, Products!$A$2:$A$37, 0))</f>
        <v>Electronics</v>
      </c>
      <c r="J854">
        <f>INDEX(Products!$E$2:$E$37, MATCH(D854, Products!$A$2:$A$37, 0))</f>
        <v>300</v>
      </c>
      <c r="K854" s="9">
        <f t="shared" si="52"/>
        <v>321.29999999999995</v>
      </c>
      <c r="L854">
        <f t="shared" si="53"/>
        <v>300</v>
      </c>
      <c r="M854" s="9">
        <f t="shared" si="54"/>
        <v>21.299999999999955</v>
      </c>
      <c r="N854" t="str">
        <f t="shared" si="55"/>
        <v>Mar</v>
      </c>
    </row>
    <row r="855" spans="1:14" x14ac:dyDescent="0.3">
      <c r="A855" s="2" t="s">
        <v>921</v>
      </c>
      <c r="B855" s="6">
        <v>45731</v>
      </c>
      <c r="C855" s="2" t="s">
        <v>48</v>
      </c>
      <c r="D855" s="2" t="s">
        <v>49</v>
      </c>
      <c r="E855" s="2">
        <v>1</v>
      </c>
      <c r="F855" s="7">
        <v>149</v>
      </c>
      <c r="G855" s="8">
        <v>0.1</v>
      </c>
      <c r="H855" s="9" t="str">
        <f>INDEX(Products!$B$2:$B$37, MATCH(D855, Products!$A$2:$A$37, 0))</f>
        <v>Kids' Sneakers</v>
      </c>
      <c r="I855" t="str">
        <f>INDEX(Products!$C$2:$C$37, MATCH(D855, Products!$A$2:$A$37, 0))</f>
        <v>Fashion</v>
      </c>
      <c r="J855">
        <f>INDEX(Products!$E$2:$E$37, MATCH(D855, Products!$A$2:$A$37, 0))</f>
        <v>80</v>
      </c>
      <c r="K855" s="9">
        <f t="shared" si="52"/>
        <v>134.1</v>
      </c>
      <c r="L855">
        <f t="shared" si="53"/>
        <v>80</v>
      </c>
      <c r="M855" s="9">
        <f t="shared" si="54"/>
        <v>54.099999999999994</v>
      </c>
      <c r="N855" t="str">
        <f t="shared" si="55"/>
        <v>Mar</v>
      </c>
    </row>
    <row r="856" spans="1:14" x14ac:dyDescent="0.3">
      <c r="A856" s="2" t="s">
        <v>922</v>
      </c>
      <c r="B856" s="6">
        <v>45731</v>
      </c>
      <c r="C856" s="2" t="s">
        <v>31</v>
      </c>
      <c r="D856" s="2" t="s">
        <v>39</v>
      </c>
      <c r="E856" s="2">
        <v>4</v>
      </c>
      <c r="F856" s="7">
        <v>199</v>
      </c>
      <c r="G856" s="8">
        <v>0.1</v>
      </c>
      <c r="H856" s="9" t="str">
        <f>INDEX(Products!$B$2:$B$37, MATCH(D856, Products!$A$2:$A$37, 0))</f>
        <v>Bakhoor Gift Set</v>
      </c>
      <c r="I856" t="str">
        <f>INDEX(Products!$C$2:$C$37, MATCH(D856, Products!$A$2:$A$37, 0))</f>
        <v>Beauty</v>
      </c>
      <c r="J856">
        <f>INDEX(Products!$E$2:$E$37, MATCH(D856, Products!$A$2:$A$37, 0))</f>
        <v>90</v>
      </c>
      <c r="K856" s="9">
        <f t="shared" si="52"/>
        <v>716.4</v>
      </c>
      <c r="L856">
        <f t="shared" si="53"/>
        <v>360</v>
      </c>
      <c r="M856" s="9">
        <f t="shared" si="54"/>
        <v>356.4</v>
      </c>
      <c r="N856" t="str">
        <f t="shared" si="55"/>
        <v>Mar</v>
      </c>
    </row>
    <row r="857" spans="1:14" x14ac:dyDescent="0.3">
      <c r="A857" s="2" t="s">
        <v>923</v>
      </c>
      <c r="B857" s="6">
        <v>45731</v>
      </c>
      <c r="C857" s="2" t="s">
        <v>28</v>
      </c>
      <c r="D857" s="2" t="s">
        <v>131</v>
      </c>
      <c r="E857" s="2">
        <v>2</v>
      </c>
      <c r="F857" s="7">
        <v>899</v>
      </c>
      <c r="G857" s="8">
        <v>0</v>
      </c>
      <c r="H857" s="9" t="str">
        <f>INDEX(Products!$B$2:$B$37, MATCH(D857, Products!$A$2:$A$37, 0))</f>
        <v>4K Action Camera</v>
      </c>
      <c r="I857" t="str">
        <f>INDEX(Products!$C$2:$C$37, MATCH(D857, Products!$A$2:$A$37, 0))</f>
        <v>Electronics</v>
      </c>
      <c r="J857">
        <f>INDEX(Products!$E$2:$E$37, MATCH(D857, Products!$A$2:$A$37, 0))</f>
        <v>610</v>
      </c>
      <c r="K857" s="9">
        <f t="shared" si="52"/>
        <v>1798</v>
      </c>
      <c r="L857">
        <f t="shared" si="53"/>
        <v>1220</v>
      </c>
      <c r="M857" s="9">
        <f t="shared" si="54"/>
        <v>578</v>
      </c>
      <c r="N857" t="str">
        <f t="shared" si="55"/>
        <v>Mar</v>
      </c>
    </row>
    <row r="858" spans="1:14" x14ac:dyDescent="0.3">
      <c r="A858" s="2" t="s">
        <v>924</v>
      </c>
      <c r="B858" s="6">
        <v>45731</v>
      </c>
      <c r="C858" s="2" t="s">
        <v>44</v>
      </c>
      <c r="D858" s="2" t="s">
        <v>115</v>
      </c>
      <c r="E858" s="2">
        <v>1</v>
      </c>
      <c r="F858" s="7">
        <v>129</v>
      </c>
      <c r="G858" s="8">
        <v>0</v>
      </c>
      <c r="H858" s="9" t="str">
        <f>INDEX(Products!$B$2:$B$37, MATCH(D858, Products!$A$2:$A$37, 0))</f>
        <v>Electric Kettle</v>
      </c>
      <c r="I858" t="str">
        <f>INDEX(Products!$C$2:$C$37, MATCH(D858, Products!$A$2:$A$37, 0))</f>
        <v>Home &amp; Kitchen</v>
      </c>
      <c r="J858">
        <f>INDEX(Products!$E$2:$E$37, MATCH(D858, Products!$A$2:$A$37, 0))</f>
        <v>60</v>
      </c>
      <c r="K858" s="9">
        <f t="shared" si="52"/>
        <v>129</v>
      </c>
      <c r="L858">
        <f t="shared" si="53"/>
        <v>60</v>
      </c>
      <c r="M858" s="9">
        <f t="shared" si="54"/>
        <v>69</v>
      </c>
      <c r="N858" t="str">
        <f t="shared" si="55"/>
        <v>Mar</v>
      </c>
    </row>
    <row r="859" spans="1:14" x14ac:dyDescent="0.3">
      <c r="A859" s="2" t="s">
        <v>925</v>
      </c>
      <c r="B859" s="6">
        <v>45731</v>
      </c>
      <c r="C859" s="2" t="s">
        <v>28</v>
      </c>
      <c r="D859" s="2" t="s">
        <v>109</v>
      </c>
      <c r="E859" s="2">
        <v>1</v>
      </c>
      <c r="F859" s="7">
        <v>1499</v>
      </c>
      <c r="G859" s="8">
        <v>0</v>
      </c>
      <c r="H859" s="9" t="str">
        <f>INDEX(Products!$B$2:$B$37, MATCH(D859, Products!$A$2:$A$37, 0))</f>
        <v>Espresso Machine</v>
      </c>
      <c r="I859" t="str">
        <f>INDEX(Products!$C$2:$C$37, MATCH(D859, Products!$A$2:$A$37, 0))</f>
        <v>Home &amp; Kitchen</v>
      </c>
      <c r="J859">
        <f>INDEX(Products!$E$2:$E$37, MATCH(D859, Products!$A$2:$A$37, 0))</f>
        <v>1050</v>
      </c>
      <c r="K859" s="9">
        <f t="shared" si="52"/>
        <v>1499</v>
      </c>
      <c r="L859">
        <f t="shared" si="53"/>
        <v>1050</v>
      </c>
      <c r="M859" s="9">
        <f t="shared" si="54"/>
        <v>449</v>
      </c>
      <c r="N859" t="str">
        <f t="shared" si="55"/>
        <v>Mar</v>
      </c>
    </row>
    <row r="860" spans="1:14" x14ac:dyDescent="0.3">
      <c r="A860" s="2" t="s">
        <v>926</v>
      </c>
      <c r="B860" s="6">
        <v>45731</v>
      </c>
      <c r="C860" s="2" t="s">
        <v>44</v>
      </c>
      <c r="D860" s="2" t="s">
        <v>49</v>
      </c>
      <c r="E860" s="2">
        <v>2</v>
      </c>
      <c r="F860" s="7">
        <v>149</v>
      </c>
      <c r="G860" s="8">
        <v>0.15</v>
      </c>
      <c r="H860" s="9" t="str">
        <f>INDEX(Products!$B$2:$B$37, MATCH(D860, Products!$A$2:$A$37, 0))</f>
        <v>Kids' Sneakers</v>
      </c>
      <c r="I860" t="str">
        <f>INDEX(Products!$C$2:$C$37, MATCH(D860, Products!$A$2:$A$37, 0))</f>
        <v>Fashion</v>
      </c>
      <c r="J860">
        <f>INDEX(Products!$E$2:$E$37, MATCH(D860, Products!$A$2:$A$37, 0))</f>
        <v>80</v>
      </c>
      <c r="K860" s="9">
        <f t="shared" si="52"/>
        <v>253.29999999999998</v>
      </c>
      <c r="L860">
        <f t="shared" si="53"/>
        <v>160</v>
      </c>
      <c r="M860" s="9">
        <f t="shared" si="54"/>
        <v>93.299999999999983</v>
      </c>
      <c r="N860" t="str">
        <f t="shared" si="55"/>
        <v>Mar</v>
      </c>
    </row>
    <row r="861" spans="1:14" x14ac:dyDescent="0.3">
      <c r="A861" s="2" t="s">
        <v>927</v>
      </c>
      <c r="B861" s="6">
        <v>45731</v>
      </c>
      <c r="C861" s="2" t="s">
        <v>44</v>
      </c>
      <c r="D861" s="2" t="s">
        <v>46</v>
      </c>
      <c r="E861" s="2">
        <v>2</v>
      </c>
      <c r="F861" s="7">
        <v>189</v>
      </c>
      <c r="G861" s="8">
        <v>0</v>
      </c>
      <c r="H861" s="9" t="str">
        <f>INDEX(Products!$B$2:$B$37, MATCH(D861, Products!$A$2:$A$37, 0))</f>
        <v>Makeup Palette</v>
      </c>
      <c r="I861" t="str">
        <f>INDEX(Products!$C$2:$C$37, MATCH(D861, Products!$A$2:$A$37, 0))</f>
        <v>Beauty</v>
      </c>
      <c r="J861">
        <f>INDEX(Products!$E$2:$E$37, MATCH(D861, Products!$A$2:$A$37, 0))</f>
        <v>85</v>
      </c>
      <c r="K861" s="9">
        <f t="shared" si="52"/>
        <v>378</v>
      </c>
      <c r="L861">
        <f t="shared" si="53"/>
        <v>170</v>
      </c>
      <c r="M861" s="9">
        <f t="shared" si="54"/>
        <v>208</v>
      </c>
      <c r="N861" t="str">
        <f t="shared" si="55"/>
        <v>Mar</v>
      </c>
    </row>
    <row r="862" spans="1:14" x14ac:dyDescent="0.3">
      <c r="A862" s="2" t="s">
        <v>928</v>
      </c>
      <c r="B862" s="6">
        <v>45732</v>
      </c>
      <c r="C862" s="2" t="s">
        <v>44</v>
      </c>
      <c r="D862" s="2" t="s">
        <v>99</v>
      </c>
      <c r="E862" s="2">
        <v>2</v>
      </c>
      <c r="F862" s="7">
        <v>459</v>
      </c>
      <c r="G862" s="8">
        <v>0.1</v>
      </c>
      <c r="H862" s="9" t="str">
        <f>INDEX(Products!$B$2:$B$37, MATCH(D862, Products!$A$2:$A$37, 0))</f>
        <v>Gaming Headset X</v>
      </c>
      <c r="I862" t="str">
        <f>INDEX(Products!$C$2:$C$37, MATCH(D862, Products!$A$2:$A$37, 0))</f>
        <v>Electronics</v>
      </c>
      <c r="J862">
        <f>INDEX(Products!$E$2:$E$37, MATCH(D862, Products!$A$2:$A$37, 0))</f>
        <v>300</v>
      </c>
      <c r="K862" s="9">
        <f t="shared" si="52"/>
        <v>826.2</v>
      </c>
      <c r="L862">
        <f t="shared" si="53"/>
        <v>600</v>
      </c>
      <c r="M862" s="9">
        <f t="shared" si="54"/>
        <v>226.20000000000005</v>
      </c>
      <c r="N862" t="str">
        <f t="shared" si="55"/>
        <v>Mar</v>
      </c>
    </row>
    <row r="863" spans="1:14" x14ac:dyDescent="0.3">
      <c r="A863" s="2" t="s">
        <v>929</v>
      </c>
      <c r="B863" s="6">
        <v>45732</v>
      </c>
      <c r="C863" s="2" t="s">
        <v>41</v>
      </c>
      <c r="D863" s="2" t="s">
        <v>131</v>
      </c>
      <c r="E863" s="2">
        <v>1</v>
      </c>
      <c r="F863" s="7">
        <v>899</v>
      </c>
      <c r="G863" s="8">
        <v>0.2</v>
      </c>
      <c r="H863" s="9" t="str">
        <f>INDEX(Products!$B$2:$B$37, MATCH(D863, Products!$A$2:$A$37, 0))</f>
        <v>4K Action Camera</v>
      </c>
      <c r="I863" t="str">
        <f>INDEX(Products!$C$2:$C$37, MATCH(D863, Products!$A$2:$A$37, 0))</f>
        <v>Electronics</v>
      </c>
      <c r="J863">
        <f>INDEX(Products!$E$2:$E$37, MATCH(D863, Products!$A$2:$A$37, 0))</f>
        <v>610</v>
      </c>
      <c r="K863" s="9">
        <f t="shared" si="52"/>
        <v>719.2</v>
      </c>
      <c r="L863">
        <f t="shared" si="53"/>
        <v>610</v>
      </c>
      <c r="M863" s="9">
        <f t="shared" si="54"/>
        <v>109.20000000000005</v>
      </c>
      <c r="N863" t="str">
        <f t="shared" si="55"/>
        <v>Mar</v>
      </c>
    </row>
    <row r="864" spans="1:14" x14ac:dyDescent="0.3">
      <c r="A864" s="2" t="s">
        <v>930</v>
      </c>
      <c r="B864" s="6">
        <v>45732</v>
      </c>
      <c r="C864" s="2" t="s">
        <v>28</v>
      </c>
      <c r="D864" s="2" t="s">
        <v>68</v>
      </c>
      <c r="E864" s="2">
        <v>2</v>
      </c>
      <c r="F864" s="7">
        <v>249</v>
      </c>
      <c r="G864" s="8">
        <v>0.15</v>
      </c>
      <c r="H864" s="9" t="str">
        <f>INDEX(Products!$B$2:$B$37, MATCH(D864, Products!$A$2:$A$37, 0))</f>
        <v>Bluetooth Speaker Mini</v>
      </c>
      <c r="I864" t="str">
        <f>INDEX(Products!$C$2:$C$37, MATCH(D864, Products!$A$2:$A$37, 0))</f>
        <v>Electronics</v>
      </c>
      <c r="J864">
        <f>INDEX(Products!$E$2:$E$37, MATCH(D864, Products!$A$2:$A$37, 0))</f>
        <v>150</v>
      </c>
      <c r="K864" s="9">
        <f t="shared" si="52"/>
        <v>423.3</v>
      </c>
      <c r="L864">
        <f t="shared" si="53"/>
        <v>300</v>
      </c>
      <c r="M864" s="9">
        <f t="shared" si="54"/>
        <v>123.30000000000001</v>
      </c>
      <c r="N864" t="str">
        <f t="shared" si="55"/>
        <v>Mar</v>
      </c>
    </row>
    <row r="865" spans="1:14" x14ac:dyDescent="0.3">
      <c r="A865" s="2" t="s">
        <v>931</v>
      </c>
      <c r="B865" s="6">
        <v>45732</v>
      </c>
      <c r="C865" s="2" t="s">
        <v>41</v>
      </c>
      <c r="D865" s="2" t="s">
        <v>65</v>
      </c>
      <c r="E865" s="2">
        <v>3</v>
      </c>
      <c r="F865" s="7">
        <v>129</v>
      </c>
      <c r="G865" s="8">
        <v>0</v>
      </c>
      <c r="H865" s="9" t="str">
        <f>INDEX(Products!$B$2:$B$37, MATCH(D865, Products!$A$2:$A$37, 0))</f>
        <v>Yoga Mat Premium</v>
      </c>
      <c r="I865" t="str">
        <f>INDEX(Products!$C$2:$C$37, MATCH(D865, Products!$A$2:$A$37, 0))</f>
        <v>Sports</v>
      </c>
      <c r="J865">
        <f>INDEX(Products!$E$2:$E$37, MATCH(D865, Products!$A$2:$A$37, 0))</f>
        <v>60</v>
      </c>
      <c r="K865" s="9">
        <f t="shared" si="52"/>
        <v>387</v>
      </c>
      <c r="L865">
        <f t="shared" si="53"/>
        <v>180</v>
      </c>
      <c r="M865" s="9">
        <f t="shared" si="54"/>
        <v>207</v>
      </c>
      <c r="N865" t="str">
        <f t="shared" si="55"/>
        <v>Mar</v>
      </c>
    </row>
    <row r="866" spans="1:14" x14ac:dyDescent="0.3">
      <c r="A866" s="2" t="s">
        <v>932</v>
      </c>
      <c r="B866" s="6">
        <v>45732</v>
      </c>
      <c r="C866" s="2" t="s">
        <v>48</v>
      </c>
      <c r="D866" s="2" t="s">
        <v>68</v>
      </c>
      <c r="E866" s="2">
        <v>1</v>
      </c>
      <c r="F866" s="7">
        <v>249</v>
      </c>
      <c r="G866" s="8">
        <v>0</v>
      </c>
      <c r="H866" s="9" t="str">
        <f>INDEX(Products!$B$2:$B$37, MATCH(D866, Products!$A$2:$A$37, 0))</f>
        <v>Bluetooth Speaker Mini</v>
      </c>
      <c r="I866" t="str">
        <f>INDEX(Products!$C$2:$C$37, MATCH(D866, Products!$A$2:$A$37, 0))</f>
        <v>Electronics</v>
      </c>
      <c r="J866">
        <f>INDEX(Products!$E$2:$E$37, MATCH(D866, Products!$A$2:$A$37, 0))</f>
        <v>150</v>
      </c>
      <c r="K866" s="9">
        <f t="shared" si="52"/>
        <v>249</v>
      </c>
      <c r="L866">
        <f t="shared" si="53"/>
        <v>150</v>
      </c>
      <c r="M866" s="9">
        <f t="shared" si="54"/>
        <v>99</v>
      </c>
      <c r="N866" t="str">
        <f t="shared" si="55"/>
        <v>Mar</v>
      </c>
    </row>
    <row r="867" spans="1:14" x14ac:dyDescent="0.3">
      <c r="A867" s="2" t="s">
        <v>933</v>
      </c>
      <c r="B867" s="6">
        <v>45732</v>
      </c>
      <c r="C867" s="2" t="s">
        <v>31</v>
      </c>
      <c r="D867" s="2" t="s">
        <v>99</v>
      </c>
      <c r="E867" s="2">
        <v>2</v>
      </c>
      <c r="F867" s="7">
        <v>459</v>
      </c>
      <c r="G867" s="8">
        <v>0.05</v>
      </c>
      <c r="H867" s="9" t="str">
        <f>INDEX(Products!$B$2:$B$37, MATCH(D867, Products!$A$2:$A$37, 0))</f>
        <v>Gaming Headset X</v>
      </c>
      <c r="I867" t="str">
        <f>INDEX(Products!$C$2:$C$37, MATCH(D867, Products!$A$2:$A$37, 0))</f>
        <v>Electronics</v>
      </c>
      <c r="J867">
        <f>INDEX(Products!$E$2:$E$37, MATCH(D867, Products!$A$2:$A$37, 0))</f>
        <v>300</v>
      </c>
      <c r="K867" s="9">
        <f t="shared" si="52"/>
        <v>872.09999999999991</v>
      </c>
      <c r="L867">
        <f t="shared" si="53"/>
        <v>600</v>
      </c>
      <c r="M867" s="9">
        <f t="shared" si="54"/>
        <v>272.09999999999991</v>
      </c>
      <c r="N867" t="str">
        <f t="shared" si="55"/>
        <v>Mar</v>
      </c>
    </row>
    <row r="868" spans="1:14" x14ac:dyDescent="0.3">
      <c r="A868" s="2" t="s">
        <v>934</v>
      </c>
      <c r="B868" s="6">
        <v>45732</v>
      </c>
      <c r="C868" s="2" t="s">
        <v>48</v>
      </c>
      <c r="D868" s="2" t="s">
        <v>65</v>
      </c>
      <c r="E868" s="2">
        <v>2</v>
      </c>
      <c r="F868" s="7">
        <v>129</v>
      </c>
      <c r="G868" s="8">
        <v>0</v>
      </c>
      <c r="H868" s="9" t="str">
        <f>INDEX(Products!$B$2:$B$37, MATCH(D868, Products!$A$2:$A$37, 0))</f>
        <v>Yoga Mat Premium</v>
      </c>
      <c r="I868" t="str">
        <f>INDEX(Products!$C$2:$C$37, MATCH(D868, Products!$A$2:$A$37, 0))</f>
        <v>Sports</v>
      </c>
      <c r="J868">
        <f>INDEX(Products!$E$2:$E$37, MATCH(D868, Products!$A$2:$A$37, 0))</f>
        <v>60</v>
      </c>
      <c r="K868" s="9">
        <f t="shared" si="52"/>
        <v>258</v>
      </c>
      <c r="L868">
        <f t="shared" si="53"/>
        <v>120</v>
      </c>
      <c r="M868" s="9">
        <f t="shared" si="54"/>
        <v>138</v>
      </c>
      <c r="N868" t="str">
        <f t="shared" si="55"/>
        <v>Mar</v>
      </c>
    </row>
    <row r="869" spans="1:14" x14ac:dyDescent="0.3">
      <c r="A869" s="2" t="s">
        <v>935</v>
      </c>
      <c r="B869" s="6">
        <v>45732</v>
      </c>
      <c r="C869" s="2" t="s">
        <v>44</v>
      </c>
      <c r="D869" s="2" t="s">
        <v>70</v>
      </c>
      <c r="E869" s="2">
        <v>1</v>
      </c>
      <c r="F869" s="7">
        <v>429</v>
      </c>
      <c r="G869" s="8">
        <v>0</v>
      </c>
      <c r="H869" s="9" t="str">
        <f>INDEX(Products!$B$2:$B$37, MATCH(D869, Products!$A$2:$A$37, 0))</f>
        <v>Running Shoes Elite</v>
      </c>
      <c r="I869" t="str">
        <f>INDEX(Products!$C$2:$C$37, MATCH(D869, Products!$A$2:$A$37, 0))</f>
        <v>Fashion</v>
      </c>
      <c r="J869">
        <f>INDEX(Products!$E$2:$E$37, MATCH(D869, Products!$A$2:$A$37, 0))</f>
        <v>300</v>
      </c>
      <c r="K869" s="9">
        <f t="shared" si="52"/>
        <v>429</v>
      </c>
      <c r="L869">
        <f t="shared" si="53"/>
        <v>300</v>
      </c>
      <c r="M869" s="9">
        <f t="shared" si="54"/>
        <v>129</v>
      </c>
      <c r="N869" t="str">
        <f t="shared" si="55"/>
        <v>Mar</v>
      </c>
    </row>
    <row r="870" spans="1:14" x14ac:dyDescent="0.3">
      <c r="A870" s="2" t="s">
        <v>936</v>
      </c>
      <c r="B870" s="6">
        <v>45732</v>
      </c>
      <c r="C870" s="2" t="s">
        <v>44</v>
      </c>
      <c r="D870" s="2" t="s">
        <v>68</v>
      </c>
      <c r="E870" s="2">
        <v>1</v>
      </c>
      <c r="F870" s="7">
        <v>249</v>
      </c>
      <c r="G870" s="8">
        <v>0.2</v>
      </c>
      <c r="H870" s="9" t="str">
        <f>INDEX(Products!$B$2:$B$37, MATCH(D870, Products!$A$2:$A$37, 0))</f>
        <v>Bluetooth Speaker Mini</v>
      </c>
      <c r="I870" t="str">
        <f>INDEX(Products!$C$2:$C$37, MATCH(D870, Products!$A$2:$A$37, 0))</f>
        <v>Electronics</v>
      </c>
      <c r="J870">
        <f>INDEX(Products!$E$2:$E$37, MATCH(D870, Products!$A$2:$A$37, 0))</f>
        <v>150</v>
      </c>
      <c r="K870" s="9">
        <f t="shared" si="52"/>
        <v>199.20000000000002</v>
      </c>
      <c r="L870">
        <f t="shared" si="53"/>
        <v>150</v>
      </c>
      <c r="M870" s="9">
        <f t="shared" si="54"/>
        <v>49.200000000000017</v>
      </c>
      <c r="N870" t="str">
        <f t="shared" si="55"/>
        <v>Mar</v>
      </c>
    </row>
    <row r="871" spans="1:14" x14ac:dyDescent="0.3">
      <c r="A871" s="2" t="s">
        <v>937</v>
      </c>
      <c r="B871" s="6">
        <v>45732</v>
      </c>
      <c r="C871" s="2" t="s">
        <v>41</v>
      </c>
      <c r="D871" s="2" t="s">
        <v>60</v>
      </c>
      <c r="E871" s="2">
        <v>1</v>
      </c>
      <c r="F871" s="7">
        <v>99</v>
      </c>
      <c r="G871" s="8">
        <v>0.1</v>
      </c>
      <c r="H871" s="9" t="str">
        <f>INDEX(Products!$B$2:$B$37, MATCH(D871, Products!$A$2:$A$37, 0))</f>
        <v>Football Size 5</v>
      </c>
      <c r="I871" t="str">
        <f>INDEX(Products!$C$2:$C$37, MATCH(D871, Products!$A$2:$A$37, 0))</f>
        <v>Sports</v>
      </c>
      <c r="J871">
        <f>INDEX(Products!$E$2:$E$37, MATCH(D871, Products!$A$2:$A$37, 0))</f>
        <v>45</v>
      </c>
      <c r="K871" s="9">
        <f t="shared" si="52"/>
        <v>89.100000000000009</v>
      </c>
      <c r="L871">
        <f t="shared" si="53"/>
        <v>45</v>
      </c>
      <c r="M871" s="9">
        <f t="shared" si="54"/>
        <v>44.100000000000009</v>
      </c>
      <c r="N871" t="str">
        <f t="shared" si="55"/>
        <v>Mar</v>
      </c>
    </row>
    <row r="872" spans="1:14" x14ac:dyDescent="0.3">
      <c r="A872" s="2" t="s">
        <v>938</v>
      </c>
      <c r="B872" s="6">
        <v>45732</v>
      </c>
      <c r="C872" s="2" t="s">
        <v>44</v>
      </c>
      <c r="D872" s="2" t="s">
        <v>80</v>
      </c>
      <c r="E872" s="2">
        <v>1</v>
      </c>
      <c r="F872" s="7">
        <v>149</v>
      </c>
      <c r="G872" s="8">
        <v>0.05</v>
      </c>
      <c r="H872" s="9" t="str">
        <f>INDEX(Products!$B$2:$B$37, MATCH(D872, Products!$A$2:$A$37, 0))</f>
        <v>Vitamin C Serum</v>
      </c>
      <c r="I872" t="str">
        <f>INDEX(Products!$C$2:$C$37, MATCH(D872, Products!$A$2:$A$37, 0))</f>
        <v>Beauty</v>
      </c>
      <c r="J872">
        <f>INDEX(Products!$E$2:$E$37, MATCH(D872, Products!$A$2:$A$37, 0))</f>
        <v>55</v>
      </c>
      <c r="K872" s="9">
        <f t="shared" si="52"/>
        <v>141.54999999999998</v>
      </c>
      <c r="L872">
        <f t="shared" si="53"/>
        <v>55</v>
      </c>
      <c r="M872" s="9">
        <f t="shared" si="54"/>
        <v>86.549999999999983</v>
      </c>
      <c r="N872" t="str">
        <f t="shared" si="55"/>
        <v>Mar</v>
      </c>
    </row>
    <row r="873" spans="1:14" x14ac:dyDescent="0.3">
      <c r="A873" s="2" t="s">
        <v>939</v>
      </c>
      <c r="B873" s="6">
        <v>45732</v>
      </c>
      <c r="C873" s="2" t="s">
        <v>44</v>
      </c>
      <c r="D873" s="2" t="s">
        <v>37</v>
      </c>
      <c r="E873" s="2">
        <v>1</v>
      </c>
      <c r="F873" s="7">
        <v>249</v>
      </c>
      <c r="G873" s="8">
        <v>0.2</v>
      </c>
      <c r="H873" s="9" t="str">
        <f>INDEX(Products!$B$2:$B$37, MATCH(D873, Products!$A$2:$A$37, 0))</f>
        <v>Sunglasses Polarised</v>
      </c>
      <c r="I873" t="str">
        <f>INDEX(Products!$C$2:$C$37, MATCH(D873, Products!$A$2:$A$37, 0))</f>
        <v>Fashion</v>
      </c>
      <c r="J873">
        <f>INDEX(Products!$E$2:$E$37, MATCH(D873, Products!$A$2:$A$37, 0))</f>
        <v>95</v>
      </c>
      <c r="K873" s="9">
        <f t="shared" si="52"/>
        <v>199.20000000000002</v>
      </c>
      <c r="L873">
        <f t="shared" si="53"/>
        <v>95</v>
      </c>
      <c r="M873" s="9">
        <f t="shared" si="54"/>
        <v>104.20000000000002</v>
      </c>
      <c r="N873" t="str">
        <f t="shared" si="55"/>
        <v>Mar</v>
      </c>
    </row>
    <row r="874" spans="1:14" x14ac:dyDescent="0.3">
      <c r="A874" s="2" t="s">
        <v>940</v>
      </c>
      <c r="B874" s="6">
        <v>45732</v>
      </c>
      <c r="C874" s="2" t="s">
        <v>28</v>
      </c>
      <c r="D874" s="2" t="s">
        <v>126</v>
      </c>
      <c r="E874" s="2">
        <v>1</v>
      </c>
      <c r="F874" s="7">
        <v>89</v>
      </c>
      <c r="G874" s="8">
        <v>0.1</v>
      </c>
      <c r="H874" s="9" t="str">
        <f>INDEX(Products!$B$2:$B$37, MATCH(D874, Products!$A$2:$A$37, 0))</f>
        <v>USB-C Fast Charger</v>
      </c>
      <c r="I874" t="str">
        <f>INDEX(Products!$C$2:$C$37, MATCH(D874, Products!$A$2:$A$37, 0))</f>
        <v>Electronics</v>
      </c>
      <c r="J874">
        <f>INDEX(Products!$E$2:$E$37, MATCH(D874, Products!$A$2:$A$37, 0))</f>
        <v>35</v>
      </c>
      <c r="K874" s="9">
        <f t="shared" si="52"/>
        <v>80.100000000000009</v>
      </c>
      <c r="L874">
        <f t="shared" si="53"/>
        <v>35</v>
      </c>
      <c r="M874" s="9">
        <f t="shared" si="54"/>
        <v>45.100000000000009</v>
      </c>
      <c r="N874" t="str">
        <f t="shared" si="55"/>
        <v>Mar</v>
      </c>
    </row>
    <row r="875" spans="1:14" x14ac:dyDescent="0.3">
      <c r="A875" s="2" t="s">
        <v>941</v>
      </c>
      <c r="B875" s="6">
        <v>45733</v>
      </c>
      <c r="C875" s="2" t="s">
        <v>41</v>
      </c>
      <c r="D875" s="2" t="s">
        <v>35</v>
      </c>
      <c r="E875" s="2">
        <v>1</v>
      </c>
      <c r="F875" s="7">
        <v>179</v>
      </c>
      <c r="G875" s="8">
        <v>0.2</v>
      </c>
      <c r="H875" s="9" t="str">
        <f>INDEX(Products!$B$2:$B$37, MATCH(D875, Products!$A$2:$A$37, 0))</f>
        <v>Men's Linen Shirt</v>
      </c>
      <c r="I875" t="str">
        <f>INDEX(Products!$C$2:$C$37, MATCH(D875, Products!$A$2:$A$37, 0))</f>
        <v>Fashion</v>
      </c>
      <c r="J875">
        <f>INDEX(Products!$E$2:$E$37, MATCH(D875, Products!$A$2:$A$37, 0))</f>
        <v>70</v>
      </c>
      <c r="K875" s="9">
        <f t="shared" si="52"/>
        <v>143.20000000000002</v>
      </c>
      <c r="L875">
        <f t="shared" si="53"/>
        <v>70</v>
      </c>
      <c r="M875" s="9">
        <f t="shared" si="54"/>
        <v>73.200000000000017</v>
      </c>
      <c r="N875" t="str">
        <f t="shared" si="55"/>
        <v>Mar</v>
      </c>
    </row>
    <row r="876" spans="1:14" x14ac:dyDescent="0.3">
      <c r="A876" s="2" t="s">
        <v>942</v>
      </c>
      <c r="B876" s="6">
        <v>45733</v>
      </c>
      <c r="C876" s="2" t="s">
        <v>48</v>
      </c>
      <c r="D876" s="2" t="s">
        <v>35</v>
      </c>
      <c r="E876" s="2">
        <v>3</v>
      </c>
      <c r="F876" s="7">
        <v>179</v>
      </c>
      <c r="G876" s="8">
        <v>0</v>
      </c>
      <c r="H876" s="9" t="str">
        <f>INDEX(Products!$B$2:$B$37, MATCH(D876, Products!$A$2:$A$37, 0))</f>
        <v>Men's Linen Shirt</v>
      </c>
      <c r="I876" t="str">
        <f>INDEX(Products!$C$2:$C$37, MATCH(D876, Products!$A$2:$A$37, 0))</f>
        <v>Fashion</v>
      </c>
      <c r="J876">
        <f>INDEX(Products!$E$2:$E$37, MATCH(D876, Products!$A$2:$A$37, 0))</f>
        <v>70</v>
      </c>
      <c r="K876" s="9">
        <f t="shared" si="52"/>
        <v>537</v>
      </c>
      <c r="L876">
        <f t="shared" si="53"/>
        <v>210</v>
      </c>
      <c r="M876" s="9">
        <f t="shared" si="54"/>
        <v>327</v>
      </c>
      <c r="N876" t="str">
        <f t="shared" si="55"/>
        <v>Mar</v>
      </c>
    </row>
    <row r="877" spans="1:14" x14ac:dyDescent="0.3">
      <c r="A877" s="2" t="s">
        <v>943</v>
      </c>
      <c r="B877" s="6">
        <v>45733</v>
      </c>
      <c r="C877" s="2" t="s">
        <v>31</v>
      </c>
      <c r="D877" s="2" t="s">
        <v>70</v>
      </c>
      <c r="E877" s="2">
        <v>2</v>
      </c>
      <c r="F877" s="7">
        <v>429</v>
      </c>
      <c r="G877" s="8">
        <v>0</v>
      </c>
      <c r="H877" s="9" t="str">
        <f>INDEX(Products!$B$2:$B$37, MATCH(D877, Products!$A$2:$A$37, 0))</f>
        <v>Running Shoes Elite</v>
      </c>
      <c r="I877" t="str">
        <f>INDEX(Products!$C$2:$C$37, MATCH(D877, Products!$A$2:$A$37, 0))</f>
        <v>Fashion</v>
      </c>
      <c r="J877">
        <f>INDEX(Products!$E$2:$E$37, MATCH(D877, Products!$A$2:$A$37, 0))</f>
        <v>300</v>
      </c>
      <c r="K877" s="9">
        <f t="shared" si="52"/>
        <v>858</v>
      </c>
      <c r="L877">
        <f t="shared" si="53"/>
        <v>600</v>
      </c>
      <c r="M877" s="9">
        <f t="shared" si="54"/>
        <v>258</v>
      </c>
      <c r="N877" t="str">
        <f t="shared" si="55"/>
        <v>Mar</v>
      </c>
    </row>
    <row r="878" spans="1:14" x14ac:dyDescent="0.3">
      <c r="A878" s="2" t="s">
        <v>944</v>
      </c>
      <c r="B878" s="6">
        <v>45733</v>
      </c>
      <c r="C878" s="2" t="s">
        <v>28</v>
      </c>
      <c r="D878" s="2" t="s">
        <v>126</v>
      </c>
      <c r="E878" s="2">
        <v>1</v>
      </c>
      <c r="F878" s="7">
        <v>89</v>
      </c>
      <c r="G878" s="8">
        <v>0</v>
      </c>
      <c r="H878" s="9" t="str">
        <f>INDEX(Products!$B$2:$B$37, MATCH(D878, Products!$A$2:$A$37, 0))</f>
        <v>USB-C Fast Charger</v>
      </c>
      <c r="I878" t="str">
        <f>INDEX(Products!$C$2:$C$37, MATCH(D878, Products!$A$2:$A$37, 0))</f>
        <v>Electronics</v>
      </c>
      <c r="J878">
        <f>INDEX(Products!$E$2:$E$37, MATCH(D878, Products!$A$2:$A$37, 0))</f>
        <v>35</v>
      </c>
      <c r="K878" s="9">
        <f t="shared" si="52"/>
        <v>89</v>
      </c>
      <c r="L878">
        <f t="shared" si="53"/>
        <v>35</v>
      </c>
      <c r="M878" s="9">
        <f t="shared" si="54"/>
        <v>54</v>
      </c>
      <c r="N878" t="str">
        <f t="shared" si="55"/>
        <v>Mar</v>
      </c>
    </row>
    <row r="879" spans="1:14" x14ac:dyDescent="0.3">
      <c r="A879" s="2" t="s">
        <v>945</v>
      </c>
      <c r="B879" s="6">
        <v>45733</v>
      </c>
      <c r="C879" s="2" t="s">
        <v>41</v>
      </c>
      <c r="D879" s="2" t="s">
        <v>115</v>
      </c>
      <c r="E879" s="2">
        <v>2</v>
      </c>
      <c r="F879" s="7">
        <v>129</v>
      </c>
      <c r="G879" s="8">
        <v>0</v>
      </c>
      <c r="H879" s="9" t="str">
        <f>INDEX(Products!$B$2:$B$37, MATCH(D879, Products!$A$2:$A$37, 0))</f>
        <v>Electric Kettle</v>
      </c>
      <c r="I879" t="str">
        <f>INDEX(Products!$C$2:$C$37, MATCH(D879, Products!$A$2:$A$37, 0))</f>
        <v>Home &amp; Kitchen</v>
      </c>
      <c r="J879">
        <f>INDEX(Products!$E$2:$E$37, MATCH(D879, Products!$A$2:$A$37, 0))</f>
        <v>60</v>
      </c>
      <c r="K879" s="9">
        <f t="shared" si="52"/>
        <v>258</v>
      </c>
      <c r="L879">
        <f t="shared" si="53"/>
        <v>120</v>
      </c>
      <c r="M879" s="9">
        <f t="shared" si="54"/>
        <v>138</v>
      </c>
      <c r="N879" t="str">
        <f t="shared" si="55"/>
        <v>Mar</v>
      </c>
    </row>
    <row r="880" spans="1:14" x14ac:dyDescent="0.3">
      <c r="A880" s="2" t="s">
        <v>946</v>
      </c>
      <c r="B880" s="6">
        <v>45733</v>
      </c>
      <c r="C880" s="2" t="s">
        <v>41</v>
      </c>
      <c r="D880" s="2" t="s">
        <v>46</v>
      </c>
      <c r="E880" s="2">
        <v>1</v>
      </c>
      <c r="F880" s="7">
        <v>189</v>
      </c>
      <c r="G880" s="8">
        <v>0.05</v>
      </c>
      <c r="H880" s="9" t="str">
        <f>INDEX(Products!$B$2:$B$37, MATCH(D880, Products!$A$2:$A$37, 0))</f>
        <v>Makeup Palette</v>
      </c>
      <c r="I880" t="str">
        <f>INDEX(Products!$C$2:$C$37, MATCH(D880, Products!$A$2:$A$37, 0))</f>
        <v>Beauty</v>
      </c>
      <c r="J880">
        <f>INDEX(Products!$E$2:$E$37, MATCH(D880, Products!$A$2:$A$37, 0))</f>
        <v>85</v>
      </c>
      <c r="K880" s="9">
        <f t="shared" si="52"/>
        <v>179.54999999999998</v>
      </c>
      <c r="L880">
        <f t="shared" si="53"/>
        <v>85</v>
      </c>
      <c r="M880" s="9">
        <f t="shared" si="54"/>
        <v>94.549999999999983</v>
      </c>
      <c r="N880" t="str">
        <f t="shared" si="55"/>
        <v>Mar</v>
      </c>
    </row>
    <row r="881" spans="1:14" x14ac:dyDescent="0.3">
      <c r="A881" s="2" t="s">
        <v>947</v>
      </c>
      <c r="B881" s="6">
        <v>45733</v>
      </c>
      <c r="C881" s="2" t="s">
        <v>48</v>
      </c>
      <c r="D881" s="2" t="s">
        <v>103</v>
      </c>
      <c r="E881" s="2">
        <v>2</v>
      </c>
      <c r="F881" s="7">
        <v>89</v>
      </c>
      <c r="G881" s="8">
        <v>0</v>
      </c>
      <c r="H881" s="9" t="str">
        <f>INDEX(Products!$B$2:$B$37, MATCH(D881, Products!$A$2:$A$37, 0))</f>
        <v>Sunscreen SPF50</v>
      </c>
      <c r="I881" t="str">
        <f>INDEX(Products!$C$2:$C$37, MATCH(D881, Products!$A$2:$A$37, 0))</f>
        <v>Beauty</v>
      </c>
      <c r="J881">
        <f>INDEX(Products!$E$2:$E$37, MATCH(D881, Products!$A$2:$A$37, 0))</f>
        <v>40</v>
      </c>
      <c r="K881" s="9">
        <f t="shared" si="52"/>
        <v>178</v>
      </c>
      <c r="L881">
        <f t="shared" si="53"/>
        <v>80</v>
      </c>
      <c r="M881" s="9">
        <f t="shared" si="54"/>
        <v>98</v>
      </c>
      <c r="N881" t="str">
        <f t="shared" si="55"/>
        <v>Mar</v>
      </c>
    </row>
    <row r="882" spans="1:14" x14ac:dyDescent="0.3">
      <c r="A882" s="2" t="s">
        <v>948</v>
      </c>
      <c r="B882" s="6">
        <v>45733</v>
      </c>
      <c r="C882" s="2" t="s">
        <v>41</v>
      </c>
      <c r="D882" s="2" t="s">
        <v>87</v>
      </c>
      <c r="E882" s="2">
        <v>1</v>
      </c>
      <c r="F882" s="7">
        <v>799</v>
      </c>
      <c r="G882" s="8">
        <v>0.2</v>
      </c>
      <c r="H882" s="9" t="str">
        <f>INDEX(Products!$B$2:$B$37, MATCH(D882, Products!$A$2:$A$37, 0))</f>
        <v>Adjustable Dumbbells</v>
      </c>
      <c r="I882" t="str">
        <f>INDEX(Products!$C$2:$C$37, MATCH(D882, Products!$A$2:$A$37, 0))</f>
        <v>Sports</v>
      </c>
      <c r="J882">
        <f>INDEX(Products!$E$2:$E$37, MATCH(D882, Products!$A$2:$A$37, 0))</f>
        <v>700</v>
      </c>
      <c r="K882" s="9">
        <f t="shared" si="52"/>
        <v>639.20000000000005</v>
      </c>
      <c r="L882">
        <f t="shared" si="53"/>
        <v>700</v>
      </c>
      <c r="M882" s="9">
        <f t="shared" si="54"/>
        <v>-60.799999999999955</v>
      </c>
      <c r="N882" t="str">
        <f t="shared" si="55"/>
        <v>Mar</v>
      </c>
    </row>
    <row r="883" spans="1:14" x14ac:dyDescent="0.3">
      <c r="A883" s="2" t="s">
        <v>949</v>
      </c>
      <c r="B883" s="6">
        <v>45733</v>
      </c>
      <c r="C883" s="2" t="s">
        <v>28</v>
      </c>
      <c r="D883" s="2" t="s">
        <v>70</v>
      </c>
      <c r="E883" s="2">
        <v>2</v>
      </c>
      <c r="F883" s="7">
        <v>429</v>
      </c>
      <c r="G883" s="8">
        <v>0</v>
      </c>
      <c r="H883" s="9" t="str">
        <f>INDEX(Products!$B$2:$B$37, MATCH(D883, Products!$A$2:$A$37, 0))</f>
        <v>Running Shoes Elite</v>
      </c>
      <c r="I883" t="str">
        <f>INDEX(Products!$C$2:$C$37, MATCH(D883, Products!$A$2:$A$37, 0))</f>
        <v>Fashion</v>
      </c>
      <c r="J883">
        <f>INDEX(Products!$E$2:$E$37, MATCH(D883, Products!$A$2:$A$37, 0))</f>
        <v>300</v>
      </c>
      <c r="K883" s="9">
        <f t="shared" si="52"/>
        <v>858</v>
      </c>
      <c r="L883">
        <f t="shared" si="53"/>
        <v>600</v>
      </c>
      <c r="M883" s="9">
        <f t="shared" si="54"/>
        <v>258</v>
      </c>
      <c r="N883" t="str">
        <f t="shared" si="55"/>
        <v>Mar</v>
      </c>
    </row>
    <row r="884" spans="1:14" x14ac:dyDescent="0.3">
      <c r="A884" s="2" t="s">
        <v>950</v>
      </c>
      <c r="B884" s="6">
        <v>45733</v>
      </c>
      <c r="C884" s="2" t="s">
        <v>44</v>
      </c>
      <c r="D884" s="2" t="s">
        <v>33</v>
      </c>
      <c r="E884" s="2">
        <v>2</v>
      </c>
      <c r="F884" s="7">
        <v>199</v>
      </c>
      <c r="G884" s="8">
        <v>0.1</v>
      </c>
      <c r="H884" s="9" t="str">
        <f>INDEX(Products!$B$2:$B$37, MATCH(D884, Products!$A$2:$A$37, 0))</f>
        <v>Fitness Band Lite</v>
      </c>
      <c r="I884" t="str">
        <f>INDEX(Products!$C$2:$C$37, MATCH(D884, Products!$A$2:$A$37, 0))</f>
        <v>Electronics</v>
      </c>
      <c r="J884">
        <f>INDEX(Products!$E$2:$E$37, MATCH(D884, Products!$A$2:$A$37, 0))</f>
        <v>175</v>
      </c>
      <c r="K884" s="9">
        <f t="shared" si="52"/>
        <v>358.2</v>
      </c>
      <c r="L884">
        <f t="shared" si="53"/>
        <v>350</v>
      </c>
      <c r="M884" s="9">
        <f t="shared" si="54"/>
        <v>8.1999999999999886</v>
      </c>
      <c r="N884" t="str">
        <f t="shared" si="55"/>
        <v>Mar</v>
      </c>
    </row>
    <row r="885" spans="1:14" x14ac:dyDescent="0.3">
      <c r="A885" s="2" t="s">
        <v>951</v>
      </c>
      <c r="B885" s="6">
        <v>45733</v>
      </c>
      <c r="C885" s="2" t="s">
        <v>41</v>
      </c>
      <c r="D885" s="2" t="s">
        <v>106</v>
      </c>
      <c r="E885" s="2">
        <v>1</v>
      </c>
      <c r="F885" s="7">
        <v>1299</v>
      </c>
      <c r="G885" s="8">
        <v>0.15</v>
      </c>
      <c r="H885" s="9" t="str">
        <f>INDEX(Products!$B$2:$B$37, MATCH(D885, Products!$A$2:$A$37, 0))</f>
        <v>Smart Watch Series 5</v>
      </c>
      <c r="I885" t="str">
        <f>INDEX(Products!$C$2:$C$37, MATCH(D885, Products!$A$2:$A$37, 0))</f>
        <v>Electronics</v>
      </c>
      <c r="J885">
        <f>INDEX(Products!$E$2:$E$37, MATCH(D885, Products!$A$2:$A$37, 0))</f>
        <v>820</v>
      </c>
      <c r="K885" s="9">
        <f t="shared" si="52"/>
        <v>1104.1499999999999</v>
      </c>
      <c r="L885">
        <f t="shared" si="53"/>
        <v>820</v>
      </c>
      <c r="M885" s="9">
        <f t="shared" si="54"/>
        <v>284.14999999999986</v>
      </c>
      <c r="N885" t="str">
        <f t="shared" si="55"/>
        <v>Mar</v>
      </c>
    </row>
    <row r="886" spans="1:14" x14ac:dyDescent="0.3">
      <c r="A886" s="2" t="s">
        <v>952</v>
      </c>
      <c r="B886" s="6">
        <v>45733</v>
      </c>
      <c r="C886" s="2" t="s">
        <v>44</v>
      </c>
      <c r="D886" s="2" t="s">
        <v>33</v>
      </c>
      <c r="E886" s="2">
        <v>1</v>
      </c>
      <c r="F886" s="7">
        <v>199</v>
      </c>
      <c r="G886" s="8">
        <v>0.2</v>
      </c>
      <c r="H886" s="9" t="str">
        <f>INDEX(Products!$B$2:$B$37, MATCH(D886, Products!$A$2:$A$37, 0))</f>
        <v>Fitness Band Lite</v>
      </c>
      <c r="I886" t="str">
        <f>INDEX(Products!$C$2:$C$37, MATCH(D886, Products!$A$2:$A$37, 0))</f>
        <v>Electronics</v>
      </c>
      <c r="J886">
        <f>INDEX(Products!$E$2:$E$37, MATCH(D886, Products!$A$2:$A$37, 0))</f>
        <v>175</v>
      </c>
      <c r="K886" s="9">
        <f t="shared" si="52"/>
        <v>159.20000000000002</v>
      </c>
      <c r="L886">
        <f t="shared" si="53"/>
        <v>175</v>
      </c>
      <c r="M886" s="9">
        <f t="shared" si="54"/>
        <v>-15.799999999999983</v>
      </c>
      <c r="N886" t="str">
        <f t="shared" si="55"/>
        <v>Mar</v>
      </c>
    </row>
    <row r="887" spans="1:14" x14ac:dyDescent="0.3">
      <c r="A887" s="2" t="s">
        <v>953</v>
      </c>
      <c r="B887" s="6">
        <v>45733</v>
      </c>
      <c r="C887" s="2" t="s">
        <v>48</v>
      </c>
      <c r="D887" s="2" t="s">
        <v>46</v>
      </c>
      <c r="E887" s="2">
        <v>1</v>
      </c>
      <c r="F887" s="7">
        <v>189</v>
      </c>
      <c r="G887" s="8">
        <v>0.15</v>
      </c>
      <c r="H887" s="9" t="str">
        <f>INDEX(Products!$B$2:$B$37, MATCH(D887, Products!$A$2:$A$37, 0))</f>
        <v>Makeup Palette</v>
      </c>
      <c r="I887" t="str">
        <f>INDEX(Products!$C$2:$C$37, MATCH(D887, Products!$A$2:$A$37, 0))</f>
        <v>Beauty</v>
      </c>
      <c r="J887">
        <f>INDEX(Products!$E$2:$E$37, MATCH(D887, Products!$A$2:$A$37, 0))</f>
        <v>85</v>
      </c>
      <c r="K887" s="9">
        <f t="shared" si="52"/>
        <v>160.65</v>
      </c>
      <c r="L887">
        <f t="shared" si="53"/>
        <v>85</v>
      </c>
      <c r="M887" s="9">
        <f t="shared" si="54"/>
        <v>75.650000000000006</v>
      </c>
      <c r="N887" t="str">
        <f t="shared" si="55"/>
        <v>Mar</v>
      </c>
    </row>
    <row r="888" spans="1:14" x14ac:dyDescent="0.3">
      <c r="A888" s="2" t="s">
        <v>954</v>
      </c>
      <c r="B888" s="6">
        <v>45733</v>
      </c>
      <c r="C888" s="2" t="s">
        <v>44</v>
      </c>
      <c r="D888" s="2" t="s">
        <v>39</v>
      </c>
      <c r="E888" s="2">
        <v>4</v>
      </c>
      <c r="F888" s="7">
        <v>199</v>
      </c>
      <c r="G888" s="8">
        <v>0.1</v>
      </c>
      <c r="H888" s="9" t="str">
        <f>INDEX(Products!$B$2:$B$37, MATCH(D888, Products!$A$2:$A$37, 0))</f>
        <v>Bakhoor Gift Set</v>
      </c>
      <c r="I888" t="str">
        <f>INDEX(Products!$C$2:$C$37, MATCH(D888, Products!$A$2:$A$37, 0))</f>
        <v>Beauty</v>
      </c>
      <c r="J888">
        <f>INDEX(Products!$E$2:$E$37, MATCH(D888, Products!$A$2:$A$37, 0))</f>
        <v>90</v>
      </c>
      <c r="K888" s="9">
        <f t="shared" si="52"/>
        <v>716.4</v>
      </c>
      <c r="L888">
        <f t="shared" si="53"/>
        <v>360</v>
      </c>
      <c r="M888" s="9">
        <f t="shared" si="54"/>
        <v>356.4</v>
      </c>
      <c r="N888" t="str">
        <f t="shared" si="55"/>
        <v>Mar</v>
      </c>
    </row>
    <row r="889" spans="1:14" x14ac:dyDescent="0.3">
      <c r="A889" s="2" t="s">
        <v>955</v>
      </c>
      <c r="B889" s="6">
        <v>45733</v>
      </c>
      <c r="C889" s="2" t="s">
        <v>41</v>
      </c>
      <c r="D889" s="2" t="s">
        <v>58</v>
      </c>
      <c r="E889" s="2">
        <v>2</v>
      </c>
      <c r="F889" s="7">
        <v>459</v>
      </c>
      <c r="G889" s="8">
        <v>0.2</v>
      </c>
      <c r="H889" s="9" t="str">
        <f>INDEX(Products!$B$2:$B$37, MATCH(D889, Products!$A$2:$A$37, 0))</f>
        <v>Women's Abaya Classic</v>
      </c>
      <c r="I889" t="str">
        <f>INDEX(Products!$C$2:$C$37, MATCH(D889, Products!$A$2:$A$37, 0))</f>
        <v>Fashion</v>
      </c>
      <c r="J889">
        <f>INDEX(Products!$E$2:$E$37, MATCH(D889, Products!$A$2:$A$37, 0))</f>
        <v>190</v>
      </c>
      <c r="K889" s="9">
        <f t="shared" si="52"/>
        <v>734.40000000000009</v>
      </c>
      <c r="L889">
        <f t="shared" si="53"/>
        <v>380</v>
      </c>
      <c r="M889" s="9">
        <f t="shared" si="54"/>
        <v>354.40000000000009</v>
      </c>
      <c r="N889" t="str">
        <f t="shared" si="55"/>
        <v>Mar</v>
      </c>
    </row>
    <row r="890" spans="1:14" x14ac:dyDescent="0.3">
      <c r="A890" s="2" t="s">
        <v>956</v>
      </c>
      <c r="B890" s="6">
        <v>45734</v>
      </c>
      <c r="C890" s="2" t="s">
        <v>44</v>
      </c>
      <c r="D890" s="2" t="s">
        <v>46</v>
      </c>
      <c r="E890" s="2">
        <v>1</v>
      </c>
      <c r="F890" s="7">
        <v>189</v>
      </c>
      <c r="G890" s="8">
        <v>0.1</v>
      </c>
      <c r="H890" s="9" t="str">
        <f>INDEX(Products!$B$2:$B$37, MATCH(D890, Products!$A$2:$A$37, 0))</f>
        <v>Makeup Palette</v>
      </c>
      <c r="I890" t="str">
        <f>INDEX(Products!$C$2:$C$37, MATCH(D890, Products!$A$2:$A$37, 0))</f>
        <v>Beauty</v>
      </c>
      <c r="J890">
        <f>INDEX(Products!$E$2:$E$37, MATCH(D890, Products!$A$2:$A$37, 0))</f>
        <v>85</v>
      </c>
      <c r="K890" s="9">
        <f t="shared" si="52"/>
        <v>170.1</v>
      </c>
      <c r="L890">
        <f t="shared" si="53"/>
        <v>85</v>
      </c>
      <c r="M890" s="9">
        <f t="shared" si="54"/>
        <v>85.1</v>
      </c>
      <c r="N890" t="str">
        <f t="shared" si="55"/>
        <v>Mar</v>
      </c>
    </row>
    <row r="891" spans="1:14" x14ac:dyDescent="0.3">
      <c r="A891" s="2" t="s">
        <v>957</v>
      </c>
      <c r="B891" s="6">
        <v>45734</v>
      </c>
      <c r="C891" s="2" t="s">
        <v>31</v>
      </c>
      <c r="D891" s="2" t="s">
        <v>68</v>
      </c>
      <c r="E891" s="2">
        <v>1</v>
      </c>
      <c r="F891" s="7">
        <v>249</v>
      </c>
      <c r="G891" s="8">
        <v>0.05</v>
      </c>
      <c r="H891" s="9" t="str">
        <f>INDEX(Products!$B$2:$B$37, MATCH(D891, Products!$A$2:$A$37, 0))</f>
        <v>Bluetooth Speaker Mini</v>
      </c>
      <c r="I891" t="str">
        <f>INDEX(Products!$C$2:$C$37, MATCH(D891, Products!$A$2:$A$37, 0))</f>
        <v>Electronics</v>
      </c>
      <c r="J891">
        <f>INDEX(Products!$E$2:$E$37, MATCH(D891, Products!$A$2:$A$37, 0))</f>
        <v>150</v>
      </c>
      <c r="K891" s="9">
        <f t="shared" si="52"/>
        <v>236.54999999999998</v>
      </c>
      <c r="L891">
        <f t="shared" si="53"/>
        <v>150</v>
      </c>
      <c r="M891" s="9">
        <f t="shared" si="54"/>
        <v>86.549999999999983</v>
      </c>
      <c r="N891" t="str">
        <f t="shared" si="55"/>
        <v>Mar</v>
      </c>
    </row>
    <row r="892" spans="1:14" x14ac:dyDescent="0.3">
      <c r="A892" s="2" t="s">
        <v>958</v>
      </c>
      <c r="B892" s="6">
        <v>45734</v>
      </c>
      <c r="C892" s="2" t="s">
        <v>48</v>
      </c>
      <c r="D892" s="2" t="s">
        <v>39</v>
      </c>
      <c r="E892" s="2">
        <v>2</v>
      </c>
      <c r="F892" s="7">
        <v>199</v>
      </c>
      <c r="G892" s="8">
        <v>0</v>
      </c>
      <c r="H892" s="9" t="str">
        <f>INDEX(Products!$B$2:$B$37, MATCH(D892, Products!$A$2:$A$37, 0))</f>
        <v>Bakhoor Gift Set</v>
      </c>
      <c r="I892" t="str">
        <f>INDEX(Products!$C$2:$C$37, MATCH(D892, Products!$A$2:$A$37, 0))</f>
        <v>Beauty</v>
      </c>
      <c r="J892">
        <f>INDEX(Products!$E$2:$E$37, MATCH(D892, Products!$A$2:$A$37, 0))</f>
        <v>90</v>
      </c>
      <c r="K892" s="9">
        <f t="shared" si="52"/>
        <v>398</v>
      </c>
      <c r="L892">
        <f t="shared" si="53"/>
        <v>180</v>
      </c>
      <c r="M892" s="9">
        <f t="shared" si="54"/>
        <v>218</v>
      </c>
      <c r="N892" t="str">
        <f t="shared" si="55"/>
        <v>Mar</v>
      </c>
    </row>
    <row r="893" spans="1:14" x14ac:dyDescent="0.3">
      <c r="A893" s="2" t="s">
        <v>959</v>
      </c>
      <c r="B893" s="6">
        <v>45734</v>
      </c>
      <c r="C893" s="2" t="s">
        <v>28</v>
      </c>
      <c r="D893" s="2" t="s">
        <v>35</v>
      </c>
      <c r="E893" s="2">
        <v>2</v>
      </c>
      <c r="F893" s="7">
        <v>179</v>
      </c>
      <c r="G893" s="8">
        <v>0.05</v>
      </c>
      <c r="H893" s="9" t="str">
        <f>INDEX(Products!$B$2:$B$37, MATCH(D893, Products!$A$2:$A$37, 0))</f>
        <v>Men's Linen Shirt</v>
      </c>
      <c r="I893" t="str">
        <f>INDEX(Products!$C$2:$C$37, MATCH(D893, Products!$A$2:$A$37, 0))</f>
        <v>Fashion</v>
      </c>
      <c r="J893">
        <f>INDEX(Products!$E$2:$E$37, MATCH(D893, Products!$A$2:$A$37, 0))</f>
        <v>70</v>
      </c>
      <c r="K893" s="9">
        <f t="shared" si="52"/>
        <v>340.09999999999997</v>
      </c>
      <c r="L893">
        <f t="shared" si="53"/>
        <v>140</v>
      </c>
      <c r="M893" s="9">
        <f t="shared" si="54"/>
        <v>200.09999999999997</v>
      </c>
      <c r="N893" t="str">
        <f t="shared" si="55"/>
        <v>Mar</v>
      </c>
    </row>
    <row r="894" spans="1:14" x14ac:dyDescent="0.3">
      <c r="A894" s="2" t="s">
        <v>960</v>
      </c>
      <c r="B894" s="6">
        <v>45734</v>
      </c>
      <c r="C894" s="2" t="s">
        <v>41</v>
      </c>
      <c r="D894" s="2" t="s">
        <v>126</v>
      </c>
      <c r="E894" s="2">
        <v>3</v>
      </c>
      <c r="F894" s="7">
        <v>89</v>
      </c>
      <c r="G894" s="8">
        <v>0</v>
      </c>
      <c r="H894" s="9" t="str">
        <f>INDEX(Products!$B$2:$B$37, MATCH(D894, Products!$A$2:$A$37, 0))</f>
        <v>USB-C Fast Charger</v>
      </c>
      <c r="I894" t="str">
        <f>INDEX(Products!$C$2:$C$37, MATCH(D894, Products!$A$2:$A$37, 0))</f>
        <v>Electronics</v>
      </c>
      <c r="J894">
        <f>INDEX(Products!$E$2:$E$37, MATCH(D894, Products!$A$2:$A$37, 0))</f>
        <v>35</v>
      </c>
      <c r="K894" s="9">
        <f t="shared" si="52"/>
        <v>267</v>
      </c>
      <c r="L894">
        <f t="shared" si="53"/>
        <v>105</v>
      </c>
      <c r="M894" s="9">
        <f t="shared" si="54"/>
        <v>162</v>
      </c>
      <c r="N894" t="str">
        <f t="shared" si="55"/>
        <v>Mar</v>
      </c>
    </row>
    <row r="895" spans="1:14" x14ac:dyDescent="0.3">
      <c r="A895" s="2" t="s">
        <v>961</v>
      </c>
      <c r="B895" s="6">
        <v>45734</v>
      </c>
      <c r="C895" s="2" t="s">
        <v>41</v>
      </c>
      <c r="D895" s="2" t="s">
        <v>49</v>
      </c>
      <c r="E895" s="2">
        <v>1</v>
      </c>
      <c r="F895" s="7">
        <v>149</v>
      </c>
      <c r="G895" s="8">
        <v>0.1</v>
      </c>
      <c r="H895" s="9" t="str">
        <f>INDEX(Products!$B$2:$B$37, MATCH(D895, Products!$A$2:$A$37, 0))</f>
        <v>Kids' Sneakers</v>
      </c>
      <c r="I895" t="str">
        <f>INDEX(Products!$C$2:$C$37, MATCH(D895, Products!$A$2:$A$37, 0))</f>
        <v>Fashion</v>
      </c>
      <c r="J895">
        <f>INDEX(Products!$E$2:$E$37, MATCH(D895, Products!$A$2:$A$37, 0))</f>
        <v>80</v>
      </c>
      <c r="K895" s="9">
        <f t="shared" si="52"/>
        <v>134.1</v>
      </c>
      <c r="L895">
        <f t="shared" si="53"/>
        <v>80</v>
      </c>
      <c r="M895" s="9">
        <f t="shared" si="54"/>
        <v>54.099999999999994</v>
      </c>
      <c r="N895" t="str">
        <f t="shared" si="55"/>
        <v>Mar</v>
      </c>
    </row>
    <row r="896" spans="1:14" x14ac:dyDescent="0.3">
      <c r="A896" s="2" t="s">
        <v>962</v>
      </c>
      <c r="B896" s="6">
        <v>45734</v>
      </c>
      <c r="C896" s="2" t="s">
        <v>41</v>
      </c>
      <c r="D896" s="2" t="s">
        <v>126</v>
      </c>
      <c r="E896" s="2">
        <v>1</v>
      </c>
      <c r="F896" s="7">
        <v>89</v>
      </c>
      <c r="G896" s="8">
        <v>0.1</v>
      </c>
      <c r="H896" s="9" t="str">
        <f>INDEX(Products!$B$2:$B$37, MATCH(D896, Products!$A$2:$A$37, 0))</f>
        <v>USB-C Fast Charger</v>
      </c>
      <c r="I896" t="str">
        <f>INDEX(Products!$C$2:$C$37, MATCH(D896, Products!$A$2:$A$37, 0))</f>
        <v>Electronics</v>
      </c>
      <c r="J896">
        <f>INDEX(Products!$E$2:$E$37, MATCH(D896, Products!$A$2:$A$37, 0))</f>
        <v>35</v>
      </c>
      <c r="K896" s="9">
        <f t="shared" si="52"/>
        <v>80.100000000000009</v>
      </c>
      <c r="L896">
        <f t="shared" si="53"/>
        <v>35</v>
      </c>
      <c r="M896" s="9">
        <f t="shared" si="54"/>
        <v>45.100000000000009</v>
      </c>
      <c r="N896" t="str">
        <f t="shared" si="55"/>
        <v>Mar</v>
      </c>
    </row>
    <row r="897" spans="1:14" x14ac:dyDescent="0.3">
      <c r="A897" s="2" t="s">
        <v>963</v>
      </c>
      <c r="B897" s="6">
        <v>45734</v>
      </c>
      <c r="C897" s="2" t="s">
        <v>31</v>
      </c>
      <c r="D897" s="2" t="s">
        <v>129</v>
      </c>
      <c r="E897" s="2">
        <v>1</v>
      </c>
      <c r="F897" s="7">
        <v>149</v>
      </c>
      <c r="G897" s="8">
        <v>0.05</v>
      </c>
      <c r="H897" s="9" t="str">
        <f>INDEX(Products!$B$2:$B$37, MATCH(D897, Products!$A$2:$A$37, 0))</f>
        <v>Power Bank 20000mAh</v>
      </c>
      <c r="I897" t="str">
        <f>INDEX(Products!$C$2:$C$37, MATCH(D897, Products!$A$2:$A$37, 0))</f>
        <v>Electronics</v>
      </c>
      <c r="J897">
        <f>INDEX(Products!$E$2:$E$37, MATCH(D897, Products!$A$2:$A$37, 0))</f>
        <v>70</v>
      </c>
      <c r="K897" s="9">
        <f t="shared" si="52"/>
        <v>141.54999999999998</v>
      </c>
      <c r="L897">
        <f t="shared" si="53"/>
        <v>70</v>
      </c>
      <c r="M897" s="9">
        <f t="shared" si="54"/>
        <v>71.549999999999983</v>
      </c>
      <c r="N897" t="str">
        <f t="shared" si="55"/>
        <v>Mar</v>
      </c>
    </row>
    <row r="898" spans="1:14" x14ac:dyDescent="0.3">
      <c r="A898" s="2" t="s">
        <v>964</v>
      </c>
      <c r="B898" s="6">
        <v>45734</v>
      </c>
      <c r="C898" s="2" t="s">
        <v>48</v>
      </c>
      <c r="D898" s="2" t="s">
        <v>29</v>
      </c>
      <c r="E898" s="2">
        <v>1</v>
      </c>
      <c r="F898" s="7">
        <v>229</v>
      </c>
      <c r="G898" s="8">
        <v>0</v>
      </c>
      <c r="H898" s="9" t="str">
        <f>INDEX(Products!$B$2:$B$37, MATCH(D898, Products!$A$2:$A$37, 0))</f>
        <v>Women's Summer Dress</v>
      </c>
      <c r="I898" t="str">
        <f>INDEX(Products!$C$2:$C$37, MATCH(D898, Products!$A$2:$A$37, 0))</f>
        <v>Fashion</v>
      </c>
      <c r="J898">
        <f>INDEX(Products!$E$2:$E$37, MATCH(D898, Products!$A$2:$A$37, 0))</f>
        <v>120</v>
      </c>
      <c r="K898" s="9">
        <f t="shared" ref="K898:K961" si="56">E898*F898*(1-G898)</f>
        <v>229</v>
      </c>
      <c r="L898">
        <f t="shared" ref="L898:L961" si="57">E898*J898</f>
        <v>120</v>
      </c>
      <c r="M898" s="9">
        <f t="shared" ref="M898:M961" si="58">K898-L898</f>
        <v>109</v>
      </c>
      <c r="N898" t="str">
        <f t="shared" ref="N898:N961" si="59">TEXT(B898,"mmm")</f>
        <v>Mar</v>
      </c>
    </row>
    <row r="899" spans="1:14" x14ac:dyDescent="0.3">
      <c r="A899" s="2" t="s">
        <v>965</v>
      </c>
      <c r="B899" s="6">
        <v>45735</v>
      </c>
      <c r="C899" s="2" t="s">
        <v>28</v>
      </c>
      <c r="D899" s="2" t="s">
        <v>92</v>
      </c>
      <c r="E899" s="2">
        <v>1</v>
      </c>
      <c r="F899" s="7">
        <v>349</v>
      </c>
      <c r="G899" s="8">
        <v>0</v>
      </c>
      <c r="H899" s="9" t="str">
        <f>INDEX(Products!$B$2:$B$37, MATCH(D899, Products!$A$2:$A$37, 0))</f>
        <v>Non-stick Cookware Set</v>
      </c>
      <c r="I899" t="str">
        <f>INDEX(Products!$C$2:$C$37, MATCH(D899, Products!$A$2:$A$37, 0))</f>
        <v>Home &amp; Kitchen</v>
      </c>
      <c r="J899">
        <f>INDEX(Products!$E$2:$E$37, MATCH(D899, Products!$A$2:$A$37, 0))</f>
        <v>170</v>
      </c>
      <c r="K899" s="9">
        <f t="shared" si="56"/>
        <v>349</v>
      </c>
      <c r="L899">
        <f t="shared" si="57"/>
        <v>170</v>
      </c>
      <c r="M899" s="9">
        <f t="shared" si="58"/>
        <v>179</v>
      </c>
      <c r="N899" t="str">
        <f t="shared" si="59"/>
        <v>Mar</v>
      </c>
    </row>
    <row r="900" spans="1:14" x14ac:dyDescent="0.3">
      <c r="A900" s="2" t="s">
        <v>966</v>
      </c>
      <c r="B900" s="6">
        <v>45735</v>
      </c>
      <c r="C900" s="2" t="s">
        <v>44</v>
      </c>
      <c r="D900" s="2" t="s">
        <v>165</v>
      </c>
      <c r="E900" s="2">
        <v>1</v>
      </c>
      <c r="F900" s="7">
        <v>69</v>
      </c>
      <c r="G900" s="8">
        <v>0.15</v>
      </c>
      <c r="H900" s="9" t="str">
        <f>INDEX(Products!$B$2:$B$37, MATCH(D900, Products!$A$2:$A$37, 0))</f>
        <v>Swim Goggles</v>
      </c>
      <c r="I900" t="str">
        <f>INDEX(Products!$C$2:$C$37, MATCH(D900, Products!$A$2:$A$37, 0))</f>
        <v>Sports</v>
      </c>
      <c r="J900">
        <f>INDEX(Products!$E$2:$E$37, MATCH(D900, Products!$A$2:$A$37, 0))</f>
        <v>25</v>
      </c>
      <c r="K900" s="9">
        <f t="shared" si="56"/>
        <v>58.65</v>
      </c>
      <c r="L900">
        <f t="shared" si="57"/>
        <v>25</v>
      </c>
      <c r="M900" s="9">
        <f t="shared" si="58"/>
        <v>33.65</v>
      </c>
      <c r="N900" t="str">
        <f t="shared" si="59"/>
        <v>Mar</v>
      </c>
    </row>
    <row r="901" spans="1:14" x14ac:dyDescent="0.3">
      <c r="A901" s="2" t="s">
        <v>967</v>
      </c>
      <c r="B901" s="6">
        <v>45735</v>
      </c>
      <c r="C901" s="2" t="s">
        <v>41</v>
      </c>
      <c r="D901" s="2" t="s">
        <v>60</v>
      </c>
      <c r="E901" s="2">
        <v>3</v>
      </c>
      <c r="F901" s="7">
        <v>99</v>
      </c>
      <c r="G901" s="8">
        <v>0.2</v>
      </c>
      <c r="H901" s="9" t="str">
        <f>INDEX(Products!$B$2:$B$37, MATCH(D901, Products!$A$2:$A$37, 0))</f>
        <v>Football Size 5</v>
      </c>
      <c r="I901" t="str">
        <f>INDEX(Products!$C$2:$C$37, MATCH(D901, Products!$A$2:$A$37, 0))</f>
        <v>Sports</v>
      </c>
      <c r="J901">
        <f>INDEX(Products!$E$2:$E$37, MATCH(D901, Products!$A$2:$A$37, 0))</f>
        <v>45</v>
      </c>
      <c r="K901" s="9">
        <f t="shared" si="56"/>
        <v>237.60000000000002</v>
      </c>
      <c r="L901">
        <f t="shared" si="57"/>
        <v>135</v>
      </c>
      <c r="M901" s="9">
        <f t="shared" si="58"/>
        <v>102.60000000000002</v>
      </c>
      <c r="N901" t="str">
        <f t="shared" si="59"/>
        <v>Mar</v>
      </c>
    </row>
    <row r="902" spans="1:14" x14ac:dyDescent="0.3">
      <c r="A902" s="2" t="s">
        <v>968</v>
      </c>
      <c r="B902" s="6">
        <v>45735</v>
      </c>
      <c r="C902" s="2" t="s">
        <v>44</v>
      </c>
      <c r="D902" s="2" t="s">
        <v>65</v>
      </c>
      <c r="E902" s="2">
        <v>1</v>
      </c>
      <c r="F902" s="7">
        <v>129</v>
      </c>
      <c r="G902" s="8">
        <v>0.15</v>
      </c>
      <c r="H902" s="9" t="str">
        <f>INDEX(Products!$B$2:$B$37, MATCH(D902, Products!$A$2:$A$37, 0))</f>
        <v>Yoga Mat Premium</v>
      </c>
      <c r="I902" t="str">
        <f>INDEX(Products!$C$2:$C$37, MATCH(D902, Products!$A$2:$A$37, 0))</f>
        <v>Sports</v>
      </c>
      <c r="J902">
        <f>INDEX(Products!$E$2:$E$37, MATCH(D902, Products!$A$2:$A$37, 0))</f>
        <v>60</v>
      </c>
      <c r="K902" s="9">
        <f t="shared" si="56"/>
        <v>109.64999999999999</v>
      </c>
      <c r="L902">
        <f t="shared" si="57"/>
        <v>60</v>
      </c>
      <c r="M902" s="9">
        <f t="shared" si="58"/>
        <v>49.649999999999991</v>
      </c>
      <c r="N902" t="str">
        <f t="shared" si="59"/>
        <v>Mar</v>
      </c>
    </row>
    <row r="903" spans="1:14" x14ac:dyDescent="0.3">
      <c r="A903" s="2" t="s">
        <v>969</v>
      </c>
      <c r="B903" s="6">
        <v>45735</v>
      </c>
      <c r="C903" s="2" t="s">
        <v>31</v>
      </c>
      <c r="D903" s="2" t="s">
        <v>75</v>
      </c>
      <c r="E903" s="2">
        <v>1</v>
      </c>
      <c r="F903" s="7">
        <v>549</v>
      </c>
      <c r="G903" s="8">
        <v>0.2</v>
      </c>
      <c r="H903" s="9" t="str">
        <f>INDEX(Products!$B$2:$B$37, MATCH(D903, Products!$A$2:$A$37, 0))</f>
        <v>Oud Perfume 100ml</v>
      </c>
      <c r="I903" t="str">
        <f>INDEX(Products!$C$2:$C$37, MATCH(D903, Products!$A$2:$A$37, 0))</f>
        <v>Beauty</v>
      </c>
      <c r="J903">
        <f>INDEX(Products!$E$2:$E$37, MATCH(D903, Products!$A$2:$A$37, 0))</f>
        <v>250</v>
      </c>
      <c r="K903" s="9">
        <f t="shared" si="56"/>
        <v>439.20000000000005</v>
      </c>
      <c r="L903">
        <f t="shared" si="57"/>
        <v>250</v>
      </c>
      <c r="M903" s="9">
        <f t="shared" si="58"/>
        <v>189.20000000000005</v>
      </c>
      <c r="N903" t="str">
        <f t="shared" si="59"/>
        <v>Mar</v>
      </c>
    </row>
    <row r="904" spans="1:14" x14ac:dyDescent="0.3">
      <c r="A904" s="2" t="s">
        <v>970</v>
      </c>
      <c r="B904" s="6">
        <v>45735</v>
      </c>
      <c r="C904" s="2" t="s">
        <v>48</v>
      </c>
      <c r="D904" s="2" t="s">
        <v>109</v>
      </c>
      <c r="E904" s="2">
        <v>1</v>
      </c>
      <c r="F904" s="7">
        <v>1499</v>
      </c>
      <c r="G904" s="8">
        <v>0.3</v>
      </c>
      <c r="H904" s="9" t="str">
        <f>INDEX(Products!$B$2:$B$37, MATCH(D904, Products!$A$2:$A$37, 0))</f>
        <v>Espresso Machine</v>
      </c>
      <c r="I904" t="str">
        <f>INDEX(Products!$C$2:$C$37, MATCH(D904, Products!$A$2:$A$37, 0))</f>
        <v>Home &amp; Kitchen</v>
      </c>
      <c r="J904">
        <f>INDEX(Products!$E$2:$E$37, MATCH(D904, Products!$A$2:$A$37, 0))</f>
        <v>1050</v>
      </c>
      <c r="K904" s="9">
        <f t="shared" si="56"/>
        <v>1049.3</v>
      </c>
      <c r="L904">
        <f t="shared" si="57"/>
        <v>1050</v>
      </c>
      <c r="M904" s="9">
        <f t="shared" si="58"/>
        <v>-0.70000000000004547</v>
      </c>
      <c r="N904" t="str">
        <f t="shared" si="59"/>
        <v>Mar</v>
      </c>
    </row>
    <row r="905" spans="1:14" x14ac:dyDescent="0.3">
      <c r="A905" s="2" t="s">
        <v>971</v>
      </c>
      <c r="B905" s="6">
        <v>45735</v>
      </c>
      <c r="C905" s="2" t="s">
        <v>28</v>
      </c>
      <c r="D905" s="2" t="s">
        <v>52</v>
      </c>
      <c r="E905" s="2">
        <v>1</v>
      </c>
      <c r="F905" s="7">
        <v>299</v>
      </c>
      <c r="G905" s="8">
        <v>0.25</v>
      </c>
      <c r="H905" s="9" t="str">
        <f>INDEX(Products!$B$2:$B$37, MATCH(D905, Products!$A$2:$A$37, 0))</f>
        <v>Hair Dryer Ionic</v>
      </c>
      <c r="I905" t="str">
        <f>INDEX(Products!$C$2:$C$37, MATCH(D905, Products!$A$2:$A$37, 0))</f>
        <v>Beauty</v>
      </c>
      <c r="J905">
        <f>INDEX(Products!$E$2:$E$37, MATCH(D905, Products!$A$2:$A$37, 0))</f>
        <v>240</v>
      </c>
      <c r="K905" s="9">
        <f t="shared" si="56"/>
        <v>224.25</v>
      </c>
      <c r="L905">
        <f t="shared" si="57"/>
        <v>240</v>
      </c>
      <c r="M905" s="9">
        <f t="shared" si="58"/>
        <v>-15.75</v>
      </c>
      <c r="N905" t="str">
        <f t="shared" si="59"/>
        <v>Mar</v>
      </c>
    </row>
    <row r="906" spans="1:14" x14ac:dyDescent="0.3">
      <c r="A906" s="2" t="s">
        <v>972</v>
      </c>
      <c r="B906" s="6">
        <v>45735</v>
      </c>
      <c r="C906" s="2" t="s">
        <v>28</v>
      </c>
      <c r="D906" s="2" t="s">
        <v>126</v>
      </c>
      <c r="E906" s="2">
        <v>1</v>
      </c>
      <c r="F906" s="7">
        <v>89</v>
      </c>
      <c r="G906" s="8">
        <v>0</v>
      </c>
      <c r="H906" s="9" t="str">
        <f>INDEX(Products!$B$2:$B$37, MATCH(D906, Products!$A$2:$A$37, 0))</f>
        <v>USB-C Fast Charger</v>
      </c>
      <c r="I906" t="str">
        <f>INDEX(Products!$C$2:$C$37, MATCH(D906, Products!$A$2:$A$37, 0))</f>
        <v>Electronics</v>
      </c>
      <c r="J906">
        <f>INDEX(Products!$E$2:$E$37, MATCH(D906, Products!$A$2:$A$37, 0))</f>
        <v>35</v>
      </c>
      <c r="K906" s="9">
        <f t="shared" si="56"/>
        <v>89</v>
      </c>
      <c r="L906">
        <f t="shared" si="57"/>
        <v>35</v>
      </c>
      <c r="M906" s="9">
        <f t="shared" si="58"/>
        <v>54</v>
      </c>
      <c r="N906" t="str">
        <f t="shared" si="59"/>
        <v>Mar</v>
      </c>
    </row>
    <row r="907" spans="1:14" x14ac:dyDescent="0.3">
      <c r="A907" s="2" t="s">
        <v>973</v>
      </c>
      <c r="B907" s="6">
        <v>45735</v>
      </c>
      <c r="C907" s="2" t="s">
        <v>31</v>
      </c>
      <c r="D907" s="2" t="s">
        <v>83</v>
      </c>
      <c r="E907" s="2">
        <v>2</v>
      </c>
      <c r="F907" s="7">
        <v>229</v>
      </c>
      <c r="G907" s="8">
        <v>0</v>
      </c>
      <c r="H907" s="9" t="str">
        <f>INDEX(Products!$B$2:$B$37, MATCH(D907, Products!$A$2:$A$37, 0))</f>
        <v>Cycling Helmet</v>
      </c>
      <c r="I907" t="str">
        <f>INDEX(Products!$C$2:$C$37, MATCH(D907, Products!$A$2:$A$37, 0))</f>
        <v>Sports</v>
      </c>
      <c r="J907">
        <f>INDEX(Products!$E$2:$E$37, MATCH(D907, Products!$A$2:$A$37, 0))</f>
        <v>120</v>
      </c>
      <c r="K907" s="9">
        <f t="shared" si="56"/>
        <v>458</v>
      </c>
      <c r="L907">
        <f t="shared" si="57"/>
        <v>240</v>
      </c>
      <c r="M907" s="9">
        <f t="shared" si="58"/>
        <v>218</v>
      </c>
      <c r="N907" t="str">
        <f t="shared" si="59"/>
        <v>Mar</v>
      </c>
    </row>
    <row r="908" spans="1:14" x14ac:dyDescent="0.3">
      <c r="A908" s="2" t="s">
        <v>974</v>
      </c>
      <c r="B908" s="6">
        <v>45735</v>
      </c>
      <c r="C908" s="2" t="s">
        <v>48</v>
      </c>
      <c r="D908" s="2" t="s">
        <v>33</v>
      </c>
      <c r="E908" s="2">
        <v>1</v>
      </c>
      <c r="F908" s="7">
        <v>199</v>
      </c>
      <c r="G908" s="8">
        <v>0.2</v>
      </c>
      <c r="H908" s="9" t="str">
        <f>INDEX(Products!$B$2:$B$37, MATCH(D908, Products!$A$2:$A$37, 0))</f>
        <v>Fitness Band Lite</v>
      </c>
      <c r="I908" t="str">
        <f>INDEX(Products!$C$2:$C$37, MATCH(D908, Products!$A$2:$A$37, 0))</f>
        <v>Electronics</v>
      </c>
      <c r="J908">
        <f>INDEX(Products!$E$2:$E$37, MATCH(D908, Products!$A$2:$A$37, 0))</f>
        <v>175</v>
      </c>
      <c r="K908" s="9">
        <f t="shared" si="56"/>
        <v>159.20000000000002</v>
      </c>
      <c r="L908">
        <f t="shared" si="57"/>
        <v>175</v>
      </c>
      <c r="M908" s="9">
        <f t="shared" si="58"/>
        <v>-15.799999999999983</v>
      </c>
      <c r="N908" t="str">
        <f t="shared" si="59"/>
        <v>Mar</v>
      </c>
    </row>
    <row r="909" spans="1:14" x14ac:dyDescent="0.3">
      <c r="A909" s="2" t="s">
        <v>975</v>
      </c>
      <c r="B909" s="6">
        <v>45735</v>
      </c>
      <c r="C909" s="2" t="s">
        <v>48</v>
      </c>
      <c r="D909" s="2" t="s">
        <v>35</v>
      </c>
      <c r="E909" s="2">
        <v>2</v>
      </c>
      <c r="F909" s="7">
        <v>179</v>
      </c>
      <c r="G909" s="8">
        <v>0</v>
      </c>
      <c r="H909" s="9" t="str">
        <f>INDEX(Products!$B$2:$B$37, MATCH(D909, Products!$A$2:$A$37, 0))</f>
        <v>Men's Linen Shirt</v>
      </c>
      <c r="I909" t="str">
        <f>INDEX(Products!$C$2:$C$37, MATCH(D909, Products!$A$2:$A$37, 0))</f>
        <v>Fashion</v>
      </c>
      <c r="J909">
        <f>INDEX(Products!$E$2:$E$37, MATCH(D909, Products!$A$2:$A$37, 0))</f>
        <v>70</v>
      </c>
      <c r="K909" s="9">
        <f t="shared" si="56"/>
        <v>358</v>
      </c>
      <c r="L909">
        <f t="shared" si="57"/>
        <v>140</v>
      </c>
      <c r="M909" s="9">
        <f t="shared" si="58"/>
        <v>218</v>
      </c>
      <c r="N909" t="str">
        <f t="shared" si="59"/>
        <v>Mar</v>
      </c>
    </row>
    <row r="910" spans="1:14" x14ac:dyDescent="0.3">
      <c r="A910" s="2" t="s">
        <v>976</v>
      </c>
      <c r="B910" s="6">
        <v>45735</v>
      </c>
      <c r="C910" s="2" t="s">
        <v>44</v>
      </c>
      <c r="D910" s="2" t="s">
        <v>115</v>
      </c>
      <c r="E910" s="2">
        <v>1</v>
      </c>
      <c r="F910" s="7">
        <v>129</v>
      </c>
      <c r="G910" s="8">
        <v>0</v>
      </c>
      <c r="H910" s="9" t="str">
        <f>INDEX(Products!$B$2:$B$37, MATCH(D910, Products!$A$2:$A$37, 0))</f>
        <v>Electric Kettle</v>
      </c>
      <c r="I910" t="str">
        <f>INDEX(Products!$C$2:$C$37, MATCH(D910, Products!$A$2:$A$37, 0))</f>
        <v>Home &amp; Kitchen</v>
      </c>
      <c r="J910">
        <f>INDEX(Products!$E$2:$E$37, MATCH(D910, Products!$A$2:$A$37, 0))</f>
        <v>60</v>
      </c>
      <c r="K910" s="9">
        <f t="shared" si="56"/>
        <v>129</v>
      </c>
      <c r="L910">
        <f t="shared" si="57"/>
        <v>60</v>
      </c>
      <c r="M910" s="9">
        <f t="shared" si="58"/>
        <v>69</v>
      </c>
      <c r="N910" t="str">
        <f t="shared" si="59"/>
        <v>Mar</v>
      </c>
    </row>
    <row r="911" spans="1:14" x14ac:dyDescent="0.3">
      <c r="A911" s="2" t="s">
        <v>977</v>
      </c>
      <c r="B911" s="6">
        <v>45735</v>
      </c>
      <c r="C911" s="2" t="s">
        <v>41</v>
      </c>
      <c r="D911" s="2" t="s">
        <v>49</v>
      </c>
      <c r="E911" s="2">
        <v>1</v>
      </c>
      <c r="F911" s="7">
        <v>149</v>
      </c>
      <c r="G911" s="8">
        <v>0.15</v>
      </c>
      <c r="H911" s="9" t="str">
        <f>INDEX(Products!$B$2:$B$37, MATCH(D911, Products!$A$2:$A$37, 0))</f>
        <v>Kids' Sneakers</v>
      </c>
      <c r="I911" t="str">
        <f>INDEX(Products!$C$2:$C$37, MATCH(D911, Products!$A$2:$A$37, 0))</f>
        <v>Fashion</v>
      </c>
      <c r="J911">
        <f>INDEX(Products!$E$2:$E$37, MATCH(D911, Products!$A$2:$A$37, 0))</f>
        <v>80</v>
      </c>
      <c r="K911" s="9">
        <f t="shared" si="56"/>
        <v>126.64999999999999</v>
      </c>
      <c r="L911">
        <f t="shared" si="57"/>
        <v>80</v>
      </c>
      <c r="M911" s="9">
        <f t="shared" si="58"/>
        <v>46.649999999999991</v>
      </c>
      <c r="N911" t="str">
        <f t="shared" si="59"/>
        <v>Mar</v>
      </c>
    </row>
    <row r="912" spans="1:14" x14ac:dyDescent="0.3">
      <c r="A912" s="2" t="s">
        <v>978</v>
      </c>
      <c r="B912" s="6">
        <v>45735</v>
      </c>
      <c r="C912" s="2" t="s">
        <v>44</v>
      </c>
      <c r="D912" s="2" t="s">
        <v>46</v>
      </c>
      <c r="E912" s="2">
        <v>2</v>
      </c>
      <c r="F912" s="7">
        <v>189</v>
      </c>
      <c r="G912" s="8">
        <v>0.2</v>
      </c>
      <c r="H912" s="9" t="str">
        <f>INDEX(Products!$B$2:$B$37, MATCH(D912, Products!$A$2:$A$37, 0))</f>
        <v>Makeup Palette</v>
      </c>
      <c r="I912" t="str">
        <f>INDEX(Products!$C$2:$C$37, MATCH(D912, Products!$A$2:$A$37, 0))</f>
        <v>Beauty</v>
      </c>
      <c r="J912">
        <f>INDEX(Products!$E$2:$E$37, MATCH(D912, Products!$A$2:$A$37, 0))</f>
        <v>85</v>
      </c>
      <c r="K912" s="9">
        <f t="shared" si="56"/>
        <v>302.40000000000003</v>
      </c>
      <c r="L912">
        <f t="shared" si="57"/>
        <v>170</v>
      </c>
      <c r="M912" s="9">
        <f t="shared" si="58"/>
        <v>132.40000000000003</v>
      </c>
      <c r="N912" t="str">
        <f t="shared" si="59"/>
        <v>Mar</v>
      </c>
    </row>
    <row r="913" spans="1:14" x14ac:dyDescent="0.3">
      <c r="A913" s="2" t="s">
        <v>979</v>
      </c>
      <c r="B913" s="6">
        <v>45735</v>
      </c>
      <c r="C913" s="2" t="s">
        <v>44</v>
      </c>
      <c r="D913" s="2" t="s">
        <v>37</v>
      </c>
      <c r="E913" s="2">
        <v>3</v>
      </c>
      <c r="F913" s="7">
        <v>249</v>
      </c>
      <c r="G913" s="8">
        <v>0</v>
      </c>
      <c r="H913" s="9" t="str">
        <f>INDEX(Products!$B$2:$B$37, MATCH(D913, Products!$A$2:$A$37, 0))</f>
        <v>Sunglasses Polarised</v>
      </c>
      <c r="I913" t="str">
        <f>INDEX(Products!$C$2:$C$37, MATCH(D913, Products!$A$2:$A$37, 0))</f>
        <v>Fashion</v>
      </c>
      <c r="J913">
        <f>INDEX(Products!$E$2:$E$37, MATCH(D913, Products!$A$2:$A$37, 0))</f>
        <v>95</v>
      </c>
      <c r="K913" s="9">
        <f t="shared" si="56"/>
        <v>747</v>
      </c>
      <c r="L913">
        <f t="shared" si="57"/>
        <v>285</v>
      </c>
      <c r="M913" s="9">
        <f t="shared" si="58"/>
        <v>462</v>
      </c>
      <c r="N913" t="str">
        <f t="shared" si="59"/>
        <v>Mar</v>
      </c>
    </row>
    <row r="914" spans="1:14" x14ac:dyDescent="0.3">
      <c r="A914" s="2" t="s">
        <v>980</v>
      </c>
      <c r="B914" s="6">
        <v>45736</v>
      </c>
      <c r="C914" s="2" t="s">
        <v>44</v>
      </c>
      <c r="D914" s="2" t="s">
        <v>56</v>
      </c>
      <c r="E914" s="2">
        <v>2</v>
      </c>
      <c r="F914" s="7">
        <v>289</v>
      </c>
      <c r="G914" s="8">
        <v>0.1</v>
      </c>
      <c r="H914" s="9" t="str">
        <f>INDEX(Products!$B$2:$B$37, MATCH(D914, Products!$A$2:$A$37, 0))</f>
        <v>Ceramic Dinner Set</v>
      </c>
      <c r="I914" t="str">
        <f>INDEX(Products!$C$2:$C$37, MATCH(D914, Products!$A$2:$A$37, 0))</f>
        <v>Home &amp; Kitchen</v>
      </c>
      <c r="J914">
        <f>INDEX(Products!$E$2:$E$37, MATCH(D914, Products!$A$2:$A$37, 0))</f>
        <v>140</v>
      </c>
      <c r="K914" s="9">
        <f t="shared" si="56"/>
        <v>520.20000000000005</v>
      </c>
      <c r="L914">
        <f t="shared" si="57"/>
        <v>280</v>
      </c>
      <c r="M914" s="9">
        <f t="shared" si="58"/>
        <v>240.20000000000005</v>
      </c>
      <c r="N914" t="str">
        <f t="shared" si="59"/>
        <v>Mar</v>
      </c>
    </row>
    <row r="915" spans="1:14" x14ac:dyDescent="0.3">
      <c r="A915" s="2" t="s">
        <v>981</v>
      </c>
      <c r="B915" s="6">
        <v>45736</v>
      </c>
      <c r="C915" s="2" t="s">
        <v>31</v>
      </c>
      <c r="D915" s="2" t="s">
        <v>129</v>
      </c>
      <c r="E915" s="2">
        <v>1</v>
      </c>
      <c r="F915" s="7">
        <v>149</v>
      </c>
      <c r="G915" s="8">
        <v>0.05</v>
      </c>
      <c r="H915" s="9" t="str">
        <f>INDEX(Products!$B$2:$B$37, MATCH(D915, Products!$A$2:$A$37, 0))</f>
        <v>Power Bank 20000mAh</v>
      </c>
      <c r="I915" t="str">
        <f>INDEX(Products!$C$2:$C$37, MATCH(D915, Products!$A$2:$A$37, 0))</f>
        <v>Electronics</v>
      </c>
      <c r="J915">
        <f>INDEX(Products!$E$2:$E$37, MATCH(D915, Products!$A$2:$A$37, 0))</f>
        <v>70</v>
      </c>
      <c r="K915" s="9">
        <f t="shared" si="56"/>
        <v>141.54999999999998</v>
      </c>
      <c r="L915">
        <f t="shared" si="57"/>
        <v>70</v>
      </c>
      <c r="M915" s="9">
        <f t="shared" si="58"/>
        <v>71.549999999999983</v>
      </c>
      <c r="N915" t="str">
        <f t="shared" si="59"/>
        <v>Mar</v>
      </c>
    </row>
    <row r="916" spans="1:14" x14ac:dyDescent="0.3">
      <c r="A916" s="2" t="s">
        <v>982</v>
      </c>
      <c r="B916" s="6">
        <v>45736</v>
      </c>
      <c r="C916" s="2" t="s">
        <v>28</v>
      </c>
      <c r="D916" s="2" t="s">
        <v>80</v>
      </c>
      <c r="E916" s="2">
        <v>1</v>
      </c>
      <c r="F916" s="7">
        <v>149</v>
      </c>
      <c r="G916" s="8">
        <v>0.2</v>
      </c>
      <c r="H916" s="9" t="str">
        <f>INDEX(Products!$B$2:$B$37, MATCH(D916, Products!$A$2:$A$37, 0))</f>
        <v>Vitamin C Serum</v>
      </c>
      <c r="I916" t="str">
        <f>INDEX(Products!$C$2:$C$37, MATCH(D916, Products!$A$2:$A$37, 0))</f>
        <v>Beauty</v>
      </c>
      <c r="J916">
        <f>INDEX(Products!$E$2:$E$37, MATCH(D916, Products!$A$2:$A$37, 0))</f>
        <v>55</v>
      </c>
      <c r="K916" s="9">
        <f t="shared" si="56"/>
        <v>119.2</v>
      </c>
      <c r="L916">
        <f t="shared" si="57"/>
        <v>55</v>
      </c>
      <c r="M916" s="9">
        <f t="shared" si="58"/>
        <v>64.2</v>
      </c>
      <c r="N916" t="str">
        <f t="shared" si="59"/>
        <v>Mar</v>
      </c>
    </row>
    <row r="917" spans="1:14" x14ac:dyDescent="0.3">
      <c r="A917" s="2" t="s">
        <v>983</v>
      </c>
      <c r="B917" s="6">
        <v>45736</v>
      </c>
      <c r="C917" s="2" t="s">
        <v>28</v>
      </c>
      <c r="D917" s="2" t="s">
        <v>131</v>
      </c>
      <c r="E917" s="2">
        <v>1</v>
      </c>
      <c r="F917" s="7">
        <v>899</v>
      </c>
      <c r="G917" s="8">
        <v>0.05</v>
      </c>
      <c r="H917" s="9" t="str">
        <f>INDEX(Products!$B$2:$B$37, MATCH(D917, Products!$A$2:$A$37, 0))</f>
        <v>4K Action Camera</v>
      </c>
      <c r="I917" t="str">
        <f>INDEX(Products!$C$2:$C$37, MATCH(D917, Products!$A$2:$A$37, 0))</f>
        <v>Electronics</v>
      </c>
      <c r="J917">
        <f>INDEX(Products!$E$2:$E$37, MATCH(D917, Products!$A$2:$A$37, 0))</f>
        <v>610</v>
      </c>
      <c r="K917" s="9">
        <f t="shared" si="56"/>
        <v>854.05</v>
      </c>
      <c r="L917">
        <f t="shared" si="57"/>
        <v>610</v>
      </c>
      <c r="M917" s="9">
        <f t="shared" si="58"/>
        <v>244.04999999999995</v>
      </c>
      <c r="N917" t="str">
        <f t="shared" si="59"/>
        <v>Mar</v>
      </c>
    </row>
    <row r="918" spans="1:14" x14ac:dyDescent="0.3">
      <c r="A918" s="2" t="s">
        <v>984</v>
      </c>
      <c r="B918" s="6">
        <v>45736</v>
      </c>
      <c r="C918" s="2" t="s">
        <v>44</v>
      </c>
      <c r="D918" s="2" t="s">
        <v>99</v>
      </c>
      <c r="E918" s="2">
        <v>1</v>
      </c>
      <c r="F918" s="7">
        <v>459</v>
      </c>
      <c r="G918" s="8">
        <v>0.1</v>
      </c>
      <c r="H918" s="9" t="str">
        <f>INDEX(Products!$B$2:$B$37, MATCH(D918, Products!$A$2:$A$37, 0))</f>
        <v>Gaming Headset X</v>
      </c>
      <c r="I918" t="str">
        <f>INDEX(Products!$C$2:$C$37, MATCH(D918, Products!$A$2:$A$37, 0))</f>
        <v>Electronics</v>
      </c>
      <c r="J918">
        <f>INDEX(Products!$E$2:$E$37, MATCH(D918, Products!$A$2:$A$37, 0))</f>
        <v>300</v>
      </c>
      <c r="K918" s="9">
        <f t="shared" si="56"/>
        <v>413.1</v>
      </c>
      <c r="L918">
        <f t="shared" si="57"/>
        <v>300</v>
      </c>
      <c r="M918" s="9">
        <f t="shared" si="58"/>
        <v>113.10000000000002</v>
      </c>
      <c r="N918" t="str">
        <f t="shared" si="59"/>
        <v>Mar</v>
      </c>
    </row>
    <row r="919" spans="1:14" x14ac:dyDescent="0.3">
      <c r="A919" s="2" t="s">
        <v>985</v>
      </c>
      <c r="B919" s="6">
        <v>45736</v>
      </c>
      <c r="C919" s="2" t="s">
        <v>41</v>
      </c>
      <c r="D919" s="2" t="s">
        <v>75</v>
      </c>
      <c r="E919" s="2">
        <v>2</v>
      </c>
      <c r="F919" s="7">
        <v>549</v>
      </c>
      <c r="G919" s="8">
        <v>0</v>
      </c>
      <c r="H919" s="9" t="str">
        <f>INDEX(Products!$B$2:$B$37, MATCH(D919, Products!$A$2:$A$37, 0))</f>
        <v>Oud Perfume 100ml</v>
      </c>
      <c r="I919" t="str">
        <f>INDEX(Products!$C$2:$C$37, MATCH(D919, Products!$A$2:$A$37, 0))</f>
        <v>Beauty</v>
      </c>
      <c r="J919">
        <f>INDEX(Products!$E$2:$E$37, MATCH(D919, Products!$A$2:$A$37, 0))</f>
        <v>250</v>
      </c>
      <c r="K919" s="9">
        <f t="shared" si="56"/>
        <v>1098</v>
      </c>
      <c r="L919">
        <f t="shared" si="57"/>
        <v>500</v>
      </c>
      <c r="M919" s="9">
        <f t="shared" si="58"/>
        <v>598</v>
      </c>
      <c r="N919" t="str">
        <f t="shared" si="59"/>
        <v>Mar</v>
      </c>
    </row>
    <row r="920" spans="1:14" x14ac:dyDescent="0.3">
      <c r="A920" s="2" t="s">
        <v>986</v>
      </c>
      <c r="B920" s="6">
        <v>45736</v>
      </c>
      <c r="C920" s="2" t="s">
        <v>28</v>
      </c>
      <c r="D920" s="2" t="s">
        <v>87</v>
      </c>
      <c r="E920" s="2">
        <v>1</v>
      </c>
      <c r="F920" s="7">
        <v>799</v>
      </c>
      <c r="G920" s="8">
        <v>0.2</v>
      </c>
      <c r="H920" s="9" t="str">
        <f>INDEX(Products!$B$2:$B$37, MATCH(D920, Products!$A$2:$A$37, 0))</f>
        <v>Adjustable Dumbbells</v>
      </c>
      <c r="I920" t="str">
        <f>INDEX(Products!$C$2:$C$37, MATCH(D920, Products!$A$2:$A$37, 0))</f>
        <v>Sports</v>
      </c>
      <c r="J920">
        <f>INDEX(Products!$E$2:$E$37, MATCH(D920, Products!$A$2:$A$37, 0))</f>
        <v>700</v>
      </c>
      <c r="K920" s="9">
        <f t="shared" si="56"/>
        <v>639.20000000000005</v>
      </c>
      <c r="L920">
        <f t="shared" si="57"/>
        <v>700</v>
      </c>
      <c r="M920" s="9">
        <f t="shared" si="58"/>
        <v>-60.799999999999955</v>
      </c>
      <c r="N920" t="str">
        <f t="shared" si="59"/>
        <v>Mar</v>
      </c>
    </row>
    <row r="921" spans="1:14" x14ac:dyDescent="0.3">
      <c r="A921" s="2" t="s">
        <v>987</v>
      </c>
      <c r="B921" s="6">
        <v>45736</v>
      </c>
      <c r="C921" s="2" t="s">
        <v>41</v>
      </c>
      <c r="D921" s="2" t="s">
        <v>46</v>
      </c>
      <c r="E921" s="2">
        <v>1</v>
      </c>
      <c r="F921" s="7">
        <v>189</v>
      </c>
      <c r="G921" s="8">
        <v>0.3</v>
      </c>
      <c r="H921" s="9" t="str">
        <f>INDEX(Products!$B$2:$B$37, MATCH(D921, Products!$A$2:$A$37, 0))</f>
        <v>Makeup Palette</v>
      </c>
      <c r="I921" t="str">
        <f>INDEX(Products!$C$2:$C$37, MATCH(D921, Products!$A$2:$A$37, 0))</f>
        <v>Beauty</v>
      </c>
      <c r="J921">
        <f>INDEX(Products!$E$2:$E$37, MATCH(D921, Products!$A$2:$A$37, 0))</f>
        <v>85</v>
      </c>
      <c r="K921" s="9">
        <f t="shared" si="56"/>
        <v>132.29999999999998</v>
      </c>
      <c r="L921">
        <f t="shared" si="57"/>
        <v>85</v>
      </c>
      <c r="M921" s="9">
        <f t="shared" si="58"/>
        <v>47.299999999999983</v>
      </c>
      <c r="N921" t="str">
        <f t="shared" si="59"/>
        <v>Mar</v>
      </c>
    </row>
    <row r="922" spans="1:14" x14ac:dyDescent="0.3">
      <c r="A922" s="2" t="s">
        <v>988</v>
      </c>
      <c r="B922" s="6">
        <v>45736</v>
      </c>
      <c r="C922" s="2" t="s">
        <v>41</v>
      </c>
      <c r="D922" s="2" t="s">
        <v>56</v>
      </c>
      <c r="E922" s="2">
        <v>1</v>
      </c>
      <c r="F922" s="7">
        <v>289</v>
      </c>
      <c r="G922" s="8">
        <v>0</v>
      </c>
      <c r="H922" s="9" t="str">
        <f>INDEX(Products!$B$2:$B$37, MATCH(D922, Products!$A$2:$A$37, 0))</f>
        <v>Ceramic Dinner Set</v>
      </c>
      <c r="I922" t="str">
        <f>INDEX(Products!$C$2:$C$37, MATCH(D922, Products!$A$2:$A$37, 0))</f>
        <v>Home &amp; Kitchen</v>
      </c>
      <c r="J922">
        <f>INDEX(Products!$E$2:$E$37, MATCH(D922, Products!$A$2:$A$37, 0))</f>
        <v>140</v>
      </c>
      <c r="K922" s="9">
        <f t="shared" si="56"/>
        <v>289</v>
      </c>
      <c r="L922">
        <f t="shared" si="57"/>
        <v>140</v>
      </c>
      <c r="M922" s="9">
        <f t="shared" si="58"/>
        <v>149</v>
      </c>
      <c r="N922" t="str">
        <f t="shared" si="59"/>
        <v>Mar</v>
      </c>
    </row>
    <row r="923" spans="1:14" x14ac:dyDescent="0.3">
      <c r="A923" s="2" t="s">
        <v>989</v>
      </c>
      <c r="B923" s="6">
        <v>45737</v>
      </c>
      <c r="C923" s="2" t="s">
        <v>41</v>
      </c>
      <c r="D923" s="2" t="s">
        <v>29</v>
      </c>
      <c r="E923" s="2">
        <v>1</v>
      </c>
      <c r="F923" s="7">
        <v>229</v>
      </c>
      <c r="G923" s="8">
        <v>0</v>
      </c>
      <c r="H923" s="9" t="str">
        <f>INDEX(Products!$B$2:$B$37, MATCH(D923, Products!$A$2:$A$37, 0))</f>
        <v>Women's Summer Dress</v>
      </c>
      <c r="I923" t="str">
        <f>INDEX(Products!$C$2:$C$37, MATCH(D923, Products!$A$2:$A$37, 0))</f>
        <v>Fashion</v>
      </c>
      <c r="J923">
        <f>INDEX(Products!$E$2:$E$37, MATCH(D923, Products!$A$2:$A$37, 0))</f>
        <v>120</v>
      </c>
      <c r="K923" s="9">
        <f t="shared" si="56"/>
        <v>229</v>
      </c>
      <c r="L923">
        <f t="shared" si="57"/>
        <v>120</v>
      </c>
      <c r="M923" s="9">
        <f t="shared" si="58"/>
        <v>109</v>
      </c>
      <c r="N923" t="str">
        <f t="shared" si="59"/>
        <v>Mar</v>
      </c>
    </row>
    <row r="924" spans="1:14" x14ac:dyDescent="0.3">
      <c r="A924" s="2" t="s">
        <v>990</v>
      </c>
      <c r="B924" s="6">
        <v>45737</v>
      </c>
      <c r="C924" s="2" t="s">
        <v>44</v>
      </c>
      <c r="D924" s="2" t="s">
        <v>29</v>
      </c>
      <c r="E924" s="2">
        <v>3</v>
      </c>
      <c r="F924" s="7">
        <v>229</v>
      </c>
      <c r="G924" s="8">
        <v>0.1</v>
      </c>
      <c r="H924" s="9" t="str">
        <f>INDEX(Products!$B$2:$B$37, MATCH(D924, Products!$A$2:$A$37, 0))</f>
        <v>Women's Summer Dress</v>
      </c>
      <c r="I924" t="str">
        <f>INDEX(Products!$C$2:$C$37, MATCH(D924, Products!$A$2:$A$37, 0))</f>
        <v>Fashion</v>
      </c>
      <c r="J924">
        <f>INDEX(Products!$E$2:$E$37, MATCH(D924, Products!$A$2:$A$37, 0))</f>
        <v>120</v>
      </c>
      <c r="K924" s="9">
        <f t="shared" si="56"/>
        <v>618.30000000000007</v>
      </c>
      <c r="L924">
        <f t="shared" si="57"/>
        <v>360</v>
      </c>
      <c r="M924" s="9">
        <f t="shared" si="58"/>
        <v>258.30000000000007</v>
      </c>
      <c r="N924" t="str">
        <f t="shared" si="59"/>
        <v>Mar</v>
      </c>
    </row>
    <row r="925" spans="1:14" x14ac:dyDescent="0.3">
      <c r="A925" s="2" t="s">
        <v>991</v>
      </c>
      <c r="B925" s="6">
        <v>45737</v>
      </c>
      <c r="C925" s="2" t="s">
        <v>31</v>
      </c>
      <c r="D925" s="2" t="s">
        <v>78</v>
      </c>
      <c r="E925" s="2">
        <v>2</v>
      </c>
      <c r="F925" s="7">
        <v>499</v>
      </c>
      <c r="G925" s="8">
        <v>0.1</v>
      </c>
      <c r="H925" s="9" t="str">
        <f>INDEX(Products!$B$2:$B$37, MATCH(D925, Products!$A$2:$A$37, 0))</f>
        <v>Air Fryer 5L</v>
      </c>
      <c r="I925" t="str">
        <f>INDEX(Products!$C$2:$C$37, MATCH(D925, Products!$A$2:$A$37, 0))</f>
        <v>Home &amp; Kitchen</v>
      </c>
      <c r="J925">
        <f>INDEX(Products!$E$2:$E$37, MATCH(D925, Products!$A$2:$A$37, 0))</f>
        <v>290</v>
      </c>
      <c r="K925" s="9">
        <f t="shared" si="56"/>
        <v>898.2</v>
      </c>
      <c r="L925">
        <f t="shared" si="57"/>
        <v>580</v>
      </c>
      <c r="M925" s="9">
        <f t="shared" si="58"/>
        <v>318.20000000000005</v>
      </c>
      <c r="N925" t="str">
        <f t="shared" si="59"/>
        <v>Mar</v>
      </c>
    </row>
    <row r="926" spans="1:14" x14ac:dyDescent="0.3">
      <c r="A926" s="2" t="s">
        <v>992</v>
      </c>
      <c r="B926" s="6">
        <v>45737</v>
      </c>
      <c r="C926" s="2" t="s">
        <v>48</v>
      </c>
      <c r="D926" s="2" t="s">
        <v>129</v>
      </c>
      <c r="E926" s="2">
        <v>1</v>
      </c>
      <c r="F926" s="7">
        <v>149</v>
      </c>
      <c r="G926" s="8">
        <v>0.05</v>
      </c>
      <c r="H926" s="9" t="str">
        <f>INDEX(Products!$B$2:$B$37, MATCH(D926, Products!$A$2:$A$37, 0))</f>
        <v>Power Bank 20000mAh</v>
      </c>
      <c r="I926" t="str">
        <f>INDEX(Products!$C$2:$C$37, MATCH(D926, Products!$A$2:$A$37, 0))</f>
        <v>Electronics</v>
      </c>
      <c r="J926">
        <f>INDEX(Products!$E$2:$E$37, MATCH(D926, Products!$A$2:$A$37, 0))</f>
        <v>70</v>
      </c>
      <c r="K926" s="9">
        <f t="shared" si="56"/>
        <v>141.54999999999998</v>
      </c>
      <c r="L926">
        <f t="shared" si="57"/>
        <v>70</v>
      </c>
      <c r="M926" s="9">
        <f t="shared" si="58"/>
        <v>71.549999999999983</v>
      </c>
      <c r="N926" t="str">
        <f t="shared" si="59"/>
        <v>Mar</v>
      </c>
    </row>
    <row r="927" spans="1:14" x14ac:dyDescent="0.3">
      <c r="A927" s="2" t="s">
        <v>993</v>
      </c>
      <c r="B927" s="6">
        <v>45737</v>
      </c>
      <c r="C927" s="2" t="s">
        <v>41</v>
      </c>
      <c r="D927" s="2" t="s">
        <v>80</v>
      </c>
      <c r="E927" s="2">
        <v>2</v>
      </c>
      <c r="F927" s="7">
        <v>149</v>
      </c>
      <c r="G927" s="8">
        <v>0.05</v>
      </c>
      <c r="H927" s="9" t="str">
        <f>INDEX(Products!$B$2:$B$37, MATCH(D927, Products!$A$2:$A$37, 0))</f>
        <v>Vitamin C Serum</v>
      </c>
      <c r="I927" t="str">
        <f>INDEX(Products!$C$2:$C$37, MATCH(D927, Products!$A$2:$A$37, 0))</f>
        <v>Beauty</v>
      </c>
      <c r="J927">
        <f>INDEX(Products!$E$2:$E$37, MATCH(D927, Products!$A$2:$A$37, 0))</f>
        <v>55</v>
      </c>
      <c r="K927" s="9">
        <f t="shared" si="56"/>
        <v>283.09999999999997</v>
      </c>
      <c r="L927">
        <f t="shared" si="57"/>
        <v>110</v>
      </c>
      <c r="M927" s="9">
        <f t="shared" si="58"/>
        <v>173.09999999999997</v>
      </c>
      <c r="N927" t="str">
        <f t="shared" si="59"/>
        <v>Mar</v>
      </c>
    </row>
    <row r="928" spans="1:14" x14ac:dyDescent="0.3">
      <c r="A928" s="2" t="s">
        <v>994</v>
      </c>
      <c r="B928" s="6">
        <v>45737</v>
      </c>
      <c r="C928" s="2" t="s">
        <v>31</v>
      </c>
      <c r="D928" s="2" t="s">
        <v>58</v>
      </c>
      <c r="E928" s="2">
        <v>1</v>
      </c>
      <c r="F928" s="7">
        <v>459</v>
      </c>
      <c r="G928" s="8">
        <v>0</v>
      </c>
      <c r="H928" s="9" t="str">
        <f>INDEX(Products!$B$2:$B$37, MATCH(D928, Products!$A$2:$A$37, 0))</f>
        <v>Women's Abaya Classic</v>
      </c>
      <c r="I928" t="str">
        <f>INDEX(Products!$C$2:$C$37, MATCH(D928, Products!$A$2:$A$37, 0))</f>
        <v>Fashion</v>
      </c>
      <c r="J928">
        <f>INDEX(Products!$E$2:$E$37, MATCH(D928, Products!$A$2:$A$37, 0))</f>
        <v>190</v>
      </c>
      <c r="K928" s="9">
        <f t="shared" si="56"/>
        <v>459</v>
      </c>
      <c r="L928">
        <f t="shared" si="57"/>
        <v>190</v>
      </c>
      <c r="M928" s="9">
        <f t="shared" si="58"/>
        <v>269</v>
      </c>
      <c r="N928" t="str">
        <f t="shared" si="59"/>
        <v>Mar</v>
      </c>
    </row>
    <row r="929" spans="1:14" x14ac:dyDescent="0.3">
      <c r="A929" s="2" t="s">
        <v>995</v>
      </c>
      <c r="B929" s="6">
        <v>45737</v>
      </c>
      <c r="C929" s="2" t="s">
        <v>44</v>
      </c>
      <c r="D929" s="2" t="s">
        <v>126</v>
      </c>
      <c r="E929" s="2">
        <v>1</v>
      </c>
      <c r="F929" s="7">
        <v>89</v>
      </c>
      <c r="G929" s="8">
        <v>0.1</v>
      </c>
      <c r="H929" s="9" t="str">
        <f>INDEX(Products!$B$2:$B$37, MATCH(D929, Products!$A$2:$A$37, 0))</f>
        <v>USB-C Fast Charger</v>
      </c>
      <c r="I929" t="str">
        <f>INDEX(Products!$C$2:$C$37, MATCH(D929, Products!$A$2:$A$37, 0))</f>
        <v>Electronics</v>
      </c>
      <c r="J929">
        <f>INDEX(Products!$E$2:$E$37, MATCH(D929, Products!$A$2:$A$37, 0))</f>
        <v>35</v>
      </c>
      <c r="K929" s="9">
        <f t="shared" si="56"/>
        <v>80.100000000000009</v>
      </c>
      <c r="L929">
        <f t="shared" si="57"/>
        <v>35</v>
      </c>
      <c r="M929" s="9">
        <f t="shared" si="58"/>
        <v>45.100000000000009</v>
      </c>
      <c r="N929" t="str">
        <f t="shared" si="59"/>
        <v>Mar</v>
      </c>
    </row>
    <row r="930" spans="1:14" x14ac:dyDescent="0.3">
      <c r="A930" s="2" t="s">
        <v>996</v>
      </c>
      <c r="B930" s="6">
        <v>45737</v>
      </c>
      <c r="C930" s="2" t="s">
        <v>48</v>
      </c>
      <c r="D930" s="2" t="s">
        <v>194</v>
      </c>
      <c r="E930" s="2">
        <v>2</v>
      </c>
      <c r="F930" s="7">
        <v>699</v>
      </c>
      <c r="G930" s="8">
        <v>0</v>
      </c>
      <c r="H930" s="9" t="str">
        <f>INDEX(Products!$B$2:$B$37, MATCH(D930, Products!$A$2:$A$37, 0))</f>
        <v>Leather Handbag</v>
      </c>
      <c r="I930" t="str">
        <f>INDEX(Products!$C$2:$C$37, MATCH(D930, Products!$A$2:$A$37, 0))</f>
        <v>Fashion</v>
      </c>
      <c r="J930">
        <f>INDEX(Products!$E$2:$E$37, MATCH(D930, Products!$A$2:$A$37, 0))</f>
        <v>380</v>
      </c>
      <c r="K930" s="9">
        <f t="shared" si="56"/>
        <v>1398</v>
      </c>
      <c r="L930">
        <f t="shared" si="57"/>
        <v>760</v>
      </c>
      <c r="M930" s="9">
        <f t="shared" si="58"/>
        <v>638</v>
      </c>
      <c r="N930" t="str">
        <f t="shared" si="59"/>
        <v>Mar</v>
      </c>
    </row>
    <row r="931" spans="1:14" x14ac:dyDescent="0.3">
      <c r="A931" s="2" t="s">
        <v>997</v>
      </c>
      <c r="B931" s="6">
        <v>45737</v>
      </c>
      <c r="C931" s="2" t="s">
        <v>41</v>
      </c>
      <c r="D931" s="2" t="s">
        <v>35</v>
      </c>
      <c r="E931" s="2">
        <v>2</v>
      </c>
      <c r="F931" s="7">
        <v>179</v>
      </c>
      <c r="G931" s="8">
        <v>0</v>
      </c>
      <c r="H931" s="9" t="str">
        <f>INDEX(Products!$B$2:$B$37, MATCH(D931, Products!$A$2:$A$37, 0))</f>
        <v>Men's Linen Shirt</v>
      </c>
      <c r="I931" t="str">
        <f>INDEX(Products!$C$2:$C$37, MATCH(D931, Products!$A$2:$A$37, 0))</f>
        <v>Fashion</v>
      </c>
      <c r="J931">
        <f>INDEX(Products!$E$2:$E$37, MATCH(D931, Products!$A$2:$A$37, 0))</f>
        <v>70</v>
      </c>
      <c r="K931" s="9">
        <f t="shared" si="56"/>
        <v>358</v>
      </c>
      <c r="L931">
        <f t="shared" si="57"/>
        <v>140</v>
      </c>
      <c r="M931" s="9">
        <f t="shared" si="58"/>
        <v>218</v>
      </c>
      <c r="N931" t="str">
        <f t="shared" si="59"/>
        <v>Mar</v>
      </c>
    </row>
    <row r="932" spans="1:14" x14ac:dyDescent="0.3">
      <c r="A932" s="2" t="s">
        <v>998</v>
      </c>
      <c r="B932" s="6">
        <v>45737</v>
      </c>
      <c r="C932" s="2" t="s">
        <v>44</v>
      </c>
      <c r="D932" s="2" t="s">
        <v>165</v>
      </c>
      <c r="E932" s="2">
        <v>1</v>
      </c>
      <c r="F932" s="7">
        <v>69</v>
      </c>
      <c r="G932" s="8">
        <v>0</v>
      </c>
      <c r="H932" s="9" t="str">
        <f>INDEX(Products!$B$2:$B$37, MATCH(D932, Products!$A$2:$A$37, 0))</f>
        <v>Swim Goggles</v>
      </c>
      <c r="I932" t="str">
        <f>INDEX(Products!$C$2:$C$37, MATCH(D932, Products!$A$2:$A$37, 0))</f>
        <v>Sports</v>
      </c>
      <c r="J932">
        <f>INDEX(Products!$E$2:$E$37, MATCH(D932, Products!$A$2:$A$37, 0))</f>
        <v>25</v>
      </c>
      <c r="K932" s="9">
        <f t="shared" si="56"/>
        <v>69</v>
      </c>
      <c r="L932">
        <f t="shared" si="57"/>
        <v>25</v>
      </c>
      <c r="M932" s="9">
        <f t="shared" si="58"/>
        <v>44</v>
      </c>
      <c r="N932" t="str">
        <f t="shared" si="59"/>
        <v>Mar</v>
      </c>
    </row>
    <row r="933" spans="1:14" x14ac:dyDescent="0.3">
      <c r="A933" s="2" t="s">
        <v>999</v>
      </c>
      <c r="B933" s="6">
        <v>45738</v>
      </c>
      <c r="C933" s="2" t="s">
        <v>31</v>
      </c>
      <c r="D933" s="2" t="s">
        <v>95</v>
      </c>
      <c r="E933" s="2">
        <v>1</v>
      </c>
      <c r="F933" s="7">
        <v>259</v>
      </c>
      <c r="G933" s="8">
        <v>0</v>
      </c>
      <c r="H933" s="9" t="str">
        <f>INDEX(Products!$B$2:$B$37, MATCH(D933, Products!$A$2:$A$37, 0))</f>
        <v>Bed Linen Set (King)</v>
      </c>
      <c r="I933" t="str">
        <f>INDEX(Products!$C$2:$C$37, MATCH(D933, Products!$A$2:$A$37, 0))</f>
        <v>Home &amp; Kitchen</v>
      </c>
      <c r="J933">
        <f>INDEX(Products!$E$2:$E$37, MATCH(D933, Products!$A$2:$A$37, 0))</f>
        <v>115</v>
      </c>
      <c r="K933" s="9">
        <f t="shared" si="56"/>
        <v>259</v>
      </c>
      <c r="L933">
        <f t="shared" si="57"/>
        <v>115</v>
      </c>
      <c r="M933" s="9">
        <f t="shared" si="58"/>
        <v>144</v>
      </c>
      <c r="N933" t="str">
        <f t="shared" si="59"/>
        <v>Mar</v>
      </c>
    </row>
    <row r="934" spans="1:14" x14ac:dyDescent="0.3">
      <c r="A934" s="2" t="s">
        <v>1000</v>
      </c>
      <c r="B934" s="6">
        <v>45738</v>
      </c>
      <c r="C934" s="2" t="s">
        <v>28</v>
      </c>
      <c r="D934" s="2" t="s">
        <v>42</v>
      </c>
      <c r="E934" s="2">
        <v>1</v>
      </c>
      <c r="F934" s="7">
        <v>399</v>
      </c>
      <c r="G934" s="8">
        <v>0</v>
      </c>
      <c r="H934" s="9" t="str">
        <f>INDEX(Products!$B$2:$B$37, MATCH(D934, Products!$A$2:$A$37, 0))</f>
        <v>Wireless Earbuds Pro</v>
      </c>
      <c r="I934" t="str">
        <f>INDEX(Products!$C$2:$C$37, MATCH(D934, Products!$A$2:$A$37, 0))</f>
        <v>Electronics</v>
      </c>
      <c r="J934">
        <f>INDEX(Products!$E$2:$E$37, MATCH(D934, Products!$A$2:$A$37, 0))</f>
        <v>230</v>
      </c>
      <c r="K934" s="9">
        <f t="shared" si="56"/>
        <v>399</v>
      </c>
      <c r="L934">
        <f t="shared" si="57"/>
        <v>230</v>
      </c>
      <c r="M934" s="9">
        <f t="shared" si="58"/>
        <v>169</v>
      </c>
      <c r="N934" t="str">
        <f t="shared" si="59"/>
        <v>Mar</v>
      </c>
    </row>
    <row r="935" spans="1:14" x14ac:dyDescent="0.3">
      <c r="A935" s="2" t="s">
        <v>1001</v>
      </c>
      <c r="B935" s="6">
        <v>45738</v>
      </c>
      <c r="C935" s="2" t="s">
        <v>44</v>
      </c>
      <c r="D935" s="2" t="s">
        <v>46</v>
      </c>
      <c r="E935" s="2">
        <v>1</v>
      </c>
      <c r="F935" s="7">
        <v>189</v>
      </c>
      <c r="G935" s="8">
        <v>0.05</v>
      </c>
      <c r="H935" s="9" t="str">
        <f>INDEX(Products!$B$2:$B$37, MATCH(D935, Products!$A$2:$A$37, 0))</f>
        <v>Makeup Palette</v>
      </c>
      <c r="I935" t="str">
        <f>INDEX(Products!$C$2:$C$37, MATCH(D935, Products!$A$2:$A$37, 0))</f>
        <v>Beauty</v>
      </c>
      <c r="J935">
        <f>INDEX(Products!$E$2:$E$37, MATCH(D935, Products!$A$2:$A$37, 0))</f>
        <v>85</v>
      </c>
      <c r="K935" s="9">
        <f t="shared" si="56"/>
        <v>179.54999999999998</v>
      </c>
      <c r="L935">
        <f t="shared" si="57"/>
        <v>85</v>
      </c>
      <c r="M935" s="9">
        <f t="shared" si="58"/>
        <v>94.549999999999983</v>
      </c>
      <c r="N935" t="str">
        <f t="shared" si="59"/>
        <v>Mar</v>
      </c>
    </row>
    <row r="936" spans="1:14" x14ac:dyDescent="0.3">
      <c r="A936" s="2" t="s">
        <v>1002</v>
      </c>
      <c r="B936" s="6">
        <v>45738</v>
      </c>
      <c r="C936" s="2" t="s">
        <v>44</v>
      </c>
      <c r="D936" s="2" t="s">
        <v>95</v>
      </c>
      <c r="E936" s="2">
        <v>2</v>
      </c>
      <c r="F936" s="7">
        <v>259</v>
      </c>
      <c r="G936" s="8">
        <v>0</v>
      </c>
      <c r="H936" s="9" t="str">
        <f>INDEX(Products!$B$2:$B$37, MATCH(D936, Products!$A$2:$A$37, 0))</f>
        <v>Bed Linen Set (King)</v>
      </c>
      <c r="I936" t="str">
        <f>INDEX(Products!$C$2:$C$37, MATCH(D936, Products!$A$2:$A$37, 0))</f>
        <v>Home &amp; Kitchen</v>
      </c>
      <c r="J936">
        <f>INDEX(Products!$E$2:$E$37, MATCH(D936, Products!$A$2:$A$37, 0))</f>
        <v>115</v>
      </c>
      <c r="K936" s="9">
        <f t="shared" si="56"/>
        <v>518</v>
      </c>
      <c r="L936">
        <f t="shared" si="57"/>
        <v>230</v>
      </c>
      <c r="M936" s="9">
        <f t="shared" si="58"/>
        <v>288</v>
      </c>
      <c r="N936" t="str">
        <f t="shared" si="59"/>
        <v>Mar</v>
      </c>
    </row>
    <row r="937" spans="1:14" x14ac:dyDescent="0.3">
      <c r="A937" s="2" t="s">
        <v>1003</v>
      </c>
      <c r="B937" s="6">
        <v>45738</v>
      </c>
      <c r="C937" s="2" t="s">
        <v>48</v>
      </c>
      <c r="D937" s="2" t="s">
        <v>37</v>
      </c>
      <c r="E937" s="2">
        <v>1</v>
      </c>
      <c r="F937" s="7">
        <v>249</v>
      </c>
      <c r="G937" s="8">
        <v>0</v>
      </c>
      <c r="H937" s="9" t="str">
        <f>INDEX(Products!$B$2:$B$37, MATCH(D937, Products!$A$2:$A$37, 0))</f>
        <v>Sunglasses Polarised</v>
      </c>
      <c r="I937" t="str">
        <f>INDEX(Products!$C$2:$C$37, MATCH(D937, Products!$A$2:$A$37, 0))</f>
        <v>Fashion</v>
      </c>
      <c r="J937">
        <f>INDEX(Products!$E$2:$E$37, MATCH(D937, Products!$A$2:$A$37, 0))</f>
        <v>95</v>
      </c>
      <c r="K937" s="9">
        <f t="shared" si="56"/>
        <v>249</v>
      </c>
      <c r="L937">
        <f t="shared" si="57"/>
        <v>95</v>
      </c>
      <c r="M937" s="9">
        <f t="shared" si="58"/>
        <v>154</v>
      </c>
      <c r="N937" t="str">
        <f t="shared" si="59"/>
        <v>Mar</v>
      </c>
    </row>
    <row r="938" spans="1:14" x14ac:dyDescent="0.3">
      <c r="A938" s="2" t="s">
        <v>1004</v>
      </c>
      <c r="B938" s="6">
        <v>45738</v>
      </c>
      <c r="C938" s="2" t="s">
        <v>44</v>
      </c>
      <c r="D938" s="2" t="s">
        <v>194</v>
      </c>
      <c r="E938" s="2">
        <v>3</v>
      </c>
      <c r="F938" s="7">
        <v>699</v>
      </c>
      <c r="G938" s="8">
        <v>0.15</v>
      </c>
      <c r="H938" s="9" t="str">
        <f>INDEX(Products!$B$2:$B$37, MATCH(D938, Products!$A$2:$A$37, 0))</f>
        <v>Leather Handbag</v>
      </c>
      <c r="I938" t="str">
        <f>INDEX(Products!$C$2:$C$37, MATCH(D938, Products!$A$2:$A$37, 0))</f>
        <v>Fashion</v>
      </c>
      <c r="J938">
        <f>INDEX(Products!$E$2:$E$37, MATCH(D938, Products!$A$2:$A$37, 0))</f>
        <v>380</v>
      </c>
      <c r="K938" s="9">
        <f t="shared" si="56"/>
        <v>1782.45</v>
      </c>
      <c r="L938">
        <f t="shared" si="57"/>
        <v>1140</v>
      </c>
      <c r="M938" s="9">
        <f t="shared" si="58"/>
        <v>642.45000000000005</v>
      </c>
      <c r="N938" t="str">
        <f t="shared" si="59"/>
        <v>Mar</v>
      </c>
    </row>
    <row r="939" spans="1:14" x14ac:dyDescent="0.3">
      <c r="A939" s="2" t="s">
        <v>1005</v>
      </c>
      <c r="B939" s="6">
        <v>45738</v>
      </c>
      <c r="C939" s="2" t="s">
        <v>28</v>
      </c>
      <c r="D939" s="2" t="s">
        <v>80</v>
      </c>
      <c r="E939" s="2">
        <v>3</v>
      </c>
      <c r="F939" s="7">
        <v>149</v>
      </c>
      <c r="G939" s="8">
        <v>0.1</v>
      </c>
      <c r="H939" s="9" t="str">
        <f>INDEX(Products!$B$2:$B$37, MATCH(D939, Products!$A$2:$A$37, 0))</f>
        <v>Vitamin C Serum</v>
      </c>
      <c r="I939" t="str">
        <f>INDEX(Products!$C$2:$C$37, MATCH(D939, Products!$A$2:$A$37, 0))</f>
        <v>Beauty</v>
      </c>
      <c r="J939">
        <f>INDEX(Products!$E$2:$E$37, MATCH(D939, Products!$A$2:$A$37, 0))</f>
        <v>55</v>
      </c>
      <c r="K939" s="9">
        <f t="shared" si="56"/>
        <v>402.3</v>
      </c>
      <c r="L939">
        <f t="shared" si="57"/>
        <v>165</v>
      </c>
      <c r="M939" s="9">
        <f t="shared" si="58"/>
        <v>237.3</v>
      </c>
      <c r="N939" t="str">
        <f t="shared" si="59"/>
        <v>Mar</v>
      </c>
    </row>
    <row r="940" spans="1:14" x14ac:dyDescent="0.3">
      <c r="A940" s="2" t="s">
        <v>1006</v>
      </c>
      <c r="B940" s="6">
        <v>45738</v>
      </c>
      <c r="C940" s="2" t="s">
        <v>44</v>
      </c>
      <c r="D940" s="2" t="s">
        <v>46</v>
      </c>
      <c r="E940" s="2">
        <v>1</v>
      </c>
      <c r="F940" s="7">
        <v>189</v>
      </c>
      <c r="G940" s="8">
        <v>0</v>
      </c>
      <c r="H940" s="9" t="str">
        <f>INDEX(Products!$B$2:$B$37, MATCH(D940, Products!$A$2:$A$37, 0))</f>
        <v>Makeup Palette</v>
      </c>
      <c r="I940" t="str">
        <f>INDEX(Products!$C$2:$C$37, MATCH(D940, Products!$A$2:$A$37, 0))</f>
        <v>Beauty</v>
      </c>
      <c r="J940">
        <f>INDEX(Products!$E$2:$E$37, MATCH(D940, Products!$A$2:$A$37, 0))</f>
        <v>85</v>
      </c>
      <c r="K940" s="9">
        <f t="shared" si="56"/>
        <v>189</v>
      </c>
      <c r="L940">
        <f t="shared" si="57"/>
        <v>85</v>
      </c>
      <c r="M940" s="9">
        <f t="shared" si="58"/>
        <v>104</v>
      </c>
      <c r="N940" t="str">
        <f t="shared" si="59"/>
        <v>Mar</v>
      </c>
    </row>
    <row r="941" spans="1:14" x14ac:dyDescent="0.3">
      <c r="A941" s="2" t="s">
        <v>1007</v>
      </c>
      <c r="B941" s="6">
        <v>45738</v>
      </c>
      <c r="C941" s="2" t="s">
        <v>41</v>
      </c>
      <c r="D941" s="2" t="s">
        <v>78</v>
      </c>
      <c r="E941" s="2">
        <v>2</v>
      </c>
      <c r="F941" s="7">
        <v>499</v>
      </c>
      <c r="G941" s="8">
        <v>0.05</v>
      </c>
      <c r="H941" s="9" t="str">
        <f>INDEX(Products!$B$2:$B$37, MATCH(D941, Products!$A$2:$A$37, 0))</f>
        <v>Air Fryer 5L</v>
      </c>
      <c r="I941" t="str">
        <f>INDEX(Products!$C$2:$C$37, MATCH(D941, Products!$A$2:$A$37, 0))</f>
        <v>Home &amp; Kitchen</v>
      </c>
      <c r="J941">
        <f>INDEX(Products!$E$2:$E$37, MATCH(D941, Products!$A$2:$A$37, 0))</f>
        <v>290</v>
      </c>
      <c r="K941" s="9">
        <f t="shared" si="56"/>
        <v>948.09999999999991</v>
      </c>
      <c r="L941">
        <f t="shared" si="57"/>
        <v>580</v>
      </c>
      <c r="M941" s="9">
        <f t="shared" si="58"/>
        <v>368.09999999999991</v>
      </c>
      <c r="N941" t="str">
        <f t="shared" si="59"/>
        <v>Mar</v>
      </c>
    </row>
    <row r="942" spans="1:14" x14ac:dyDescent="0.3">
      <c r="A942" s="2" t="s">
        <v>1008</v>
      </c>
      <c r="B942" s="6">
        <v>45738</v>
      </c>
      <c r="C942" s="2" t="s">
        <v>31</v>
      </c>
      <c r="D942" s="2" t="s">
        <v>95</v>
      </c>
      <c r="E942" s="2">
        <v>1</v>
      </c>
      <c r="F942" s="7">
        <v>259</v>
      </c>
      <c r="G942" s="8">
        <v>0</v>
      </c>
      <c r="H942" s="9" t="str">
        <f>INDEX(Products!$B$2:$B$37, MATCH(D942, Products!$A$2:$A$37, 0))</f>
        <v>Bed Linen Set (King)</v>
      </c>
      <c r="I942" t="str">
        <f>INDEX(Products!$C$2:$C$37, MATCH(D942, Products!$A$2:$A$37, 0))</f>
        <v>Home &amp; Kitchen</v>
      </c>
      <c r="J942">
        <f>INDEX(Products!$E$2:$E$37, MATCH(D942, Products!$A$2:$A$37, 0))</f>
        <v>115</v>
      </c>
      <c r="K942" s="9">
        <f t="shared" si="56"/>
        <v>259</v>
      </c>
      <c r="L942">
        <f t="shared" si="57"/>
        <v>115</v>
      </c>
      <c r="M942" s="9">
        <f t="shared" si="58"/>
        <v>144</v>
      </c>
      <c r="N942" t="str">
        <f t="shared" si="59"/>
        <v>Mar</v>
      </c>
    </row>
    <row r="943" spans="1:14" x14ac:dyDescent="0.3">
      <c r="A943" s="2" t="s">
        <v>1009</v>
      </c>
      <c r="B943" s="6">
        <v>45738</v>
      </c>
      <c r="C943" s="2" t="s">
        <v>44</v>
      </c>
      <c r="D943" s="2" t="s">
        <v>42</v>
      </c>
      <c r="E943" s="2">
        <v>1</v>
      </c>
      <c r="F943" s="7">
        <v>399</v>
      </c>
      <c r="G943" s="8">
        <v>0</v>
      </c>
      <c r="H943" s="9" t="str">
        <f>INDEX(Products!$B$2:$B$37, MATCH(D943, Products!$A$2:$A$37, 0))</f>
        <v>Wireless Earbuds Pro</v>
      </c>
      <c r="I943" t="str">
        <f>INDEX(Products!$C$2:$C$37, MATCH(D943, Products!$A$2:$A$37, 0))</f>
        <v>Electronics</v>
      </c>
      <c r="J943">
        <f>INDEX(Products!$E$2:$E$37, MATCH(D943, Products!$A$2:$A$37, 0))</f>
        <v>230</v>
      </c>
      <c r="K943" s="9">
        <f t="shared" si="56"/>
        <v>399</v>
      </c>
      <c r="L943">
        <f t="shared" si="57"/>
        <v>230</v>
      </c>
      <c r="M943" s="9">
        <f t="shared" si="58"/>
        <v>169</v>
      </c>
      <c r="N943" t="str">
        <f t="shared" si="59"/>
        <v>Mar</v>
      </c>
    </row>
    <row r="944" spans="1:14" x14ac:dyDescent="0.3">
      <c r="A944" s="2" t="s">
        <v>1010</v>
      </c>
      <c r="B944" s="6">
        <v>45738</v>
      </c>
      <c r="C944" s="2" t="s">
        <v>28</v>
      </c>
      <c r="D944" s="2" t="s">
        <v>103</v>
      </c>
      <c r="E944" s="2">
        <v>2</v>
      </c>
      <c r="F944" s="7">
        <v>89</v>
      </c>
      <c r="G944" s="8">
        <v>0</v>
      </c>
      <c r="H944" s="9" t="str">
        <f>INDEX(Products!$B$2:$B$37, MATCH(D944, Products!$A$2:$A$37, 0))</f>
        <v>Sunscreen SPF50</v>
      </c>
      <c r="I944" t="str">
        <f>INDEX(Products!$C$2:$C$37, MATCH(D944, Products!$A$2:$A$37, 0))</f>
        <v>Beauty</v>
      </c>
      <c r="J944">
        <f>INDEX(Products!$E$2:$E$37, MATCH(D944, Products!$A$2:$A$37, 0))</f>
        <v>40</v>
      </c>
      <c r="K944" s="9">
        <f t="shared" si="56"/>
        <v>178</v>
      </c>
      <c r="L944">
        <f t="shared" si="57"/>
        <v>80</v>
      </c>
      <c r="M944" s="9">
        <f t="shared" si="58"/>
        <v>98</v>
      </c>
      <c r="N944" t="str">
        <f t="shared" si="59"/>
        <v>Mar</v>
      </c>
    </row>
    <row r="945" spans="1:14" x14ac:dyDescent="0.3">
      <c r="A945" s="2" t="s">
        <v>1011</v>
      </c>
      <c r="B945" s="6">
        <v>45738</v>
      </c>
      <c r="C945" s="2" t="s">
        <v>31</v>
      </c>
      <c r="D945" s="2" t="s">
        <v>80</v>
      </c>
      <c r="E945" s="2">
        <v>1</v>
      </c>
      <c r="F945" s="7">
        <v>149</v>
      </c>
      <c r="G945" s="8">
        <v>0.15</v>
      </c>
      <c r="H945" s="9" t="str">
        <f>INDEX(Products!$B$2:$B$37, MATCH(D945, Products!$A$2:$A$37, 0))</f>
        <v>Vitamin C Serum</v>
      </c>
      <c r="I945" t="str">
        <f>INDEX(Products!$C$2:$C$37, MATCH(D945, Products!$A$2:$A$37, 0))</f>
        <v>Beauty</v>
      </c>
      <c r="J945">
        <f>INDEX(Products!$E$2:$E$37, MATCH(D945, Products!$A$2:$A$37, 0))</f>
        <v>55</v>
      </c>
      <c r="K945" s="9">
        <f t="shared" si="56"/>
        <v>126.64999999999999</v>
      </c>
      <c r="L945">
        <f t="shared" si="57"/>
        <v>55</v>
      </c>
      <c r="M945" s="9">
        <f t="shared" si="58"/>
        <v>71.649999999999991</v>
      </c>
      <c r="N945" t="str">
        <f t="shared" si="59"/>
        <v>Mar</v>
      </c>
    </row>
    <row r="946" spans="1:14" x14ac:dyDescent="0.3">
      <c r="A946" s="2" t="s">
        <v>1012</v>
      </c>
      <c r="B946" s="6">
        <v>45738</v>
      </c>
      <c r="C946" s="2" t="s">
        <v>41</v>
      </c>
      <c r="D946" s="2" t="s">
        <v>52</v>
      </c>
      <c r="E946" s="2">
        <v>1</v>
      </c>
      <c r="F946" s="7">
        <v>299</v>
      </c>
      <c r="G946" s="8">
        <v>0.1</v>
      </c>
      <c r="H946" s="9" t="str">
        <f>INDEX(Products!$B$2:$B$37, MATCH(D946, Products!$A$2:$A$37, 0))</f>
        <v>Hair Dryer Ionic</v>
      </c>
      <c r="I946" t="str">
        <f>INDEX(Products!$C$2:$C$37, MATCH(D946, Products!$A$2:$A$37, 0))</f>
        <v>Beauty</v>
      </c>
      <c r="J946">
        <f>INDEX(Products!$E$2:$E$37, MATCH(D946, Products!$A$2:$A$37, 0))</f>
        <v>240</v>
      </c>
      <c r="K946" s="9">
        <f t="shared" si="56"/>
        <v>269.10000000000002</v>
      </c>
      <c r="L946">
        <f t="shared" si="57"/>
        <v>240</v>
      </c>
      <c r="M946" s="9">
        <f t="shared" si="58"/>
        <v>29.100000000000023</v>
      </c>
      <c r="N946" t="str">
        <f t="shared" si="59"/>
        <v>Mar</v>
      </c>
    </row>
    <row r="947" spans="1:14" x14ac:dyDescent="0.3">
      <c r="A947" s="2" t="s">
        <v>1013</v>
      </c>
      <c r="B947" s="6">
        <v>45739</v>
      </c>
      <c r="C947" s="2" t="s">
        <v>41</v>
      </c>
      <c r="D947" s="2" t="s">
        <v>80</v>
      </c>
      <c r="E947" s="2">
        <v>1</v>
      </c>
      <c r="F947" s="7">
        <v>149</v>
      </c>
      <c r="G947" s="8">
        <v>0.3</v>
      </c>
      <c r="H947" s="9" t="str">
        <f>INDEX(Products!$B$2:$B$37, MATCH(D947, Products!$A$2:$A$37, 0))</f>
        <v>Vitamin C Serum</v>
      </c>
      <c r="I947" t="str">
        <f>INDEX(Products!$C$2:$C$37, MATCH(D947, Products!$A$2:$A$37, 0))</f>
        <v>Beauty</v>
      </c>
      <c r="J947">
        <f>INDEX(Products!$E$2:$E$37, MATCH(D947, Products!$A$2:$A$37, 0))</f>
        <v>55</v>
      </c>
      <c r="K947" s="9">
        <f t="shared" si="56"/>
        <v>104.3</v>
      </c>
      <c r="L947">
        <f t="shared" si="57"/>
        <v>55</v>
      </c>
      <c r="M947" s="9">
        <f t="shared" si="58"/>
        <v>49.3</v>
      </c>
      <c r="N947" t="str">
        <f t="shared" si="59"/>
        <v>Mar</v>
      </c>
    </row>
    <row r="948" spans="1:14" x14ac:dyDescent="0.3">
      <c r="A948" s="2" t="s">
        <v>1014</v>
      </c>
      <c r="B948" s="6">
        <v>45739</v>
      </c>
      <c r="C948" s="2" t="s">
        <v>41</v>
      </c>
      <c r="D948" s="2" t="s">
        <v>149</v>
      </c>
      <c r="E948" s="2">
        <v>3</v>
      </c>
      <c r="F948" s="7">
        <v>399</v>
      </c>
      <c r="G948" s="8">
        <v>0.05</v>
      </c>
      <c r="H948" s="9" t="str">
        <f>INDEX(Products!$B$2:$B$37, MATCH(D948, Products!$A$2:$A$37, 0))</f>
        <v>Blender Pro 1200W</v>
      </c>
      <c r="I948" t="str">
        <f>INDEX(Products!$C$2:$C$37, MATCH(D948, Products!$A$2:$A$37, 0))</f>
        <v>Home &amp; Kitchen</v>
      </c>
      <c r="J948">
        <f>INDEX(Products!$E$2:$E$37, MATCH(D948, Products!$A$2:$A$37, 0))</f>
        <v>250</v>
      </c>
      <c r="K948" s="9">
        <f t="shared" si="56"/>
        <v>1137.1499999999999</v>
      </c>
      <c r="L948">
        <f t="shared" si="57"/>
        <v>750</v>
      </c>
      <c r="M948" s="9">
        <f t="shared" si="58"/>
        <v>387.14999999999986</v>
      </c>
      <c r="N948" t="str">
        <f t="shared" si="59"/>
        <v>Mar</v>
      </c>
    </row>
    <row r="949" spans="1:14" x14ac:dyDescent="0.3">
      <c r="A949" s="2" t="s">
        <v>1015</v>
      </c>
      <c r="B949" s="6">
        <v>45739</v>
      </c>
      <c r="C949" s="2" t="s">
        <v>48</v>
      </c>
      <c r="D949" s="2" t="s">
        <v>78</v>
      </c>
      <c r="E949" s="2">
        <v>1</v>
      </c>
      <c r="F949" s="7">
        <v>499</v>
      </c>
      <c r="G949" s="8">
        <v>0</v>
      </c>
      <c r="H949" s="9" t="str">
        <f>INDEX(Products!$B$2:$B$37, MATCH(D949, Products!$A$2:$A$37, 0))</f>
        <v>Air Fryer 5L</v>
      </c>
      <c r="I949" t="str">
        <f>INDEX(Products!$C$2:$C$37, MATCH(D949, Products!$A$2:$A$37, 0))</f>
        <v>Home &amp; Kitchen</v>
      </c>
      <c r="J949">
        <f>INDEX(Products!$E$2:$E$37, MATCH(D949, Products!$A$2:$A$37, 0))</f>
        <v>290</v>
      </c>
      <c r="K949" s="9">
        <f t="shared" si="56"/>
        <v>499</v>
      </c>
      <c r="L949">
        <f t="shared" si="57"/>
        <v>290</v>
      </c>
      <c r="M949" s="9">
        <f t="shared" si="58"/>
        <v>209</v>
      </c>
      <c r="N949" t="str">
        <f t="shared" si="59"/>
        <v>Mar</v>
      </c>
    </row>
    <row r="950" spans="1:14" x14ac:dyDescent="0.3">
      <c r="A950" s="2" t="s">
        <v>1016</v>
      </c>
      <c r="B950" s="6">
        <v>45739</v>
      </c>
      <c r="C950" s="2" t="s">
        <v>31</v>
      </c>
      <c r="D950" s="2" t="s">
        <v>56</v>
      </c>
      <c r="E950" s="2">
        <v>2</v>
      </c>
      <c r="F950" s="7">
        <v>289</v>
      </c>
      <c r="G950" s="8">
        <v>0</v>
      </c>
      <c r="H950" s="9" t="str">
        <f>INDEX(Products!$B$2:$B$37, MATCH(D950, Products!$A$2:$A$37, 0))</f>
        <v>Ceramic Dinner Set</v>
      </c>
      <c r="I950" t="str">
        <f>INDEX(Products!$C$2:$C$37, MATCH(D950, Products!$A$2:$A$37, 0))</f>
        <v>Home &amp; Kitchen</v>
      </c>
      <c r="J950">
        <f>INDEX(Products!$E$2:$E$37, MATCH(D950, Products!$A$2:$A$37, 0))</f>
        <v>140</v>
      </c>
      <c r="K950" s="9">
        <f t="shared" si="56"/>
        <v>578</v>
      </c>
      <c r="L950">
        <f t="shared" si="57"/>
        <v>280</v>
      </c>
      <c r="M950" s="9">
        <f t="shared" si="58"/>
        <v>298</v>
      </c>
      <c r="N950" t="str">
        <f t="shared" si="59"/>
        <v>Mar</v>
      </c>
    </row>
    <row r="951" spans="1:14" x14ac:dyDescent="0.3">
      <c r="A951" s="2" t="s">
        <v>1017</v>
      </c>
      <c r="B951" s="6">
        <v>45739</v>
      </c>
      <c r="C951" s="2" t="s">
        <v>41</v>
      </c>
      <c r="D951" s="2" t="s">
        <v>29</v>
      </c>
      <c r="E951" s="2">
        <v>1</v>
      </c>
      <c r="F951" s="7">
        <v>229</v>
      </c>
      <c r="G951" s="8">
        <v>0.05</v>
      </c>
      <c r="H951" s="9" t="str">
        <f>INDEX(Products!$B$2:$B$37, MATCH(D951, Products!$A$2:$A$37, 0))</f>
        <v>Women's Summer Dress</v>
      </c>
      <c r="I951" t="str">
        <f>INDEX(Products!$C$2:$C$37, MATCH(D951, Products!$A$2:$A$37, 0))</f>
        <v>Fashion</v>
      </c>
      <c r="J951">
        <f>INDEX(Products!$E$2:$E$37, MATCH(D951, Products!$A$2:$A$37, 0))</f>
        <v>120</v>
      </c>
      <c r="K951" s="9">
        <f t="shared" si="56"/>
        <v>217.54999999999998</v>
      </c>
      <c r="L951">
        <f t="shared" si="57"/>
        <v>120</v>
      </c>
      <c r="M951" s="9">
        <f t="shared" si="58"/>
        <v>97.549999999999983</v>
      </c>
      <c r="N951" t="str">
        <f t="shared" si="59"/>
        <v>Mar</v>
      </c>
    </row>
    <row r="952" spans="1:14" x14ac:dyDescent="0.3">
      <c r="A952" s="2" t="s">
        <v>1018</v>
      </c>
      <c r="B952" s="6">
        <v>45739</v>
      </c>
      <c r="C952" s="2" t="s">
        <v>41</v>
      </c>
      <c r="D952" s="2" t="s">
        <v>106</v>
      </c>
      <c r="E952" s="2">
        <v>4</v>
      </c>
      <c r="F952" s="7">
        <v>1299</v>
      </c>
      <c r="G952" s="8">
        <v>0.2</v>
      </c>
      <c r="H952" s="9" t="str">
        <f>INDEX(Products!$B$2:$B$37, MATCH(D952, Products!$A$2:$A$37, 0))</f>
        <v>Smart Watch Series 5</v>
      </c>
      <c r="I952" t="str">
        <f>INDEX(Products!$C$2:$C$37, MATCH(D952, Products!$A$2:$A$37, 0))</f>
        <v>Electronics</v>
      </c>
      <c r="J952">
        <f>INDEX(Products!$E$2:$E$37, MATCH(D952, Products!$A$2:$A$37, 0))</f>
        <v>820</v>
      </c>
      <c r="K952" s="9">
        <f t="shared" si="56"/>
        <v>4156.8</v>
      </c>
      <c r="L952">
        <f t="shared" si="57"/>
        <v>3280</v>
      </c>
      <c r="M952" s="9">
        <f t="shared" si="58"/>
        <v>876.80000000000018</v>
      </c>
      <c r="N952" t="str">
        <f t="shared" si="59"/>
        <v>Mar</v>
      </c>
    </row>
    <row r="953" spans="1:14" x14ac:dyDescent="0.3">
      <c r="A953" s="2" t="s">
        <v>1019</v>
      </c>
      <c r="B953" s="6">
        <v>45739</v>
      </c>
      <c r="C953" s="2" t="s">
        <v>41</v>
      </c>
      <c r="D953" s="2" t="s">
        <v>58</v>
      </c>
      <c r="E953" s="2">
        <v>1</v>
      </c>
      <c r="F953" s="7">
        <v>459</v>
      </c>
      <c r="G953" s="8">
        <v>0.1</v>
      </c>
      <c r="H953" s="9" t="str">
        <f>INDEX(Products!$B$2:$B$37, MATCH(D953, Products!$A$2:$A$37, 0))</f>
        <v>Women's Abaya Classic</v>
      </c>
      <c r="I953" t="str">
        <f>INDEX(Products!$C$2:$C$37, MATCH(D953, Products!$A$2:$A$37, 0))</f>
        <v>Fashion</v>
      </c>
      <c r="J953">
        <f>INDEX(Products!$E$2:$E$37, MATCH(D953, Products!$A$2:$A$37, 0))</f>
        <v>190</v>
      </c>
      <c r="K953" s="9">
        <f t="shared" si="56"/>
        <v>413.1</v>
      </c>
      <c r="L953">
        <f t="shared" si="57"/>
        <v>190</v>
      </c>
      <c r="M953" s="9">
        <f t="shared" si="58"/>
        <v>223.10000000000002</v>
      </c>
      <c r="N953" t="str">
        <f t="shared" si="59"/>
        <v>Mar</v>
      </c>
    </row>
    <row r="954" spans="1:14" x14ac:dyDescent="0.3">
      <c r="A954" s="2" t="s">
        <v>1020</v>
      </c>
      <c r="B954" s="6">
        <v>45739</v>
      </c>
      <c r="C954" s="2" t="s">
        <v>28</v>
      </c>
      <c r="D954" s="2" t="s">
        <v>194</v>
      </c>
      <c r="E954" s="2">
        <v>3</v>
      </c>
      <c r="F954" s="7">
        <v>699</v>
      </c>
      <c r="G954" s="8">
        <v>0.2</v>
      </c>
      <c r="H954" s="9" t="str">
        <f>INDEX(Products!$B$2:$B$37, MATCH(D954, Products!$A$2:$A$37, 0))</f>
        <v>Leather Handbag</v>
      </c>
      <c r="I954" t="str">
        <f>INDEX(Products!$C$2:$C$37, MATCH(D954, Products!$A$2:$A$37, 0))</f>
        <v>Fashion</v>
      </c>
      <c r="J954">
        <f>INDEX(Products!$E$2:$E$37, MATCH(D954, Products!$A$2:$A$37, 0))</f>
        <v>380</v>
      </c>
      <c r="K954" s="9">
        <f t="shared" si="56"/>
        <v>1677.6000000000001</v>
      </c>
      <c r="L954">
        <f t="shared" si="57"/>
        <v>1140</v>
      </c>
      <c r="M954" s="9">
        <f t="shared" si="58"/>
        <v>537.60000000000014</v>
      </c>
      <c r="N954" t="str">
        <f t="shared" si="59"/>
        <v>Mar</v>
      </c>
    </row>
    <row r="955" spans="1:14" x14ac:dyDescent="0.3">
      <c r="A955" s="2" t="s">
        <v>1021</v>
      </c>
      <c r="B955" s="6">
        <v>45739</v>
      </c>
      <c r="C955" s="2" t="s">
        <v>48</v>
      </c>
      <c r="D955" s="2" t="s">
        <v>126</v>
      </c>
      <c r="E955" s="2">
        <v>1</v>
      </c>
      <c r="F955" s="7">
        <v>89</v>
      </c>
      <c r="G955" s="8">
        <v>0.1</v>
      </c>
      <c r="H955" s="9" t="str">
        <f>INDEX(Products!$B$2:$B$37, MATCH(D955, Products!$A$2:$A$37, 0))</f>
        <v>USB-C Fast Charger</v>
      </c>
      <c r="I955" t="str">
        <f>INDEX(Products!$C$2:$C$37, MATCH(D955, Products!$A$2:$A$37, 0))</f>
        <v>Electronics</v>
      </c>
      <c r="J955">
        <f>INDEX(Products!$E$2:$E$37, MATCH(D955, Products!$A$2:$A$37, 0))</f>
        <v>35</v>
      </c>
      <c r="K955" s="9">
        <f t="shared" si="56"/>
        <v>80.100000000000009</v>
      </c>
      <c r="L955">
        <f t="shared" si="57"/>
        <v>35</v>
      </c>
      <c r="M955" s="9">
        <f t="shared" si="58"/>
        <v>45.100000000000009</v>
      </c>
      <c r="N955" t="str">
        <f t="shared" si="59"/>
        <v>Mar</v>
      </c>
    </row>
    <row r="956" spans="1:14" x14ac:dyDescent="0.3">
      <c r="A956" s="2" t="s">
        <v>1022</v>
      </c>
      <c r="B956" s="6">
        <v>45739</v>
      </c>
      <c r="C956" s="2" t="s">
        <v>44</v>
      </c>
      <c r="D956" s="2" t="s">
        <v>95</v>
      </c>
      <c r="E956" s="2">
        <v>1</v>
      </c>
      <c r="F956" s="7">
        <v>259</v>
      </c>
      <c r="G956" s="8">
        <v>0.1</v>
      </c>
      <c r="H956" s="9" t="str">
        <f>INDEX(Products!$B$2:$B$37, MATCH(D956, Products!$A$2:$A$37, 0))</f>
        <v>Bed Linen Set (King)</v>
      </c>
      <c r="I956" t="str">
        <f>INDEX(Products!$C$2:$C$37, MATCH(D956, Products!$A$2:$A$37, 0))</f>
        <v>Home &amp; Kitchen</v>
      </c>
      <c r="J956">
        <f>INDEX(Products!$E$2:$E$37, MATCH(D956, Products!$A$2:$A$37, 0))</f>
        <v>115</v>
      </c>
      <c r="K956" s="9">
        <f t="shared" si="56"/>
        <v>233.1</v>
      </c>
      <c r="L956">
        <f t="shared" si="57"/>
        <v>115</v>
      </c>
      <c r="M956" s="9">
        <f t="shared" si="58"/>
        <v>118.1</v>
      </c>
      <c r="N956" t="str">
        <f t="shared" si="59"/>
        <v>Mar</v>
      </c>
    </row>
    <row r="957" spans="1:14" x14ac:dyDescent="0.3">
      <c r="A957" s="2" t="s">
        <v>1023</v>
      </c>
      <c r="B957" s="6">
        <v>45739</v>
      </c>
      <c r="C957" s="2" t="s">
        <v>44</v>
      </c>
      <c r="D957" s="2" t="s">
        <v>56</v>
      </c>
      <c r="E957" s="2">
        <v>1</v>
      </c>
      <c r="F957" s="7">
        <v>289</v>
      </c>
      <c r="G957" s="8">
        <v>0.05</v>
      </c>
      <c r="H957" s="9" t="str">
        <f>INDEX(Products!$B$2:$B$37, MATCH(D957, Products!$A$2:$A$37, 0))</f>
        <v>Ceramic Dinner Set</v>
      </c>
      <c r="I957" t="str">
        <f>INDEX(Products!$C$2:$C$37, MATCH(D957, Products!$A$2:$A$37, 0))</f>
        <v>Home &amp; Kitchen</v>
      </c>
      <c r="J957">
        <f>INDEX(Products!$E$2:$E$37, MATCH(D957, Products!$A$2:$A$37, 0))</f>
        <v>140</v>
      </c>
      <c r="K957" s="9">
        <f t="shared" si="56"/>
        <v>274.55</v>
      </c>
      <c r="L957">
        <f t="shared" si="57"/>
        <v>140</v>
      </c>
      <c r="M957" s="9">
        <f t="shared" si="58"/>
        <v>134.55000000000001</v>
      </c>
      <c r="N957" t="str">
        <f t="shared" si="59"/>
        <v>Mar</v>
      </c>
    </row>
    <row r="958" spans="1:14" x14ac:dyDescent="0.3">
      <c r="A958" s="2" t="s">
        <v>1024</v>
      </c>
      <c r="B958" s="6">
        <v>45739</v>
      </c>
      <c r="C958" s="2" t="s">
        <v>48</v>
      </c>
      <c r="D958" s="2" t="s">
        <v>46</v>
      </c>
      <c r="E958" s="2">
        <v>3</v>
      </c>
      <c r="F958" s="7">
        <v>189</v>
      </c>
      <c r="G958" s="8">
        <v>0.05</v>
      </c>
      <c r="H958" s="9" t="str">
        <f>INDEX(Products!$B$2:$B$37, MATCH(D958, Products!$A$2:$A$37, 0))</f>
        <v>Makeup Palette</v>
      </c>
      <c r="I958" t="str">
        <f>INDEX(Products!$C$2:$C$37, MATCH(D958, Products!$A$2:$A$37, 0))</f>
        <v>Beauty</v>
      </c>
      <c r="J958">
        <f>INDEX(Products!$E$2:$E$37, MATCH(D958, Products!$A$2:$A$37, 0))</f>
        <v>85</v>
      </c>
      <c r="K958" s="9">
        <f t="shared" si="56"/>
        <v>538.65</v>
      </c>
      <c r="L958">
        <f t="shared" si="57"/>
        <v>255</v>
      </c>
      <c r="M958" s="9">
        <f t="shared" si="58"/>
        <v>283.64999999999998</v>
      </c>
      <c r="N958" t="str">
        <f t="shared" si="59"/>
        <v>Mar</v>
      </c>
    </row>
    <row r="959" spans="1:14" x14ac:dyDescent="0.3">
      <c r="A959" s="2" t="s">
        <v>1025</v>
      </c>
      <c r="B959" s="6">
        <v>45739</v>
      </c>
      <c r="C959" s="2" t="s">
        <v>28</v>
      </c>
      <c r="D959" s="2" t="s">
        <v>49</v>
      </c>
      <c r="E959" s="2">
        <v>3</v>
      </c>
      <c r="F959" s="7">
        <v>149</v>
      </c>
      <c r="G959" s="8">
        <v>0.1</v>
      </c>
      <c r="H959" s="9" t="str">
        <f>INDEX(Products!$B$2:$B$37, MATCH(D959, Products!$A$2:$A$37, 0))</f>
        <v>Kids' Sneakers</v>
      </c>
      <c r="I959" t="str">
        <f>INDEX(Products!$C$2:$C$37, MATCH(D959, Products!$A$2:$A$37, 0))</f>
        <v>Fashion</v>
      </c>
      <c r="J959">
        <f>INDEX(Products!$E$2:$E$37, MATCH(D959, Products!$A$2:$A$37, 0))</f>
        <v>80</v>
      </c>
      <c r="K959" s="9">
        <f t="shared" si="56"/>
        <v>402.3</v>
      </c>
      <c r="L959">
        <f t="shared" si="57"/>
        <v>240</v>
      </c>
      <c r="M959" s="9">
        <f t="shared" si="58"/>
        <v>162.30000000000001</v>
      </c>
      <c r="N959" t="str">
        <f t="shared" si="59"/>
        <v>Mar</v>
      </c>
    </row>
    <row r="960" spans="1:14" x14ac:dyDescent="0.3">
      <c r="A960" s="2" t="s">
        <v>1026</v>
      </c>
      <c r="B960" s="6">
        <v>45740</v>
      </c>
      <c r="C960" s="2" t="s">
        <v>28</v>
      </c>
      <c r="D960" s="2" t="s">
        <v>131</v>
      </c>
      <c r="E960" s="2">
        <v>2</v>
      </c>
      <c r="F960" s="7">
        <v>899</v>
      </c>
      <c r="G960" s="8">
        <v>0</v>
      </c>
      <c r="H960" s="9" t="str">
        <f>INDEX(Products!$B$2:$B$37, MATCH(D960, Products!$A$2:$A$37, 0))</f>
        <v>4K Action Camera</v>
      </c>
      <c r="I960" t="str">
        <f>INDEX(Products!$C$2:$C$37, MATCH(D960, Products!$A$2:$A$37, 0))</f>
        <v>Electronics</v>
      </c>
      <c r="J960">
        <f>INDEX(Products!$E$2:$E$37, MATCH(D960, Products!$A$2:$A$37, 0))</f>
        <v>610</v>
      </c>
      <c r="K960" s="9">
        <f t="shared" si="56"/>
        <v>1798</v>
      </c>
      <c r="L960">
        <f t="shared" si="57"/>
        <v>1220</v>
      </c>
      <c r="M960" s="9">
        <f t="shared" si="58"/>
        <v>578</v>
      </c>
      <c r="N960" t="str">
        <f t="shared" si="59"/>
        <v>Mar</v>
      </c>
    </row>
    <row r="961" spans="1:14" x14ac:dyDescent="0.3">
      <c r="A961" s="2" t="s">
        <v>1027</v>
      </c>
      <c r="B961" s="6">
        <v>45740</v>
      </c>
      <c r="C961" s="2" t="s">
        <v>28</v>
      </c>
      <c r="D961" s="2" t="s">
        <v>35</v>
      </c>
      <c r="E961" s="2">
        <v>1</v>
      </c>
      <c r="F961" s="7">
        <v>179</v>
      </c>
      <c r="G961" s="8">
        <v>0</v>
      </c>
      <c r="H961" s="9" t="str">
        <f>INDEX(Products!$B$2:$B$37, MATCH(D961, Products!$A$2:$A$37, 0))</f>
        <v>Men's Linen Shirt</v>
      </c>
      <c r="I961" t="str">
        <f>INDEX(Products!$C$2:$C$37, MATCH(D961, Products!$A$2:$A$37, 0))</f>
        <v>Fashion</v>
      </c>
      <c r="J961">
        <f>INDEX(Products!$E$2:$E$37, MATCH(D961, Products!$A$2:$A$37, 0))</f>
        <v>70</v>
      </c>
      <c r="K961" s="9">
        <f t="shared" si="56"/>
        <v>179</v>
      </c>
      <c r="L961">
        <f t="shared" si="57"/>
        <v>70</v>
      </c>
      <c r="M961" s="9">
        <f t="shared" si="58"/>
        <v>109</v>
      </c>
      <c r="N961" t="str">
        <f t="shared" si="59"/>
        <v>Mar</v>
      </c>
    </row>
    <row r="962" spans="1:14" x14ac:dyDescent="0.3">
      <c r="A962" s="2" t="s">
        <v>1028</v>
      </c>
      <c r="B962" s="6">
        <v>45740</v>
      </c>
      <c r="C962" s="2" t="s">
        <v>28</v>
      </c>
      <c r="D962" s="2" t="s">
        <v>39</v>
      </c>
      <c r="E962" s="2">
        <v>1</v>
      </c>
      <c r="F962" s="7">
        <v>199</v>
      </c>
      <c r="G962" s="8">
        <v>0.05</v>
      </c>
      <c r="H962" s="9" t="str">
        <f>INDEX(Products!$B$2:$B$37, MATCH(D962, Products!$A$2:$A$37, 0))</f>
        <v>Bakhoor Gift Set</v>
      </c>
      <c r="I962" t="str">
        <f>INDEX(Products!$C$2:$C$37, MATCH(D962, Products!$A$2:$A$37, 0))</f>
        <v>Beauty</v>
      </c>
      <c r="J962">
        <f>INDEX(Products!$E$2:$E$37, MATCH(D962, Products!$A$2:$A$37, 0))</f>
        <v>90</v>
      </c>
      <c r="K962" s="9">
        <f t="shared" ref="K962:K1025" si="60">E962*F962*(1-G962)</f>
        <v>189.04999999999998</v>
      </c>
      <c r="L962">
        <f t="shared" ref="L962:L1025" si="61">E962*J962</f>
        <v>90</v>
      </c>
      <c r="M962" s="9">
        <f t="shared" ref="M962:M1025" si="62">K962-L962</f>
        <v>99.049999999999983</v>
      </c>
      <c r="N962" t="str">
        <f t="shared" ref="N962:N1025" si="63">TEXT(B962,"mmm")</f>
        <v>Mar</v>
      </c>
    </row>
    <row r="963" spans="1:14" x14ac:dyDescent="0.3">
      <c r="A963" s="2" t="s">
        <v>1029</v>
      </c>
      <c r="B963" s="6">
        <v>45740</v>
      </c>
      <c r="C963" s="2" t="s">
        <v>41</v>
      </c>
      <c r="D963" s="2" t="s">
        <v>56</v>
      </c>
      <c r="E963" s="2">
        <v>1</v>
      </c>
      <c r="F963" s="7">
        <v>289</v>
      </c>
      <c r="G963" s="8">
        <v>0.05</v>
      </c>
      <c r="H963" s="9" t="str">
        <f>INDEX(Products!$B$2:$B$37, MATCH(D963, Products!$A$2:$A$37, 0))</f>
        <v>Ceramic Dinner Set</v>
      </c>
      <c r="I963" t="str">
        <f>INDEX(Products!$C$2:$C$37, MATCH(D963, Products!$A$2:$A$37, 0))</f>
        <v>Home &amp; Kitchen</v>
      </c>
      <c r="J963">
        <f>INDEX(Products!$E$2:$E$37, MATCH(D963, Products!$A$2:$A$37, 0))</f>
        <v>140</v>
      </c>
      <c r="K963" s="9">
        <f t="shared" si="60"/>
        <v>274.55</v>
      </c>
      <c r="L963">
        <f t="shared" si="61"/>
        <v>140</v>
      </c>
      <c r="M963" s="9">
        <f t="shared" si="62"/>
        <v>134.55000000000001</v>
      </c>
      <c r="N963" t="str">
        <f t="shared" si="63"/>
        <v>Mar</v>
      </c>
    </row>
    <row r="964" spans="1:14" x14ac:dyDescent="0.3">
      <c r="A964" s="2" t="s">
        <v>1030</v>
      </c>
      <c r="B964" s="6">
        <v>45740</v>
      </c>
      <c r="C964" s="2" t="s">
        <v>28</v>
      </c>
      <c r="D964" s="2" t="s">
        <v>83</v>
      </c>
      <c r="E964" s="2">
        <v>2</v>
      </c>
      <c r="F964" s="7">
        <v>229</v>
      </c>
      <c r="G964" s="8">
        <v>0.05</v>
      </c>
      <c r="H964" s="9" t="str">
        <f>INDEX(Products!$B$2:$B$37, MATCH(D964, Products!$A$2:$A$37, 0))</f>
        <v>Cycling Helmet</v>
      </c>
      <c r="I964" t="str">
        <f>INDEX(Products!$C$2:$C$37, MATCH(D964, Products!$A$2:$A$37, 0))</f>
        <v>Sports</v>
      </c>
      <c r="J964">
        <f>INDEX(Products!$E$2:$E$37, MATCH(D964, Products!$A$2:$A$37, 0))</f>
        <v>120</v>
      </c>
      <c r="K964" s="9">
        <f t="shared" si="60"/>
        <v>435.09999999999997</v>
      </c>
      <c r="L964">
        <f t="shared" si="61"/>
        <v>240</v>
      </c>
      <c r="M964" s="9">
        <f t="shared" si="62"/>
        <v>195.09999999999997</v>
      </c>
      <c r="N964" t="str">
        <f t="shared" si="63"/>
        <v>Mar</v>
      </c>
    </row>
    <row r="965" spans="1:14" x14ac:dyDescent="0.3">
      <c r="A965" s="2" t="s">
        <v>1031</v>
      </c>
      <c r="B965" s="6">
        <v>45740</v>
      </c>
      <c r="C965" s="2" t="s">
        <v>48</v>
      </c>
      <c r="D965" s="2" t="s">
        <v>103</v>
      </c>
      <c r="E965" s="2">
        <v>1</v>
      </c>
      <c r="F965" s="7">
        <v>89</v>
      </c>
      <c r="G965" s="8">
        <v>0.05</v>
      </c>
      <c r="H965" s="9" t="str">
        <f>INDEX(Products!$B$2:$B$37, MATCH(D965, Products!$A$2:$A$37, 0))</f>
        <v>Sunscreen SPF50</v>
      </c>
      <c r="I965" t="str">
        <f>INDEX(Products!$C$2:$C$37, MATCH(D965, Products!$A$2:$A$37, 0))</f>
        <v>Beauty</v>
      </c>
      <c r="J965">
        <f>INDEX(Products!$E$2:$E$37, MATCH(D965, Products!$A$2:$A$37, 0))</f>
        <v>40</v>
      </c>
      <c r="K965" s="9">
        <f t="shared" si="60"/>
        <v>84.55</v>
      </c>
      <c r="L965">
        <f t="shared" si="61"/>
        <v>40</v>
      </c>
      <c r="M965" s="9">
        <f t="shared" si="62"/>
        <v>44.55</v>
      </c>
      <c r="N965" t="str">
        <f t="shared" si="63"/>
        <v>Mar</v>
      </c>
    </row>
    <row r="966" spans="1:14" x14ac:dyDescent="0.3">
      <c r="A966" s="2" t="s">
        <v>1032</v>
      </c>
      <c r="B966" s="6">
        <v>45740</v>
      </c>
      <c r="C966" s="2" t="s">
        <v>28</v>
      </c>
      <c r="D966" s="2" t="s">
        <v>68</v>
      </c>
      <c r="E966" s="2">
        <v>1</v>
      </c>
      <c r="F966" s="7">
        <v>249</v>
      </c>
      <c r="G966" s="8">
        <v>0.3</v>
      </c>
      <c r="H966" s="9" t="str">
        <f>INDEX(Products!$B$2:$B$37, MATCH(D966, Products!$A$2:$A$37, 0))</f>
        <v>Bluetooth Speaker Mini</v>
      </c>
      <c r="I966" t="str">
        <f>INDEX(Products!$C$2:$C$37, MATCH(D966, Products!$A$2:$A$37, 0))</f>
        <v>Electronics</v>
      </c>
      <c r="J966">
        <f>INDEX(Products!$E$2:$E$37, MATCH(D966, Products!$A$2:$A$37, 0))</f>
        <v>150</v>
      </c>
      <c r="K966" s="9">
        <f t="shared" si="60"/>
        <v>174.29999999999998</v>
      </c>
      <c r="L966">
        <f t="shared" si="61"/>
        <v>150</v>
      </c>
      <c r="M966" s="9">
        <f t="shared" si="62"/>
        <v>24.299999999999983</v>
      </c>
      <c r="N966" t="str">
        <f t="shared" si="63"/>
        <v>Mar</v>
      </c>
    </row>
    <row r="967" spans="1:14" x14ac:dyDescent="0.3">
      <c r="A967" s="2" t="s">
        <v>1033</v>
      </c>
      <c r="B967" s="6">
        <v>45740</v>
      </c>
      <c r="C967" s="2" t="s">
        <v>31</v>
      </c>
      <c r="D967" s="2" t="s">
        <v>39</v>
      </c>
      <c r="E967" s="2">
        <v>2</v>
      </c>
      <c r="F967" s="7">
        <v>199</v>
      </c>
      <c r="G967" s="8">
        <v>0.05</v>
      </c>
      <c r="H967" s="9" t="str">
        <f>INDEX(Products!$B$2:$B$37, MATCH(D967, Products!$A$2:$A$37, 0))</f>
        <v>Bakhoor Gift Set</v>
      </c>
      <c r="I967" t="str">
        <f>INDEX(Products!$C$2:$C$37, MATCH(D967, Products!$A$2:$A$37, 0))</f>
        <v>Beauty</v>
      </c>
      <c r="J967">
        <f>INDEX(Products!$E$2:$E$37, MATCH(D967, Products!$A$2:$A$37, 0))</f>
        <v>90</v>
      </c>
      <c r="K967" s="9">
        <f t="shared" si="60"/>
        <v>378.09999999999997</v>
      </c>
      <c r="L967">
        <f t="shared" si="61"/>
        <v>180</v>
      </c>
      <c r="M967" s="9">
        <f t="shared" si="62"/>
        <v>198.09999999999997</v>
      </c>
      <c r="N967" t="str">
        <f t="shared" si="63"/>
        <v>Mar</v>
      </c>
    </row>
    <row r="968" spans="1:14" x14ac:dyDescent="0.3">
      <c r="A968" s="2" t="s">
        <v>1034</v>
      </c>
      <c r="B968" s="6">
        <v>45741</v>
      </c>
      <c r="C968" s="2" t="s">
        <v>28</v>
      </c>
      <c r="D968" s="2" t="s">
        <v>58</v>
      </c>
      <c r="E968" s="2">
        <v>1</v>
      </c>
      <c r="F968" s="7">
        <v>459</v>
      </c>
      <c r="G968" s="8">
        <v>0.15</v>
      </c>
      <c r="H968" s="9" t="str">
        <f>INDEX(Products!$B$2:$B$37, MATCH(D968, Products!$A$2:$A$37, 0))</f>
        <v>Women's Abaya Classic</v>
      </c>
      <c r="I968" t="str">
        <f>INDEX(Products!$C$2:$C$37, MATCH(D968, Products!$A$2:$A$37, 0))</f>
        <v>Fashion</v>
      </c>
      <c r="J968">
        <f>INDEX(Products!$E$2:$E$37, MATCH(D968, Products!$A$2:$A$37, 0))</f>
        <v>190</v>
      </c>
      <c r="K968" s="9">
        <f t="shared" si="60"/>
        <v>390.15</v>
      </c>
      <c r="L968">
        <f t="shared" si="61"/>
        <v>190</v>
      </c>
      <c r="M968" s="9">
        <f t="shared" si="62"/>
        <v>200.14999999999998</v>
      </c>
      <c r="N968" t="str">
        <f t="shared" si="63"/>
        <v>Mar</v>
      </c>
    </row>
    <row r="969" spans="1:14" x14ac:dyDescent="0.3">
      <c r="A969" s="2" t="s">
        <v>1035</v>
      </c>
      <c r="B969" s="6">
        <v>45741</v>
      </c>
      <c r="C969" s="2" t="s">
        <v>48</v>
      </c>
      <c r="D969" s="2" t="s">
        <v>49</v>
      </c>
      <c r="E969" s="2">
        <v>1</v>
      </c>
      <c r="F969" s="7">
        <v>149</v>
      </c>
      <c r="G969" s="8">
        <v>0</v>
      </c>
      <c r="H969" s="9" t="str">
        <f>INDEX(Products!$B$2:$B$37, MATCH(D969, Products!$A$2:$A$37, 0))</f>
        <v>Kids' Sneakers</v>
      </c>
      <c r="I969" t="str">
        <f>INDEX(Products!$C$2:$C$37, MATCH(D969, Products!$A$2:$A$37, 0))</f>
        <v>Fashion</v>
      </c>
      <c r="J969">
        <f>INDEX(Products!$E$2:$E$37, MATCH(D969, Products!$A$2:$A$37, 0))</f>
        <v>80</v>
      </c>
      <c r="K969" s="9">
        <f t="shared" si="60"/>
        <v>149</v>
      </c>
      <c r="L969">
        <f t="shared" si="61"/>
        <v>80</v>
      </c>
      <c r="M969" s="9">
        <f t="shared" si="62"/>
        <v>69</v>
      </c>
      <c r="N969" t="str">
        <f t="shared" si="63"/>
        <v>Mar</v>
      </c>
    </row>
    <row r="970" spans="1:14" x14ac:dyDescent="0.3">
      <c r="A970" s="2" t="s">
        <v>1036</v>
      </c>
      <c r="B970" s="6">
        <v>45741</v>
      </c>
      <c r="C970" s="2" t="s">
        <v>48</v>
      </c>
      <c r="D970" s="2" t="s">
        <v>58</v>
      </c>
      <c r="E970" s="2">
        <v>3</v>
      </c>
      <c r="F970" s="7">
        <v>459</v>
      </c>
      <c r="G970" s="8">
        <v>0.15</v>
      </c>
      <c r="H970" s="9" t="str">
        <f>INDEX(Products!$B$2:$B$37, MATCH(D970, Products!$A$2:$A$37, 0))</f>
        <v>Women's Abaya Classic</v>
      </c>
      <c r="I970" t="str">
        <f>INDEX(Products!$C$2:$C$37, MATCH(D970, Products!$A$2:$A$37, 0))</f>
        <v>Fashion</v>
      </c>
      <c r="J970">
        <f>INDEX(Products!$E$2:$E$37, MATCH(D970, Products!$A$2:$A$37, 0))</f>
        <v>190</v>
      </c>
      <c r="K970" s="9">
        <f t="shared" si="60"/>
        <v>1170.45</v>
      </c>
      <c r="L970">
        <f t="shared" si="61"/>
        <v>570</v>
      </c>
      <c r="M970" s="9">
        <f t="shared" si="62"/>
        <v>600.45000000000005</v>
      </c>
      <c r="N970" t="str">
        <f t="shared" si="63"/>
        <v>Mar</v>
      </c>
    </row>
    <row r="971" spans="1:14" x14ac:dyDescent="0.3">
      <c r="A971" s="2" t="s">
        <v>1037</v>
      </c>
      <c r="B971" s="6">
        <v>45741</v>
      </c>
      <c r="C971" s="2" t="s">
        <v>48</v>
      </c>
      <c r="D971" s="2" t="s">
        <v>75</v>
      </c>
      <c r="E971" s="2">
        <v>3</v>
      </c>
      <c r="F971" s="7">
        <v>549</v>
      </c>
      <c r="G971" s="8">
        <v>0.2</v>
      </c>
      <c r="H971" s="9" t="str">
        <f>INDEX(Products!$B$2:$B$37, MATCH(D971, Products!$A$2:$A$37, 0))</f>
        <v>Oud Perfume 100ml</v>
      </c>
      <c r="I971" t="str">
        <f>INDEX(Products!$C$2:$C$37, MATCH(D971, Products!$A$2:$A$37, 0))</f>
        <v>Beauty</v>
      </c>
      <c r="J971">
        <f>INDEX(Products!$E$2:$E$37, MATCH(D971, Products!$A$2:$A$37, 0))</f>
        <v>250</v>
      </c>
      <c r="K971" s="9">
        <f t="shared" si="60"/>
        <v>1317.6000000000001</v>
      </c>
      <c r="L971">
        <f t="shared" si="61"/>
        <v>750</v>
      </c>
      <c r="M971" s="9">
        <f t="shared" si="62"/>
        <v>567.60000000000014</v>
      </c>
      <c r="N971" t="str">
        <f t="shared" si="63"/>
        <v>Mar</v>
      </c>
    </row>
    <row r="972" spans="1:14" x14ac:dyDescent="0.3">
      <c r="A972" s="2" t="s">
        <v>1038</v>
      </c>
      <c r="B972" s="6">
        <v>45741</v>
      </c>
      <c r="C972" s="2" t="s">
        <v>48</v>
      </c>
      <c r="D972" s="2" t="s">
        <v>60</v>
      </c>
      <c r="E972" s="2">
        <v>1</v>
      </c>
      <c r="F972" s="7">
        <v>99</v>
      </c>
      <c r="G972" s="8">
        <v>0</v>
      </c>
      <c r="H972" s="9" t="str">
        <f>INDEX(Products!$B$2:$B$37, MATCH(D972, Products!$A$2:$A$37, 0))</f>
        <v>Football Size 5</v>
      </c>
      <c r="I972" t="str">
        <f>INDEX(Products!$C$2:$C$37, MATCH(D972, Products!$A$2:$A$37, 0))</f>
        <v>Sports</v>
      </c>
      <c r="J972">
        <f>INDEX(Products!$E$2:$E$37, MATCH(D972, Products!$A$2:$A$37, 0))</f>
        <v>45</v>
      </c>
      <c r="K972" s="9">
        <f t="shared" si="60"/>
        <v>99</v>
      </c>
      <c r="L972">
        <f t="shared" si="61"/>
        <v>45</v>
      </c>
      <c r="M972" s="9">
        <f t="shared" si="62"/>
        <v>54</v>
      </c>
      <c r="N972" t="str">
        <f t="shared" si="63"/>
        <v>Mar</v>
      </c>
    </row>
    <row r="973" spans="1:14" x14ac:dyDescent="0.3">
      <c r="A973" s="2" t="s">
        <v>1039</v>
      </c>
      <c r="B973" s="6">
        <v>45741</v>
      </c>
      <c r="C973" s="2" t="s">
        <v>31</v>
      </c>
      <c r="D973" s="2" t="s">
        <v>149</v>
      </c>
      <c r="E973" s="2">
        <v>2</v>
      </c>
      <c r="F973" s="7">
        <v>399</v>
      </c>
      <c r="G973" s="8">
        <v>0.1</v>
      </c>
      <c r="H973" s="9" t="str">
        <f>INDEX(Products!$B$2:$B$37, MATCH(D973, Products!$A$2:$A$37, 0))</f>
        <v>Blender Pro 1200W</v>
      </c>
      <c r="I973" t="str">
        <f>INDEX(Products!$C$2:$C$37, MATCH(D973, Products!$A$2:$A$37, 0))</f>
        <v>Home &amp; Kitchen</v>
      </c>
      <c r="J973">
        <f>INDEX(Products!$E$2:$E$37, MATCH(D973, Products!$A$2:$A$37, 0))</f>
        <v>250</v>
      </c>
      <c r="K973" s="9">
        <f t="shared" si="60"/>
        <v>718.2</v>
      </c>
      <c r="L973">
        <f t="shared" si="61"/>
        <v>500</v>
      </c>
      <c r="M973" s="9">
        <f t="shared" si="62"/>
        <v>218.20000000000005</v>
      </c>
      <c r="N973" t="str">
        <f t="shared" si="63"/>
        <v>Mar</v>
      </c>
    </row>
    <row r="974" spans="1:14" x14ac:dyDescent="0.3">
      <c r="A974" s="2" t="s">
        <v>1040</v>
      </c>
      <c r="B974" s="6">
        <v>45741</v>
      </c>
      <c r="C974" s="2" t="s">
        <v>41</v>
      </c>
      <c r="D974" s="2" t="s">
        <v>65</v>
      </c>
      <c r="E974" s="2">
        <v>1</v>
      </c>
      <c r="F974" s="7">
        <v>129</v>
      </c>
      <c r="G974" s="8">
        <v>0.15</v>
      </c>
      <c r="H974" s="9" t="str">
        <f>INDEX(Products!$B$2:$B$37, MATCH(D974, Products!$A$2:$A$37, 0))</f>
        <v>Yoga Mat Premium</v>
      </c>
      <c r="I974" t="str">
        <f>INDEX(Products!$C$2:$C$37, MATCH(D974, Products!$A$2:$A$37, 0))</f>
        <v>Sports</v>
      </c>
      <c r="J974">
        <f>INDEX(Products!$E$2:$E$37, MATCH(D974, Products!$A$2:$A$37, 0))</f>
        <v>60</v>
      </c>
      <c r="K974" s="9">
        <f t="shared" si="60"/>
        <v>109.64999999999999</v>
      </c>
      <c r="L974">
        <f t="shared" si="61"/>
        <v>60</v>
      </c>
      <c r="M974" s="9">
        <f t="shared" si="62"/>
        <v>49.649999999999991</v>
      </c>
      <c r="N974" t="str">
        <f t="shared" si="63"/>
        <v>Mar</v>
      </c>
    </row>
    <row r="975" spans="1:14" x14ac:dyDescent="0.3">
      <c r="A975" s="2" t="s">
        <v>1041</v>
      </c>
      <c r="B975" s="6">
        <v>45741</v>
      </c>
      <c r="C975" s="2" t="s">
        <v>31</v>
      </c>
      <c r="D975" s="2" t="s">
        <v>131</v>
      </c>
      <c r="E975" s="2">
        <v>1</v>
      </c>
      <c r="F975" s="7">
        <v>899</v>
      </c>
      <c r="G975" s="8">
        <v>0.15</v>
      </c>
      <c r="H975" s="9" t="str">
        <f>INDEX(Products!$B$2:$B$37, MATCH(D975, Products!$A$2:$A$37, 0))</f>
        <v>4K Action Camera</v>
      </c>
      <c r="I975" t="str">
        <f>INDEX(Products!$C$2:$C$37, MATCH(D975, Products!$A$2:$A$37, 0))</f>
        <v>Electronics</v>
      </c>
      <c r="J975">
        <f>INDEX(Products!$E$2:$E$37, MATCH(D975, Products!$A$2:$A$37, 0))</f>
        <v>610</v>
      </c>
      <c r="K975" s="9">
        <f t="shared" si="60"/>
        <v>764.15</v>
      </c>
      <c r="L975">
        <f t="shared" si="61"/>
        <v>610</v>
      </c>
      <c r="M975" s="9">
        <f t="shared" si="62"/>
        <v>154.14999999999998</v>
      </c>
      <c r="N975" t="str">
        <f t="shared" si="63"/>
        <v>Mar</v>
      </c>
    </row>
    <row r="976" spans="1:14" x14ac:dyDescent="0.3">
      <c r="A976" s="2" t="s">
        <v>1042</v>
      </c>
      <c r="B976" s="6">
        <v>45741</v>
      </c>
      <c r="C976" s="2" t="s">
        <v>44</v>
      </c>
      <c r="D976" s="2" t="s">
        <v>165</v>
      </c>
      <c r="E976" s="2">
        <v>1</v>
      </c>
      <c r="F976" s="7">
        <v>69</v>
      </c>
      <c r="G976" s="8">
        <v>0</v>
      </c>
      <c r="H976" s="9" t="str">
        <f>INDEX(Products!$B$2:$B$37, MATCH(D976, Products!$A$2:$A$37, 0))</f>
        <v>Swim Goggles</v>
      </c>
      <c r="I976" t="str">
        <f>INDEX(Products!$C$2:$C$37, MATCH(D976, Products!$A$2:$A$37, 0))</f>
        <v>Sports</v>
      </c>
      <c r="J976">
        <f>INDEX(Products!$E$2:$E$37, MATCH(D976, Products!$A$2:$A$37, 0))</f>
        <v>25</v>
      </c>
      <c r="K976" s="9">
        <f t="shared" si="60"/>
        <v>69</v>
      </c>
      <c r="L976">
        <f t="shared" si="61"/>
        <v>25</v>
      </c>
      <c r="M976" s="9">
        <f t="shared" si="62"/>
        <v>44</v>
      </c>
      <c r="N976" t="str">
        <f t="shared" si="63"/>
        <v>Mar</v>
      </c>
    </row>
    <row r="977" spans="1:14" x14ac:dyDescent="0.3">
      <c r="A977" s="2" t="s">
        <v>1043</v>
      </c>
      <c r="B977" s="6">
        <v>45741</v>
      </c>
      <c r="C977" s="2" t="s">
        <v>41</v>
      </c>
      <c r="D977" s="2" t="s">
        <v>194</v>
      </c>
      <c r="E977" s="2">
        <v>1</v>
      </c>
      <c r="F977" s="7">
        <v>699</v>
      </c>
      <c r="G977" s="8">
        <v>0.1</v>
      </c>
      <c r="H977" s="9" t="str">
        <f>INDEX(Products!$B$2:$B$37, MATCH(D977, Products!$A$2:$A$37, 0))</f>
        <v>Leather Handbag</v>
      </c>
      <c r="I977" t="str">
        <f>INDEX(Products!$C$2:$C$37, MATCH(D977, Products!$A$2:$A$37, 0))</f>
        <v>Fashion</v>
      </c>
      <c r="J977">
        <f>INDEX(Products!$E$2:$E$37, MATCH(D977, Products!$A$2:$A$37, 0))</f>
        <v>380</v>
      </c>
      <c r="K977" s="9">
        <f t="shared" si="60"/>
        <v>629.1</v>
      </c>
      <c r="L977">
        <f t="shared" si="61"/>
        <v>380</v>
      </c>
      <c r="M977" s="9">
        <f t="shared" si="62"/>
        <v>249.10000000000002</v>
      </c>
      <c r="N977" t="str">
        <f t="shared" si="63"/>
        <v>Mar</v>
      </c>
    </row>
    <row r="978" spans="1:14" x14ac:dyDescent="0.3">
      <c r="A978" s="2" t="s">
        <v>1044</v>
      </c>
      <c r="B978" s="6">
        <v>45741</v>
      </c>
      <c r="C978" s="2" t="s">
        <v>28</v>
      </c>
      <c r="D978" s="2" t="s">
        <v>129</v>
      </c>
      <c r="E978" s="2">
        <v>1</v>
      </c>
      <c r="F978" s="7">
        <v>149</v>
      </c>
      <c r="G978" s="8">
        <v>0</v>
      </c>
      <c r="H978" s="9" t="str">
        <f>INDEX(Products!$B$2:$B$37, MATCH(D978, Products!$A$2:$A$37, 0))</f>
        <v>Power Bank 20000mAh</v>
      </c>
      <c r="I978" t="str">
        <f>INDEX(Products!$C$2:$C$37, MATCH(D978, Products!$A$2:$A$37, 0))</f>
        <v>Electronics</v>
      </c>
      <c r="J978">
        <f>INDEX(Products!$E$2:$E$37, MATCH(D978, Products!$A$2:$A$37, 0))</f>
        <v>70</v>
      </c>
      <c r="K978" s="9">
        <f t="shared" si="60"/>
        <v>149</v>
      </c>
      <c r="L978">
        <f t="shared" si="61"/>
        <v>70</v>
      </c>
      <c r="M978" s="9">
        <f t="shared" si="62"/>
        <v>79</v>
      </c>
      <c r="N978" t="str">
        <f t="shared" si="63"/>
        <v>Mar</v>
      </c>
    </row>
    <row r="979" spans="1:14" x14ac:dyDescent="0.3">
      <c r="A979" s="2" t="s">
        <v>1045</v>
      </c>
      <c r="B979" s="6">
        <v>45741</v>
      </c>
      <c r="C979" s="2" t="s">
        <v>28</v>
      </c>
      <c r="D979" s="2" t="s">
        <v>60</v>
      </c>
      <c r="E979" s="2">
        <v>1</v>
      </c>
      <c r="F979" s="7">
        <v>99</v>
      </c>
      <c r="G979" s="8">
        <v>0.05</v>
      </c>
      <c r="H979" s="9" t="str">
        <f>INDEX(Products!$B$2:$B$37, MATCH(D979, Products!$A$2:$A$37, 0))</f>
        <v>Football Size 5</v>
      </c>
      <c r="I979" t="str">
        <f>INDEX(Products!$C$2:$C$37, MATCH(D979, Products!$A$2:$A$37, 0))</f>
        <v>Sports</v>
      </c>
      <c r="J979">
        <f>INDEX(Products!$E$2:$E$37, MATCH(D979, Products!$A$2:$A$37, 0))</f>
        <v>45</v>
      </c>
      <c r="K979" s="9">
        <f t="shared" si="60"/>
        <v>94.05</v>
      </c>
      <c r="L979">
        <f t="shared" si="61"/>
        <v>45</v>
      </c>
      <c r="M979" s="9">
        <f t="shared" si="62"/>
        <v>49.05</v>
      </c>
      <c r="N979" t="str">
        <f t="shared" si="63"/>
        <v>Mar</v>
      </c>
    </row>
    <row r="980" spans="1:14" x14ac:dyDescent="0.3">
      <c r="A980" s="2" t="s">
        <v>1046</v>
      </c>
      <c r="B980" s="6">
        <v>45742</v>
      </c>
      <c r="C980" s="2" t="s">
        <v>28</v>
      </c>
      <c r="D980" s="2" t="s">
        <v>33</v>
      </c>
      <c r="E980" s="2">
        <v>2</v>
      </c>
      <c r="F980" s="7">
        <v>199</v>
      </c>
      <c r="G980" s="8">
        <v>0.15</v>
      </c>
      <c r="H980" s="9" t="str">
        <f>INDEX(Products!$B$2:$B$37, MATCH(D980, Products!$A$2:$A$37, 0))</f>
        <v>Fitness Band Lite</v>
      </c>
      <c r="I980" t="str">
        <f>INDEX(Products!$C$2:$C$37, MATCH(D980, Products!$A$2:$A$37, 0))</f>
        <v>Electronics</v>
      </c>
      <c r="J980">
        <f>INDEX(Products!$E$2:$E$37, MATCH(D980, Products!$A$2:$A$37, 0))</f>
        <v>175</v>
      </c>
      <c r="K980" s="9">
        <f t="shared" si="60"/>
        <v>338.3</v>
      </c>
      <c r="L980">
        <f t="shared" si="61"/>
        <v>350</v>
      </c>
      <c r="M980" s="9">
        <f t="shared" si="62"/>
        <v>-11.699999999999989</v>
      </c>
      <c r="N980" t="str">
        <f t="shared" si="63"/>
        <v>Mar</v>
      </c>
    </row>
    <row r="981" spans="1:14" x14ac:dyDescent="0.3">
      <c r="A981" s="2" t="s">
        <v>1047</v>
      </c>
      <c r="B981" s="6">
        <v>45742</v>
      </c>
      <c r="C981" s="2" t="s">
        <v>44</v>
      </c>
      <c r="D981" s="2" t="s">
        <v>68</v>
      </c>
      <c r="E981" s="2">
        <v>2</v>
      </c>
      <c r="F981" s="7">
        <v>249</v>
      </c>
      <c r="G981" s="8">
        <v>0</v>
      </c>
      <c r="H981" s="9" t="str">
        <f>INDEX(Products!$B$2:$B$37, MATCH(D981, Products!$A$2:$A$37, 0))</f>
        <v>Bluetooth Speaker Mini</v>
      </c>
      <c r="I981" t="str">
        <f>INDEX(Products!$C$2:$C$37, MATCH(D981, Products!$A$2:$A$37, 0))</f>
        <v>Electronics</v>
      </c>
      <c r="J981">
        <f>INDEX(Products!$E$2:$E$37, MATCH(D981, Products!$A$2:$A$37, 0))</f>
        <v>150</v>
      </c>
      <c r="K981" s="9">
        <f t="shared" si="60"/>
        <v>498</v>
      </c>
      <c r="L981">
        <f t="shared" si="61"/>
        <v>300</v>
      </c>
      <c r="M981" s="9">
        <f t="shared" si="62"/>
        <v>198</v>
      </c>
      <c r="N981" t="str">
        <f t="shared" si="63"/>
        <v>Mar</v>
      </c>
    </row>
    <row r="982" spans="1:14" x14ac:dyDescent="0.3">
      <c r="A982" s="2" t="s">
        <v>1048</v>
      </c>
      <c r="B982" s="6">
        <v>45742</v>
      </c>
      <c r="C982" s="2" t="s">
        <v>41</v>
      </c>
      <c r="D982" s="2" t="s">
        <v>115</v>
      </c>
      <c r="E982" s="2">
        <v>1</v>
      </c>
      <c r="F982" s="7">
        <v>129</v>
      </c>
      <c r="G982" s="8">
        <v>0.15</v>
      </c>
      <c r="H982" s="9" t="str">
        <f>INDEX(Products!$B$2:$B$37, MATCH(D982, Products!$A$2:$A$37, 0))</f>
        <v>Electric Kettle</v>
      </c>
      <c r="I982" t="str">
        <f>INDEX(Products!$C$2:$C$37, MATCH(D982, Products!$A$2:$A$37, 0))</f>
        <v>Home &amp; Kitchen</v>
      </c>
      <c r="J982">
        <f>INDEX(Products!$E$2:$E$37, MATCH(D982, Products!$A$2:$A$37, 0))</f>
        <v>60</v>
      </c>
      <c r="K982" s="9">
        <f t="shared" si="60"/>
        <v>109.64999999999999</v>
      </c>
      <c r="L982">
        <f t="shared" si="61"/>
        <v>60</v>
      </c>
      <c r="M982" s="9">
        <f t="shared" si="62"/>
        <v>49.649999999999991</v>
      </c>
      <c r="N982" t="str">
        <f t="shared" si="63"/>
        <v>Mar</v>
      </c>
    </row>
    <row r="983" spans="1:14" x14ac:dyDescent="0.3">
      <c r="A983" s="2" t="s">
        <v>1049</v>
      </c>
      <c r="B983" s="6">
        <v>45742</v>
      </c>
      <c r="C983" s="2" t="s">
        <v>48</v>
      </c>
      <c r="D983" s="2" t="s">
        <v>194</v>
      </c>
      <c r="E983" s="2">
        <v>2</v>
      </c>
      <c r="F983" s="7">
        <v>699</v>
      </c>
      <c r="G983" s="8">
        <v>0</v>
      </c>
      <c r="H983" s="9" t="str">
        <f>INDEX(Products!$B$2:$B$37, MATCH(D983, Products!$A$2:$A$37, 0))</f>
        <v>Leather Handbag</v>
      </c>
      <c r="I983" t="str">
        <f>INDEX(Products!$C$2:$C$37, MATCH(D983, Products!$A$2:$A$37, 0))</f>
        <v>Fashion</v>
      </c>
      <c r="J983">
        <f>INDEX(Products!$E$2:$E$37, MATCH(D983, Products!$A$2:$A$37, 0))</f>
        <v>380</v>
      </c>
      <c r="K983" s="9">
        <f t="shared" si="60"/>
        <v>1398</v>
      </c>
      <c r="L983">
        <f t="shared" si="61"/>
        <v>760</v>
      </c>
      <c r="M983" s="9">
        <f t="shared" si="62"/>
        <v>638</v>
      </c>
      <c r="N983" t="str">
        <f t="shared" si="63"/>
        <v>Mar</v>
      </c>
    </row>
    <row r="984" spans="1:14" x14ac:dyDescent="0.3">
      <c r="A984" s="2" t="s">
        <v>1050</v>
      </c>
      <c r="B984" s="6">
        <v>45742</v>
      </c>
      <c r="C984" s="2" t="s">
        <v>28</v>
      </c>
      <c r="D984" s="2" t="s">
        <v>83</v>
      </c>
      <c r="E984" s="2">
        <v>3</v>
      </c>
      <c r="F984" s="7">
        <v>229</v>
      </c>
      <c r="G984" s="8">
        <v>0.2</v>
      </c>
      <c r="H984" s="9" t="str">
        <f>INDEX(Products!$B$2:$B$37, MATCH(D984, Products!$A$2:$A$37, 0))</f>
        <v>Cycling Helmet</v>
      </c>
      <c r="I984" t="str">
        <f>INDEX(Products!$C$2:$C$37, MATCH(D984, Products!$A$2:$A$37, 0))</f>
        <v>Sports</v>
      </c>
      <c r="J984">
        <f>INDEX(Products!$E$2:$E$37, MATCH(D984, Products!$A$2:$A$37, 0))</f>
        <v>120</v>
      </c>
      <c r="K984" s="9">
        <f t="shared" si="60"/>
        <v>549.6</v>
      </c>
      <c r="L984">
        <f t="shared" si="61"/>
        <v>360</v>
      </c>
      <c r="M984" s="9">
        <f t="shared" si="62"/>
        <v>189.60000000000002</v>
      </c>
      <c r="N984" t="str">
        <f t="shared" si="63"/>
        <v>Mar</v>
      </c>
    </row>
    <row r="985" spans="1:14" x14ac:dyDescent="0.3">
      <c r="A985" s="2" t="s">
        <v>1051</v>
      </c>
      <c r="B985" s="6">
        <v>45742</v>
      </c>
      <c r="C985" s="2" t="s">
        <v>41</v>
      </c>
      <c r="D985" s="2" t="s">
        <v>103</v>
      </c>
      <c r="E985" s="2">
        <v>1</v>
      </c>
      <c r="F985" s="7">
        <v>89</v>
      </c>
      <c r="G985" s="8">
        <v>0</v>
      </c>
      <c r="H985" s="9" t="str">
        <f>INDEX(Products!$B$2:$B$37, MATCH(D985, Products!$A$2:$A$37, 0))</f>
        <v>Sunscreen SPF50</v>
      </c>
      <c r="I985" t="str">
        <f>INDEX(Products!$C$2:$C$37, MATCH(D985, Products!$A$2:$A$37, 0))</f>
        <v>Beauty</v>
      </c>
      <c r="J985">
        <f>INDEX(Products!$E$2:$E$37, MATCH(D985, Products!$A$2:$A$37, 0))</f>
        <v>40</v>
      </c>
      <c r="K985" s="9">
        <f t="shared" si="60"/>
        <v>89</v>
      </c>
      <c r="L985">
        <f t="shared" si="61"/>
        <v>40</v>
      </c>
      <c r="M985" s="9">
        <f t="shared" si="62"/>
        <v>49</v>
      </c>
      <c r="N985" t="str">
        <f t="shared" si="63"/>
        <v>Mar</v>
      </c>
    </row>
    <row r="986" spans="1:14" x14ac:dyDescent="0.3">
      <c r="A986" s="2" t="s">
        <v>1052</v>
      </c>
      <c r="B986" s="6">
        <v>45742</v>
      </c>
      <c r="C986" s="2" t="s">
        <v>28</v>
      </c>
      <c r="D986" s="2" t="s">
        <v>126</v>
      </c>
      <c r="E986" s="2">
        <v>1</v>
      </c>
      <c r="F986" s="7">
        <v>89</v>
      </c>
      <c r="G986" s="8">
        <v>0</v>
      </c>
      <c r="H986" s="9" t="str">
        <f>INDEX(Products!$B$2:$B$37, MATCH(D986, Products!$A$2:$A$37, 0))</f>
        <v>USB-C Fast Charger</v>
      </c>
      <c r="I986" t="str">
        <f>INDEX(Products!$C$2:$C$37, MATCH(D986, Products!$A$2:$A$37, 0))</f>
        <v>Electronics</v>
      </c>
      <c r="J986">
        <f>INDEX(Products!$E$2:$E$37, MATCH(D986, Products!$A$2:$A$37, 0))</f>
        <v>35</v>
      </c>
      <c r="K986" s="9">
        <f t="shared" si="60"/>
        <v>89</v>
      </c>
      <c r="L986">
        <f t="shared" si="61"/>
        <v>35</v>
      </c>
      <c r="M986" s="9">
        <f t="shared" si="62"/>
        <v>54</v>
      </c>
      <c r="N986" t="str">
        <f t="shared" si="63"/>
        <v>Mar</v>
      </c>
    </row>
    <row r="987" spans="1:14" x14ac:dyDescent="0.3">
      <c r="A987" s="2" t="s">
        <v>1053</v>
      </c>
      <c r="B987" s="6">
        <v>45742</v>
      </c>
      <c r="C987" s="2" t="s">
        <v>31</v>
      </c>
      <c r="D987" s="2" t="s">
        <v>46</v>
      </c>
      <c r="E987" s="2">
        <v>1</v>
      </c>
      <c r="F987" s="7">
        <v>189</v>
      </c>
      <c r="G987" s="8">
        <v>0</v>
      </c>
      <c r="H987" s="9" t="str">
        <f>INDEX(Products!$B$2:$B$37, MATCH(D987, Products!$A$2:$A$37, 0))</f>
        <v>Makeup Palette</v>
      </c>
      <c r="I987" t="str">
        <f>INDEX(Products!$C$2:$C$37, MATCH(D987, Products!$A$2:$A$37, 0))</f>
        <v>Beauty</v>
      </c>
      <c r="J987">
        <f>INDEX(Products!$E$2:$E$37, MATCH(D987, Products!$A$2:$A$37, 0))</f>
        <v>85</v>
      </c>
      <c r="K987" s="9">
        <f t="shared" si="60"/>
        <v>189</v>
      </c>
      <c r="L987">
        <f t="shared" si="61"/>
        <v>85</v>
      </c>
      <c r="M987" s="9">
        <f t="shared" si="62"/>
        <v>104</v>
      </c>
      <c r="N987" t="str">
        <f t="shared" si="63"/>
        <v>Mar</v>
      </c>
    </row>
    <row r="988" spans="1:14" x14ac:dyDescent="0.3">
      <c r="A988" s="2" t="s">
        <v>1054</v>
      </c>
      <c r="B988" s="6">
        <v>45742</v>
      </c>
      <c r="C988" s="2" t="s">
        <v>41</v>
      </c>
      <c r="D988" s="2" t="s">
        <v>131</v>
      </c>
      <c r="E988" s="2">
        <v>1</v>
      </c>
      <c r="F988" s="7">
        <v>899</v>
      </c>
      <c r="G988" s="8">
        <v>0.15</v>
      </c>
      <c r="H988" s="9" t="str">
        <f>INDEX(Products!$B$2:$B$37, MATCH(D988, Products!$A$2:$A$37, 0))</f>
        <v>4K Action Camera</v>
      </c>
      <c r="I988" t="str">
        <f>INDEX(Products!$C$2:$C$37, MATCH(D988, Products!$A$2:$A$37, 0))</f>
        <v>Electronics</v>
      </c>
      <c r="J988">
        <f>INDEX(Products!$E$2:$E$37, MATCH(D988, Products!$A$2:$A$37, 0))</f>
        <v>610</v>
      </c>
      <c r="K988" s="9">
        <f t="shared" si="60"/>
        <v>764.15</v>
      </c>
      <c r="L988">
        <f t="shared" si="61"/>
        <v>610</v>
      </c>
      <c r="M988" s="9">
        <f t="shared" si="62"/>
        <v>154.14999999999998</v>
      </c>
      <c r="N988" t="str">
        <f t="shared" si="63"/>
        <v>Mar</v>
      </c>
    </row>
    <row r="989" spans="1:14" x14ac:dyDescent="0.3">
      <c r="A989" s="2" t="s">
        <v>1055</v>
      </c>
      <c r="B989" s="6">
        <v>45742</v>
      </c>
      <c r="C989" s="2" t="s">
        <v>44</v>
      </c>
      <c r="D989" s="2" t="s">
        <v>49</v>
      </c>
      <c r="E989" s="2">
        <v>1</v>
      </c>
      <c r="F989" s="7">
        <v>149</v>
      </c>
      <c r="G989" s="8">
        <v>0.1</v>
      </c>
      <c r="H989" s="9" t="str">
        <f>INDEX(Products!$B$2:$B$37, MATCH(D989, Products!$A$2:$A$37, 0))</f>
        <v>Kids' Sneakers</v>
      </c>
      <c r="I989" t="str">
        <f>INDEX(Products!$C$2:$C$37, MATCH(D989, Products!$A$2:$A$37, 0))</f>
        <v>Fashion</v>
      </c>
      <c r="J989">
        <f>INDEX(Products!$E$2:$E$37, MATCH(D989, Products!$A$2:$A$37, 0))</f>
        <v>80</v>
      </c>
      <c r="K989" s="9">
        <f t="shared" si="60"/>
        <v>134.1</v>
      </c>
      <c r="L989">
        <f t="shared" si="61"/>
        <v>80</v>
      </c>
      <c r="M989" s="9">
        <f t="shared" si="62"/>
        <v>54.099999999999994</v>
      </c>
      <c r="N989" t="str">
        <f t="shared" si="63"/>
        <v>Mar</v>
      </c>
    </row>
    <row r="990" spans="1:14" x14ac:dyDescent="0.3">
      <c r="A990" s="2" t="s">
        <v>1056</v>
      </c>
      <c r="B990" s="6">
        <v>45743</v>
      </c>
      <c r="C990" s="2" t="s">
        <v>41</v>
      </c>
      <c r="D990" s="2" t="s">
        <v>87</v>
      </c>
      <c r="E990" s="2">
        <v>1</v>
      </c>
      <c r="F990" s="7">
        <v>799</v>
      </c>
      <c r="G990" s="8">
        <v>0.25</v>
      </c>
      <c r="H990" s="9" t="str">
        <f>INDEX(Products!$B$2:$B$37, MATCH(D990, Products!$A$2:$A$37, 0))</f>
        <v>Adjustable Dumbbells</v>
      </c>
      <c r="I990" t="str">
        <f>INDEX(Products!$C$2:$C$37, MATCH(D990, Products!$A$2:$A$37, 0))</f>
        <v>Sports</v>
      </c>
      <c r="J990">
        <f>INDEX(Products!$E$2:$E$37, MATCH(D990, Products!$A$2:$A$37, 0))</f>
        <v>700</v>
      </c>
      <c r="K990" s="9">
        <f t="shared" si="60"/>
        <v>599.25</v>
      </c>
      <c r="L990">
        <f t="shared" si="61"/>
        <v>700</v>
      </c>
      <c r="M990" s="9">
        <f t="shared" si="62"/>
        <v>-100.75</v>
      </c>
      <c r="N990" t="str">
        <f t="shared" si="63"/>
        <v>Mar</v>
      </c>
    </row>
    <row r="991" spans="1:14" x14ac:dyDescent="0.3">
      <c r="A991" s="2" t="s">
        <v>1057</v>
      </c>
      <c r="B991" s="6">
        <v>45743</v>
      </c>
      <c r="C991" s="2" t="s">
        <v>44</v>
      </c>
      <c r="D991" s="2" t="s">
        <v>75</v>
      </c>
      <c r="E991" s="2">
        <v>1</v>
      </c>
      <c r="F991" s="7">
        <v>549</v>
      </c>
      <c r="G991" s="8">
        <v>0</v>
      </c>
      <c r="H991" s="9" t="str">
        <f>INDEX(Products!$B$2:$B$37, MATCH(D991, Products!$A$2:$A$37, 0))</f>
        <v>Oud Perfume 100ml</v>
      </c>
      <c r="I991" t="str">
        <f>INDEX(Products!$C$2:$C$37, MATCH(D991, Products!$A$2:$A$37, 0))</f>
        <v>Beauty</v>
      </c>
      <c r="J991">
        <f>INDEX(Products!$E$2:$E$37, MATCH(D991, Products!$A$2:$A$37, 0))</f>
        <v>250</v>
      </c>
      <c r="K991" s="9">
        <f t="shared" si="60"/>
        <v>549</v>
      </c>
      <c r="L991">
        <f t="shared" si="61"/>
        <v>250</v>
      </c>
      <c r="M991" s="9">
        <f t="shared" si="62"/>
        <v>299</v>
      </c>
      <c r="N991" t="str">
        <f t="shared" si="63"/>
        <v>Mar</v>
      </c>
    </row>
    <row r="992" spans="1:14" x14ac:dyDescent="0.3">
      <c r="A992" s="2" t="s">
        <v>1058</v>
      </c>
      <c r="B992" s="6">
        <v>45743</v>
      </c>
      <c r="C992" s="2" t="s">
        <v>31</v>
      </c>
      <c r="D992" s="2" t="s">
        <v>95</v>
      </c>
      <c r="E992" s="2">
        <v>1</v>
      </c>
      <c r="F992" s="7">
        <v>259</v>
      </c>
      <c r="G992" s="8">
        <v>0</v>
      </c>
      <c r="H992" s="9" t="str">
        <f>INDEX(Products!$B$2:$B$37, MATCH(D992, Products!$A$2:$A$37, 0))</f>
        <v>Bed Linen Set (King)</v>
      </c>
      <c r="I992" t="str">
        <f>INDEX(Products!$C$2:$C$37, MATCH(D992, Products!$A$2:$A$37, 0))</f>
        <v>Home &amp; Kitchen</v>
      </c>
      <c r="J992">
        <f>INDEX(Products!$E$2:$E$37, MATCH(D992, Products!$A$2:$A$37, 0))</f>
        <v>115</v>
      </c>
      <c r="K992" s="9">
        <f t="shared" si="60"/>
        <v>259</v>
      </c>
      <c r="L992">
        <f t="shared" si="61"/>
        <v>115</v>
      </c>
      <c r="M992" s="9">
        <f t="shared" si="62"/>
        <v>144</v>
      </c>
      <c r="N992" t="str">
        <f t="shared" si="63"/>
        <v>Mar</v>
      </c>
    </row>
    <row r="993" spans="1:14" x14ac:dyDescent="0.3">
      <c r="A993" s="2" t="s">
        <v>1059</v>
      </c>
      <c r="B993" s="6">
        <v>45743</v>
      </c>
      <c r="C993" s="2" t="s">
        <v>41</v>
      </c>
      <c r="D993" s="2" t="s">
        <v>56</v>
      </c>
      <c r="E993" s="2">
        <v>1</v>
      </c>
      <c r="F993" s="7">
        <v>289</v>
      </c>
      <c r="G993" s="8">
        <v>0</v>
      </c>
      <c r="H993" s="9" t="str">
        <f>INDEX(Products!$B$2:$B$37, MATCH(D993, Products!$A$2:$A$37, 0))</f>
        <v>Ceramic Dinner Set</v>
      </c>
      <c r="I993" t="str">
        <f>INDEX(Products!$C$2:$C$37, MATCH(D993, Products!$A$2:$A$37, 0))</f>
        <v>Home &amp; Kitchen</v>
      </c>
      <c r="J993">
        <f>INDEX(Products!$E$2:$E$37, MATCH(D993, Products!$A$2:$A$37, 0))</f>
        <v>140</v>
      </c>
      <c r="K993" s="9">
        <f t="shared" si="60"/>
        <v>289</v>
      </c>
      <c r="L993">
        <f t="shared" si="61"/>
        <v>140</v>
      </c>
      <c r="M993" s="9">
        <f t="shared" si="62"/>
        <v>149</v>
      </c>
      <c r="N993" t="str">
        <f t="shared" si="63"/>
        <v>Mar</v>
      </c>
    </row>
    <row r="994" spans="1:14" x14ac:dyDescent="0.3">
      <c r="A994" s="2" t="s">
        <v>1060</v>
      </c>
      <c r="B994" s="6">
        <v>45743</v>
      </c>
      <c r="C994" s="2" t="s">
        <v>44</v>
      </c>
      <c r="D994" s="2" t="s">
        <v>165</v>
      </c>
      <c r="E994" s="2">
        <v>2</v>
      </c>
      <c r="F994" s="7">
        <v>69</v>
      </c>
      <c r="G994" s="8">
        <v>0.1</v>
      </c>
      <c r="H994" s="9" t="str">
        <f>INDEX(Products!$B$2:$B$37, MATCH(D994, Products!$A$2:$A$37, 0))</f>
        <v>Swim Goggles</v>
      </c>
      <c r="I994" t="str">
        <f>INDEX(Products!$C$2:$C$37, MATCH(D994, Products!$A$2:$A$37, 0))</f>
        <v>Sports</v>
      </c>
      <c r="J994">
        <f>INDEX(Products!$E$2:$E$37, MATCH(D994, Products!$A$2:$A$37, 0))</f>
        <v>25</v>
      </c>
      <c r="K994" s="9">
        <f t="shared" si="60"/>
        <v>124.2</v>
      </c>
      <c r="L994">
        <f t="shared" si="61"/>
        <v>50</v>
      </c>
      <c r="M994" s="9">
        <f t="shared" si="62"/>
        <v>74.2</v>
      </c>
      <c r="N994" t="str">
        <f t="shared" si="63"/>
        <v>Mar</v>
      </c>
    </row>
    <row r="995" spans="1:14" x14ac:dyDescent="0.3">
      <c r="A995" s="2" t="s">
        <v>1061</v>
      </c>
      <c r="B995" s="6">
        <v>45743</v>
      </c>
      <c r="C995" s="2" t="s">
        <v>44</v>
      </c>
      <c r="D995" s="2" t="s">
        <v>39</v>
      </c>
      <c r="E995" s="2">
        <v>4</v>
      </c>
      <c r="F995" s="7">
        <v>199</v>
      </c>
      <c r="G995" s="8">
        <v>0.1</v>
      </c>
      <c r="H995" s="9" t="str">
        <f>INDEX(Products!$B$2:$B$37, MATCH(D995, Products!$A$2:$A$37, 0))</f>
        <v>Bakhoor Gift Set</v>
      </c>
      <c r="I995" t="str">
        <f>INDEX(Products!$C$2:$C$37, MATCH(D995, Products!$A$2:$A$37, 0))</f>
        <v>Beauty</v>
      </c>
      <c r="J995">
        <f>INDEX(Products!$E$2:$E$37, MATCH(D995, Products!$A$2:$A$37, 0))</f>
        <v>90</v>
      </c>
      <c r="K995" s="9">
        <f t="shared" si="60"/>
        <v>716.4</v>
      </c>
      <c r="L995">
        <f t="shared" si="61"/>
        <v>360</v>
      </c>
      <c r="M995" s="9">
        <f t="shared" si="62"/>
        <v>356.4</v>
      </c>
      <c r="N995" t="str">
        <f t="shared" si="63"/>
        <v>Mar</v>
      </c>
    </row>
    <row r="996" spans="1:14" x14ac:dyDescent="0.3">
      <c r="A996" s="2" t="s">
        <v>1062</v>
      </c>
      <c r="B996" s="6">
        <v>45743</v>
      </c>
      <c r="C996" s="2" t="s">
        <v>28</v>
      </c>
      <c r="D996" s="2" t="s">
        <v>60</v>
      </c>
      <c r="E996" s="2">
        <v>1</v>
      </c>
      <c r="F996" s="7">
        <v>99</v>
      </c>
      <c r="G996" s="8">
        <v>0</v>
      </c>
      <c r="H996" s="9" t="str">
        <f>INDEX(Products!$B$2:$B$37, MATCH(D996, Products!$A$2:$A$37, 0))</f>
        <v>Football Size 5</v>
      </c>
      <c r="I996" t="str">
        <f>INDEX(Products!$C$2:$C$37, MATCH(D996, Products!$A$2:$A$37, 0))</f>
        <v>Sports</v>
      </c>
      <c r="J996">
        <f>INDEX(Products!$E$2:$E$37, MATCH(D996, Products!$A$2:$A$37, 0))</f>
        <v>45</v>
      </c>
      <c r="K996" s="9">
        <f t="shared" si="60"/>
        <v>99</v>
      </c>
      <c r="L996">
        <f t="shared" si="61"/>
        <v>45</v>
      </c>
      <c r="M996" s="9">
        <f t="shared" si="62"/>
        <v>54</v>
      </c>
      <c r="N996" t="str">
        <f t="shared" si="63"/>
        <v>Mar</v>
      </c>
    </row>
    <row r="997" spans="1:14" x14ac:dyDescent="0.3">
      <c r="A997" s="2" t="s">
        <v>1063</v>
      </c>
      <c r="B997" s="6">
        <v>45743</v>
      </c>
      <c r="C997" s="2" t="s">
        <v>41</v>
      </c>
      <c r="D997" s="2" t="s">
        <v>95</v>
      </c>
      <c r="E997" s="2">
        <v>1</v>
      </c>
      <c r="F997" s="7">
        <v>259</v>
      </c>
      <c r="G997" s="8">
        <v>0.3</v>
      </c>
      <c r="H997" s="9" t="str">
        <f>INDEX(Products!$B$2:$B$37, MATCH(D997, Products!$A$2:$A$37, 0))</f>
        <v>Bed Linen Set (King)</v>
      </c>
      <c r="I997" t="str">
        <f>INDEX(Products!$C$2:$C$37, MATCH(D997, Products!$A$2:$A$37, 0))</f>
        <v>Home &amp; Kitchen</v>
      </c>
      <c r="J997">
        <f>INDEX(Products!$E$2:$E$37, MATCH(D997, Products!$A$2:$A$37, 0))</f>
        <v>115</v>
      </c>
      <c r="K997" s="9">
        <f t="shared" si="60"/>
        <v>181.29999999999998</v>
      </c>
      <c r="L997">
        <f t="shared" si="61"/>
        <v>115</v>
      </c>
      <c r="M997" s="9">
        <f t="shared" si="62"/>
        <v>66.299999999999983</v>
      </c>
      <c r="N997" t="str">
        <f t="shared" si="63"/>
        <v>Mar</v>
      </c>
    </row>
    <row r="998" spans="1:14" x14ac:dyDescent="0.3">
      <c r="A998" s="2" t="s">
        <v>1064</v>
      </c>
      <c r="B998" s="6">
        <v>45743</v>
      </c>
      <c r="C998" s="2" t="s">
        <v>31</v>
      </c>
      <c r="D998" s="2" t="s">
        <v>126</v>
      </c>
      <c r="E998" s="2">
        <v>2</v>
      </c>
      <c r="F998" s="7">
        <v>89</v>
      </c>
      <c r="G998" s="8">
        <v>0.2</v>
      </c>
      <c r="H998" s="9" t="str">
        <f>INDEX(Products!$B$2:$B$37, MATCH(D998, Products!$A$2:$A$37, 0))</f>
        <v>USB-C Fast Charger</v>
      </c>
      <c r="I998" t="str">
        <f>INDEX(Products!$C$2:$C$37, MATCH(D998, Products!$A$2:$A$37, 0))</f>
        <v>Electronics</v>
      </c>
      <c r="J998">
        <f>INDEX(Products!$E$2:$E$37, MATCH(D998, Products!$A$2:$A$37, 0))</f>
        <v>35</v>
      </c>
      <c r="K998" s="9">
        <f t="shared" si="60"/>
        <v>142.4</v>
      </c>
      <c r="L998">
        <f t="shared" si="61"/>
        <v>70</v>
      </c>
      <c r="M998" s="9">
        <f t="shared" si="62"/>
        <v>72.400000000000006</v>
      </c>
      <c r="N998" t="str">
        <f t="shared" si="63"/>
        <v>Mar</v>
      </c>
    </row>
    <row r="999" spans="1:14" x14ac:dyDescent="0.3">
      <c r="A999" s="2" t="s">
        <v>1065</v>
      </c>
      <c r="B999" s="6">
        <v>45744</v>
      </c>
      <c r="C999" s="2" t="s">
        <v>28</v>
      </c>
      <c r="D999" s="2" t="s">
        <v>37</v>
      </c>
      <c r="E999" s="2">
        <v>1</v>
      </c>
      <c r="F999" s="7">
        <v>249</v>
      </c>
      <c r="G999" s="8">
        <v>0.1</v>
      </c>
      <c r="H999" s="9" t="str">
        <f>INDEX(Products!$B$2:$B$37, MATCH(D999, Products!$A$2:$A$37, 0))</f>
        <v>Sunglasses Polarised</v>
      </c>
      <c r="I999" t="str">
        <f>INDEX(Products!$C$2:$C$37, MATCH(D999, Products!$A$2:$A$37, 0))</f>
        <v>Fashion</v>
      </c>
      <c r="J999">
        <f>INDEX(Products!$E$2:$E$37, MATCH(D999, Products!$A$2:$A$37, 0))</f>
        <v>95</v>
      </c>
      <c r="K999" s="9">
        <f t="shared" si="60"/>
        <v>224.1</v>
      </c>
      <c r="L999">
        <f t="shared" si="61"/>
        <v>95</v>
      </c>
      <c r="M999" s="9">
        <f t="shared" si="62"/>
        <v>129.1</v>
      </c>
      <c r="N999" t="str">
        <f t="shared" si="63"/>
        <v>Mar</v>
      </c>
    </row>
    <row r="1000" spans="1:14" x14ac:dyDescent="0.3">
      <c r="A1000" s="2" t="s">
        <v>1066</v>
      </c>
      <c r="B1000" s="6">
        <v>45744</v>
      </c>
      <c r="C1000" s="2" t="s">
        <v>41</v>
      </c>
      <c r="D1000" s="2" t="s">
        <v>83</v>
      </c>
      <c r="E1000" s="2">
        <v>1</v>
      </c>
      <c r="F1000" s="7">
        <v>229</v>
      </c>
      <c r="G1000" s="8">
        <v>0</v>
      </c>
      <c r="H1000" s="9" t="str">
        <f>INDEX(Products!$B$2:$B$37, MATCH(D1000, Products!$A$2:$A$37, 0))</f>
        <v>Cycling Helmet</v>
      </c>
      <c r="I1000" t="str">
        <f>INDEX(Products!$C$2:$C$37, MATCH(D1000, Products!$A$2:$A$37, 0))</f>
        <v>Sports</v>
      </c>
      <c r="J1000">
        <f>INDEX(Products!$E$2:$E$37, MATCH(D1000, Products!$A$2:$A$37, 0))</f>
        <v>120</v>
      </c>
      <c r="K1000" s="9">
        <f t="shared" si="60"/>
        <v>229</v>
      </c>
      <c r="L1000">
        <f t="shared" si="61"/>
        <v>120</v>
      </c>
      <c r="M1000" s="9">
        <f t="shared" si="62"/>
        <v>109</v>
      </c>
      <c r="N1000" t="str">
        <f t="shared" si="63"/>
        <v>Mar</v>
      </c>
    </row>
    <row r="1001" spans="1:14" x14ac:dyDescent="0.3">
      <c r="A1001" s="2" t="s">
        <v>1067</v>
      </c>
      <c r="B1001" s="6">
        <v>45744</v>
      </c>
      <c r="C1001" s="2" t="s">
        <v>28</v>
      </c>
      <c r="D1001" s="2" t="s">
        <v>163</v>
      </c>
      <c r="E1001" s="2">
        <v>1</v>
      </c>
      <c r="F1001" s="7">
        <v>2499</v>
      </c>
      <c r="G1001" s="8">
        <v>0.15</v>
      </c>
      <c r="H1001" s="9" t="str">
        <f>INDEX(Products!$B$2:$B$37, MATCH(D1001, Products!$A$2:$A$37, 0))</f>
        <v>Treadmill Compact</v>
      </c>
      <c r="I1001" t="str">
        <f>INDEX(Products!$C$2:$C$37, MATCH(D1001, Products!$A$2:$A$37, 0))</f>
        <v>Sports</v>
      </c>
      <c r="J1001">
        <f>INDEX(Products!$E$2:$E$37, MATCH(D1001, Products!$A$2:$A$37, 0))</f>
        <v>2150</v>
      </c>
      <c r="K1001" s="9">
        <f t="shared" si="60"/>
        <v>2124.15</v>
      </c>
      <c r="L1001">
        <f t="shared" si="61"/>
        <v>2150</v>
      </c>
      <c r="M1001" s="9">
        <f t="shared" si="62"/>
        <v>-25.849999999999909</v>
      </c>
      <c r="N1001" t="str">
        <f t="shared" si="63"/>
        <v>Mar</v>
      </c>
    </row>
    <row r="1002" spans="1:14" x14ac:dyDescent="0.3">
      <c r="A1002" s="2" t="s">
        <v>1068</v>
      </c>
      <c r="B1002" s="6">
        <v>45744</v>
      </c>
      <c r="C1002" s="2" t="s">
        <v>41</v>
      </c>
      <c r="D1002" s="2" t="s">
        <v>113</v>
      </c>
      <c r="E1002" s="2">
        <v>1</v>
      </c>
      <c r="F1002" s="7">
        <v>1199</v>
      </c>
      <c r="G1002" s="8">
        <v>0.2</v>
      </c>
      <c r="H1002" s="9" t="str">
        <f>INDEX(Products!$B$2:$B$37, MATCH(D1002, Products!$A$2:$A$37, 0))</f>
        <v>Robot Vacuum S3</v>
      </c>
      <c r="I1002" t="str">
        <f>INDEX(Products!$C$2:$C$37, MATCH(D1002, Products!$A$2:$A$37, 0))</f>
        <v>Home &amp; Kitchen</v>
      </c>
      <c r="J1002">
        <f>INDEX(Products!$E$2:$E$37, MATCH(D1002, Products!$A$2:$A$37, 0))</f>
        <v>1080</v>
      </c>
      <c r="K1002" s="9">
        <f t="shared" si="60"/>
        <v>959.2</v>
      </c>
      <c r="L1002">
        <f t="shared" si="61"/>
        <v>1080</v>
      </c>
      <c r="M1002" s="9">
        <f t="shared" si="62"/>
        <v>-120.79999999999995</v>
      </c>
      <c r="N1002" t="str">
        <f t="shared" si="63"/>
        <v>Mar</v>
      </c>
    </row>
    <row r="1003" spans="1:14" x14ac:dyDescent="0.3">
      <c r="A1003" s="2" t="s">
        <v>1069</v>
      </c>
      <c r="B1003" s="6">
        <v>45744</v>
      </c>
      <c r="C1003" s="2" t="s">
        <v>44</v>
      </c>
      <c r="D1003" s="2" t="s">
        <v>95</v>
      </c>
      <c r="E1003" s="2">
        <v>1</v>
      </c>
      <c r="F1003" s="7">
        <v>259</v>
      </c>
      <c r="G1003" s="8">
        <v>0.1</v>
      </c>
      <c r="H1003" s="9" t="str">
        <f>INDEX(Products!$B$2:$B$37, MATCH(D1003, Products!$A$2:$A$37, 0))</f>
        <v>Bed Linen Set (King)</v>
      </c>
      <c r="I1003" t="str">
        <f>INDEX(Products!$C$2:$C$37, MATCH(D1003, Products!$A$2:$A$37, 0))</f>
        <v>Home &amp; Kitchen</v>
      </c>
      <c r="J1003">
        <f>INDEX(Products!$E$2:$E$37, MATCH(D1003, Products!$A$2:$A$37, 0))</f>
        <v>115</v>
      </c>
      <c r="K1003" s="9">
        <f t="shared" si="60"/>
        <v>233.1</v>
      </c>
      <c r="L1003">
        <f t="shared" si="61"/>
        <v>115</v>
      </c>
      <c r="M1003" s="9">
        <f t="shared" si="62"/>
        <v>118.1</v>
      </c>
      <c r="N1003" t="str">
        <f t="shared" si="63"/>
        <v>Mar</v>
      </c>
    </row>
    <row r="1004" spans="1:14" x14ac:dyDescent="0.3">
      <c r="A1004" s="2" t="s">
        <v>1070</v>
      </c>
      <c r="B1004" s="6">
        <v>45744</v>
      </c>
      <c r="C1004" s="2" t="s">
        <v>31</v>
      </c>
      <c r="D1004" s="2" t="s">
        <v>89</v>
      </c>
      <c r="E1004" s="2">
        <v>1</v>
      </c>
      <c r="F1004" s="7">
        <v>399</v>
      </c>
      <c r="G1004" s="8">
        <v>0.05</v>
      </c>
      <c r="H1004" s="9" t="str">
        <f>INDEX(Products!$B$2:$B$37, MATCH(D1004, Products!$A$2:$A$37, 0))</f>
        <v>Men's Kandura Premium</v>
      </c>
      <c r="I1004" t="str">
        <f>INDEX(Products!$C$2:$C$37, MATCH(D1004, Products!$A$2:$A$37, 0))</f>
        <v>Fashion</v>
      </c>
      <c r="J1004">
        <f>INDEX(Products!$E$2:$E$37, MATCH(D1004, Products!$A$2:$A$37, 0))</f>
        <v>210</v>
      </c>
      <c r="K1004" s="9">
        <f t="shared" si="60"/>
        <v>379.04999999999995</v>
      </c>
      <c r="L1004">
        <f t="shared" si="61"/>
        <v>210</v>
      </c>
      <c r="M1004" s="9">
        <f t="shared" si="62"/>
        <v>169.04999999999995</v>
      </c>
      <c r="N1004" t="str">
        <f t="shared" si="63"/>
        <v>Mar</v>
      </c>
    </row>
    <row r="1005" spans="1:14" x14ac:dyDescent="0.3">
      <c r="A1005" s="2" t="s">
        <v>1071</v>
      </c>
      <c r="B1005" s="6">
        <v>45744</v>
      </c>
      <c r="C1005" s="2" t="s">
        <v>44</v>
      </c>
      <c r="D1005" s="2" t="s">
        <v>33</v>
      </c>
      <c r="E1005" s="2">
        <v>2</v>
      </c>
      <c r="F1005" s="7">
        <v>199</v>
      </c>
      <c r="G1005" s="8">
        <v>0.1</v>
      </c>
      <c r="H1005" s="9" t="str">
        <f>INDEX(Products!$B$2:$B$37, MATCH(D1005, Products!$A$2:$A$37, 0))</f>
        <v>Fitness Band Lite</v>
      </c>
      <c r="I1005" t="str">
        <f>INDEX(Products!$C$2:$C$37, MATCH(D1005, Products!$A$2:$A$37, 0))</f>
        <v>Electronics</v>
      </c>
      <c r="J1005">
        <f>INDEX(Products!$E$2:$E$37, MATCH(D1005, Products!$A$2:$A$37, 0))</f>
        <v>175</v>
      </c>
      <c r="K1005" s="9">
        <f t="shared" si="60"/>
        <v>358.2</v>
      </c>
      <c r="L1005">
        <f t="shared" si="61"/>
        <v>350</v>
      </c>
      <c r="M1005" s="9">
        <f t="shared" si="62"/>
        <v>8.1999999999999886</v>
      </c>
      <c r="N1005" t="str">
        <f t="shared" si="63"/>
        <v>Mar</v>
      </c>
    </row>
    <row r="1006" spans="1:14" x14ac:dyDescent="0.3">
      <c r="A1006" s="2" t="s">
        <v>1072</v>
      </c>
      <c r="B1006" s="6">
        <v>45744</v>
      </c>
      <c r="C1006" s="2" t="s">
        <v>41</v>
      </c>
      <c r="D1006" s="2" t="s">
        <v>70</v>
      </c>
      <c r="E1006" s="2">
        <v>1</v>
      </c>
      <c r="F1006" s="7">
        <v>429</v>
      </c>
      <c r="G1006" s="8">
        <v>0.15</v>
      </c>
      <c r="H1006" s="9" t="str">
        <f>INDEX(Products!$B$2:$B$37, MATCH(D1006, Products!$A$2:$A$37, 0))</f>
        <v>Running Shoes Elite</v>
      </c>
      <c r="I1006" t="str">
        <f>INDEX(Products!$C$2:$C$37, MATCH(D1006, Products!$A$2:$A$37, 0))</f>
        <v>Fashion</v>
      </c>
      <c r="J1006">
        <f>INDEX(Products!$E$2:$E$37, MATCH(D1006, Products!$A$2:$A$37, 0))</f>
        <v>300</v>
      </c>
      <c r="K1006" s="9">
        <f t="shared" si="60"/>
        <v>364.65</v>
      </c>
      <c r="L1006">
        <f t="shared" si="61"/>
        <v>300</v>
      </c>
      <c r="M1006" s="9">
        <f t="shared" si="62"/>
        <v>64.649999999999977</v>
      </c>
      <c r="N1006" t="str">
        <f t="shared" si="63"/>
        <v>Mar</v>
      </c>
    </row>
    <row r="1007" spans="1:14" x14ac:dyDescent="0.3">
      <c r="A1007" s="2" t="s">
        <v>1073</v>
      </c>
      <c r="B1007" s="6">
        <v>45744</v>
      </c>
      <c r="C1007" s="2" t="s">
        <v>28</v>
      </c>
      <c r="D1007" s="2" t="s">
        <v>95</v>
      </c>
      <c r="E1007" s="2">
        <v>1</v>
      </c>
      <c r="F1007" s="7">
        <v>259</v>
      </c>
      <c r="G1007" s="8">
        <v>0</v>
      </c>
      <c r="H1007" s="9" t="str">
        <f>INDEX(Products!$B$2:$B$37, MATCH(D1007, Products!$A$2:$A$37, 0))</f>
        <v>Bed Linen Set (King)</v>
      </c>
      <c r="I1007" t="str">
        <f>INDEX(Products!$C$2:$C$37, MATCH(D1007, Products!$A$2:$A$37, 0))</f>
        <v>Home &amp; Kitchen</v>
      </c>
      <c r="J1007">
        <f>INDEX(Products!$E$2:$E$37, MATCH(D1007, Products!$A$2:$A$37, 0))</f>
        <v>115</v>
      </c>
      <c r="K1007" s="9">
        <f t="shared" si="60"/>
        <v>259</v>
      </c>
      <c r="L1007">
        <f t="shared" si="61"/>
        <v>115</v>
      </c>
      <c r="M1007" s="9">
        <f t="shared" si="62"/>
        <v>144</v>
      </c>
      <c r="N1007" t="str">
        <f t="shared" si="63"/>
        <v>Mar</v>
      </c>
    </row>
    <row r="1008" spans="1:14" x14ac:dyDescent="0.3">
      <c r="A1008" s="2" t="s">
        <v>1074</v>
      </c>
      <c r="B1008" s="6">
        <v>45744</v>
      </c>
      <c r="C1008" s="2" t="s">
        <v>44</v>
      </c>
      <c r="D1008" s="2" t="s">
        <v>42</v>
      </c>
      <c r="E1008" s="2">
        <v>1</v>
      </c>
      <c r="F1008" s="7">
        <v>399</v>
      </c>
      <c r="G1008" s="8">
        <v>0</v>
      </c>
      <c r="H1008" s="9" t="str">
        <f>INDEX(Products!$B$2:$B$37, MATCH(D1008, Products!$A$2:$A$37, 0))</f>
        <v>Wireless Earbuds Pro</v>
      </c>
      <c r="I1008" t="str">
        <f>INDEX(Products!$C$2:$C$37, MATCH(D1008, Products!$A$2:$A$37, 0))</f>
        <v>Electronics</v>
      </c>
      <c r="J1008">
        <f>INDEX(Products!$E$2:$E$37, MATCH(D1008, Products!$A$2:$A$37, 0))</f>
        <v>230</v>
      </c>
      <c r="K1008" s="9">
        <f t="shared" si="60"/>
        <v>399</v>
      </c>
      <c r="L1008">
        <f t="shared" si="61"/>
        <v>230</v>
      </c>
      <c r="M1008" s="9">
        <f t="shared" si="62"/>
        <v>169</v>
      </c>
      <c r="N1008" t="str">
        <f t="shared" si="63"/>
        <v>Mar</v>
      </c>
    </row>
    <row r="1009" spans="1:14" x14ac:dyDescent="0.3">
      <c r="A1009" s="2" t="s">
        <v>1075</v>
      </c>
      <c r="B1009" s="6">
        <v>45745</v>
      </c>
      <c r="C1009" s="2" t="s">
        <v>28</v>
      </c>
      <c r="D1009" s="2" t="s">
        <v>149</v>
      </c>
      <c r="E1009" s="2">
        <v>2</v>
      </c>
      <c r="F1009" s="7">
        <v>399</v>
      </c>
      <c r="G1009" s="8">
        <v>0.15</v>
      </c>
      <c r="H1009" s="9" t="str">
        <f>INDEX(Products!$B$2:$B$37, MATCH(D1009, Products!$A$2:$A$37, 0))</f>
        <v>Blender Pro 1200W</v>
      </c>
      <c r="I1009" t="str">
        <f>INDEX(Products!$C$2:$C$37, MATCH(D1009, Products!$A$2:$A$37, 0))</f>
        <v>Home &amp; Kitchen</v>
      </c>
      <c r="J1009">
        <f>INDEX(Products!$E$2:$E$37, MATCH(D1009, Products!$A$2:$A$37, 0))</f>
        <v>250</v>
      </c>
      <c r="K1009" s="9">
        <f t="shared" si="60"/>
        <v>678.3</v>
      </c>
      <c r="L1009">
        <f t="shared" si="61"/>
        <v>500</v>
      </c>
      <c r="M1009" s="9">
        <f t="shared" si="62"/>
        <v>178.29999999999995</v>
      </c>
      <c r="N1009" t="str">
        <f t="shared" si="63"/>
        <v>Mar</v>
      </c>
    </row>
    <row r="1010" spans="1:14" x14ac:dyDescent="0.3">
      <c r="A1010" s="2" t="s">
        <v>1076</v>
      </c>
      <c r="B1010" s="6">
        <v>45745</v>
      </c>
      <c r="C1010" s="2" t="s">
        <v>28</v>
      </c>
      <c r="D1010" s="2" t="s">
        <v>29</v>
      </c>
      <c r="E1010" s="2">
        <v>1</v>
      </c>
      <c r="F1010" s="7">
        <v>229</v>
      </c>
      <c r="G1010" s="8">
        <v>0</v>
      </c>
      <c r="H1010" s="9" t="str">
        <f>INDEX(Products!$B$2:$B$37, MATCH(D1010, Products!$A$2:$A$37, 0))</f>
        <v>Women's Summer Dress</v>
      </c>
      <c r="I1010" t="str">
        <f>INDEX(Products!$C$2:$C$37, MATCH(D1010, Products!$A$2:$A$37, 0))</f>
        <v>Fashion</v>
      </c>
      <c r="J1010">
        <f>INDEX(Products!$E$2:$E$37, MATCH(D1010, Products!$A$2:$A$37, 0))</f>
        <v>120</v>
      </c>
      <c r="K1010" s="9">
        <f t="shared" si="60"/>
        <v>229</v>
      </c>
      <c r="L1010">
        <f t="shared" si="61"/>
        <v>120</v>
      </c>
      <c r="M1010" s="9">
        <f t="shared" si="62"/>
        <v>109</v>
      </c>
      <c r="N1010" t="str">
        <f t="shared" si="63"/>
        <v>Mar</v>
      </c>
    </row>
    <row r="1011" spans="1:14" x14ac:dyDescent="0.3">
      <c r="A1011" s="2" t="s">
        <v>1077</v>
      </c>
      <c r="B1011" s="6">
        <v>45745</v>
      </c>
      <c r="C1011" s="2" t="s">
        <v>31</v>
      </c>
      <c r="D1011" s="2" t="s">
        <v>113</v>
      </c>
      <c r="E1011" s="2">
        <v>1</v>
      </c>
      <c r="F1011" s="7">
        <v>1199</v>
      </c>
      <c r="G1011" s="8">
        <v>0.25</v>
      </c>
      <c r="H1011" s="9" t="str">
        <f>INDEX(Products!$B$2:$B$37, MATCH(D1011, Products!$A$2:$A$37, 0))</f>
        <v>Robot Vacuum S3</v>
      </c>
      <c r="I1011" t="str">
        <f>INDEX(Products!$C$2:$C$37, MATCH(D1011, Products!$A$2:$A$37, 0))</f>
        <v>Home &amp; Kitchen</v>
      </c>
      <c r="J1011">
        <f>INDEX(Products!$E$2:$E$37, MATCH(D1011, Products!$A$2:$A$37, 0))</f>
        <v>1080</v>
      </c>
      <c r="K1011" s="9">
        <f t="shared" si="60"/>
        <v>899.25</v>
      </c>
      <c r="L1011">
        <f t="shared" si="61"/>
        <v>1080</v>
      </c>
      <c r="M1011" s="9">
        <f t="shared" si="62"/>
        <v>-180.75</v>
      </c>
      <c r="N1011" t="str">
        <f t="shared" si="63"/>
        <v>Mar</v>
      </c>
    </row>
    <row r="1012" spans="1:14" x14ac:dyDescent="0.3">
      <c r="A1012" s="2" t="s">
        <v>1078</v>
      </c>
      <c r="B1012" s="6">
        <v>45745</v>
      </c>
      <c r="C1012" s="2" t="s">
        <v>48</v>
      </c>
      <c r="D1012" s="2" t="s">
        <v>37</v>
      </c>
      <c r="E1012" s="2">
        <v>1</v>
      </c>
      <c r="F1012" s="7">
        <v>249</v>
      </c>
      <c r="G1012" s="8">
        <v>0</v>
      </c>
      <c r="H1012" s="9" t="str">
        <f>INDEX(Products!$B$2:$B$37, MATCH(D1012, Products!$A$2:$A$37, 0))</f>
        <v>Sunglasses Polarised</v>
      </c>
      <c r="I1012" t="str">
        <f>INDEX(Products!$C$2:$C$37, MATCH(D1012, Products!$A$2:$A$37, 0))</f>
        <v>Fashion</v>
      </c>
      <c r="J1012">
        <f>INDEX(Products!$E$2:$E$37, MATCH(D1012, Products!$A$2:$A$37, 0))</f>
        <v>95</v>
      </c>
      <c r="K1012" s="9">
        <f t="shared" si="60"/>
        <v>249</v>
      </c>
      <c r="L1012">
        <f t="shared" si="61"/>
        <v>95</v>
      </c>
      <c r="M1012" s="9">
        <f t="shared" si="62"/>
        <v>154</v>
      </c>
      <c r="N1012" t="str">
        <f t="shared" si="63"/>
        <v>Mar</v>
      </c>
    </row>
    <row r="1013" spans="1:14" x14ac:dyDescent="0.3">
      <c r="A1013" s="2" t="s">
        <v>1079</v>
      </c>
      <c r="B1013" s="6">
        <v>45745</v>
      </c>
      <c r="C1013" s="2" t="s">
        <v>44</v>
      </c>
      <c r="D1013" s="2" t="s">
        <v>37</v>
      </c>
      <c r="E1013" s="2">
        <v>1</v>
      </c>
      <c r="F1013" s="7">
        <v>249</v>
      </c>
      <c r="G1013" s="8">
        <v>0.2</v>
      </c>
      <c r="H1013" s="9" t="str">
        <f>INDEX(Products!$B$2:$B$37, MATCH(D1013, Products!$A$2:$A$37, 0))</f>
        <v>Sunglasses Polarised</v>
      </c>
      <c r="I1013" t="str">
        <f>INDEX(Products!$C$2:$C$37, MATCH(D1013, Products!$A$2:$A$37, 0))</f>
        <v>Fashion</v>
      </c>
      <c r="J1013">
        <f>INDEX(Products!$E$2:$E$37, MATCH(D1013, Products!$A$2:$A$37, 0))</f>
        <v>95</v>
      </c>
      <c r="K1013" s="9">
        <f t="shared" si="60"/>
        <v>199.20000000000002</v>
      </c>
      <c r="L1013">
        <f t="shared" si="61"/>
        <v>95</v>
      </c>
      <c r="M1013" s="9">
        <f t="shared" si="62"/>
        <v>104.20000000000002</v>
      </c>
      <c r="N1013" t="str">
        <f t="shared" si="63"/>
        <v>Mar</v>
      </c>
    </row>
    <row r="1014" spans="1:14" x14ac:dyDescent="0.3">
      <c r="A1014" s="2" t="s">
        <v>1080</v>
      </c>
      <c r="B1014" s="6">
        <v>45745</v>
      </c>
      <c r="C1014" s="2" t="s">
        <v>44</v>
      </c>
      <c r="D1014" s="2" t="s">
        <v>89</v>
      </c>
      <c r="E1014" s="2">
        <v>1</v>
      </c>
      <c r="F1014" s="7">
        <v>399</v>
      </c>
      <c r="G1014" s="8">
        <v>0</v>
      </c>
      <c r="H1014" s="9" t="str">
        <f>INDEX(Products!$B$2:$B$37, MATCH(D1014, Products!$A$2:$A$37, 0))</f>
        <v>Men's Kandura Premium</v>
      </c>
      <c r="I1014" t="str">
        <f>INDEX(Products!$C$2:$C$37, MATCH(D1014, Products!$A$2:$A$37, 0))</f>
        <v>Fashion</v>
      </c>
      <c r="J1014">
        <f>INDEX(Products!$E$2:$E$37, MATCH(D1014, Products!$A$2:$A$37, 0))</f>
        <v>210</v>
      </c>
      <c r="K1014" s="9">
        <f t="shared" si="60"/>
        <v>399</v>
      </c>
      <c r="L1014">
        <f t="shared" si="61"/>
        <v>210</v>
      </c>
      <c r="M1014" s="9">
        <f t="shared" si="62"/>
        <v>189</v>
      </c>
      <c r="N1014" t="str">
        <f t="shared" si="63"/>
        <v>Mar</v>
      </c>
    </row>
    <row r="1015" spans="1:14" x14ac:dyDescent="0.3">
      <c r="A1015" s="2" t="s">
        <v>1081</v>
      </c>
      <c r="B1015" s="6">
        <v>45745</v>
      </c>
      <c r="C1015" s="2" t="s">
        <v>31</v>
      </c>
      <c r="D1015" s="2" t="s">
        <v>163</v>
      </c>
      <c r="E1015" s="2">
        <v>2</v>
      </c>
      <c r="F1015" s="7">
        <v>2499</v>
      </c>
      <c r="G1015" s="8">
        <v>0.2</v>
      </c>
      <c r="H1015" s="9" t="str">
        <f>INDEX(Products!$B$2:$B$37, MATCH(D1015, Products!$A$2:$A$37, 0))</f>
        <v>Treadmill Compact</v>
      </c>
      <c r="I1015" t="str">
        <f>INDEX(Products!$C$2:$C$37, MATCH(D1015, Products!$A$2:$A$37, 0))</f>
        <v>Sports</v>
      </c>
      <c r="J1015">
        <f>INDEX(Products!$E$2:$E$37, MATCH(D1015, Products!$A$2:$A$37, 0))</f>
        <v>2150</v>
      </c>
      <c r="K1015" s="9">
        <f t="shared" si="60"/>
        <v>3998.4</v>
      </c>
      <c r="L1015">
        <f t="shared" si="61"/>
        <v>4300</v>
      </c>
      <c r="M1015" s="9">
        <f t="shared" si="62"/>
        <v>-301.59999999999991</v>
      </c>
      <c r="N1015" t="str">
        <f t="shared" si="63"/>
        <v>Mar</v>
      </c>
    </row>
    <row r="1016" spans="1:14" x14ac:dyDescent="0.3">
      <c r="A1016" s="2" t="s">
        <v>1082</v>
      </c>
      <c r="B1016" s="6">
        <v>45745</v>
      </c>
      <c r="C1016" s="2" t="s">
        <v>41</v>
      </c>
      <c r="D1016" s="2" t="s">
        <v>46</v>
      </c>
      <c r="E1016" s="2">
        <v>1</v>
      </c>
      <c r="F1016" s="7">
        <v>189</v>
      </c>
      <c r="G1016" s="8">
        <v>0.3</v>
      </c>
      <c r="H1016" s="9" t="str">
        <f>INDEX(Products!$B$2:$B$37, MATCH(D1016, Products!$A$2:$A$37, 0))</f>
        <v>Makeup Palette</v>
      </c>
      <c r="I1016" t="str">
        <f>INDEX(Products!$C$2:$C$37, MATCH(D1016, Products!$A$2:$A$37, 0))</f>
        <v>Beauty</v>
      </c>
      <c r="J1016">
        <f>INDEX(Products!$E$2:$E$37, MATCH(D1016, Products!$A$2:$A$37, 0))</f>
        <v>85</v>
      </c>
      <c r="K1016" s="9">
        <f t="shared" si="60"/>
        <v>132.29999999999998</v>
      </c>
      <c r="L1016">
        <f t="shared" si="61"/>
        <v>85</v>
      </c>
      <c r="M1016" s="9">
        <f t="shared" si="62"/>
        <v>47.299999999999983</v>
      </c>
      <c r="N1016" t="str">
        <f t="shared" si="63"/>
        <v>Mar</v>
      </c>
    </row>
    <row r="1017" spans="1:14" x14ac:dyDescent="0.3">
      <c r="A1017" s="2" t="s">
        <v>1083</v>
      </c>
      <c r="B1017" s="6">
        <v>45745</v>
      </c>
      <c r="C1017" s="2" t="s">
        <v>41</v>
      </c>
      <c r="D1017" s="2" t="s">
        <v>46</v>
      </c>
      <c r="E1017" s="2">
        <v>1</v>
      </c>
      <c r="F1017" s="7">
        <v>189</v>
      </c>
      <c r="G1017" s="8">
        <v>0.1</v>
      </c>
      <c r="H1017" s="9" t="str">
        <f>INDEX(Products!$B$2:$B$37, MATCH(D1017, Products!$A$2:$A$37, 0))</f>
        <v>Makeup Palette</v>
      </c>
      <c r="I1017" t="str">
        <f>INDEX(Products!$C$2:$C$37, MATCH(D1017, Products!$A$2:$A$37, 0))</f>
        <v>Beauty</v>
      </c>
      <c r="J1017">
        <f>INDEX(Products!$E$2:$E$37, MATCH(D1017, Products!$A$2:$A$37, 0))</f>
        <v>85</v>
      </c>
      <c r="K1017" s="9">
        <f t="shared" si="60"/>
        <v>170.1</v>
      </c>
      <c r="L1017">
        <f t="shared" si="61"/>
        <v>85</v>
      </c>
      <c r="M1017" s="9">
        <f t="shared" si="62"/>
        <v>85.1</v>
      </c>
      <c r="N1017" t="str">
        <f t="shared" si="63"/>
        <v>Mar</v>
      </c>
    </row>
    <row r="1018" spans="1:14" x14ac:dyDescent="0.3">
      <c r="A1018" s="2" t="s">
        <v>1084</v>
      </c>
      <c r="B1018" s="6">
        <v>45746</v>
      </c>
      <c r="C1018" s="2" t="s">
        <v>41</v>
      </c>
      <c r="D1018" s="2" t="s">
        <v>65</v>
      </c>
      <c r="E1018" s="2">
        <v>2</v>
      </c>
      <c r="F1018" s="7">
        <v>129</v>
      </c>
      <c r="G1018" s="8">
        <v>0.2</v>
      </c>
      <c r="H1018" s="9" t="str">
        <f>INDEX(Products!$B$2:$B$37, MATCH(D1018, Products!$A$2:$A$37, 0))</f>
        <v>Yoga Mat Premium</v>
      </c>
      <c r="I1018" t="str">
        <f>INDEX(Products!$C$2:$C$37, MATCH(D1018, Products!$A$2:$A$37, 0))</f>
        <v>Sports</v>
      </c>
      <c r="J1018">
        <f>INDEX(Products!$E$2:$E$37, MATCH(D1018, Products!$A$2:$A$37, 0))</f>
        <v>60</v>
      </c>
      <c r="K1018" s="9">
        <f t="shared" si="60"/>
        <v>206.4</v>
      </c>
      <c r="L1018">
        <f t="shared" si="61"/>
        <v>120</v>
      </c>
      <c r="M1018" s="9">
        <f t="shared" si="62"/>
        <v>86.4</v>
      </c>
      <c r="N1018" t="str">
        <f t="shared" si="63"/>
        <v>Mar</v>
      </c>
    </row>
    <row r="1019" spans="1:14" x14ac:dyDescent="0.3">
      <c r="A1019" s="2" t="s">
        <v>1085</v>
      </c>
      <c r="B1019" s="6">
        <v>45746</v>
      </c>
      <c r="C1019" s="2" t="s">
        <v>31</v>
      </c>
      <c r="D1019" s="2" t="s">
        <v>89</v>
      </c>
      <c r="E1019" s="2">
        <v>1</v>
      </c>
      <c r="F1019" s="7">
        <v>399</v>
      </c>
      <c r="G1019" s="8">
        <v>0.05</v>
      </c>
      <c r="H1019" s="9" t="str">
        <f>INDEX(Products!$B$2:$B$37, MATCH(D1019, Products!$A$2:$A$37, 0))</f>
        <v>Men's Kandura Premium</v>
      </c>
      <c r="I1019" t="str">
        <f>INDEX(Products!$C$2:$C$37, MATCH(D1019, Products!$A$2:$A$37, 0))</f>
        <v>Fashion</v>
      </c>
      <c r="J1019">
        <f>INDEX(Products!$E$2:$E$37, MATCH(D1019, Products!$A$2:$A$37, 0))</f>
        <v>210</v>
      </c>
      <c r="K1019" s="9">
        <f t="shared" si="60"/>
        <v>379.04999999999995</v>
      </c>
      <c r="L1019">
        <f t="shared" si="61"/>
        <v>210</v>
      </c>
      <c r="M1019" s="9">
        <f t="shared" si="62"/>
        <v>169.04999999999995</v>
      </c>
      <c r="N1019" t="str">
        <f t="shared" si="63"/>
        <v>Mar</v>
      </c>
    </row>
    <row r="1020" spans="1:14" x14ac:dyDescent="0.3">
      <c r="A1020" s="2" t="s">
        <v>1086</v>
      </c>
      <c r="B1020" s="6">
        <v>45746</v>
      </c>
      <c r="C1020" s="2" t="s">
        <v>41</v>
      </c>
      <c r="D1020" s="2" t="s">
        <v>37</v>
      </c>
      <c r="E1020" s="2">
        <v>2</v>
      </c>
      <c r="F1020" s="7">
        <v>249</v>
      </c>
      <c r="G1020" s="8">
        <v>0.05</v>
      </c>
      <c r="H1020" s="9" t="str">
        <f>INDEX(Products!$B$2:$B$37, MATCH(D1020, Products!$A$2:$A$37, 0))</f>
        <v>Sunglasses Polarised</v>
      </c>
      <c r="I1020" t="str">
        <f>INDEX(Products!$C$2:$C$37, MATCH(D1020, Products!$A$2:$A$37, 0))</f>
        <v>Fashion</v>
      </c>
      <c r="J1020">
        <f>INDEX(Products!$E$2:$E$37, MATCH(D1020, Products!$A$2:$A$37, 0))</f>
        <v>95</v>
      </c>
      <c r="K1020" s="9">
        <f t="shared" si="60"/>
        <v>473.09999999999997</v>
      </c>
      <c r="L1020">
        <f t="shared" si="61"/>
        <v>190</v>
      </c>
      <c r="M1020" s="9">
        <f t="shared" si="62"/>
        <v>283.09999999999997</v>
      </c>
      <c r="N1020" t="str">
        <f t="shared" si="63"/>
        <v>Mar</v>
      </c>
    </row>
    <row r="1021" spans="1:14" x14ac:dyDescent="0.3">
      <c r="A1021" s="2" t="s">
        <v>1087</v>
      </c>
      <c r="B1021" s="6">
        <v>45746</v>
      </c>
      <c r="C1021" s="2" t="s">
        <v>48</v>
      </c>
      <c r="D1021" s="2" t="s">
        <v>75</v>
      </c>
      <c r="E1021" s="2">
        <v>1</v>
      </c>
      <c r="F1021" s="7">
        <v>549</v>
      </c>
      <c r="G1021" s="8">
        <v>0.3</v>
      </c>
      <c r="H1021" s="9" t="str">
        <f>INDEX(Products!$B$2:$B$37, MATCH(D1021, Products!$A$2:$A$37, 0))</f>
        <v>Oud Perfume 100ml</v>
      </c>
      <c r="I1021" t="str">
        <f>INDEX(Products!$C$2:$C$37, MATCH(D1021, Products!$A$2:$A$37, 0))</f>
        <v>Beauty</v>
      </c>
      <c r="J1021">
        <f>INDEX(Products!$E$2:$E$37, MATCH(D1021, Products!$A$2:$A$37, 0))</f>
        <v>250</v>
      </c>
      <c r="K1021" s="9">
        <f t="shared" si="60"/>
        <v>384.29999999999995</v>
      </c>
      <c r="L1021">
        <f t="shared" si="61"/>
        <v>250</v>
      </c>
      <c r="M1021" s="9">
        <f t="shared" si="62"/>
        <v>134.29999999999995</v>
      </c>
      <c r="N1021" t="str">
        <f t="shared" si="63"/>
        <v>Mar</v>
      </c>
    </row>
    <row r="1022" spans="1:14" x14ac:dyDescent="0.3">
      <c r="A1022" s="2" t="s">
        <v>1088</v>
      </c>
      <c r="B1022" s="6">
        <v>45746</v>
      </c>
      <c r="C1022" s="2" t="s">
        <v>28</v>
      </c>
      <c r="D1022" s="2" t="s">
        <v>92</v>
      </c>
      <c r="E1022" s="2">
        <v>1</v>
      </c>
      <c r="F1022" s="7">
        <v>349</v>
      </c>
      <c r="G1022" s="8">
        <v>0.05</v>
      </c>
      <c r="H1022" s="9" t="str">
        <f>INDEX(Products!$B$2:$B$37, MATCH(D1022, Products!$A$2:$A$37, 0))</f>
        <v>Non-stick Cookware Set</v>
      </c>
      <c r="I1022" t="str">
        <f>INDEX(Products!$C$2:$C$37, MATCH(D1022, Products!$A$2:$A$37, 0))</f>
        <v>Home &amp; Kitchen</v>
      </c>
      <c r="J1022">
        <f>INDEX(Products!$E$2:$E$37, MATCH(D1022, Products!$A$2:$A$37, 0))</f>
        <v>170</v>
      </c>
      <c r="K1022" s="9">
        <f t="shared" si="60"/>
        <v>331.55</v>
      </c>
      <c r="L1022">
        <f t="shared" si="61"/>
        <v>170</v>
      </c>
      <c r="M1022" s="9">
        <f t="shared" si="62"/>
        <v>161.55000000000001</v>
      </c>
      <c r="N1022" t="str">
        <f t="shared" si="63"/>
        <v>Mar</v>
      </c>
    </row>
    <row r="1023" spans="1:14" x14ac:dyDescent="0.3">
      <c r="A1023" s="2" t="s">
        <v>1089</v>
      </c>
      <c r="B1023" s="6">
        <v>45746</v>
      </c>
      <c r="C1023" s="2" t="s">
        <v>48</v>
      </c>
      <c r="D1023" s="2" t="s">
        <v>78</v>
      </c>
      <c r="E1023" s="2">
        <v>1</v>
      </c>
      <c r="F1023" s="7">
        <v>499</v>
      </c>
      <c r="G1023" s="8">
        <v>0</v>
      </c>
      <c r="H1023" s="9" t="str">
        <f>INDEX(Products!$B$2:$B$37, MATCH(D1023, Products!$A$2:$A$37, 0))</f>
        <v>Air Fryer 5L</v>
      </c>
      <c r="I1023" t="str">
        <f>INDEX(Products!$C$2:$C$37, MATCH(D1023, Products!$A$2:$A$37, 0))</f>
        <v>Home &amp; Kitchen</v>
      </c>
      <c r="J1023">
        <f>INDEX(Products!$E$2:$E$37, MATCH(D1023, Products!$A$2:$A$37, 0))</f>
        <v>290</v>
      </c>
      <c r="K1023" s="9">
        <f t="shared" si="60"/>
        <v>499</v>
      </c>
      <c r="L1023">
        <f t="shared" si="61"/>
        <v>290</v>
      </c>
      <c r="M1023" s="9">
        <f t="shared" si="62"/>
        <v>209</v>
      </c>
      <c r="N1023" t="str">
        <f t="shared" si="63"/>
        <v>Mar</v>
      </c>
    </row>
    <row r="1024" spans="1:14" x14ac:dyDescent="0.3">
      <c r="A1024" s="2" t="s">
        <v>1090</v>
      </c>
      <c r="B1024" s="6">
        <v>45746</v>
      </c>
      <c r="C1024" s="2" t="s">
        <v>41</v>
      </c>
      <c r="D1024" s="2" t="s">
        <v>126</v>
      </c>
      <c r="E1024" s="2">
        <v>1</v>
      </c>
      <c r="F1024" s="7">
        <v>89</v>
      </c>
      <c r="G1024" s="8">
        <v>0</v>
      </c>
      <c r="H1024" s="9" t="str">
        <f>INDEX(Products!$B$2:$B$37, MATCH(D1024, Products!$A$2:$A$37, 0))</f>
        <v>USB-C Fast Charger</v>
      </c>
      <c r="I1024" t="str">
        <f>INDEX(Products!$C$2:$C$37, MATCH(D1024, Products!$A$2:$A$37, 0))</f>
        <v>Electronics</v>
      </c>
      <c r="J1024">
        <f>INDEX(Products!$E$2:$E$37, MATCH(D1024, Products!$A$2:$A$37, 0))</f>
        <v>35</v>
      </c>
      <c r="K1024" s="9">
        <f t="shared" si="60"/>
        <v>89</v>
      </c>
      <c r="L1024">
        <f t="shared" si="61"/>
        <v>35</v>
      </c>
      <c r="M1024" s="9">
        <f t="shared" si="62"/>
        <v>54</v>
      </c>
      <c r="N1024" t="str">
        <f t="shared" si="63"/>
        <v>Mar</v>
      </c>
    </row>
    <row r="1025" spans="1:14" x14ac:dyDescent="0.3">
      <c r="A1025" s="2" t="s">
        <v>1091</v>
      </c>
      <c r="B1025" s="6">
        <v>45746</v>
      </c>
      <c r="C1025" s="2" t="s">
        <v>41</v>
      </c>
      <c r="D1025" s="2" t="s">
        <v>68</v>
      </c>
      <c r="E1025" s="2">
        <v>1</v>
      </c>
      <c r="F1025" s="7">
        <v>249</v>
      </c>
      <c r="G1025" s="8">
        <v>0.3</v>
      </c>
      <c r="H1025" s="9" t="str">
        <f>INDEX(Products!$B$2:$B$37, MATCH(D1025, Products!$A$2:$A$37, 0))</f>
        <v>Bluetooth Speaker Mini</v>
      </c>
      <c r="I1025" t="str">
        <f>INDEX(Products!$C$2:$C$37, MATCH(D1025, Products!$A$2:$A$37, 0))</f>
        <v>Electronics</v>
      </c>
      <c r="J1025">
        <f>INDEX(Products!$E$2:$E$37, MATCH(D1025, Products!$A$2:$A$37, 0))</f>
        <v>150</v>
      </c>
      <c r="K1025" s="9">
        <f t="shared" si="60"/>
        <v>174.29999999999998</v>
      </c>
      <c r="L1025">
        <f t="shared" si="61"/>
        <v>150</v>
      </c>
      <c r="M1025" s="9">
        <f t="shared" si="62"/>
        <v>24.299999999999983</v>
      </c>
      <c r="N1025" t="str">
        <f t="shared" si="63"/>
        <v>Mar</v>
      </c>
    </row>
    <row r="1026" spans="1:14" x14ac:dyDescent="0.3">
      <c r="A1026" s="2" t="s">
        <v>1092</v>
      </c>
      <c r="B1026" s="6">
        <v>45746</v>
      </c>
      <c r="C1026" s="2" t="s">
        <v>28</v>
      </c>
      <c r="D1026" s="2" t="s">
        <v>35</v>
      </c>
      <c r="E1026" s="2">
        <v>2</v>
      </c>
      <c r="F1026" s="7">
        <v>179</v>
      </c>
      <c r="G1026" s="8">
        <v>0.2</v>
      </c>
      <c r="H1026" s="9" t="str">
        <f>INDEX(Products!$B$2:$B$37, MATCH(D1026, Products!$A$2:$A$37, 0))</f>
        <v>Men's Linen Shirt</v>
      </c>
      <c r="I1026" t="str">
        <f>INDEX(Products!$C$2:$C$37, MATCH(D1026, Products!$A$2:$A$37, 0))</f>
        <v>Fashion</v>
      </c>
      <c r="J1026">
        <f>INDEX(Products!$E$2:$E$37, MATCH(D1026, Products!$A$2:$A$37, 0))</f>
        <v>70</v>
      </c>
      <c r="K1026" s="9">
        <f t="shared" ref="K1026:K1089" si="64">E1026*F1026*(1-G1026)</f>
        <v>286.40000000000003</v>
      </c>
      <c r="L1026">
        <f t="shared" ref="L1026:L1089" si="65">E1026*J1026</f>
        <v>140</v>
      </c>
      <c r="M1026" s="9">
        <f t="shared" ref="M1026:M1089" si="66">K1026-L1026</f>
        <v>146.40000000000003</v>
      </c>
      <c r="N1026" t="str">
        <f t="shared" ref="N1026:N1089" si="67">TEXT(B1026,"mmm")</f>
        <v>Mar</v>
      </c>
    </row>
    <row r="1027" spans="1:14" x14ac:dyDescent="0.3">
      <c r="A1027" s="2" t="s">
        <v>1093</v>
      </c>
      <c r="B1027" s="6">
        <v>45746</v>
      </c>
      <c r="C1027" s="2" t="s">
        <v>41</v>
      </c>
      <c r="D1027" s="2" t="s">
        <v>87</v>
      </c>
      <c r="E1027" s="2">
        <v>4</v>
      </c>
      <c r="F1027" s="7">
        <v>799</v>
      </c>
      <c r="G1027" s="8">
        <v>0.15</v>
      </c>
      <c r="H1027" s="9" t="str">
        <f>INDEX(Products!$B$2:$B$37, MATCH(D1027, Products!$A$2:$A$37, 0))</f>
        <v>Adjustable Dumbbells</v>
      </c>
      <c r="I1027" t="str">
        <f>INDEX(Products!$C$2:$C$37, MATCH(D1027, Products!$A$2:$A$37, 0))</f>
        <v>Sports</v>
      </c>
      <c r="J1027">
        <f>INDEX(Products!$E$2:$E$37, MATCH(D1027, Products!$A$2:$A$37, 0))</f>
        <v>700</v>
      </c>
      <c r="K1027" s="9">
        <f t="shared" si="64"/>
        <v>2716.6</v>
      </c>
      <c r="L1027">
        <f t="shared" si="65"/>
        <v>2800</v>
      </c>
      <c r="M1027" s="9">
        <f t="shared" si="66"/>
        <v>-83.400000000000091</v>
      </c>
      <c r="N1027" t="str">
        <f t="shared" si="67"/>
        <v>Mar</v>
      </c>
    </row>
    <row r="1028" spans="1:14" x14ac:dyDescent="0.3">
      <c r="A1028" s="2" t="s">
        <v>1094</v>
      </c>
      <c r="B1028" s="6">
        <v>45746</v>
      </c>
      <c r="C1028" s="2" t="s">
        <v>44</v>
      </c>
      <c r="D1028" s="2" t="s">
        <v>46</v>
      </c>
      <c r="E1028" s="2">
        <v>2</v>
      </c>
      <c r="F1028" s="7">
        <v>189</v>
      </c>
      <c r="G1028" s="8">
        <v>0</v>
      </c>
      <c r="H1028" s="9" t="str">
        <f>INDEX(Products!$B$2:$B$37, MATCH(D1028, Products!$A$2:$A$37, 0))</f>
        <v>Makeup Palette</v>
      </c>
      <c r="I1028" t="str">
        <f>INDEX(Products!$C$2:$C$37, MATCH(D1028, Products!$A$2:$A$37, 0))</f>
        <v>Beauty</v>
      </c>
      <c r="J1028">
        <f>INDEX(Products!$E$2:$E$37, MATCH(D1028, Products!$A$2:$A$37, 0))</f>
        <v>85</v>
      </c>
      <c r="K1028" s="9">
        <f t="shared" si="64"/>
        <v>378</v>
      </c>
      <c r="L1028">
        <f t="shared" si="65"/>
        <v>170</v>
      </c>
      <c r="M1028" s="9">
        <f t="shared" si="66"/>
        <v>208</v>
      </c>
      <c r="N1028" t="str">
        <f t="shared" si="67"/>
        <v>Mar</v>
      </c>
    </row>
    <row r="1029" spans="1:14" x14ac:dyDescent="0.3">
      <c r="A1029" s="2" t="s">
        <v>1095</v>
      </c>
      <c r="B1029" s="6">
        <v>45746</v>
      </c>
      <c r="C1029" s="2" t="s">
        <v>41</v>
      </c>
      <c r="D1029" s="2" t="s">
        <v>129</v>
      </c>
      <c r="E1029" s="2">
        <v>2</v>
      </c>
      <c r="F1029" s="7">
        <v>149</v>
      </c>
      <c r="G1029" s="8">
        <v>0</v>
      </c>
      <c r="H1029" s="9" t="str">
        <f>INDEX(Products!$B$2:$B$37, MATCH(D1029, Products!$A$2:$A$37, 0))</f>
        <v>Power Bank 20000mAh</v>
      </c>
      <c r="I1029" t="str">
        <f>INDEX(Products!$C$2:$C$37, MATCH(D1029, Products!$A$2:$A$37, 0))</f>
        <v>Electronics</v>
      </c>
      <c r="J1029">
        <f>INDEX(Products!$E$2:$E$37, MATCH(D1029, Products!$A$2:$A$37, 0))</f>
        <v>70</v>
      </c>
      <c r="K1029" s="9">
        <f t="shared" si="64"/>
        <v>298</v>
      </c>
      <c r="L1029">
        <f t="shared" si="65"/>
        <v>140</v>
      </c>
      <c r="M1029" s="9">
        <f t="shared" si="66"/>
        <v>158</v>
      </c>
      <c r="N1029" t="str">
        <f t="shared" si="67"/>
        <v>Mar</v>
      </c>
    </row>
    <row r="1030" spans="1:14" x14ac:dyDescent="0.3">
      <c r="A1030" s="2" t="s">
        <v>1096</v>
      </c>
      <c r="B1030" s="6">
        <v>45746</v>
      </c>
      <c r="C1030" s="2" t="s">
        <v>41</v>
      </c>
      <c r="D1030" s="2" t="s">
        <v>49</v>
      </c>
      <c r="E1030" s="2">
        <v>1</v>
      </c>
      <c r="F1030" s="7">
        <v>149</v>
      </c>
      <c r="G1030" s="8">
        <v>0.3</v>
      </c>
      <c r="H1030" s="9" t="str">
        <f>INDEX(Products!$B$2:$B$37, MATCH(D1030, Products!$A$2:$A$37, 0))</f>
        <v>Kids' Sneakers</v>
      </c>
      <c r="I1030" t="str">
        <f>INDEX(Products!$C$2:$C$37, MATCH(D1030, Products!$A$2:$A$37, 0))</f>
        <v>Fashion</v>
      </c>
      <c r="J1030">
        <f>INDEX(Products!$E$2:$E$37, MATCH(D1030, Products!$A$2:$A$37, 0))</f>
        <v>80</v>
      </c>
      <c r="K1030" s="9">
        <f t="shared" si="64"/>
        <v>104.3</v>
      </c>
      <c r="L1030">
        <f t="shared" si="65"/>
        <v>80</v>
      </c>
      <c r="M1030" s="9">
        <f t="shared" si="66"/>
        <v>24.299999999999997</v>
      </c>
      <c r="N1030" t="str">
        <f t="shared" si="67"/>
        <v>Mar</v>
      </c>
    </row>
    <row r="1031" spans="1:14" x14ac:dyDescent="0.3">
      <c r="A1031" s="2" t="s">
        <v>1097</v>
      </c>
      <c r="B1031" s="6">
        <v>45746</v>
      </c>
      <c r="C1031" s="2" t="s">
        <v>28</v>
      </c>
      <c r="D1031" s="2" t="s">
        <v>78</v>
      </c>
      <c r="E1031" s="2">
        <v>1</v>
      </c>
      <c r="F1031" s="7">
        <v>499</v>
      </c>
      <c r="G1031" s="8">
        <v>0.1</v>
      </c>
      <c r="H1031" s="9" t="str">
        <f>INDEX(Products!$B$2:$B$37, MATCH(D1031, Products!$A$2:$A$37, 0))</f>
        <v>Air Fryer 5L</v>
      </c>
      <c r="I1031" t="str">
        <f>INDEX(Products!$C$2:$C$37, MATCH(D1031, Products!$A$2:$A$37, 0))</f>
        <v>Home &amp; Kitchen</v>
      </c>
      <c r="J1031">
        <f>INDEX(Products!$E$2:$E$37, MATCH(D1031, Products!$A$2:$A$37, 0))</f>
        <v>290</v>
      </c>
      <c r="K1031" s="9">
        <f t="shared" si="64"/>
        <v>449.1</v>
      </c>
      <c r="L1031">
        <f t="shared" si="65"/>
        <v>290</v>
      </c>
      <c r="M1031" s="9">
        <f t="shared" si="66"/>
        <v>159.10000000000002</v>
      </c>
      <c r="N1031" t="str">
        <f t="shared" si="67"/>
        <v>Mar</v>
      </c>
    </row>
    <row r="1032" spans="1:14" x14ac:dyDescent="0.3">
      <c r="A1032" s="2" t="s">
        <v>1098</v>
      </c>
      <c r="B1032" s="6">
        <v>45747</v>
      </c>
      <c r="C1032" s="2" t="s">
        <v>28</v>
      </c>
      <c r="D1032" s="2" t="s">
        <v>115</v>
      </c>
      <c r="E1032" s="2">
        <v>1</v>
      </c>
      <c r="F1032" s="7">
        <v>129</v>
      </c>
      <c r="G1032" s="8">
        <v>0.1</v>
      </c>
      <c r="H1032" s="9" t="str">
        <f>INDEX(Products!$B$2:$B$37, MATCH(D1032, Products!$A$2:$A$37, 0))</f>
        <v>Electric Kettle</v>
      </c>
      <c r="I1032" t="str">
        <f>INDEX(Products!$C$2:$C$37, MATCH(D1032, Products!$A$2:$A$37, 0))</f>
        <v>Home &amp; Kitchen</v>
      </c>
      <c r="J1032">
        <f>INDEX(Products!$E$2:$E$37, MATCH(D1032, Products!$A$2:$A$37, 0))</f>
        <v>60</v>
      </c>
      <c r="K1032" s="9">
        <f t="shared" si="64"/>
        <v>116.10000000000001</v>
      </c>
      <c r="L1032">
        <f t="shared" si="65"/>
        <v>60</v>
      </c>
      <c r="M1032" s="9">
        <f t="shared" si="66"/>
        <v>56.100000000000009</v>
      </c>
      <c r="N1032" t="str">
        <f t="shared" si="67"/>
        <v>Mar</v>
      </c>
    </row>
    <row r="1033" spans="1:14" x14ac:dyDescent="0.3">
      <c r="A1033" s="2" t="s">
        <v>1099</v>
      </c>
      <c r="B1033" s="6">
        <v>45747</v>
      </c>
      <c r="C1033" s="2" t="s">
        <v>44</v>
      </c>
      <c r="D1033" s="2" t="s">
        <v>68</v>
      </c>
      <c r="E1033" s="2">
        <v>1</v>
      </c>
      <c r="F1033" s="7">
        <v>249</v>
      </c>
      <c r="G1033" s="8">
        <v>0</v>
      </c>
      <c r="H1033" s="9" t="str">
        <f>INDEX(Products!$B$2:$B$37, MATCH(D1033, Products!$A$2:$A$37, 0))</f>
        <v>Bluetooth Speaker Mini</v>
      </c>
      <c r="I1033" t="str">
        <f>INDEX(Products!$C$2:$C$37, MATCH(D1033, Products!$A$2:$A$37, 0))</f>
        <v>Electronics</v>
      </c>
      <c r="J1033">
        <f>INDEX(Products!$E$2:$E$37, MATCH(D1033, Products!$A$2:$A$37, 0))</f>
        <v>150</v>
      </c>
      <c r="K1033" s="9">
        <f t="shared" si="64"/>
        <v>249</v>
      </c>
      <c r="L1033">
        <f t="shared" si="65"/>
        <v>150</v>
      </c>
      <c r="M1033" s="9">
        <f t="shared" si="66"/>
        <v>99</v>
      </c>
      <c r="N1033" t="str">
        <f t="shared" si="67"/>
        <v>Mar</v>
      </c>
    </row>
    <row r="1034" spans="1:14" x14ac:dyDescent="0.3">
      <c r="A1034" s="2" t="s">
        <v>1100</v>
      </c>
      <c r="B1034" s="6">
        <v>45747</v>
      </c>
      <c r="C1034" s="2" t="s">
        <v>48</v>
      </c>
      <c r="D1034" s="2" t="s">
        <v>70</v>
      </c>
      <c r="E1034" s="2">
        <v>2</v>
      </c>
      <c r="F1034" s="7">
        <v>429</v>
      </c>
      <c r="G1034" s="8">
        <v>0.05</v>
      </c>
      <c r="H1034" s="9" t="str">
        <f>INDEX(Products!$B$2:$B$37, MATCH(D1034, Products!$A$2:$A$37, 0))</f>
        <v>Running Shoes Elite</v>
      </c>
      <c r="I1034" t="str">
        <f>INDEX(Products!$C$2:$C$37, MATCH(D1034, Products!$A$2:$A$37, 0))</f>
        <v>Fashion</v>
      </c>
      <c r="J1034">
        <f>INDEX(Products!$E$2:$E$37, MATCH(D1034, Products!$A$2:$A$37, 0))</f>
        <v>300</v>
      </c>
      <c r="K1034" s="9">
        <f t="shared" si="64"/>
        <v>815.09999999999991</v>
      </c>
      <c r="L1034">
        <f t="shared" si="65"/>
        <v>600</v>
      </c>
      <c r="M1034" s="9">
        <f t="shared" si="66"/>
        <v>215.09999999999991</v>
      </c>
      <c r="N1034" t="str">
        <f t="shared" si="67"/>
        <v>Mar</v>
      </c>
    </row>
    <row r="1035" spans="1:14" x14ac:dyDescent="0.3">
      <c r="A1035" s="2" t="s">
        <v>1101</v>
      </c>
      <c r="B1035" s="6">
        <v>45747</v>
      </c>
      <c r="C1035" s="2" t="s">
        <v>41</v>
      </c>
      <c r="D1035" s="2" t="s">
        <v>52</v>
      </c>
      <c r="E1035" s="2">
        <v>2</v>
      </c>
      <c r="F1035" s="7">
        <v>299</v>
      </c>
      <c r="G1035" s="8">
        <v>0.25</v>
      </c>
      <c r="H1035" s="9" t="str">
        <f>INDEX(Products!$B$2:$B$37, MATCH(D1035, Products!$A$2:$A$37, 0))</f>
        <v>Hair Dryer Ionic</v>
      </c>
      <c r="I1035" t="str">
        <f>INDEX(Products!$C$2:$C$37, MATCH(D1035, Products!$A$2:$A$37, 0))</f>
        <v>Beauty</v>
      </c>
      <c r="J1035">
        <f>INDEX(Products!$E$2:$E$37, MATCH(D1035, Products!$A$2:$A$37, 0))</f>
        <v>240</v>
      </c>
      <c r="K1035" s="9">
        <f t="shared" si="64"/>
        <v>448.5</v>
      </c>
      <c r="L1035">
        <f t="shared" si="65"/>
        <v>480</v>
      </c>
      <c r="M1035" s="9">
        <f t="shared" si="66"/>
        <v>-31.5</v>
      </c>
      <c r="N1035" t="str">
        <f t="shared" si="67"/>
        <v>Mar</v>
      </c>
    </row>
    <row r="1036" spans="1:14" x14ac:dyDescent="0.3">
      <c r="A1036" s="2" t="s">
        <v>1102</v>
      </c>
      <c r="B1036" s="6">
        <v>45747</v>
      </c>
      <c r="C1036" s="2" t="s">
        <v>31</v>
      </c>
      <c r="D1036" s="2" t="s">
        <v>58</v>
      </c>
      <c r="E1036" s="2">
        <v>1</v>
      </c>
      <c r="F1036" s="7">
        <v>459</v>
      </c>
      <c r="G1036" s="8">
        <v>0.05</v>
      </c>
      <c r="H1036" s="9" t="str">
        <f>INDEX(Products!$B$2:$B$37, MATCH(D1036, Products!$A$2:$A$37, 0))</f>
        <v>Women's Abaya Classic</v>
      </c>
      <c r="I1036" t="str">
        <f>INDEX(Products!$C$2:$C$37, MATCH(D1036, Products!$A$2:$A$37, 0))</f>
        <v>Fashion</v>
      </c>
      <c r="J1036">
        <f>INDEX(Products!$E$2:$E$37, MATCH(D1036, Products!$A$2:$A$37, 0))</f>
        <v>190</v>
      </c>
      <c r="K1036" s="9">
        <f t="shared" si="64"/>
        <v>436.04999999999995</v>
      </c>
      <c r="L1036">
        <f t="shared" si="65"/>
        <v>190</v>
      </c>
      <c r="M1036" s="9">
        <f t="shared" si="66"/>
        <v>246.04999999999995</v>
      </c>
      <c r="N1036" t="str">
        <f t="shared" si="67"/>
        <v>Mar</v>
      </c>
    </row>
    <row r="1037" spans="1:14" x14ac:dyDescent="0.3">
      <c r="A1037" s="2" t="s">
        <v>1103</v>
      </c>
      <c r="B1037" s="6">
        <v>45747</v>
      </c>
      <c r="C1037" s="2" t="s">
        <v>48</v>
      </c>
      <c r="D1037" s="2" t="s">
        <v>83</v>
      </c>
      <c r="E1037" s="2">
        <v>1</v>
      </c>
      <c r="F1037" s="7">
        <v>229</v>
      </c>
      <c r="G1037" s="8">
        <v>0.3</v>
      </c>
      <c r="H1037" s="9" t="str">
        <f>INDEX(Products!$B$2:$B$37, MATCH(D1037, Products!$A$2:$A$37, 0))</f>
        <v>Cycling Helmet</v>
      </c>
      <c r="I1037" t="str">
        <f>INDEX(Products!$C$2:$C$37, MATCH(D1037, Products!$A$2:$A$37, 0))</f>
        <v>Sports</v>
      </c>
      <c r="J1037">
        <f>INDEX(Products!$E$2:$E$37, MATCH(D1037, Products!$A$2:$A$37, 0))</f>
        <v>120</v>
      </c>
      <c r="K1037" s="9">
        <f t="shared" si="64"/>
        <v>160.29999999999998</v>
      </c>
      <c r="L1037">
        <f t="shared" si="65"/>
        <v>120</v>
      </c>
      <c r="M1037" s="9">
        <f t="shared" si="66"/>
        <v>40.299999999999983</v>
      </c>
      <c r="N1037" t="str">
        <f t="shared" si="67"/>
        <v>Mar</v>
      </c>
    </row>
    <row r="1038" spans="1:14" x14ac:dyDescent="0.3">
      <c r="A1038" s="2" t="s">
        <v>1104</v>
      </c>
      <c r="B1038" s="6">
        <v>45747</v>
      </c>
      <c r="C1038" s="2" t="s">
        <v>31</v>
      </c>
      <c r="D1038" s="2" t="s">
        <v>95</v>
      </c>
      <c r="E1038" s="2">
        <v>1</v>
      </c>
      <c r="F1038" s="7">
        <v>259</v>
      </c>
      <c r="G1038" s="8">
        <v>0.3</v>
      </c>
      <c r="H1038" s="9" t="str">
        <f>INDEX(Products!$B$2:$B$37, MATCH(D1038, Products!$A$2:$A$37, 0))</f>
        <v>Bed Linen Set (King)</v>
      </c>
      <c r="I1038" t="str">
        <f>INDEX(Products!$C$2:$C$37, MATCH(D1038, Products!$A$2:$A$37, 0))</f>
        <v>Home &amp; Kitchen</v>
      </c>
      <c r="J1038">
        <f>INDEX(Products!$E$2:$E$37, MATCH(D1038, Products!$A$2:$A$37, 0))</f>
        <v>115</v>
      </c>
      <c r="K1038" s="9">
        <f t="shared" si="64"/>
        <v>181.29999999999998</v>
      </c>
      <c r="L1038">
        <f t="shared" si="65"/>
        <v>115</v>
      </c>
      <c r="M1038" s="9">
        <f t="shared" si="66"/>
        <v>66.299999999999983</v>
      </c>
      <c r="N1038" t="str">
        <f t="shared" si="67"/>
        <v>Mar</v>
      </c>
    </row>
    <row r="1039" spans="1:14" x14ac:dyDescent="0.3">
      <c r="A1039" s="2" t="s">
        <v>1105</v>
      </c>
      <c r="B1039" s="6">
        <v>45747</v>
      </c>
      <c r="C1039" s="2" t="s">
        <v>48</v>
      </c>
      <c r="D1039" s="2" t="s">
        <v>70</v>
      </c>
      <c r="E1039" s="2">
        <v>1</v>
      </c>
      <c r="F1039" s="7">
        <v>429</v>
      </c>
      <c r="G1039" s="8">
        <v>0.2</v>
      </c>
      <c r="H1039" s="9" t="str">
        <f>INDEX(Products!$B$2:$B$37, MATCH(D1039, Products!$A$2:$A$37, 0))</f>
        <v>Running Shoes Elite</v>
      </c>
      <c r="I1039" t="str">
        <f>INDEX(Products!$C$2:$C$37, MATCH(D1039, Products!$A$2:$A$37, 0))</f>
        <v>Fashion</v>
      </c>
      <c r="J1039">
        <f>INDEX(Products!$E$2:$E$37, MATCH(D1039, Products!$A$2:$A$37, 0))</f>
        <v>300</v>
      </c>
      <c r="K1039" s="9">
        <f t="shared" si="64"/>
        <v>343.20000000000005</v>
      </c>
      <c r="L1039">
        <f t="shared" si="65"/>
        <v>300</v>
      </c>
      <c r="M1039" s="9">
        <f t="shared" si="66"/>
        <v>43.200000000000045</v>
      </c>
      <c r="N1039" t="str">
        <f t="shared" si="67"/>
        <v>Mar</v>
      </c>
    </row>
    <row r="1040" spans="1:14" x14ac:dyDescent="0.3">
      <c r="A1040" s="2" t="s">
        <v>1106</v>
      </c>
      <c r="B1040" s="6">
        <v>45747</v>
      </c>
      <c r="C1040" s="2" t="s">
        <v>28</v>
      </c>
      <c r="D1040" s="2" t="s">
        <v>56</v>
      </c>
      <c r="E1040" s="2">
        <v>1</v>
      </c>
      <c r="F1040" s="7">
        <v>289</v>
      </c>
      <c r="G1040" s="8">
        <v>0</v>
      </c>
      <c r="H1040" s="9" t="str">
        <f>INDEX(Products!$B$2:$B$37, MATCH(D1040, Products!$A$2:$A$37, 0))</f>
        <v>Ceramic Dinner Set</v>
      </c>
      <c r="I1040" t="str">
        <f>INDEX(Products!$C$2:$C$37, MATCH(D1040, Products!$A$2:$A$37, 0))</f>
        <v>Home &amp; Kitchen</v>
      </c>
      <c r="J1040">
        <f>INDEX(Products!$E$2:$E$37, MATCH(D1040, Products!$A$2:$A$37, 0))</f>
        <v>140</v>
      </c>
      <c r="K1040" s="9">
        <f t="shared" si="64"/>
        <v>289</v>
      </c>
      <c r="L1040">
        <f t="shared" si="65"/>
        <v>140</v>
      </c>
      <c r="M1040" s="9">
        <f t="shared" si="66"/>
        <v>149</v>
      </c>
      <c r="N1040" t="str">
        <f t="shared" si="67"/>
        <v>Mar</v>
      </c>
    </row>
    <row r="1041" spans="1:14" x14ac:dyDescent="0.3">
      <c r="A1041" s="2" t="s">
        <v>1107</v>
      </c>
      <c r="B1041" s="6">
        <v>45748</v>
      </c>
      <c r="C1041" s="2" t="s">
        <v>44</v>
      </c>
      <c r="D1041" s="2" t="s">
        <v>115</v>
      </c>
      <c r="E1041" s="2">
        <v>1</v>
      </c>
      <c r="F1041" s="7">
        <v>129</v>
      </c>
      <c r="G1041" s="8">
        <v>0</v>
      </c>
      <c r="H1041" s="9" t="str">
        <f>INDEX(Products!$B$2:$B$37, MATCH(D1041, Products!$A$2:$A$37, 0))</f>
        <v>Electric Kettle</v>
      </c>
      <c r="I1041" t="str">
        <f>INDEX(Products!$C$2:$C$37, MATCH(D1041, Products!$A$2:$A$37, 0))</f>
        <v>Home &amp; Kitchen</v>
      </c>
      <c r="J1041">
        <f>INDEX(Products!$E$2:$E$37, MATCH(D1041, Products!$A$2:$A$37, 0))</f>
        <v>60</v>
      </c>
      <c r="K1041" s="9">
        <f t="shared" si="64"/>
        <v>129</v>
      </c>
      <c r="L1041">
        <f t="shared" si="65"/>
        <v>60</v>
      </c>
      <c r="M1041" s="9">
        <f t="shared" si="66"/>
        <v>69</v>
      </c>
      <c r="N1041" t="str">
        <f t="shared" si="67"/>
        <v>Apr</v>
      </c>
    </row>
    <row r="1042" spans="1:14" x14ac:dyDescent="0.3">
      <c r="A1042" s="2" t="s">
        <v>1108</v>
      </c>
      <c r="B1042" s="6">
        <v>45748</v>
      </c>
      <c r="C1042" s="2" t="s">
        <v>28</v>
      </c>
      <c r="D1042" s="2" t="s">
        <v>33</v>
      </c>
      <c r="E1042" s="2">
        <v>2</v>
      </c>
      <c r="F1042" s="7">
        <v>199</v>
      </c>
      <c r="G1042" s="8">
        <v>0.25</v>
      </c>
      <c r="H1042" s="9" t="str">
        <f>INDEX(Products!$B$2:$B$37, MATCH(D1042, Products!$A$2:$A$37, 0))</f>
        <v>Fitness Band Lite</v>
      </c>
      <c r="I1042" t="str">
        <f>INDEX(Products!$C$2:$C$37, MATCH(D1042, Products!$A$2:$A$37, 0))</f>
        <v>Electronics</v>
      </c>
      <c r="J1042">
        <f>INDEX(Products!$E$2:$E$37, MATCH(D1042, Products!$A$2:$A$37, 0))</f>
        <v>175</v>
      </c>
      <c r="K1042" s="9">
        <f t="shared" si="64"/>
        <v>298.5</v>
      </c>
      <c r="L1042">
        <f t="shared" si="65"/>
        <v>350</v>
      </c>
      <c r="M1042" s="9">
        <f t="shared" si="66"/>
        <v>-51.5</v>
      </c>
      <c r="N1042" t="str">
        <f t="shared" si="67"/>
        <v>Apr</v>
      </c>
    </row>
    <row r="1043" spans="1:14" x14ac:dyDescent="0.3">
      <c r="A1043" s="2" t="s">
        <v>1109</v>
      </c>
      <c r="B1043" s="6">
        <v>45748</v>
      </c>
      <c r="C1043" s="2" t="s">
        <v>44</v>
      </c>
      <c r="D1043" s="2" t="s">
        <v>194</v>
      </c>
      <c r="E1043" s="2">
        <v>1</v>
      </c>
      <c r="F1043" s="7">
        <v>699</v>
      </c>
      <c r="G1043" s="8">
        <v>0.1</v>
      </c>
      <c r="H1043" s="9" t="str">
        <f>INDEX(Products!$B$2:$B$37, MATCH(D1043, Products!$A$2:$A$37, 0))</f>
        <v>Leather Handbag</v>
      </c>
      <c r="I1043" t="str">
        <f>INDEX(Products!$C$2:$C$37, MATCH(D1043, Products!$A$2:$A$37, 0))</f>
        <v>Fashion</v>
      </c>
      <c r="J1043">
        <f>INDEX(Products!$E$2:$E$37, MATCH(D1043, Products!$A$2:$A$37, 0))</f>
        <v>380</v>
      </c>
      <c r="K1043" s="9">
        <f t="shared" si="64"/>
        <v>629.1</v>
      </c>
      <c r="L1043">
        <f t="shared" si="65"/>
        <v>380</v>
      </c>
      <c r="M1043" s="9">
        <f t="shared" si="66"/>
        <v>249.10000000000002</v>
      </c>
      <c r="N1043" t="str">
        <f t="shared" si="67"/>
        <v>Apr</v>
      </c>
    </row>
    <row r="1044" spans="1:14" x14ac:dyDescent="0.3">
      <c r="A1044" s="2" t="s">
        <v>1110</v>
      </c>
      <c r="B1044" s="6">
        <v>45748</v>
      </c>
      <c r="C1044" s="2" t="s">
        <v>31</v>
      </c>
      <c r="D1044" s="2" t="s">
        <v>87</v>
      </c>
      <c r="E1044" s="2">
        <v>4</v>
      </c>
      <c r="F1044" s="7">
        <v>799</v>
      </c>
      <c r="G1044" s="8">
        <v>0.2</v>
      </c>
      <c r="H1044" s="9" t="str">
        <f>INDEX(Products!$B$2:$B$37, MATCH(D1044, Products!$A$2:$A$37, 0))</f>
        <v>Adjustable Dumbbells</v>
      </c>
      <c r="I1044" t="str">
        <f>INDEX(Products!$C$2:$C$37, MATCH(D1044, Products!$A$2:$A$37, 0))</f>
        <v>Sports</v>
      </c>
      <c r="J1044">
        <f>INDEX(Products!$E$2:$E$37, MATCH(D1044, Products!$A$2:$A$37, 0))</f>
        <v>700</v>
      </c>
      <c r="K1044" s="9">
        <f t="shared" si="64"/>
        <v>2556.8000000000002</v>
      </c>
      <c r="L1044">
        <f t="shared" si="65"/>
        <v>2800</v>
      </c>
      <c r="M1044" s="9">
        <f t="shared" si="66"/>
        <v>-243.19999999999982</v>
      </c>
      <c r="N1044" t="str">
        <f t="shared" si="67"/>
        <v>Apr</v>
      </c>
    </row>
    <row r="1045" spans="1:14" x14ac:dyDescent="0.3">
      <c r="A1045" s="2" t="s">
        <v>1111</v>
      </c>
      <c r="B1045" s="6">
        <v>45748</v>
      </c>
      <c r="C1045" s="2" t="s">
        <v>44</v>
      </c>
      <c r="D1045" s="2" t="s">
        <v>46</v>
      </c>
      <c r="E1045" s="2">
        <v>1</v>
      </c>
      <c r="F1045" s="7">
        <v>189</v>
      </c>
      <c r="G1045" s="8">
        <v>0.05</v>
      </c>
      <c r="H1045" s="9" t="str">
        <f>INDEX(Products!$B$2:$B$37, MATCH(D1045, Products!$A$2:$A$37, 0))</f>
        <v>Makeup Palette</v>
      </c>
      <c r="I1045" t="str">
        <f>INDEX(Products!$C$2:$C$37, MATCH(D1045, Products!$A$2:$A$37, 0))</f>
        <v>Beauty</v>
      </c>
      <c r="J1045">
        <f>INDEX(Products!$E$2:$E$37, MATCH(D1045, Products!$A$2:$A$37, 0))</f>
        <v>85</v>
      </c>
      <c r="K1045" s="9">
        <f t="shared" si="64"/>
        <v>179.54999999999998</v>
      </c>
      <c r="L1045">
        <f t="shared" si="65"/>
        <v>85</v>
      </c>
      <c r="M1045" s="9">
        <f t="shared" si="66"/>
        <v>94.549999999999983</v>
      </c>
      <c r="N1045" t="str">
        <f t="shared" si="67"/>
        <v>Apr</v>
      </c>
    </row>
    <row r="1046" spans="1:14" x14ac:dyDescent="0.3">
      <c r="A1046" s="2" t="s">
        <v>1112</v>
      </c>
      <c r="B1046" s="6">
        <v>45748</v>
      </c>
      <c r="C1046" s="2" t="s">
        <v>31</v>
      </c>
      <c r="D1046" s="2" t="s">
        <v>99</v>
      </c>
      <c r="E1046" s="2">
        <v>2</v>
      </c>
      <c r="F1046" s="7">
        <v>459</v>
      </c>
      <c r="G1046" s="8">
        <v>0</v>
      </c>
      <c r="H1046" s="9" t="str">
        <f>INDEX(Products!$B$2:$B$37, MATCH(D1046, Products!$A$2:$A$37, 0))</f>
        <v>Gaming Headset X</v>
      </c>
      <c r="I1046" t="str">
        <f>INDEX(Products!$C$2:$C$37, MATCH(D1046, Products!$A$2:$A$37, 0))</f>
        <v>Electronics</v>
      </c>
      <c r="J1046">
        <f>INDEX(Products!$E$2:$E$37, MATCH(D1046, Products!$A$2:$A$37, 0))</f>
        <v>300</v>
      </c>
      <c r="K1046" s="9">
        <f t="shared" si="64"/>
        <v>918</v>
      </c>
      <c r="L1046">
        <f t="shared" si="65"/>
        <v>600</v>
      </c>
      <c r="M1046" s="9">
        <f t="shared" si="66"/>
        <v>318</v>
      </c>
      <c r="N1046" t="str">
        <f t="shared" si="67"/>
        <v>Apr</v>
      </c>
    </row>
    <row r="1047" spans="1:14" x14ac:dyDescent="0.3">
      <c r="A1047" s="2" t="s">
        <v>1113</v>
      </c>
      <c r="B1047" s="6">
        <v>45748</v>
      </c>
      <c r="C1047" s="2" t="s">
        <v>28</v>
      </c>
      <c r="D1047" s="2" t="s">
        <v>87</v>
      </c>
      <c r="E1047" s="2">
        <v>2</v>
      </c>
      <c r="F1047" s="7">
        <v>799</v>
      </c>
      <c r="G1047" s="8">
        <v>0.1</v>
      </c>
      <c r="H1047" s="9" t="str">
        <f>INDEX(Products!$B$2:$B$37, MATCH(D1047, Products!$A$2:$A$37, 0))</f>
        <v>Adjustable Dumbbells</v>
      </c>
      <c r="I1047" t="str">
        <f>INDEX(Products!$C$2:$C$37, MATCH(D1047, Products!$A$2:$A$37, 0))</f>
        <v>Sports</v>
      </c>
      <c r="J1047">
        <f>INDEX(Products!$E$2:$E$37, MATCH(D1047, Products!$A$2:$A$37, 0))</f>
        <v>700</v>
      </c>
      <c r="K1047" s="9">
        <f t="shared" si="64"/>
        <v>1438.2</v>
      </c>
      <c r="L1047">
        <f t="shared" si="65"/>
        <v>1400</v>
      </c>
      <c r="M1047" s="9">
        <f t="shared" si="66"/>
        <v>38.200000000000045</v>
      </c>
      <c r="N1047" t="str">
        <f t="shared" si="67"/>
        <v>Apr</v>
      </c>
    </row>
    <row r="1048" spans="1:14" x14ac:dyDescent="0.3">
      <c r="A1048" s="2" t="s">
        <v>1114</v>
      </c>
      <c r="B1048" s="6">
        <v>45748</v>
      </c>
      <c r="C1048" s="2" t="s">
        <v>48</v>
      </c>
      <c r="D1048" s="2" t="s">
        <v>52</v>
      </c>
      <c r="E1048" s="2">
        <v>1</v>
      </c>
      <c r="F1048" s="7">
        <v>299</v>
      </c>
      <c r="G1048" s="8">
        <v>0.25</v>
      </c>
      <c r="H1048" s="9" t="str">
        <f>INDEX(Products!$B$2:$B$37, MATCH(D1048, Products!$A$2:$A$37, 0))</f>
        <v>Hair Dryer Ionic</v>
      </c>
      <c r="I1048" t="str">
        <f>INDEX(Products!$C$2:$C$37, MATCH(D1048, Products!$A$2:$A$37, 0))</f>
        <v>Beauty</v>
      </c>
      <c r="J1048">
        <f>INDEX(Products!$E$2:$E$37, MATCH(D1048, Products!$A$2:$A$37, 0))</f>
        <v>240</v>
      </c>
      <c r="K1048" s="9">
        <f t="shared" si="64"/>
        <v>224.25</v>
      </c>
      <c r="L1048">
        <f t="shared" si="65"/>
        <v>240</v>
      </c>
      <c r="M1048" s="9">
        <f t="shared" si="66"/>
        <v>-15.75</v>
      </c>
      <c r="N1048" t="str">
        <f t="shared" si="67"/>
        <v>Apr</v>
      </c>
    </row>
    <row r="1049" spans="1:14" x14ac:dyDescent="0.3">
      <c r="A1049" s="2" t="s">
        <v>1115</v>
      </c>
      <c r="B1049" s="6">
        <v>45748</v>
      </c>
      <c r="C1049" s="2" t="s">
        <v>31</v>
      </c>
      <c r="D1049" s="2" t="s">
        <v>131</v>
      </c>
      <c r="E1049" s="2">
        <v>1</v>
      </c>
      <c r="F1049" s="7">
        <v>899</v>
      </c>
      <c r="G1049" s="8">
        <v>0.15</v>
      </c>
      <c r="H1049" s="9" t="str">
        <f>INDEX(Products!$B$2:$B$37, MATCH(D1049, Products!$A$2:$A$37, 0))</f>
        <v>4K Action Camera</v>
      </c>
      <c r="I1049" t="str">
        <f>INDEX(Products!$C$2:$C$37, MATCH(D1049, Products!$A$2:$A$37, 0))</f>
        <v>Electronics</v>
      </c>
      <c r="J1049">
        <f>INDEX(Products!$E$2:$E$37, MATCH(D1049, Products!$A$2:$A$37, 0))</f>
        <v>610</v>
      </c>
      <c r="K1049" s="9">
        <f t="shared" si="64"/>
        <v>764.15</v>
      </c>
      <c r="L1049">
        <f t="shared" si="65"/>
        <v>610</v>
      </c>
      <c r="M1049" s="9">
        <f t="shared" si="66"/>
        <v>154.14999999999998</v>
      </c>
      <c r="N1049" t="str">
        <f t="shared" si="67"/>
        <v>Apr</v>
      </c>
    </row>
    <row r="1050" spans="1:14" x14ac:dyDescent="0.3">
      <c r="A1050" s="2" t="s">
        <v>1116</v>
      </c>
      <c r="B1050" s="6">
        <v>45748</v>
      </c>
      <c r="C1050" s="2" t="s">
        <v>41</v>
      </c>
      <c r="D1050" s="2" t="s">
        <v>49</v>
      </c>
      <c r="E1050" s="2">
        <v>1</v>
      </c>
      <c r="F1050" s="7">
        <v>149</v>
      </c>
      <c r="G1050" s="8">
        <v>0.15</v>
      </c>
      <c r="H1050" s="9" t="str">
        <f>INDEX(Products!$B$2:$B$37, MATCH(D1050, Products!$A$2:$A$37, 0))</f>
        <v>Kids' Sneakers</v>
      </c>
      <c r="I1050" t="str">
        <f>INDEX(Products!$C$2:$C$37, MATCH(D1050, Products!$A$2:$A$37, 0))</f>
        <v>Fashion</v>
      </c>
      <c r="J1050">
        <f>INDEX(Products!$E$2:$E$37, MATCH(D1050, Products!$A$2:$A$37, 0))</f>
        <v>80</v>
      </c>
      <c r="K1050" s="9">
        <f t="shared" si="64"/>
        <v>126.64999999999999</v>
      </c>
      <c r="L1050">
        <f t="shared" si="65"/>
        <v>80</v>
      </c>
      <c r="M1050" s="9">
        <f t="shared" si="66"/>
        <v>46.649999999999991</v>
      </c>
      <c r="N1050" t="str">
        <f t="shared" si="67"/>
        <v>Apr</v>
      </c>
    </row>
    <row r="1051" spans="1:14" x14ac:dyDescent="0.3">
      <c r="A1051" s="2" t="s">
        <v>1117</v>
      </c>
      <c r="B1051" s="6">
        <v>45748</v>
      </c>
      <c r="C1051" s="2" t="s">
        <v>44</v>
      </c>
      <c r="D1051" s="2" t="s">
        <v>58</v>
      </c>
      <c r="E1051" s="2">
        <v>1</v>
      </c>
      <c r="F1051" s="7">
        <v>459</v>
      </c>
      <c r="G1051" s="8">
        <v>0</v>
      </c>
      <c r="H1051" s="9" t="str">
        <f>INDEX(Products!$B$2:$B$37, MATCH(D1051, Products!$A$2:$A$37, 0))</f>
        <v>Women's Abaya Classic</v>
      </c>
      <c r="I1051" t="str">
        <f>INDEX(Products!$C$2:$C$37, MATCH(D1051, Products!$A$2:$A$37, 0))</f>
        <v>Fashion</v>
      </c>
      <c r="J1051">
        <f>INDEX(Products!$E$2:$E$37, MATCH(D1051, Products!$A$2:$A$37, 0))</f>
        <v>190</v>
      </c>
      <c r="K1051" s="9">
        <f t="shared" si="64"/>
        <v>459</v>
      </c>
      <c r="L1051">
        <f t="shared" si="65"/>
        <v>190</v>
      </c>
      <c r="M1051" s="9">
        <f t="shared" si="66"/>
        <v>269</v>
      </c>
      <c r="N1051" t="str">
        <f t="shared" si="67"/>
        <v>Apr</v>
      </c>
    </row>
    <row r="1052" spans="1:14" x14ac:dyDescent="0.3">
      <c r="A1052" s="2" t="s">
        <v>1118</v>
      </c>
      <c r="B1052" s="6">
        <v>45748</v>
      </c>
      <c r="C1052" s="2" t="s">
        <v>44</v>
      </c>
      <c r="D1052" s="2" t="s">
        <v>78</v>
      </c>
      <c r="E1052" s="2">
        <v>1</v>
      </c>
      <c r="F1052" s="7">
        <v>499</v>
      </c>
      <c r="G1052" s="8">
        <v>0</v>
      </c>
      <c r="H1052" s="9" t="str">
        <f>INDEX(Products!$B$2:$B$37, MATCH(D1052, Products!$A$2:$A$37, 0))</f>
        <v>Air Fryer 5L</v>
      </c>
      <c r="I1052" t="str">
        <f>INDEX(Products!$C$2:$C$37, MATCH(D1052, Products!$A$2:$A$37, 0))</f>
        <v>Home &amp; Kitchen</v>
      </c>
      <c r="J1052">
        <f>INDEX(Products!$E$2:$E$37, MATCH(D1052, Products!$A$2:$A$37, 0))</f>
        <v>290</v>
      </c>
      <c r="K1052" s="9">
        <f t="shared" si="64"/>
        <v>499</v>
      </c>
      <c r="L1052">
        <f t="shared" si="65"/>
        <v>290</v>
      </c>
      <c r="M1052" s="9">
        <f t="shared" si="66"/>
        <v>209</v>
      </c>
      <c r="N1052" t="str">
        <f t="shared" si="67"/>
        <v>Apr</v>
      </c>
    </row>
    <row r="1053" spans="1:14" x14ac:dyDescent="0.3">
      <c r="A1053" s="2" t="s">
        <v>1119</v>
      </c>
      <c r="B1053" s="6">
        <v>45748</v>
      </c>
      <c r="C1053" s="2" t="s">
        <v>41</v>
      </c>
      <c r="D1053" s="2" t="s">
        <v>113</v>
      </c>
      <c r="E1053" s="2">
        <v>1</v>
      </c>
      <c r="F1053" s="7">
        <v>1199</v>
      </c>
      <c r="G1053" s="8">
        <v>0.2</v>
      </c>
      <c r="H1053" s="9" t="str">
        <f>INDEX(Products!$B$2:$B$37, MATCH(D1053, Products!$A$2:$A$37, 0))</f>
        <v>Robot Vacuum S3</v>
      </c>
      <c r="I1053" t="str">
        <f>INDEX(Products!$C$2:$C$37, MATCH(D1053, Products!$A$2:$A$37, 0))</f>
        <v>Home &amp; Kitchen</v>
      </c>
      <c r="J1053">
        <f>INDEX(Products!$E$2:$E$37, MATCH(D1053, Products!$A$2:$A$37, 0))</f>
        <v>1080</v>
      </c>
      <c r="K1053" s="9">
        <f t="shared" si="64"/>
        <v>959.2</v>
      </c>
      <c r="L1053">
        <f t="shared" si="65"/>
        <v>1080</v>
      </c>
      <c r="M1053" s="9">
        <f t="shared" si="66"/>
        <v>-120.79999999999995</v>
      </c>
      <c r="N1053" t="str">
        <f t="shared" si="67"/>
        <v>Apr</v>
      </c>
    </row>
    <row r="1054" spans="1:14" x14ac:dyDescent="0.3">
      <c r="A1054" s="2" t="s">
        <v>1120</v>
      </c>
      <c r="B1054" s="6">
        <v>45748</v>
      </c>
      <c r="C1054" s="2" t="s">
        <v>28</v>
      </c>
      <c r="D1054" s="2" t="s">
        <v>99</v>
      </c>
      <c r="E1054" s="2">
        <v>1</v>
      </c>
      <c r="F1054" s="7">
        <v>459</v>
      </c>
      <c r="G1054" s="8">
        <v>0</v>
      </c>
      <c r="H1054" s="9" t="str">
        <f>INDEX(Products!$B$2:$B$37, MATCH(D1054, Products!$A$2:$A$37, 0))</f>
        <v>Gaming Headset X</v>
      </c>
      <c r="I1054" t="str">
        <f>INDEX(Products!$C$2:$C$37, MATCH(D1054, Products!$A$2:$A$37, 0))</f>
        <v>Electronics</v>
      </c>
      <c r="J1054">
        <f>INDEX(Products!$E$2:$E$37, MATCH(D1054, Products!$A$2:$A$37, 0))</f>
        <v>300</v>
      </c>
      <c r="K1054" s="9">
        <f t="shared" si="64"/>
        <v>459</v>
      </c>
      <c r="L1054">
        <f t="shared" si="65"/>
        <v>300</v>
      </c>
      <c r="M1054" s="9">
        <f t="shared" si="66"/>
        <v>159</v>
      </c>
      <c r="N1054" t="str">
        <f t="shared" si="67"/>
        <v>Apr</v>
      </c>
    </row>
    <row r="1055" spans="1:14" x14ac:dyDescent="0.3">
      <c r="A1055" s="2" t="s">
        <v>1121</v>
      </c>
      <c r="B1055" s="6">
        <v>45749</v>
      </c>
      <c r="C1055" s="2" t="s">
        <v>41</v>
      </c>
      <c r="D1055" s="2" t="s">
        <v>65</v>
      </c>
      <c r="E1055" s="2">
        <v>1</v>
      </c>
      <c r="F1055" s="7">
        <v>129</v>
      </c>
      <c r="G1055" s="8">
        <v>0.05</v>
      </c>
      <c r="H1055" s="9" t="str">
        <f>INDEX(Products!$B$2:$B$37, MATCH(D1055, Products!$A$2:$A$37, 0))</f>
        <v>Yoga Mat Premium</v>
      </c>
      <c r="I1055" t="str">
        <f>INDEX(Products!$C$2:$C$37, MATCH(D1055, Products!$A$2:$A$37, 0))</f>
        <v>Sports</v>
      </c>
      <c r="J1055">
        <f>INDEX(Products!$E$2:$E$37, MATCH(D1055, Products!$A$2:$A$37, 0))</f>
        <v>60</v>
      </c>
      <c r="K1055" s="9">
        <f t="shared" si="64"/>
        <v>122.55</v>
      </c>
      <c r="L1055">
        <f t="shared" si="65"/>
        <v>60</v>
      </c>
      <c r="M1055" s="9">
        <f t="shared" si="66"/>
        <v>62.55</v>
      </c>
      <c r="N1055" t="str">
        <f t="shared" si="67"/>
        <v>Apr</v>
      </c>
    </row>
    <row r="1056" spans="1:14" x14ac:dyDescent="0.3">
      <c r="A1056" s="2" t="s">
        <v>1122</v>
      </c>
      <c r="B1056" s="6">
        <v>45749</v>
      </c>
      <c r="C1056" s="2" t="s">
        <v>48</v>
      </c>
      <c r="D1056" s="2" t="s">
        <v>70</v>
      </c>
      <c r="E1056" s="2">
        <v>2</v>
      </c>
      <c r="F1056" s="7">
        <v>429</v>
      </c>
      <c r="G1056" s="8">
        <v>0</v>
      </c>
      <c r="H1056" s="9" t="str">
        <f>INDEX(Products!$B$2:$B$37, MATCH(D1056, Products!$A$2:$A$37, 0))</f>
        <v>Running Shoes Elite</v>
      </c>
      <c r="I1056" t="str">
        <f>INDEX(Products!$C$2:$C$37, MATCH(D1056, Products!$A$2:$A$37, 0))</f>
        <v>Fashion</v>
      </c>
      <c r="J1056">
        <f>INDEX(Products!$E$2:$E$37, MATCH(D1056, Products!$A$2:$A$37, 0))</f>
        <v>300</v>
      </c>
      <c r="K1056" s="9">
        <f t="shared" si="64"/>
        <v>858</v>
      </c>
      <c r="L1056">
        <f t="shared" si="65"/>
        <v>600</v>
      </c>
      <c r="M1056" s="9">
        <f t="shared" si="66"/>
        <v>258</v>
      </c>
      <c r="N1056" t="str">
        <f t="shared" si="67"/>
        <v>Apr</v>
      </c>
    </row>
    <row r="1057" spans="1:14" x14ac:dyDescent="0.3">
      <c r="A1057" s="2" t="s">
        <v>1123</v>
      </c>
      <c r="B1057" s="6">
        <v>45749</v>
      </c>
      <c r="C1057" s="2" t="s">
        <v>41</v>
      </c>
      <c r="D1057" s="2" t="s">
        <v>65</v>
      </c>
      <c r="E1057" s="2">
        <v>2</v>
      </c>
      <c r="F1057" s="7">
        <v>129</v>
      </c>
      <c r="G1057" s="8">
        <v>0</v>
      </c>
      <c r="H1057" s="9" t="str">
        <f>INDEX(Products!$B$2:$B$37, MATCH(D1057, Products!$A$2:$A$37, 0))</f>
        <v>Yoga Mat Premium</v>
      </c>
      <c r="I1057" t="str">
        <f>INDEX(Products!$C$2:$C$37, MATCH(D1057, Products!$A$2:$A$37, 0))</f>
        <v>Sports</v>
      </c>
      <c r="J1057">
        <f>INDEX(Products!$E$2:$E$37, MATCH(D1057, Products!$A$2:$A$37, 0))</f>
        <v>60</v>
      </c>
      <c r="K1057" s="9">
        <f t="shared" si="64"/>
        <v>258</v>
      </c>
      <c r="L1057">
        <f t="shared" si="65"/>
        <v>120</v>
      </c>
      <c r="M1057" s="9">
        <f t="shared" si="66"/>
        <v>138</v>
      </c>
      <c r="N1057" t="str">
        <f t="shared" si="67"/>
        <v>Apr</v>
      </c>
    </row>
    <row r="1058" spans="1:14" x14ac:dyDescent="0.3">
      <c r="A1058" s="2" t="s">
        <v>1124</v>
      </c>
      <c r="B1058" s="6">
        <v>45749</v>
      </c>
      <c r="C1058" s="2" t="s">
        <v>41</v>
      </c>
      <c r="D1058" s="2" t="s">
        <v>56</v>
      </c>
      <c r="E1058" s="2">
        <v>1</v>
      </c>
      <c r="F1058" s="7">
        <v>289</v>
      </c>
      <c r="G1058" s="8">
        <v>0.3</v>
      </c>
      <c r="H1058" s="9" t="str">
        <f>INDEX(Products!$B$2:$B$37, MATCH(D1058, Products!$A$2:$A$37, 0))</f>
        <v>Ceramic Dinner Set</v>
      </c>
      <c r="I1058" t="str">
        <f>INDEX(Products!$C$2:$C$37, MATCH(D1058, Products!$A$2:$A$37, 0))</f>
        <v>Home &amp; Kitchen</v>
      </c>
      <c r="J1058">
        <f>INDEX(Products!$E$2:$E$37, MATCH(D1058, Products!$A$2:$A$37, 0))</f>
        <v>140</v>
      </c>
      <c r="K1058" s="9">
        <f t="shared" si="64"/>
        <v>202.29999999999998</v>
      </c>
      <c r="L1058">
        <f t="shared" si="65"/>
        <v>140</v>
      </c>
      <c r="M1058" s="9">
        <f t="shared" si="66"/>
        <v>62.299999999999983</v>
      </c>
      <c r="N1058" t="str">
        <f t="shared" si="67"/>
        <v>Apr</v>
      </c>
    </row>
    <row r="1059" spans="1:14" x14ac:dyDescent="0.3">
      <c r="A1059" s="2" t="s">
        <v>1125</v>
      </c>
      <c r="B1059" s="6">
        <v>45749</v>
      </c>
      <c r="C1059" s="2" t="s">
        <v>41</v>
      </c>
      <c r="D1059" s="2" t="s">
        <v>165</v>
      </c>
      <c r="E1059" s="2">
        <v>1</v>
      </c>
      <c r="F1059" s="7">
        <v>69</v>
      </c>
      <c r="G1059" s="8">
        <v>0.3</v>
      </c>
      <c r="H1059" s="9" t="str">
        <f>INDEX(Products!$B$2:$B$37, MATCH(D1059, Products!$A$2:$A$37, 0))</f>
        <v>Swim Goggles</v>
      </c>
      <c r="I1059" t="str">
        <f>INDEX(Products!$C$2:$C$37, MATCH(D1059, Products!$A$2:$A$37, 0))</f>
        <v>Sports</v>
      </c>
      <c r="J1059">
        <f>INDEX(Products!$E$2:$E$37, MATCH(D1059, Products!$A$2:$A$37, 0))</f>
        <v>25</v>
      </c>
      <c r="K1059" s="9">
        <f t="shared" si="64"/>
        <v>48.3</v>
      </c>
      <c r="L1059">
        <f t="shared" si="65"/>
        <v>25</v>
      </c>
      <c r="M1059" s="9">
        <f t="shared" si="66"/>
        <v>23.299999999999997</v>
      </c>
      <c r="N1059" t="str">
        <f t="shared" si="67"/>
        <v>Apr</v>
      </c>
    </row>
    <row r="1060" spans="1:14" x14ac:dyDescent="0.3">
      <c r="A1060" s="2" t="s">
        <v>1126</v>
      </c>
      <c r="B1060" s="6">
        <v>45749</v>
      </c>
      <c r="C1060" s="2" t="s">
        <v>41</v>
      </c>
      <c r="D1060" s="2" t="s">
        <v>52</v>
      </c>
      <c r="E1060" s="2">
        <v>1</v>
      </c>
      <c r="F1060" s="7">
        <v>299</v>
      </c>
      <c r="G1060" s="8">
        <v>0.15</v>
      </c>
      <c r="H1060" s="9" t="str">
        <f>INDEX(Products!$B$2:$B$37, MATCH(D1060, Products!$A$2:$A$37, 0))</f>
        <v>Hair Dryer Ionic</v>
      </c>
      <c r="I1060" t="str">
        <f>INDEX(Products!$C$2:$C$37, MATCH(D1060, Products!$A$2:$A$37, 0))</f>
        <v>Beauty</v>
      </c>
      <c r="J1060">
        <f>INDEX(Products!$E$2:$E$37, MATCH(D1060, Products!$A$2:$A$37, 0))</f>
        <v>240</v>
      </c>
      <c r="K1060" s="9">
        <f t="shared" si="64"/>
        <v>254.15</v>
      </c>
      <c r="L1060">
        <f t="shared" si="65"/>
        <v>240</v>
      </c>
      <c r="M1060" s="9">
        <f t="shared" si="66"/>
        <v>14.150000000000006</v>
      </c>
      <c r="N1060" t="str">
        <f t="shared" si="67"/>
        <v>Apr</v>
      </c>
    </row>
    <row r="1061" spans="1:14" x14ac:dyDescent="0.3">
      <c r="A1061" s="2" t="s">
        <v>1127</v>
      </c>
      <c r="B1061" s="6">
        <v>45749</v>
      </c>
      <c r="C1061" s="2" t="s">
        <v>41</v>
      </c>
      <c r="D1061" s="2" t="s">
        <v>126</v>
      </c>
      <c r="E1061" s="2">
        <v>1</v>
      </c>
      <c r="F1061" s="7">
        <v>89</v>
      </c>
      <c r="G1061" s="8">
        <v>0.2</v>
      </c>
      <c r="H1061" s="9" t="str">
        <f>INDEX(Products!$B$2:$B$37, MATCH(D1061, Products!$A$2:$A$37, 0))</f>
        <v>USB-C Fast Charger</v>
      </c>
      <c r="I1061" t="str">
        <f>INDEX(Products!$C$2:$C$37, MATCH(D1061, Products!$A$2:$A$37, 0))</f>
        <v>Electronics</v>
      </c>
      <c r="J1061">
        <f>INDEX(Products!$E$2:$E$37, MATCH(D1061, Products!$A$2:$A$37, 0))</f>
        <v>35</v>
      </c>
      <c r="K1061" s="9">
        <f t="shared" si="64"/>
        <v>71.2</v>
      </c>
      <c r="L1061">
        <f t="shared" si="65"/>
        <v>35</v>
      </c>
      <c r="M1061" s="9">
        <f t="shared" si="66"/>
        <v>36.200000000000003</v>
      </c>
      <c r="N1061" t="str">
        <f t="shared" si="67"/>
        <v>Apr</v>
      </c>
    </row>
    <row r="1062" spans="1:14" x14ac:dyDescent="0.3">
      <c r="A1062" s="2" t="s">
        <v>1128</v>
      </c>
      <c r="B1062" s="6">
        <v>45749</v>
      </c>
      <c r="C1062" s="2" t="s">
        <v>28</v>
      </c>
      <c r="D1062" s="2" t="s">
        <v>113</v>
      </c>
      <c r="E1062" s="2">
        <v>1</v>
      </c>
      <c r="F1062" s="7">
        <v>1199</v>
      </c>
      <c r="G1062" s="8">
        <v>0.2</v>
      </c>
      <c r="H1062" s="9" t="str">
        <f>INDEX(Products!$B$2:$B$37, MATCH(D1062, Products!$A$2:$A$37, 0))</f>
        <v>Robot Vacuum S3</v>
      </c>
      <c r="I1062" t="str">
        <f>INDEX(Products!$C$2:$C$37, MATCH(D1062, Products!$A$2:$A$37, 0))</f>
        <v>Home &amp; Kitchen</v>
      </c>
      <c r="J1062">
        <f>INDEX(Products!$E$2:$E$37, MATCH(D1062, Products!$A$2:$A$37, 0))</f>
        <v>1080</v>
      </c>
      <c r="K1062" s="9">
        <f t="shared" si="64"/>
        <v>959.2</v>
      </c>
      <c r="L1062">
        <f t="shared" si="65"/>
        <v>1080</v>
      </c>
      <c r="M1062" s="9">
        <f t="shared" si="66"/>
        <v>-120.79999999999995</v>
      </c>
      <c r="N1062" t="str">
        <f t="shared" si="67"/>
        <v>Apr</v>
      </c>
    </row>
    <row r="1063" spans="1:14" x14ac:dyDescent="0.3">
      <c r="A1063" s="2" t="s">
        <v>1129</v>
      </c>
      <c r="B1063" s="6">
        <v>45749</v>
      </c>
      <c r="C1063" s="2" t="s">
        <v>31</v>
      </c>
      <c r="D1063" s="2" t="s">
        <v>58</v>
      </c>
      <c r="E1063" s="2">
        <v>1</v>
      </c>
      <c r="F1063" s="7">
        <v>459</v>
      </c>
      <c r="G1063" s="8">
        <v>0.05</v>
      </c>
      <c r="H1063" s="9" t="str">
        <f>INDEX(Products!$B$2:$B$37, MATCH(D1063, Products!$A$2:$A$37, 0))</f>
        <v>Women's Abaya Classic</v>
      </c>
      <c r="I1063" t="str">
        <f>INDEX(Products!$C$2:$C$37, MATCH(D1063, Products!$A$2:$A$37, 0))</f>
        <v>Fashion</v>
      </c>
      <c r="J1063">
        <f>INDEX(Products!$E$2:$E$37, MATCH(D1063, Products!$A$2:$A$37, 0))</f>
        <v>190</v>
      </c>
      <c r="K1063" s="9">
        <f t="shared" si="64"/>
        <v>436.04999999999995</v>
      </c>
      <c r="L1063">
        <f t="shared" si="65"/>
        <v>190</v>
      </c>
      <c r="M1063" s="9">
        <f t="shared" si="66"/>
        <v>246.04999999999995</v>
      </c>
      <c r="N1063" t="str">
        <f t="shared" si="67"/>
        <v>Apr</v>
      </c>
    </row>
    <row r="1064" spans="1:14" x14ac:dyDescent="0.3">
      <c r="A1064" s="2" t="s">
        <v>1130</v>
      </c>
      <c r="B1064" s="6">
        <v>45749</v>
      </c>
      <c r="C1064" s="2" t="s">
        <v>44</v>
      </c>
      <c r="D1064" s="2" t="s">
        <v>56</v>
      </c>
      <c r="E1064" s="2">
        <v>1</v>
      </c>
      <c r="F1064" s="7">
        <v>289</v>
      </c>
      <c r="G1064" s="8">
        <v>0.05</v>
      </c>
      <c r="H1064" s="9" t="str">
        <f>INDEX(Products!$B$2:$B$37, MATCH(D1064, Products!$A$2:$A$37, 0))</f>
        <v>Ceramic Dinner Set</v>
      </c>
      <c r="I1064" t="str">
        <f>INDEX(Products!$C$2:$C$37, MATCH(D1064, Products!$A$2:$A$37, 0))</f>
        <v>Home &amp; Kitchen</v>
      </c>
      <c r="J1064">
        <f>INDEX(Products!$E$2:$E$37, MATCH(D1064, Products!$A$2:$A$37, 0))</f>
        <v>140</v>
      </c>
      <c r="K1064" s="9">
        <f t="shared" si="64"/>
        <v>274.55</v>
      </c>
      <c r="L1064">
        <f t="shared" si="65"/>
        <v>140</v>
      </c>
      <c r="M1064" s="9">
        <f t="shared" si="66"/>
        <v>134.55000000000001</v>
      </c>
      <c r="N1064" t="str">
        <f t="shared" si="67"/>
        <v>Apr</v>
      </c>
    </row>
    <row r="1065" spans="1:14" x14ac:dyDescent="0.3">
      <c r="A1065" s="2" t="s">
        <v>1131</v>
      </c>
      <c r="B1065" s="6">
        <v>45749</v>
      </c>
      <c r="C1065" s="2" t="s">
        <v>41</v>
      </c>
      <c r="D1065" s="2" t="s">
        <v>65</v>
      </c>
      <c r="E1065" s="2">
        <v>1</v>
      </c>
      <c r="F1065" s="7">
        <v>129</v>
      </c>
      <c r="G1065" s="8">
        <v>0.1</v>
      </c>
      <c r="H1065" s="9" t="str">
        <f>INDEX(Products!$B$2:$B$37, MATCH(D1065, Products!$A$2:$A$37, 0))</f>
        <v>Yoga Mat Premium</v>
      </c>
      <c r="I1065" t="str">
        <f>INDEX(Products!$C$2:$C$37, MATCH(D1065, Products!$A$2:$A$37, 0))</f>
        <v>Sports</v>
      </c>
      <c r="J1065">
        <f>INDEX(Products!$E$2:$E$37, MATCH(D1065, Products!$A$2:$A$37, 0))</f>
        <v>60</v>
      </c>
      <c r="K1065" s="9">
        <f t="shared" si="64"/>
        <v>116.10000000000001</v>
      </c>
      <c r="L1065">
        <f t="shared" si="65"/>
        <v>60</v>
      </c>
      <c r="M1065" s="9">
        <f t="shared" si="66"/>
        <v>56.100000000000009</v>
      </c>
      <c r="N1065" t="str">
        <f t="shared" si="67"/>
        <v>Apr</v>
      </c>
    </row>
    <row r="1066" spans="1:14" x14ac:dyDescent="0.3">
      <c r="A1066" s="2" t="s">
        <v>1132</v>
      </c>
      <c r="B1066" s="6">
        <v>45750</v>
      </c>
      <c r="C1066" s="2" t="s">
        <v>28</v>
      </c>
      <c r="D1066" s="2" t="s">
        <v>29</v>
      </c>
      <c r="E1066" s="2">
        <v>2</v>
      </c>
      <c r="F1066" s="7">
        <v>229</v>
      </c>
      <c r="G1066" s="8">
        <v>0</v>
      </c>
      <c r="H1066" s="9" t="str">
        <f>INDEX(Products!$B$2:$B$37, MATCH(D1066, Products!$A$2:$A$37, 0))</f>
        <v>Women's Summer Dress</v>
      </c>
      <c r="I1066" t="str">
        <f>INDEX(Products!$C$2:$C$37, MATCH(D1066, Products!$A$2:$A$37, 0))</f>
        <v>Fashion</v>
      </c>
      <c r="J1066">
        <f>INDEX(Products!$E$2:$E$37, MATCH(D1066, Products!$A$2:$A$37, 0))</f>
        <v>120</v>
      </c>
      <c r="K1066" s="9">
        <f t="shared" si="64"/>
        <v>458</v>
      </c>
      <c r="L1066">
        <f t="shared" si="65"/>
        <v>240</v>
      </c>
      <c r="M1066" s="9">
        <f t="shared" si="66"/>
        <v>218</v>
      </c>
      <c r="N1066" t="str">
        <f t="shared" si="67"/>
        <v>Apr</v>
      </c>
    </row>
    <row r="1067" spans="1:14" x14ac:dyDescent="0.3">
      <c r="A1067" s="2" t="s">
        <v>1133</v>
      </c>
      <c r="B1067" s="6">
        <v>45750</v>
      </c>
      <c r="C1067" s="2" t="s">
        <v>31</v>
      </c>
      <c r="D1067" s="2" t="s">
        <v>56</v>
      </c>
      <c r="E1067" s="2">
        <v>2</v>
      </c>
      <c r="F1067" s="7">
        <v>289</v>
      </c>
      <c r="G1067" s="8">
        <v>0.15</v>
      </c>
      <c r="H1067" s="9" t="str">
        <f>INDEX(Products!$B$2:$B$37, MATCH(D1067, Products!$A$2:$A$37, 0))</f>
        <v>Ceramic Dinner Set</v>
      </c>
      <c r="I1067" t="str">
        <f>INDEX(Products!$C$2:$C$37, MATCH(D1067, Products!$A$2:$A$37, 0))</f>
        <v>Home &amp; Kitchen</v>
      </c>
      <c r="J1067">
        <f>INDEX(Products!$E$2:$E$37, MATCH(D1067, Products!$A$2:$A$37, 0))</f>
        <v>140</v>
      </c>
      <c r="K1067" s="9">
        <f t="shared" si="64"/>
        <v>491.3</v>
      </c>
      <c r="L1067">
        <f t="shared" si="65"/>
        <v>280</v>
      </c>
      <c r="M1067" s="9">
        <f t="shared" si="66"/>
        <v>211.3</v>
      </c>
      <c r="N1067" t="str">
        <f t="shared" si="67"/>
        <v>Apr</v>
      </c>
    </row>
    <row r="1068" spans="1:14" x14ac:dyDescent="0.3">
      <c r="A1068" s="2" t="s">
        <v>1134</v>
      </c>
      <c r="B1068" s="6">
        <v>45750</v>
      </c>
      <c r="C1068" s="2" t="s">
        <v>31</v>
      </c>
      <c r="D1068" s="2" t="s">
        <v>126</v>
      </c>
      <c r="E1068" s="2">
        <v>1</v>
      </c>
      <c r="F1068" s="7">
        <v>89</v>
      </c>
      <c r="G1068" s="8">
        <v>0.1</v>
      </c>
      <c r="H1068" s="9" t="str">
        <f>INDEX(Products!$B$2:$B$37, MATCH(D1068, Products!$A$2:$A$37, 0))</f>
        <v>USB-C Fast Charger</v>
      </c>
      <c r="I1068" t="str">
        <f>INDEX(Products!$C$2:$C$37, MATCH(D1068, Products!$A$2:$A$37, 0))</f>
        <v>Electronics</v>
      </c>
      <c r="J1068">
        <f>INDEX(Products!$E$2:$E$37, MATCH(D1068, Products!$A$2:$A$37, 0))</f>
        <v>35</v>
      </c>
      <c r="K1068" s="9">
        <f t="shared" si="64"/>
        <v>80.100000000000009</v>
      </c>
      <c r="L1068">
        <f t="shared" si="65"/>
        <v>35</v>
      </c>
      <c r="M1068" s="9">
        <f t="shared" si="66"/>
        <v>45.100000000000009</v>
      </c>
      <c r="N1068" t="str">
        <f t="shared" si="67"/>
        <v>Apr</v>
      </c>
    </row>
    <row r="1069" spans="1:14" x14ac:dyDescent="0.3">
      <c r="A1069" s="2" t="s">
        <v>1135</v>
      </c>
      <c r="B1069" s="6">
        <v>45750</v>
      </c>
      <c r="C1069" s="2" t="s">
        <v>31</v>
      </c>
      <c r="D1069" s="2" t="s">
        <v>49</v>
      </c>
      <c r="E1069" s="2">
        <v>1</v>
      </c>
      <c r="F1069" s="7">
        <v>149</v>
      </c>
      <c r="G1069" s="8">
        <v>0.2</v>
      </c>
      <c r="H1069" s="9" t="str">
        <f>INDEX(Products!$B$2:$B$37, MATCH(D1069, Products!$A$2:$A$37, 0))</f>
        <v>Kids' Sneakers</v>
      </c>
      <c r="I1069" t="str">
        <f>INDEX(Products!$C$2:$C$37, MATCH(D1069, Products!$A$2:$A$37, 0))</f>
        <v>Fashion</v>
      </c>
      <c r="J1069">
        <f>INDEX(Products!$E$2:$E$37, MATCH(D1069, Products!$A$2:$A$37, 0))</f>
        <v>80</v>
      </c>
      <c r="K1069" s="9">
        <f t="shared" si="64"/>
        <v>119.2</v>
      </c>
      <c r="L1069">
        <f t="shared" si="65"/>
        <v>80</v>
      </c>
      <c r="M1069" s="9">
        <f t="shared" si="66"/>
        <v>39.200000000000003</v>
      </c>
      <c r="N1069" t="str">
        <f t="shared" si="67"/>
        <v>Apr</v>
      </c>
    </row>
    <row r="1070" spans="1:14" x14ac:dyDescent="0.3">
      <c r="A1070" s="2" t="s">
        <v>1136</v>
      </c>
      <c r="B1070" s="6">
        <v>45750</v>
      </c>
      <c r="C1070" s="2" t="s">
        <v>44</v>
      </c>
      <c r="D1070" s="2" t="s">
        <v>89</v>
      </c>
      <c r="E1070" s="2">
        <v>1</v>
      </c>
      <c r="F1070" s="7">
        <v>399</v>
      </c>
      <c r="G1070" s="8">
        <v>0.1</v>
      </c>
      <c r="H1070" s="9" t="str">
        <f>INDEX(Products!$B$2:$B$37, MATCH(D1070, Products!$A$2:$A$37, 0))</f>
        <v>Men's Kandura Premium</v>
      </c>
      <c r="I1070" t="str">
        <f>INDEX(Products!$C$2:$C$37, MATCH(D1070, Products!$A$2:$A$37, 0))</f>
        <v>Fashion</v>
      </c>
      <c r="J1070">
        <f>INDEX(Products!$E$2:$E$37, MATCH(D1070, Products!$A$2:$A$37, 0))</f>
        <v>210</v>
      </c>
      <c r="K1070" s="9">
        <f t="shared" si="64"/>
        <v>359.1</v>
      </c>
      <c r="L1070">
        <f t="shared" si="65"/>
        <v>210</v>
      </c>
      <c r="M1070" s="9">
        <f t="shared" si="66"/>
        <v>149.10000000000002</v>
      </c>
      <c r="N1070" t="str">
        <f t="shared" si="67"/>
        <v>Apr</v>
      </c>
    </row>
    <row r="1071" spans="1:14" x14ac:dyDescent="0.3">
      <c r="A1071" s="2" t="s">
        <v>1137</v>
      </c>
      <c r="B1071" s="6">
        <v>45750</v>
      </c>
      <c r="C1071" s="2" t="s">
        <v>31</v>
      </c>
      <c r="D1071" s="2" t="s">
        <v>46</v>
      </c>
      <c r="E1071" s="2">
        <v>4</v>
      </c>
      <c r="F1071" s="7">
        <v>189</v>
      </c>
      <c r="G1071" s="8">
        <v>0.15</v>
      </c>
      <c r="H1071" s="9" t="str">
        <f>INDEX(Products!$B$2:$B$37, MATCH(D1071, Products!$A$2:$A$37, 0))</f>
        <v>Makeup Palette</v>
      </c>
      <c r="I1071" t="str">
        <f>INDEX(Products!$C$2:$C$37, MATCH(D1071, Products!$A$2:$A$37, 0))</f>
        <v>Beauty</v>
      </c>
      <c r="J1071">
        <f>INDEX(Products!$E$2:$E$37, MATCH(D1071, Products!$A$2:$A$37, 0))</f>
        <v>85</v>
      </c>
      <c r="K1071" s="9">
        <f t="shared" si="64"/>
        <v>642.6</v>
      </c>
      <c r="L1071">
        <f t="shared" si="65"/>
        <v>340</v>
      </c>
      <c r="M1071" s="9">
        <f t="shared" si="66"/>
        <v>302.60000000000002</v>
      </c>
      <c r="N1071" t="str">
        <f t="shared" si="67"/>
        <v>Apr</v>
      </c>
    </row>
    <row r="1072" spans="1:14" x14ac:dyDescent="0.3">
      <c r="A1072" s="2" t="s">
        <v>1138</v>
      </c>
      <c r="B1072" s="6">
        <v>45750</v>
      </c>
      <c r="C1072" s="2" t="s">
        <v>28</v>
      </c>
      <c r="D1072" s="2" t="s">
        <v>37</v>
      </c>
      <c r="E1072" s="2">
        <v>1</v>
      </c>
      <c r="F1072" s="7">
        <v>249</v>
      </c>
      <c r="G1072" s="8">
        <v>0.2</v>
      </c>
      <c r="H1072" s="9" t="str">
        <f>INDEX(Products!$B$2:$B$37, MATCH(D1072, Products!$A$2:$A$37, 0))</f>
        <v>Sunglasses Polarised</v>
      </c>
      <c r="I1072" t="str">
        <f>INDEX(Products!$C$2:$C$37, MATCH(D1072, Products!$A$2:$A$37, 0))</f>
        <v>Fashion</v>
      </c>
      <c r="J1072">
        <f>INDEX(Products!$E$2:$E$37, MATCH(D1072, Products!$A$2:$A$37, 0))</f>
        <v>95</v>
      </c>
      <c r="K1072" s="9">
        <f t="shared" si="64"/>
        <v>199.20000000000002</v>
      </c>
      <c r="L1072">
        <f t="shared" si="65"/>
        <v>95</v>
      </c>
      <c r="M1072" s="9">
        <f t="shared" si="66"/>
        <v>104.20000000000002</v>
      </c>
      <c r="N1072" t="str">
        <f t="shared" si="67"/>
        <v>Apr</v>
      </c>
    </row>
    <row r="1073" spans="1:14" x14ac:dyDescent="0.3">
      <c r="A1073" s="2" t="s">
        <v>1139</v>
      </c>
      <c r="B1073" s="6">
        <v>45750</v>
      </c>
      <c r="C1073" s="2" t="s">
        <v>31</v>
      </c>
      <c r="D1073" s="2" t="s">
        <v>39</v>
      </c>
      <c r="E1073" s="2">
        <v>2</v>
      </c>
      <c r="F1073" s="7">
        <v>199</v>
      </c>
      <c r="G1073" s="8">
        <v>0</v>
      </c>
      <c r="H1073" s="9" t="str">
        <f>INDEX(Products!$B$2:$B$37, MATCH(D1073, Products!$A$2:$A$37, 0))</f>
        <v>Bakhoor Gift Set</v>
      </c>
      <c r="I1073" t="str">
        <f>INDEX(Products!$C$2:$C$37, MATCH(D1073, Products!$A$2:$A$37, 0))</f>
        <v>Beauty</v>
      </c>
      <c r="J1073">
        <f>INDEX(Products!$E$2:$E$37, MATCH(D1073, Products!$A$2:$A$37, 0))</f>
        <v>90</v>
      </c>
      <c r="K1073" s="9">
        <f t="shared" si="64"/>
        <v>398</v>
      </c>
      <c r="L1073">
        <f t="shared" si="65"/>
        <v>180</v>
      </c>
      <c r="M1073" s="9">
        <f t="shared" si="66"/>
        <v>218</v>
      </c>
      <c r="N1073" t="str">
        <f t="shared" si="67"/>
        <v>Apr</v>
      </c>
    </row>
    <row r="1074" spans="1:14" x14ac:dyDescent="0.3">
      <c r="A1074" s="2" t="s">
        <v>1140</v>
      </c>
      <c r="B1074" s="6">
        <v>45750</v>
      </c>
      <c r="C1074" s="2" t="s">
        <v>31</v>
      </c>
      <c r="D1074" s="2" t="s">
        <v>65</v>
      </c>
      <c r="E1074" s="2">
        <v>2</v>
      </c>
      <c r="F1074" s="7">
        <v>129</v>
      </c>
      <c r="G1074" s="8">
        <v>0.2</v>
      </c>
      <c r="H1074" s="9" t="str">
        <f>INDEX(Products!$B$2:$B$37, MATCH(D1074, Products!$A$2:$A$37, 0))</f>
        <v>Yoga Mat Premium</v>
      </c>
      <c r="I1074" t="str">
        <f>INDEX(Products!$C$2:$C$37, MATCH(D1074, Products!$A$2:$A$37, 0))</f>
        <v>Sports</v>
      </c>
      <c r="J1074">
        <f>INDEX(Products!$E$2:$E$37, MATCH(D1074, Products!$A$2:$A$37, 0))</f>
        <v>60</v>
      </c>
      <c r="K1074" s="9">
        <f t="shared" si="64"/>
        <v>206.4</v>
      </c>
      <c r="L1074">
        <f t="shared" si="65"/>
        <v>120</v>
      </c>
      <c r="M1074" s="9">
        <f t="shared" si="66"/>
        <v>86.4</v>
      </c>
      <c r="N1074" t="str">
        <f t="shared" si="67"/>
        <v>Apr</v>
      </c>
    </row>
    <row r="1075" spans="1:14" x14ac:dyDescent="0.3">
      <c r="A1075" s="2" t="s">
        <v>1141</v>
      </c>
      <c r="B1075" s="6">
        <v>45750</v>
      </c>
      <c r="C1075" s="2" t="s">
        <v>44</v>
      </c>
      <c r="D1075" s="2" t="s">
        <v>68</v>
      </c>
      <c r="E1075" s="2">
        <v>1</v>
      </c>
      <c r="F1075" s="7">
        <v>249</v>
      </c>
      <c r="G1075" s="8">
        <v>0.1</v>
      </c>
      <c r="H1075" s="9" t="str">
        <f>INDEX(Products!$B$2:$B$37, MATCH(D1075, Products!$A$2:$A$37, 0))</f>
        <v>Bluetooth Speaker Mini</v>
      </c>
      <c r="I1075" t="str">
        <f>INDEX(Products!$C$2:$C$37, MATCH(D1075, Products!$A$2:$A$37, 0))</f>
        <v>Electronics</v>
      </c>
      <c r="J1075">
        <f>INDEX(Products!$E$2:$E$37, MATCH(D1075, Products!$A$2:$A$37, 0))</f>
        <v>150</v>
      </c>
      <c r="K1075" s="9">
        <f t="shared" si="64"/>
        <v>224.1</v>
      </c>
      <c r="L1075">
        <f t="shared" si="65"/>
        <v>150</v>
      </c>
      <c r="M1075" s="9">
        <f t="shared" si="66"/>
        <v>74.099999999999994</v>
      </c>
      <c r="N1075" t="str">
        <f t="shared" si="67"/>
        <v>Apr</v>
      </c>
    </row>
    <row r="1076" spans="1:14" x14ac:dyDescent="0.3">
      <c r="A1076" s="2" t="s">
        <v>1142</v>
      </c>
      <c r="B1076" s="6">
        <v>45750</v>
      </c>
      <c r="C1076" s="2" t="s">
        <v>31</v>
      </c>
      <c r="D1076" s="2" t="s">
        <v>115</v>
      </c>
      <c r="E1076" s="2">
        <v>1</v>
      </c>
      <c r="F1076" s="7">
        <v>129</v>
      </c>
      <c r="G1076" s="8">
        <v>0</v>
      </c>
      <c r="H1076" s="9" t="str">
        <f>INDEX(Products!$B$2:$B$37, MATCH(D1076, Products!$A$2:$A$37, 0))</f>
        <v>Electric Kettle</v>
      </c>
      <c r="I1076" t="str">
        <f>INDEX(Products!$C$2:$C$37, MATCH(D1076, Products!$A$2:$A$37, 0))</f>
        <v>Home &amp; Kitchen</v>
      </c>
      <c r="J1076">
        <f>INDEX(Products!$E$2:$E$37, MATCH(D1076, Products!$A$2:$A$37, 0))</f>
        <v>60</v>
      </c>
      <c r="K1076" s="9">
        <f t="shared" si="64"/>
        <v>129</v>
      </c>
      <c r="L1076">
        <f t="shared" si="65"/>
        <v>60</v>
      </c>
      <c r="M1076" s="9">
        <f t="shared" si="66"/>
        <v>69</v>
      </c>
      <c r="N1076" t="str">
        <f t="shared" si="67"/>
        <v>Apr</v>
      </c>
    </row>
    <row r="1077" spans="1:14" x14ac:dyDescent="0.3">
      <c r="A1077" s="2" t="s">
        <v>1143</v>
      </c>
      <c r="B1077" s="6">
        <v>45750</v>
      </c>
      <c r="C1077" s="2" t="s">
        <v>48</v>
      </c>
      <c r="D1077" s="2" t="s">
        <v>39</v>
      </c>
      <c r="E1077" s="2">
        <v>1</v>
      </c>
      <c r="F1077" s="7">
        <v>199</v>
      </c>
      <c r="G1077" s="8">
        <v>0.15</v>
      </c>
      <c r="H1077" s="9" t="str">
        <f>INDEX(Products!$B$2:$B$37, MATCH(D1077, Products!$A$2:$A$37, 0))</f>
        <v>Bakhoor Gift Set</v>
      </c>
      <c r="I1077" t="str">
        <f>INDEX(Products!$C$2:$C$37, MATCH(D1077, Products!$A$2:$A$37, 0))</f>
        <v>Beauty</v>
      </c>
      <c r="J1077">
        <f>INDEX(Products!$E$2:$E$37, MATCH(D1077, Products!$A$2:$A$37, 0))</f>
        <v>90</v>
      </c>
      <c r="K1077" s="9">
        <f t="shared" si="64"/>
        <v>169.15</v>
      </c>
      <c r="L1077">
        <f t="shared" si="65"/>
        <v>90</v>
      </c>
      <c r="M1077" s="9">
        <f t="shared" si="66"/>
        <v>79.150000000000006</v>
      </c>
      <c r="N1077" t="str">
        <f t="shared" si="67"/>
        <v>Apr</v>
      </c>
    </row>
    <row r="1078" spans="1:14" x14ac:dyDescent="0.3">
      <c r="A1078" s="2" t="s">
        <v>1144</v>
      </c>
      <c r="B1078" s="6">
        <v>45750</v>
      </c>
      <c r="C1078" s="2" t="s">
        <v>44</v>
      </c>
      <c r="D1078" s="2" t="s">
        <v>194</v>
      </c>
      <c r="E1078" s="2">
        <v>1</v>
      </c>
      <c r="F1078" s="7">
        <v>699</v>
      </c>
      <c r="G1078" s="8">
        <v>0.05</v>
      </c>
      <c r="H1078" s="9" t="str">
        <f>INDEX(Products!$B$2:$B$37, MATCH(D1078, Products!$A$2:$A$37, 0))</f>
        <v>Leather Handbag</v>
      </c>
      <c r="I1078" t="str">
        <f>INDEX(Products!$C$2:$C$37, MATCH(D1078, Products!$A$2:$A$37, 0))</f>
        <v>Fashion</v>
      </c>
      <c r="J1078">
        <f>INDEX(Products!$E$2:$E$37, MATCH(D1078, Products!$A$2:$A$37, 0))</f>
        <v>380</v>
      </c>
      <c r="K1078" s="9">
        <f t="shared" si="64"/>
        <v>664.05</v>
      </c>
      <c r="L1078">
        <f t="shared" si="65"/>
        <v>380</v>
      </c>
      <c r="M1078" s="9">
        <f t="shared" si="66"/>
        <v>284.04999999999995</v>
      </c>
      <c r="N1078" t="str">
        <f t="shared" si="67"/>
        <v>Apr</v>
      </c>
    </row>
    <row r="1079" spans="1:14" x14ac:dyDescent="0.3">
      <c r="A1079" s="2" t="s">
        <v>1145</v>
      </c>
      <c r="B1079" s="6">
        <v>45751</v>
      </c>
      <c r="C1079" s="2" t="s">
        <v>44</v>
      </c>
      <c r="D1079" s="2" t="s">
        <v>194</v>
      </c>
      <c r="E1079" s="2">
        <v>2</v>
      </c>
      <c r="F1079" s="7">
        <v>699</v>
      </c>
      <c r="G1079" s="8">
        <v>0</v>
      </c>
      <c r="H1079" s="9" t="str">
        <f>INDEX(Products!$B$2:$B$37, MATCH(D1079, Products!$A$2:$A$37, 0))</f>
        <v>Leather Handbag</v>
      </c>
      <c r="I1079" t="str">
        <f>INDEX(Products!$C$2:$C$37, MATCH(D1079, Products!$A$2:$A$37, 0))</f>
        <v>Fashion</v>
      </c>
      <c r="J1079">
        <f>INDEX(Products!$E$2:$E$37, MATCH(D1079, Products!$A$2:$A$37, 0))</f>
        <v>380</v>
      </c>
      <c r="K1079" s="9">
        <f t="shared" si="64"/>
        <v>1398</v>
      </c>
      <c r="L1079">
        <f t="shared" si="65"/>
        <v>760</v>
      </c>
      <c r="M1079" s="9">
        <f t="shared" si="66"/>
        <v>638</v>
      </c>
      <c r="N1079" t="str">
        <f t="shared" si="67"/>
        <v>Apr</v>
      </c>
    </row>
    <row r="1080" spans="1:14" x14ac:dyDescent="0.3">
      <c r="A1080" s="2" t="s">
        <v>1146</v>
      </c>
      <c r="B1080" s="6">
        <v>45751</v>
      </c>
      <c r="C1080" s="2" t="s">
        <v>28</v>
      </c>
      <c r="D1080" s="2" t="s">
        <v>95</v>
      </c>
      <c r="E1080" s="2">
        <v>1</v>
      </c>
      <c r="F1080" s="7">
        <v>259</v>
      </c>
      <c r="G1080" s="8">
        <v>0</v>
      </c>
      <c r="H1080" s="9" t="str">
        <f>INDEX(Products!$B$2:$B$37, MATCH(D1080, Products!$A$2:$A$37, 0))</f>
        <v>Bed Linen Set (King)</v>
      </c>
      <c r="I1080" t="str">
        <f>INDEX(Products!$C$2:$C$37, MATCH(D1080, Products!$A$2:$A$37, 0))</f>
        <v>Home &amp; Kitchen</v>
      </c>
      <c r="J1080">
        <f>INDEX(Products!$E$2:$E$37, MATCH(D1080, Products!$A$2:$A$37, 0))</f>
        <v>115</v>
      </c>
      <c r="K1080" s="9">
        <f t="shared" si="64"/>
        <v>259</v>
      </c>
      <c r="L1080">
        <f t="shared" si="65"/>
        <v>115</v>
      </c>
      <c r="M1080" s="9">
        <f t="shared" si="66"/>
        <v>144</v>
      </c>
      <c r="N1080" t="str">
        <f t="shared" si="67"/>
        <v>Apr</v>
      </c>
    </row>
    <row r="1081" spans="1:14" x14ac:dyDescent="0.3">
      <c r="A1081" s="2" t="s">
        <v>1147</v>
      </c>
      <c r="B1081" s="6">
        <v>45751</v>
      </c>
      <c r="C1081" s="2" t="s">
        <v>44</v>
      </c>
      <c r="D1081" s="2" t="s">
        <v>87</v>
      </c>
      <c r="E1081" s="2">
        <v>3</v>
      </c>
      <c r="F1081" s="7">
        <v>799</v>
      </c>
      <c r="G1081" s="8">
        <v>0.15</v>
      </c>
      <c r="H1081" s="9" t="str">
        <f>INDEX(Products!$B$2:$B$37, MATCH(D1081, Products!$A$2:$A$37, 0))</f>
        <v>Adjustable Dumbbells</v>
      </c>
      <c r="I1081" t="str">
        <f>INDEX(Products!$C$2:$C$37, MATCH(D1081, Products!$A$2:$A$37, 0))</f>
        <v>Sports</v>
      </c>
      <c r="J1081">
        <f>INDEX(Products!$E$2:$E$37, MATCH(D1081, Products!$A$2:$A$37, 0))</f>
        <v>700</v>
      </c>
      <c r="K1081" s="9">
        <f t="shared" si="64"/>
        <v>2037.45</v>
      </c>
      <c r="L1081">
        <f t="shared" si="65"/>
        <v>2100</v>
      </c>
      <c r="M1081" s="9">
        <f t="shared" si="66"/>
        <v>-62.549999999999955</v>
      </c>
      <c r="N1081" t="str">
        <f t="shared" si="67"/>
        <v>Apr</v>
      </c>
    </row>
    <row r="1082" spans="1:14" x14ac:dyDescent="0.3">
      <c r="A1082" s="2" t="s">
        <v>1148</v>
      </c>
      <c r="B1082" s="6">
        <v>45751</v>
      </c>
      <c r="C1082" s="2" t="s">
        <v>44</v>
      </c>
      <c r="D1082" s="2" t="s">
        <v>80</v>
      </c>
      <c r="E1082" s="2">
        <v>1</v>
      </c>
      <c r="F1082" s="7">
        <v>149</v>
      </c>
      <c r="G1082" s="8">
        <v>0.2</v>
      </c>
      <c r="H1082" s="9" t="str">
        <f>INDEX(Products!$B$2:$B$37, MATCH(D1082, Products!$A$2:$A$37, 0))</f>
        <v>Vitamin C Serum</v>
      </c>
      <c r="I1082" t="str">
        <f>INDEX(Products!$C$2:$C$37, MATCH(D1082, Products!$A$2:$A$37, 0))</f>
        <v>Beauty</v>
      </c>
      <c r="J1082">
        <f>INDEX(Products!$E$2:$E$37, MATCH(D1082, Products!$A$2:$A$37, 0))</f>
        <v>55</v>
      </c>
      <c r="K1082" s="9">
        <f t="shared" si="64"/>
        <v>119.2</v>
      </c>
      <c r="L1082">
        <f t="shared" si="65"/>
        <v>55</v>
      </c>
      <c r="M1082" s="9">
        <f t="shared" si="66"/>
        <v>64.2</v>
      </c>
      <c r="N1082" t="str">
        <f t="shared" si="67"/>
        <v>Apr</v>
      </c>
    </row>
    <row r="1083" spans="1:14" x14ac:dyDescent="0.3">
      <c r="A1083" s="2" t="s">
        <v>1149</v>
      </c>
      <c r="B1083" s="6">
        <v>45751</v>
      </c>
      <c r="C1083" s="2" t="s">
        <v>48</v>
      </c>
      <c r="D1083" s="2" t="s">
        <v>37</v>
      </c>
      <c r="E1083" s="2">
        <v>1</v>
      </c>
      <c r="F1083" s="7">
        <v>249</v>
      </c>
      <c r="G1083" s="8">
        <v>0.1</v>
      </c>
      <c r="H1083" s="9" t="str">
        <f>INDEX(Products!$B$2:$B$37, MATCH(D1083, Products!$A$2:$A$37, 0))</f>
        <v>Sunglasses Polarised</v>
      </c>
      <c r="I1083" t="str">
        <f>INDEX(Products!$C$2:$C$37, MATCH(D1083, Products!$A$2:$A$37, 0))</f>
        <v>Fashion</v>
      </c>
      <c r="J1083">
        <f>INDEX(Products!$E$2:$E$37, MATCH(D1083, Products!$A$2:$A$37, 0))</f>
        <v>95</v>
      </c>
      <c r="K1083" s="9">
        <f t="shared" si="64"/>
        <v>224.1</v>
      </c>
      <c r="L1083">
        <f t="shared" si="65"/>
        <v>95</v>
      </c>
      <c r="M1083" s="9">
        <f t="shared" si="66"/>
        <v>129.1</v>
      </c>
      <c r="N1083" t="str">
        <f t="shared" si="67"/>
        <v>Apr</v>
      </c>
    </row>
    <row r="1084" spans="1:14" x14ac:dyDescent="0.3">
      <c r="A1084" s="2" t="s">
        <v>1150</v>
      </c>
      <c r="B1084" s="6">
        <v>45751</v>
      </c>
      <c r="C1084" s="2" t="s">
        <v>31</v>
      </c>
      <c r="D1084" s="2" t="s">
        <v>35</v>
      </c>
      <c r="E1084" s="2">
        <v>3</v>
      </c>
      <c r="F1084" s="7">
        <v>179</v>
      </c>
      <c r="G1084" s="8">
        <v>0.1</v>
      </c>
      <c r="H1084" s="9" t="str">
        <f>INDEX(Products!$B$2:$B$37, MATCH(D1084, Products!$A$2:$A$37, 0))</f>
        <v>Men's Linen Shirt</v>
      </c>
      <c r="I1084" t="str">
        <f>INDEX(Products!$C$2:$C$37, MATCH(D1084, Products!$A$2:$A$37, 0))</f>
        <v>Fashion</v>
      </c>
      <c r="J1084">
        <f>INDEX(Products!$E$2:$E$37, MATCH(D1084, Products!$A$2:$A$37, 0))</f>
        <v>70</v>
      </c>
      <c r="K1084" s="9">
        <f t="shared" si="64"/>
        <v>483.3</v>
      </c>
      <c r="L1084">
        <f t="shared" si="65"/>
        <v>210</v>
      </c>
      <c r="M1084" s="9">
        <f t="shared" si="66"/>
        <v>273.3</v>
      </c>
      <c r="N1084" t="str">
        <f t="shared" si="67"/>
        <v>Apr</v>
      </c>
    </row>
    <row r="1085" spans="1:14" x14ac:dyDescent="0.3">
      <c r="A1085" s="2" t="s">
        <v>1151</v>
      </c>
      <c r="B1085" s="6">
        <v>45751</v>
      </c>
      <c r="C1085" s="2" t="s">
        <v>31</v>
      </c>
      <c r="D1085" s="2" t="s">
        <v>149</v>
      </c>
      <c r="E1085" s="2">
        <v>2</v>
      </c>
      <c r="F1085" s="7">
        <v>399</v>
      </c>
      <c r="G1085" s="8">
        <v>0.1</v>
      </c>
      <c r="H1085" s="9" t="str">
        <f>INDEX(Products!$B$2:$B$37, MATCH(D1085, Products!$A$2:$A$37, 0))</f>
        <v>Blender Pro 1200W</v>
      </c>
      <c r="I1085" t="str">
        <f>INDEX(Products!$C$2:$C$37, MATCH(D1085, Products!$A$2:$A$37, 0))</f>
        <v>Home &amp; Kitchen</v>
      </c>
      <c r="J1085">
        <f>INDEX(Products!$E$2:$E$37, MATCH(D1085, Products!$A$2:$A$37, 0))</f>
        <v>250</v>
      </c>
      <c r="K1085" s="9">
        <f t="shared" si="64"/>
        <v>718.2</v>
      </c>
      <c r="L1085">
        <f t="shared" si="65"/>
        <v>500</v>
      </c>
      <c r="M1085" s="9">
        <f t="shared" si="66"/>
        <v>218.20000000000005</v>
      </c>
      <c r="N1085" t="str">
        <f t="shared" si="67"/>
        <v>Apr</v>
      </c>
    </row>
    <row r="1086" spans="1:14" x14ac:dyDescent="0.3">
      <c r="A1086" s="2" t="s">
        <v>1152</v>
      </c>
      <c r="B1086" s="6">
        <v>45751</v>
      </c>
      <c r="C1086" s="2" t="s">
        <v>44</v>
      </c>
      <c r="D1086" s="2" t="s">
        <v>33</v>
      </c>
      <c r="E1086" s="2">
        <v>1</v>
      </c>
      <c r="F1086" s="7">
        <v>199</v>
      </c>
      <c r="G1086" s="8">
        <v>0.2</v>
      </c>
      <c r="H1086" s="9" t="str">
        <f>INDEX(Products!$B$2:$B$37, MATCH(D1086, Products!$A$2:$A$37, 0))</f>
        <v>Fitness Band Lite</v>
      </c>
      <c r="I1086" t="str">
        <f>INDEX(Products!$C$2:$C$37, MATCH(D1086, Products!$A$2:$A$37, 0))</f>
        <v>Electronics</v>
      </c>
      <c r="J1086">
        <f>INDEX(Products!$E$2:$E$37, MATCH(D1086, Products!$A$2:$A$37, 0))</f>
        <v>175</v>
      </c>
      <c r="K1086" s="9">
        <f t="shared" si="64"/>
        <v>159.20000000000002</v>
      </c>
      <c r="L1086">
        <f t="shared" si="65"/>
        <v>175</v>
      </c>
      <c r="M1086" s="9">
        <f t="shared" si="66"/>
        <v>-15.799999999999983</v>
      </c>
      <c r="N1086" t="str">
        <f t="shared" si="67"/>
        <v>Apr</v>
      </c>
    </row>
    <row r="1087" spans="1:14" x14ac:dyDescent="0.3">
      <c r="A1087" s="2" t="s">
        <v>1153</v>
      </c>
      <c r="B1087" s="6">
        <v>45751</v>
      </c>
      <c r="C1087" s="2" t="s">
        <v>31</v>
      </c>
      <c r="D1087" s="2" t="s">
        <v>99</v>
      </c>
      <c r="E1087" s="2">
        <v>2</v>
      </c>
      <c r="F1087" s="7">
        <v>459</v>
      </c>
      <c r="G1087" s="8">
        <v>0.2</v>
      </c>
      <c r="H1087" s="9" t="str">
        <f>INDEX(Products!$B$2:$B$37, MATCH(D1087, Products!$A$2:$A$37, 0))</f>
        <v>Gaming Headset X</v>
      </c>
      <c r="I1087" t="str">
        <f>INDEX(Products!$C$2:$C$37, MATCH(D1087, Products!$A$2:$A$37, 0))</f>
        <v>Electronics</v>
      </c>
      <c r="J1087">
        <f>INDEX(Products!$E$2:$E$37, MATCH(D1087, Products!$A$2:$A$37, 0))</f>
        <v>300</v>
      </c>
      <c r="K1087" s="9">
        <f t="shared" si="64"/>
        <v>734.40000000000009</v>
      </c>
      <c r="L1087">
        <f t="shared" si="65"/>
        <v>600</v>
      </c>
      <c r="M1087" s="9">
        <f t="shared" si="66"/>
        <v>134.40000000000009</v>
      </c>
      <c r="N1087" t="str">
        <f t="shared" si="67"/>
        <v>Apr</v>
      </c>
    </row>
    <row r="1088" spans="1:14" x14ac:dyDescent="0.3">
      <c r="A1088" s="2" t="s">
        <v>1154</v>
      </c>
      <c r="B1088" s="6">
        <v>45751</v>
      </c>
      <c r="C1088" s="2" t="s">
        <v>28</v>
      </c>
      <c r="D1088" s="2" t="s">
        <v>103</v>
      </c>
      <c r="E1088" s="2">
        <v>3</v>
      </c>
      <c r="F1088" s="7">
        <v>89</v>
      </c>
      <c r="G1088" s="8">
        <v>0.15</v>
      </c>
      <c r="H1088" s="9" t="str">
        <f>INDEX(Products!$B$2:$B$37, MATCH(D1088, Products!$A$2:$A$37, 0))</f>
        <v>Sunscreen SPF50</v>
      </c>
      <c r="I1088" t="str">
        <f>INDEX(Products!$C$2:$C$37, MATCH(D1088, Products!$A$2:$A$37, 0))</f>
        <v>Beauty</v>
      </c>
      <c r="J1088">
        <f>INDEX(Products!$E$2:$E$37, MATCH(D1088, Products!$A$2:$A$37, 0))</f>
        <v>40</v>
      </c>
      <c r="K1088" s="9">
        <f t="shared" si="64"/>
        <v>226.95</v>
      </c>
      <c r="L1088">
        <f t="shared" si="65"/>
        <v>120</v>
      </c>
      <c r="M1088" s="9">
        <f t="shared" si="66"/>
        <v>106.94999999999999</v>
      </c>
      <c r="N1088" t="str">
        <f t="shared" si="67"/>
        <v>Apr</v>
      </c>
    </row>
    <row r="1089" spans="1:14" x14ac:dyDescent="0.3">
      <c r="A1089" s="2" t="s">
        <v>1155</v>
      </c>
      <c r="B1089" s="6">
        <v>45751</v>
      </c>
      <c r="C1089" s="2" t="s">
        <v>44</v>
      </c>
      <c r="D1089" s="2" t="s">
        <v>42</v>
      </c>
      <c r="E1089" s="2">
        <v>2</v>
      </c>
      <c r="F1089" s="7">
        <v>399</v>
      </c>
      <c r="G1089" s="8">
        <v>0</v>
      </c>
      <c r="H1089" s="9" t="str">
        <f>INDEX(Products!$B$2:$B$37, MATCH(D1089, Products!$A$2:$A$37, 0))</f>
        <v>Wireless Earbuds Pro</v>
      </c>
      <c r="I1089" t="str">
        <f>INDEX(Products!$C$2:$C$37, MATCH(D1089, Products!$A$2:$A$37, 0))</f>
        <v>Electronics</v>
      </c>
      <c r="J1089">
        <f>INDEX(Products!$E$2:$E$37, MATCH(D1089, Products!$A$2:$A$37, 0))</f>
        <v>230</v>
      </c>
      <c r="K1089" s="9">
        <f t="shared" si="64"/>
        <v>798</v>
      </c>
      <c r="L1089">
        <f t="shared" si="65"/>
        <v>460</v>
      </c>
      <c r="M1089" s="9">
        <f t="shared" si="66"/>
        <v>338</v>
      </c>
      <c r="N1089" t="str">
        <f t="shared" si="67"/>
        <v>Apr</v>
      </c>
    </row>
    <row r="1090" spans="1:14" x14ac:dyDescent="0.3">
      <c r="A1090" s="2" t="s">
        <v>1156</v>
      </c>
      <c r="B1090" s="6">
        <v>45752</v>
      </c>
      <c r="C1090" s="2" t="s">
        <v>28</v>
      </c>
      <c r="D1090" s="2" t="s">
        <v>60</v>
      </c>
      <c r="E1090" s="2">
        <v>2</v>
      </c>
      <c r="F1090" s="7">
        <v>99</v>
      </c>
      <c r="G1090" s="8">
        <v>0.15</v>
      </c>
      <c r="H1090" s="9" t="str">
        <f>INDEX(Products!$B$2:$B$37, MATCH(D1090, Products!$A$2:$A$37, 0))</f>
        <v>Football Size 5</v>
      </c>
      <c r="I1090" t="str">
        <f>INDEX(Products!$C$2:$C$37, MATCH(D1090, Products!$A$2:$A$37, 0))</f>
        <v>Sports</v>
      </c>
      <c r="J1090">
        <f>INDEX(Products!$E$2:$E$37, MATCH(D1090, Products!$A$2:$A$37, 0))</f>
        <v>45</v>
      </c>
      <c r="K1090" s="9">
        <f t="shared" ref="K1090:K1153" si="68">E1090*F1090*(1-G1090)</f>
        <v>168.29999999999998</v>
      </c>
      <c r="L1090">
        <f t="shared" ref="L1090:L1153" si="69">E1090*J1090</f>
        <v>90</v>
      </c>
      <c r="M1090" s="9">
        <f t="shared" ref="M1090:M1153" si="70">K1090-L1090</f>
        <v>78.299999999999983</v>
      </c>
      <c r="N1090" t="str">
        <f t="shared" ref="N1090:N1153" si="71">TEXT(B1090,"mmm")</f>
        <v>Apr</v>
      </c>
    </row>
    <row r="1091" spans="1:14" x14ac:dyDescent="0.3">
      <c r="A1091" s="2" t="s">
        <v>1157</v>
      </c>
      <c r="B1091" s="6">
        <v>45752</v>
      </c>
      <c r="C1091" s="2" t="s">
        <v>48</v>
      </c>
      <c r="D1091" s="2" t="s">
        <v>49</v>
      </c>
      <c r="E1091" s="2">
        <v>2</v>
      </c>
      <c r="F1091" s="7">
        <v>149</v>
      </c>
      <c r="G1091" s="8">
        <v>0</v>
      </c>
      <c r="H1091" s="9" t="str">
        <f>INDEX(Products!$B$2:$B$37, MATCH(D1091, Products!$A$2:$A$37, 0))</f>
        <v>Kids' Sneakers</v>
      </c>
      <c r="I1091" t="str">
        <f>INDEX(Products!$C$2:$C$37, MATCH(D1091, Products!$A$2:$A$37, 0))</f>
        <v>Fashion</v>
      </c>
      <c r="J1091">
        <f>INDEX(Products!$E$2:$E$37, MATCH(D1091, Products!$A$2:$A$37, 0))</f>
        <v>80</v>
      </c>
      <c r="K1091" s="9">
        <f t="shared" si="68"/>
        <v>298</v>
      </c>
      <c r="L1091">
        <f t="shared" si="69"/>
        <v>160</v>
      </c>
      <c r="M1091" s="9">
        <f t="shared" si="70"/>
        <v>138</v>
      </c>
      <c r="N1091" t="str">
        <f t="shared" si="71"/>
        <v>Apr</v>
      </c>
    </row>
    <row r="1092" spans="1:14" x14ac:dyDescent="0.3">
      <c r="A1092" s="2" t="s">
        <v>1158</v>
      </c>
      <c r="B1092" s="6">
        <v>45752</v>
      </c>
      <c r="C1092" s="2" t="s">
        <v>44</v>
      </c>
      <c r="D1092" s="2" t="s">
        <v>33</v>
      </c>
      <c r="E1092" s="2">
        <v>2</v>
      </c>
      <c r="F1092" s="7">
        <v>199</v>
      </c>
      <c r="G1092" s="8">
        <v>0.2</v>
      </c>
      <c r="H1092" s="9" t="str">
        <f>INDEX(Products!$B$2:$B$37, MATCH(D1092, Products!$A$2:$A$37, 0))</f>
        <v>Fitness Band Lite</v>
      </c>
      <c r="I1092" t="str">
        <f>INDEX(Products!$C$2:$C$37, MATCH(D1092, Products!$A$2:$A$37, 0))</f>
        <v>Electronics</v>
      </c>
      <c r="J1092">
        <f>INDEX(Products!$E$2:$E$37, MATCH(D1092, Products!$A$2:$A$37, 0))</f>
        <v>175</v>
      </c>
      <c r="K1092" s="9">
        <f t="shared" si="68"/>
        <v>318.40000000000003</v>
      </c>
      <c r="L1092">
        <f t="shared" si="69"/>
        <v>350</v>
      </c>
      <c r="M1092" s="9">
        <f t="shared" si="70"/>
        <v>-31.599999999999966</v>
      </c>
      <c r="N1092" t="str">
        <f t="shared" si="71"/>
        <v>Apr</v>
      </c>
    </row>
    <row r="1093" spans="1:14" x14ac:dyDescent="0.3">
      <c r="A1093" s="2" t="s">
        <v>1159</v>
      </c>
      <c r="B1093" s="6">
        <v>45752</v>
      </c>
      <c r="C1093" s="2" t="s">
        <v>44</v>
      </c>
      <c r="D1093" s="2" t="s">
        <v>95</v>
      </c>
      <c r="E1093" s="2">
        <v>1</v>
      </c>
      <c r="F1093" s="7">
        <v>259</v>
      </c>
      <c r="G1093" s="8">
        <v>0.1</v>
      </c>
      <c r="H1093" s="9" t="str">
        <f>INDEX(Products!$B$2:$B$37, MATCH(D1093, Products!$A$2:$A$37, 0))</f>
        <v>Bed Linen Set (King)</v>
      </c>
      <c r="I1093" t="str">
        <f>INDEX(Products!$C$2:$C$37, MATCH(D1093, Products!$A$2:$A$37, 0))</f>
        <v>Home &amp; Kitchen</v>
      </c>
      <c r="J1093">
        <f>INDEX(Products!$E$2:$E$37, MATCH(D1093, Products!$A$2:$A$37, 0))</f>
        <v>115</v>
      </c>
      <c r="K1093" s="9">
        <f t="shared" si="68"/>
        <v>233.1</v>
      </c>
      <c r="L1093">
        <f t="shared" si="69"/>
        <v>115</v>
      </c>
      <c r="M1093" s="9">
        <f t="shared" si="70"/>
        <v>118.1</v>
      </c>
      <c r="N1093" t="str">
        <f t="shared" si="71"/>
        <v>Apr</v>
      </c>
    </row>
    <row r="1094" spans="1:14" x14ac:dyDescent="0.3">
      <c r="A1094" s="2" t="s">
        <v>1160</v>
      </c>
      <c r="B1094" s="6">
        <v>45752</v>
      </c>
      <c r="C1094" s="2" t="s">
        <v>31</v>
      </c>
      <c r="D1094" s="2" t="s">
        <v>131</v>
      </c>
      <c r="E1094" s="2">
        <v>1</v>
      </c>
      <c r="F1094" s="7">
        <v>899</v>
      </c>
      <c r="G1094" s="8">
        <v>0.05</v>
      </c>
      <c r="H1094" s="9" t="str">
        <f>INDEX(Products!$B$2:$B$37, MATCH(D1094, Products!$A$2:$A$37, 0))</f>
        <v>4K Action Camera</v>
      </c>
      <c r="I1094" t="str">
        <f>INDEX(Products!$C$2:$C$37, MATCH(D1094, Products!$A$2:$A$37, 0))</f>
        <v>Electronics</v>
      </c>
      <c r="J1094">
        <f>INDEX(Products!$E$2:$E$37, MATCH(D1094, Products!$A$2:$A$37, 0))</f>
        <v>610</v>
      </c>
      <c r="K1094" s="9">
        <f t="shared" si="68"/>
        <v>854.05</v>
      </c>
      <c r="L1094">
        <f t="shared" si="69"/>
        <v>610</v>
      </c>
      <c r="M1094" s="9">
        <f t="shared" si="70"/>
        <v>244.04999999999995</v>
      </c>
      <c r="N1094" t="str">
        <f t="shared" si="71"/>
        <v>Apr</v>
      </c>
    </row>
    <row r="1095" spans="1:14" x14ac:dyDescent="0.3">
      <c r="A1095" s="2" t="s">
        <v>1161</v>
      </c>
      <c r="B1095" s="6">
        <v>45752</v>
      </c>
      <c r="C1095" s="2" t="s">
        <v>41</v>
      </c>
      <c r="D1095" s="2" t="s">
        <v>46</v>
      </c>
      <c r="E1095" s="2">
        <v>2</v>
      </c>
      <c r="F1095" s="7">
        <v>189</v>
      </c>
      <c r="G1095" s="8">
        <v>0</v>
      </c>
      <c r="H1095" s="9" t="str">
        <f>INDEX(Products!$B$2:$B$37, MATCH(D1095, Products!$A$2:$A$37, 0))</f>
        <v>Makeup Palette</v>
      </c>
      <c r="I1095" t="str">
        <f>INDEX(Products!$C$2:$C$37, MATCH(D1095, Products!$A$2:$A$37, 0))</f>
        <v>Beauty</v>
      </c>
      <c r="J1095">
        <f>INDEX(Products!$E$2:$E$37, MATCH(D1095, Products!$A$2:$A$37, 0))</f>
        <v>85</v>
      </c>
      <c r="K1095" s="9">
        <f t="shared" si="68"/>
        <v>378</v>
      </c>
      <c r="L1095">
        <f t="shared" si="69"/>
        <v>170</v>
      </c>
      <c r="M1095" s="9">
        <f t="shared" si="70"/>
        <v>208</v>
      </c>
      <c r="N1095" t="str">
        <f t="shared" si="71"/>
        <v>Apr</v>
      </c>
    </row>
    <row r="1096" spans="1:14" x14ac:dyDescent="0.3">
      <c r="A1096" s="2" t="s">
        <v>1162</v>
      </c>
      <c r="B1096" s="6">
        <v>45752</v>
      </c>
      <c r="C1096" s="2" t="s">
        <v>48</v>
      </c>
      <c r="D1096" s="2" t="s">
        <v>68</v>
      </c>
      <c r="E1096" s="2">
        <v>1</v>
      </c>
      <c r="F1096" s="7">
        <v>249</v>
      </c>
      <c r="G1096" s="8">
        <v>0.2</v>
      </c>
      <c r="H1096" s="9" t="str">
        <f>INDEX(Products!$B$2:$B$37, MATCH(D1096, Products!$A$2:$A$37, 0))</f>
        <v>Bluetooth Speaker Mini</v>
      </c>
      <c r="I1096" t="str">
        <f>INDEX(Products!$C$2:$C$37, MATCH(D1096, Products!$A$2:$A$37, 0))</f>
        <v>Electronics</v>
      </c>
      <c r="J1096">
        <f>INDEX(Products!$E$2:$E$37, MATCH(D1096, Products!$A$2:$A$37, 0))</f>
        <v>150</v>
      </c>
      <c r="K1096" s="9">
        <f t="shared" si="68"/>
        <v>199.20000000000002</v>
      </c>
      <c r="L1096">
        <f t="shared" si="69"/>
        <v>150</v>
      </c>
      <c r="M1096" s="9">
        <f t="shared" si="70"/>
        <v>49.200000000000017</v>
      </c>
      <c r="N1096" t="str">
        <f t="shared" si="71"/>
        <v>Apr</v>
      </c>
    </row>
    <row r="1097" spans="1:14" x14ac:dyDescent="0.3">
      <c r="A1097" s="2" t="s">
        <v>1163</v>
      </c>
      <c r="B1097" s="6">
        <v>45752</v>
      </c>
      <c r="C1097" s="2" t="s">
        <v>48</v>
      </c>
      <c r="D1097" s="2" t="s">
        <v>37</v>
      </c>
      <c r="E1097" s="2">
        <v>1</v>
      </c>
      <c r="F1097" s="7">
        <v>249</v>
      </c>
      <c r="G1097" s="8">
        <v>0.1</v>
      </c>
      <c r="H1097" s="9" t="str">
        <f>INDEX(Products!$B$2:$B$37, MATCH(D1097, Products!$A$2:$A$37, 0))</f>
        <v>Sunglasses Polarised</v>
      </c>
      <c r="I1097" t="str">
        <f>INDEX(Products!$C$2:$C$37, MATCH(D1097, Products!$A$2:$A$37, 0))</f>
        <v>Fashion</v>
      </c>
      <c r="J1097">
        <f>INDEX(Products!$E$2:$E$37, MATCH(D1097, Products!$A$2:$A$37, 0))</f>
        <v>95</v>
      </c>
      <c r="K1097" s="9">
        <f t="shared" si="68"/>
        <v>224.1</v>
      </c>
      <c r="L1097">
        <f t="shared" si="69"/>
        <v>95</v>
      </c>
      <c r="M1097" s="9">
        <f t="shared" si="70"/>
        <v>129.1</v>
      </c>
      <c r="N1097" t="str">
        <f t="shared" si="71"/>
        <v>Apr</v>
      </c>
    </row>
    <row r="1098" spans="1:14" x14ac:dyDescent="0.3">
      <c r="A1098" s="2" t="s">
        <v>1164</v>
      </c>
      <c r="B1098" s="6">
        <v>45752</v>
      </c>
      <c r="C1098" s="2" t="s">
        <v>41</v>
      </c>
      <c r="D1098" s="2" t="s">
        <v>42</v>
      </c>
      <c r="E1098" s="2">
        <v>1</v>
      </c>
      <c r="F1098" s="7">
        <v>399</v>
      </c>
      <c r="G1098" s="8">
        <v>0.2</v>
      </c>
      <c r="H1098" s="9" t="str">
        <f>INDEX(Products!$B$2:$B$37, MATCH(D1098, Products!$A$2:$A$37, 0))</f>
        <v>Wireless Earbuds Pro</v>
      </c>
      <c r="I1098" t="str">
        <f>INDEX(Products!$C$2:$C$37, MATCH(D1098, Products!$A$2:$A$37, 0))</f>
        <v>Electronics</v>
      </c>
      <c r="J1098">
        <f>INDEX(Products!$E$2:$E$37, MATCH(D1098, Products!$A$2:$A$37, 0))</f>
        <v>230</v>
      </c>
      <c r="K1098" s="9">
        <f t="shared" si="68"/>
        <v>319.20000000000005</v>
      </c>
      <c r="L1098">
        <f t="shared" si="69"/>
        <v>230</v>
      </c>
      <c r="M1098" s="9">
        <f t="shared" si="70"/>
        <v>89.200000000000045</v>
      </c>
      <c r="N1098" t="str">
        <f t="shared" si="71"/>
        <v>Apr</v>
      </c>
    </row>
    <row r="1099" spans="1:14" x14ac:dyDescent="0.3">
      <c r="A1099" s="2" t="s">
        <v>1165</v>
      </c>
      <c r="B1099" s="6">
        <v>45752</v>
      </c>
      <c r="C1099" s="2" t="s">
        <v>44</v>
      </c>
      <c r="D1099" s="2" t="s">
        <v>78</v>
      </c>
      <c r="E1099" s="2">
        <v>3</v>
      </c>
      <c r="F1099" s="7">
        <v>499</v>
      </c>
      <c r="G1099" s="8">
        <v>0.15</v>
      </c>
      <c r="H1099" s="9" t="str">
        <f>INDEX(Products!$B$2:$B$37, MATCH(D1099, Products!$A$2:$A$37, 0))</f>
        <v>Air Fryer 5L</v>
      </c>
      <c r="I1099" t="str">
        <f>INDEX(Products!$C$2:$C$37, MATCH(D1099, Products!$A$2:$A$37, 0))</f>
        <v>Home &amp; Kitchen</v>
      </c>
      <c r="J1099">
        <f>INDEX(Products!$E$2:$E$37, MATCH(D1099, Products!$A$2:$A$37, 0))</f>
        <v>290</v>
      </c>
      <c r="K1099" s="9">
        <f t="shared" si="68"/>
        <v>1272.45</v>
      </c>
      <c r="L1099">
        <f t="shared" si="69"/>
        <v>870</v>
      </c>
      <c r="M1099" s="9">
        <f t="shared" si="70"/>
        <v>402.45000000000005</v>
      </c>
      <c r="N1099" t="str">
        <f t="shared" si="71"/>
        <v>Apr</v>
      </c>
    </row>
    <row r="1100" spans="1:14" x14ac:dyDescent="0.3">
      <c r="A1100" s="2" t="s">
        <v>1166</v>
      </c>
      <c r="B1100" s="6">
        <v>45752</v>
      </c>
      <c r="C1100" s="2" t="s">
        <v>41</v>
      </c>
      <c r="D1100" s="2" t="s">
        <v>65</v>
      </c>
      <c r="E1100" s="2">
        <v>1</v>
      </c>
      <c r="F1100" s="7">
        <v>129</v>
      </c>
      <c r="G1100" s="8">
        <v>0</v>
      </c>
      <c r="H1100" s="9" t="str">
        <f>INDEX(Products!$B$2:$B$37, MATCH(D1100, Products!$A$2:$A$37, 0))</f>
        <v>Yoga Mat Premium</v>
      </c>
      <c r="I1100" t="str">
        <f>INDEX(Products!$C$2:$C$37, MATCH(D1100, Products!$A$2:$A$37, 0))</f>
        <v>Sports</v>
      </c>
      <c r="J1100">
        <f>INDEX(Products!$E$2:$E$37, MATCH(D1100, Products!$A$2:$A$37, 0))</f>
        <v>60</v>
      </c>
      <c r="K1100" s="9">
        <f t="shared" si="68"/>
        <v>129</v>
      </c>
      <c r="L1100">
        <f t="shared" si="69"/>
        <v>60</v>
      </c>
      <c r="M1100" s="9">
        <f t="shared" si="70"/>
        <v>69</v>
      </c>
      <c r="N1100" t="str">
        <f t="shared" si="71"/>
        <v>Apr</v>
      </c>
    </row>
    <row r="1101" spans="1:14" x14ac:dyDescent="0.3">
      <c r="A1101" s="2" t="s">
        <v>1167</v>
      </c>
      <c r="B1101" s="6">
        <v>45752</v>
      </c>
      <c r="C1101" s="2" t="s">
        <v>44</v>
      </c>
      <c r="D1101" s="2" t="s">
        <v>68</v>
      </c>
      <c r="E1101" s="2">
        <v>2</v>
      </c>
      <c r="F1101" s="7">
        <v>249</v>
      </c>
      <c r="G1101" s="8">
        <v>0.05</v>
      </c>
      <c r="H1101" s="9" t="str">
        <f>INDEX(Products!$B$2:$B$37, MATCH(D1101, Products!$A$2:$A$37, 0))</f>
        <v>Bluetooth Speaker Mini</v>
      </c>
      <c r="I1101" t="str">
        <f>INDEX(Products!$C$2:$C$37, MATCH(D1101, Products!$A$2:$A$37, 0))</f>
        <v>Electronics</v>
      </c>
      <c r="J1101">
        <f>INDEX(Products!$E$2:$E$37, MATCH(D1101, Products!$A$2:$A$37, 0))</f>
        <v>150</v>
      </c>
      <c r="K1101" s="9">
        <f t="shared" si="68"/>
        <v>473.09999999999997</v>
      </c>
      <c r="L1101">
        <f t="shared" si="69"/>
        <v>300</v>
      </c>
      <c r="M1101" s="9">
        <f t="shared" si="70"/>
        <v>173.09999999999997</v>
      </c>
      <c r="N1101" t="str">
        <f t="shared" si="71"/>
        <v>Apr</v>
      </c>
    </row>
    <row r="1102" spans="1:14" x14ac:dyDescent="0.3">
      <c r="A1102" s="2" t="s">
        <v>1168</v>
      </c>
      <c r="B1102" s="6">
        <v>45752</v>
      </c>
      <c r="C1102" s="2" t="s">
        <v>28</v>
      </c>
      <c r="D1102" s="2" t="s">
        <v>115</v>
      </c>
      <c r="E1102" s="2">
        <v>2</v>
      </c>
      <c r="F1102" s="7">
        <v>129</v>
      </c>
      <c r="G1102" s="8">
        <v>0</v>
      </c>
      <c r="H1102" s="9" t="str">
        <f>INDEX(Products!$B$2:$B$37, MATCH(D1102, Products!$A$2:$A$37, 0))</f>
        <v>Electric Kettle</v>
      </c>
      <c r="I1102" t="str">
        <f>INDEX(Products!$C$2:$C$37, MATCH(D1102, Products!$A$2:$A$37, 0))</f>
        <v>Home &amp; Kitchen</v>
      </c>
      <c r="J1102">
        <f>INDEX(Products!$E$2:$E$37, MATCH(D1102, Products!$A$2:$A$37, 0))</f>
        <v>60</v>
      </c>
      <c r="K1102" s="9">
        <f t="shared" si="68"/>
        <v>258</v>
      </c>
      <c r="L1102">
        <f t="shared" si="69"/>
        <v>120</v>
      </c>
      <c r="M1102" s="9">
        <f t="shared" si="70"/>
        <v>138</v>
      </c>
      <c r="N1102" t="str">
        <f t="shared" si="71"/>
        <v>Apr</v>
      </c>
    </row>
    <row r="1103" spans="1:14" x14ac:dyDescent="0.3">
      <c r="A1103" s="2" t="s">
        <v>1169</v>
      </c>
      <c r="B1103" s="6">
        <v>45752</v>
      </c>
      <c r="C1103" s="2" t="s">
        <v>44</v>
      </c>
      <c r="D1103" s="2" t="s">
        <v>129</v>
      </c>
      <c r="E1103" s="2">
        <v>1</v>
      </c>
      <c r="F1103" s="7">
        <v>149</v>
      </c>
      <c r="G1103" s="8">
        <v>0</v>
      </c>
      <c r="H1103" s="9" t="str">
        <f>INDEX(Products!$B$2:$B$37, MATCH(D1103, Products!$A$2:$A$37, 0))</f>
        <v>Power Bank 20000mAh</v>
      </c>
      <c r="I1103" t="str">
        <f>INDEX(Products!$C$2:$C$37, MATCH(D1103, Products!$A$2:$A$37, 0))</f>
        <v>Electronics</v>
      </c>
      <c r="J1103">
        <f>INDEX(Products!$E$2:$E$37, MATCH(D1103, Products!$A$2:$A$37, 0))</f>
        <v>70</v>
      </c>
      <c r="K1103" s="9">
        <f t="shared" si="68"/>
        <v>149</v>
      </c>
      <c r="L1103">
        <f t="shared" si="69"/>
        <v>70</v>
      </c>
      <c r="M1103" s="9">
        <f t="shared" si="70"/>
        <v>79</v>
      </c>
      <c r="N1103" t="str">
        <f t="shared" si="71"/>
        <v>Apr</v>
      </c>
    </row>
    <row r="1104" spans="1:14" x14ac:dyDescent="0.3">
      <c r="A1104" s="2" t="s">
        <v>1170</v>
      </c>
      <c r="B1104" s="6">
        <v>45753</v>
      </c>
      <c r="C1104" s="2" t="s">
        <v>28</v>
      </c>
      <c r="D1104" s="2" t="s">
        <v>33</v>
      </c>
      <c r="E1104" s="2">
        <v>1</v>
      </c>
      <c r="F1104" s="7">
        <v>199</v>
      </c>
      <c r="G1104" s="8">
        <v>0.2</v>
      </c>
      <c r="H1104" s="9" t="str">
        <f>INDEX(Products!$B$2:$B$37, MATCH(D1104, Products!$A$2:$A$37, 0))</f>
        <v>Fitness Band Lite</v>
      </c>
      <c r="I1104" t="str">
        <f>INDEX(Products!$C$2:$C$37, MATCH(D1104, Products!$A$2:$A$37, 0))</f>
        <v>Electronics</v>
      </c>
      <c r="J1104">
        <f>INDEX(Products!$E$2:$E$37, MATCH(D1104, Products!$A$2:$A$37, 0))</f>
        <v>175</v>
      </c>
      <c r="K1104" s="9">
        <f t="shared" si="68"/>
        <v>159.20000000000002</v>
      </c>
      <c r="L1104">
        <f t="shared" si="69"/>
        <v>175</v>
      </c>
      <c r="M1104" s="9">
        <f t="shared" si="70"/>
        <v>-15.799999999999983</v>
      </c>
      <c r="N1104" t="str">
        <f t="shared" si="71"/>
        <v>Apr</v>
      </c>
    </row>
    <row r="1105" spans="1:14" x14ac:dyDescent="0.3">
      <c r="A1105" s="2" t="s">
        <v>1171</v>
      </c>
      <c r="B1105" s="6">
        <v>45753</v>
      </c>
      <c r="C1105" s="2" t="s">
        <v>48</v>
      </c>
      <c r="D1105" s="2" t="s">
        <v>29</v>
      </c>
      <c r="E1105" s="2">
        <v>1</v>
      </c>
      <c r="F1105" s="7">
        <v>229</v>
      </c>
      <c r="G1105" s="8">
        <v>0.15</v>
      </c>
      <c r="H1105" s="9" t="str">
        <f>INDEX(Products!$B$2:$B$37, MATCH(D1105, Products!$A$2:$A$37, 0))</f>
        <v>Women's Summer Dress</v>
      </c>
      <c r="I1105" t="str">
        <f>INDEX(Products!$C$2:$C$37, MATCH(D1105, Products!$A$2:$A$37, 0))</f>
        <v>Fashion</v>
      </c>
      <c r="J1105">
        <f>INDEX(Products!$E$2:$E$37, MATCH(D1105, Products!$A$2:$A$37, 0))</f>
        <v>120</v>
      </c>
      <c r="K1105" s="9">
        <f t="shared" si="68"/>
        <v>194.65</v>
      </c>
      <c r="L1105">
        <f t="shared" si="69"/>
        <v>120</v>
      </c>
      <c r="M1105" s="9">
        <f t="shared" si="70"/>
        <v>74.650000000000006</v>
      </c>
      <c r="N1105" t="str">
        <f t="shared" si="71"/>
        <v>Apr</v>
      </c>
    </row>
    <row r="1106" spans="1:14" x14ac:dyDescent="0.3">
      <c r="A1106" s="2" t="s">
        <v>1172</v>
      </c>
      <c r="B1106" s="6">
        <v>45753</v>
      </c>
      <c r="C1106" s="2" t="s">
        <v>44</v>
      </c>
      <c r="D1106" s="2" t="s">
        <v>39</v>
      </c>
      <c r="E1106" s="2">
        <v>1</v>
      </c>
      <c r="F1106" s="7">
        <v>199</v>
      </c>
      <c r="G1106" s="8">
        <v>0.05</v>
      </c>
      <c r="H1106" s="9" t="str">
        <f>INDEX(Products!$B$2:$B$37, MATCH(D1106, Products!$A$2:$A$37, 0))</f>
        <v>Bakhoor Gift Set</v>
      </c>
      <c r="I1106" t="str">
        <f>INDEX(Products!$C$2:$C$37, MATCH(D1106, Products!$A$2:$A$37, 0))</f>
        <v>Beauty</v>
      </c>
      <c r="J1106">
        <f>INDEX(Products!$E$2:$E$37, MATCH(D1106, Products!$A$2:$A$37, 0))</f>
        <v>90</v>
      </c>
      <c r="K1106" s="9">
        <f t="shared" si="68"/>
        <v>189.04999999999998</v>
      </c>
      <c r="L1106">
        <f t="shared" si="69"/>
        <v>90</v>
      </c>
      <c r="M1106" s="9">
        <f t="shared" si="70"/>
        <v>99.049999999999983</v>
      </c>
      <c r="N1106" t="str">
        <f t="shared" si="71"/>
        <v>Apr</v>
      </c>
    </row>
    <row r="1107" spans="1:14" x14ac:dyDescent="0.3">
      <c r="A1107" s="2" t="s">
        <v>1173</v>
      </c>
      <c r="B1107" s="6">
        <v>45753</v>
      </c>
      <c r="C1107" s="2" t="s">
        <v>44</v>
      </c>
      <c r="D1107" s="2" t="s">
        <v>80</v>
      </c>
      <c r="E1107" s="2">
        <v>1</v>
      </c>
      <c r="F1107" s="7">
        <v>149</v>
      </c>
      <c r="G1107" s="8">
        <v>0.15</v>
      </c>
      <c r="H1107" s="9" t="str">
        <f>INDEX(Products!$B$2:$B$37, MATCH(D1107, Products!$A$2:$A$37, 0))</f>
        <v>Vitamin C Serum</v>
      </c>
      <c r="I1107" t="str">
        <f>INDEX(Products!$C$2:$C$37, MATCH(D1107, Products!$A$2:$A$37, 0))</f>
        <v>Beauty</v>
      </c>
      <c r="J1107">
        <f>INDEX(Products!$E$2:$E$37, MATCH(D1107, Products!$A$2:$A$37, 0))</f>
        <v>55</v>
      </c>
      <c r="K1107" s="9">
        <f t="shared" si="68"/>
        <v>126.64999999999999</v>
      </c>
      <c r="L1107">
        <f t="shared" si="69"/>
        <v>55</v>
      </c>
      <c r="M1107" s="9">
        <f t="shared" si="70"/>
        <v>71.649999999999991</v>
      </c>
      <c r="N1107" t="str">
        <f t="shared" si="71"/>
        <v>Apr</v>
      </c>
    </row>
    <row r="1108" spans="1:14" x14ac:dyDescent="0.3">
      <c r="A1108" s="2" t="s">
        <v>1174</v>
      </c>
      <c r="B1108" s="6">
        <v>45753</v>
      </c>
      <c r="C1108" s="2" t="s">
        <v>44</v>
      </c>
      <c r="D1108" s="2" t="s">
        <v>65</v>
      </c>
      <c r="E1108" s="2">
        <v>1</v>
      </c>
      <c r="F1108" s="7">
        <v>129</v>
      </c>
      <c r="G1108" s="8">
        <v>0.1</v>
      </c>
      <c r="H1108" s="9" t="str">
        <f>INDEX(Products!$B$2:$B$37, MATCH(D1108, Products!$A$2:$A$37, 0))</f>
        <v>Yoga Mat Premium</v>
      </c>
      <c r="I1108" t="str">
        <f>INDEX(Products!$C$2:$C$37, MATCH(D1108, Products!$A$2:$A$37, 0))</f>
        <v>Sports</v>
      </c>
      <c r="J1108">
        <f>INDEX(Products!$E$2:$E$37, MATCH(D1108, Products!$A$2:$A$37, 0))</f>
        <v>60</v>
      </c>
      <c r="K1108" s="9">
        <f t="shared" si="68"/>
        <v>116.10000000000001</v>
      </c>
      <c r="L1108">
        <f t="shared" si="69"/>
        <v>60</v>
      </c>
      <c r="M1108" s="9">
        <f t="shared" si="70"/>
        <v>56.100000000000009</v>
      </c>
      <c r="N1108" t="str">
        <f t="shared" si="71"/>
        <v>Apr</v>
      </c>
    </row>
    <row r="1109" spans="1:14" x14ac:dyDescent="0.3">
      <c r="A1109" s="2" t="s">
        <v>1175</v>
      </c>
      <c r="B1109" s="6">
        <v>45753</v>
      </c>
      <c r="C1109" s="2" t="s">
        <v>48</v>
      </c>
      <c r="D1109" s="2" t="s">
        <v>29</v>
      </c>
      <c r="E1109" s="2">
        <v>1</v>
      </c>
      <c r="F1109" s="7">
        <v>229</v>
      </c>
      <c r="G1109" s="8">
        <v>0.05</v>
      </c>
      <c r="H1109" s="9" t="str">
        <f>INDEX(Products!$B$2:$B$37, MATCH(D1109, Products!$A$2:$A$37, 0))</f>
        <v>Women's Summer Dress</v>
      </c>
      <c r="I1109" t="str">
        <f>INDEX(Products!$C$2:$C$37, MATCH(D1109, Products!$A$2:$A$37, 0))</f>
        <v>Fashion</v>
      </c>
      <c r="J1109">
        <f>INDEX(Products!$E$2:$E$37, MATCH(D1109, Products!$A$2:$A$37, 0))</f>
        <v>120</v>
      </c>
      <c r="K1109" s="9">
        <f t="shared" si="68"/>
        <v>217.54999999999998</v>
      </c>
      <c r="L1109">
        <f t="shared" si="69"/>
        <v>120</v>
      </c>
      <c r="M1109" s="9">
        <f t="shared" si="70"/>
        <v>97.549999999999983</v>
      </c>
      <c r="N1109" t="str">
        <f t="shared" si="71"/>
        <v>Apr</v>
      </c>
    </row>
    <row r="1110" spans="1:14" x14ac:dyDescent="0.3">
      <c r="A1110" s="2" t="s">
        <v>1176</v>
      </c>
      <c r="B1110" s="6">
        <v>45753</v>
      </c>
      <c r="C1110" s="2" t="s">
        <v>41</v>
      </c>
      <c r="D1110" s="2" t="s">
        <v>115</v>
      </c>
      <c r="E1110" s="2">
        <v>1</v>
      </c>
      <c r="F1110" s="7">
        <v>129</v>
      </c>
      <c r="G1110" s="8">
        <v>0</v>
      </c>
      <c r="H1110" s="9" t="str">
        <f>INDEX(Products!$B$2:$B$37, MATCH(D1110, Products!$A$2:$A$37, 0))</f>
        <v>Electric Kettle</v>
      </c>
      <c r="I1110" t="str">
        <f>INDEX(Products!$C$2:$C$37, MATCH(D1110, Products!$A$2:$A$37, 0))</f>
        <v>Home &amp; Kitchen</v>
      </c>
      <c r="J1110">
        <f>INDEX(Products!$E$2:$E$37, MATCH(D1110, Products!$A$2:$A$37, 0))</f>
        <v>60</v>
      </c>
      <c r="K1110" s="9">
        <f t="shared" si="68"/>
        <v>129</v>
      </c>
      <c r="L1110">
        <f t="shared" si="69"/>
        <v>60</v>
      </c>
      <c r="M1110" s="9">
        <f t="shared" si="70"/>
        <v>69</v>
      </c>
      <c r="N1110" t="str">
        <f t="shared" si="71"/>
        <v>Apr</v>
      </c>
    </row>
    <row r="1111" spans="1:14" x14ac:dyDescent="0.3">
      <c r="A1111" s="2" t="s">
        <v>1177</v>
      </c>
      <c r="B1111" s="6">
        <v>45753</v>
      </c>
      <c r="C1111" s="2" t="s">
        <v>41</v>
      </c>
      <c r="D1111" s="2" t="s">
        <v>163</v>
      </c>
      <c r="E1111" s="2">
        <v>1</v>
      </c>
      <c r="F1111" s="7">
        <v>2499</v>
      </c>
      <c r="G1111" s="8">
        <v>0.25</v>
      </c>
      <c r="H1111" s="9" t="str">
        <f>INDEX(Products!$B$2:$B$37, MATCH(D1111, Products!$A$2:$A$37, 0))</f>
        <v>Treadmill Compact</v>
      </c>
      <c r="I1111" t="str">
        <f>INDEX(Products!$C$2:$C$37, MATCH(D1111, Products!$A$2:$A$37, 0))</f>
        <v>Sports</v>
      </c>
      <c r="J1111">
        <f>INDEX(Products!$E$2:$E$37, MATCH(D1111, Products!$A$2:$A$37, 0))</f>
        <v>2150</v>
      </c>
      <c r="K1111" s="9">
        <f t="shared" si="68"/>
        <v>1874.25</v>
      </c>
      <c r="L1111">
        <f t="shared" si="69"/>
        <v>2150</v>
      </c>
      <c r="M1111" s="9">
        <f t="shared" si="70"/>
        <v>-275.75</v>
      </c>
      <c r="N1111" t="str">
        <f t="shared" si="71"/>
        <v>Apr</v>
      </c>
    </row>
    <row r="1112" spans="1:14" x14ac:dyDescent="0.3">
      <c r="A1112" s="2" t="s">
        <v>1178</v>
      </c>
      <c r="B1112" s="6">
        <v>45753</v>
      </c>
      <c r="C1112" s="2" t="s">
        <v>44</v>
      </c>
      <c r="D1112" s="2" t="s">
        <v>39</v>
      </c>
      <c r="E1112" s="2">
        <v>3</v>
      </c>
      <c r="F1112" s="7">
        <v>199</v>
      </c>
      <c r="G1112" s="8">
        <v>0.2</v>
      </c>
      <c r="H1112" s="9" t="str">
        <f>INDEX(Products!$B$2:$B$37, MATCH(D1112, Products!$A$2:$A$37, 0))</f>
        <v>Bakhoor Gift Set</v>
      </c>
      <c r="I1112" t="str">
        <f>INDEX(Products!$C$2:$C$37, MATCH(D1112, Products!$A$2:$A$37, 0))</f>
        <v>Beauty</v>
      </c>
      <c r="J1112">
        <f>INDEX(Products!$E$2:$E$37, MATCH(D1112, Products!$A$2:$A$37, 0))</f>
        <v>90</v>
      </c>
      <c r="K1112" s="9">
        <f t="shared" si="68"/>
        <v>477.6</v>
      </c>
      <c r="L1112">
        <f t="shared" si="69"/>
        <v>270</v>
      </c>
      <c r="M1112" s="9">
        <f t="shared" si="70"/>
        <v>207.60000000000002</v>
      </c>
      <c r="N1112" t="str">
        <f t="shared" si="71"/>
        <v>Apr</v>
      </c>
    </row>
    <row r="1113" spans="1:14" x14ac:dyDescent="0.3">
      <c r="A1113" s="2" t="s">
        <v>1179</v>
      </c>
      <c r="B1113" s="6">
        <v>45753</v>
      </c>
      <c r="C1113" s="2" t="s">
        <v>28</v>
      </c>
      <c r="D1113" s="2" t="s">
        <v>49</v>
      </c>
      <c r="E1113" s="2">
        <v>1</v>
      </c>
      <c r="F1113" s="7">
        <v>149</v>
      </c>
      <c r="G1113" s="8">
        <v>0</v>
      </c>
      <c r="H1113" s="9" t="str">
        <f>INDEX(Products!$B$2:$B$37, MATCH(D1113, Products!$A$2:$A$37, 0))</f>
        <v>Kids' Sneakers</v>
      </c>
      <c r="I1113" t="str">
        <f>INDEX(Products!$C$2:$C$37, MATCH(D1113, Products!$A$2:$A$37, 0))</f>
        <v>Fashion</v>
      </c>
      <c r="J1113">
        <f>INDEX(Products!$E$2:$E$37, MATCH(D1113, Products!$A$2:$A$37, 0))</f>
        <v>80</v>
      </c>
      <c r="K1113" s="9">
        <f t="shared" si="68"/>
        <v>149</v>
      </c>
      <c r="L1113">
        <f t="shared" si="69"/>
        <v>80</v>
      </c>
      <c r="M1113" s="9">
        <f t="shared" si="70"/>
        <v>69</v>
      </c>
      <c r="N1113" t="str">
        <f t="shared" si="71"/>
        <v>Apr</v>
      </c>
    </row>
    <row r="1114" spans="1:14" x14ac:dyDescent="0.3">
      <c r="A1114" s="2" t="s">
        <v>1180</v>
      </c>
      <c r="B1114" s="6">
        <v>45753</v>
      </c>
      <c r="C1114" s="2" t="s">
        <v>44</v>
      </c>
      <c r="D1114" s="2" t="s">
        <v>65</v>
      </c>
      <c r="E1114" s="2">
        <v>2</v>
      </c>
      <c r="F1114" s="7">
        <v>129</v>
      </c>
      <c r="G1114" s="8">
        <v>0</v>
      </c>
      <c r="H1114" s="9" t="str">
        <f>INDEX(Products!$B$2:$B$37, MATCH(D1114, Products!$A$2:$A$37, 0))</f>
        <v>Yoga Mat Premium</v>
      </c>
      <c r="I1114" t="str">
        <f>INDEX(Products!$C$2:$C$37, MATCH(D1114, Products!$A$2:$A$37, 0))</f>
        <v>Sports</v>
      </c>
      <c r="J1114">
        <f>INDEX(Products!$E$2:$E$37, MATCH(D1114, Products!$A$2:$A$37, 0))</f>
        <v>60</v>
      </c>
      <c r="K1114" s="9">
        <f t="shared" si="68"/>
        <v>258</v>
      </c>
      <c r="L1114">
        <f t="shared" si="69"/>
        <v>120</v>
      </c>
      <c r="M1114" s="9">
        <f t="shared" si="70"/>
        <v>138</v>
      </c>
      <c r="N1114" t="str">
        <f t="shared" si="71"/>
        <v>Apr</v>
      </c>
    </row>
    <row r="1115" spans="1:14" x14ac:dyDescent="0.3">
      <c r="A1115" s="2" t="s">
        <v>1181</v>
      </c>
      <c r="B1115" s="6">
        <v>45753</v>
      </c>
      <c r="C1115" s="2" t="s">
        <v>44</v>
      </c>
      <c r="D1115" s="2" t="s">
        <v>99</v>
      </c>
      <c r="E1115" s="2">
        <v>2</v>
      </c>
      <c r="F1115" s="7">
        <v>459</v>
      </c>
      <c r="G1115" s="8">
        <v>0</v>
      </c>
      <c r="H1115" s="9" t="str">
        <f>INDEX(Products!$B$2:$B$37, MATCH(D1115, Products!$A$2:$A$37, 0))</f>
        <v>Gaming Headset X</v>
      </c>
      <c r="I1115" t="str">
        <f>INDEX(Products!$C$2:$C$37, MATCH(D1115, Products!$A$2:$A$37, 0))</f>
        <v>Electronics</v>
      </c>
      <c r="J1115">
        <f>INDEX(Products!$E$2:$E$37, MATCH(D1115, Products!$A$2:$A$37, 0))</f>
        <v>300</v>
      </c>
      <c r="K1115" s="9">
        <f t="shared" si="68"/>
        <v>918</v>
      </c>
      <c r="L1115">
        <f t="shared" si="69"/>
        <v>600</v>
      </c>
      <c r="M1115" s="9">
        <f t="shared" si="70"/>
        <v>318</v>
      </c>
      <c r="N1115" t="str">
        <f t="shared" si="71"/>
        <v>Apr</v>
      </c>
    </row>
    <row r="1116" spans="1:14" x14ac:dyDescent="0.3">
      <c r="A1116" s="2" t="s">
        <v>1182</v>
      </c>
      <c r="B1116" s="6">
        <v>45754</v>
      </c>
      <c r="C1116" s="2" t="s">
        <v>48</v>
      </c>
      <c r="D1116" s="2" t="s">
        <v>163</v>
      </c>
      <c r="E1116" s="2">
        <v>1</v>
      </c>
      <c r="F1116" s="7">
        <v>2499</v>
      </c>
      <c r="G1116" s="8">
        <v>0.25</v>
      </c>
      <c r="H1116" s="9" t="str">
        <f>INDEX(Products!$B$2:$B$37, MATCH(D1116, Products!$A$2:$A$37, 0))</f>
        <v>Treadmill Compact</v>
      </c>
      <c r="I1116" t="str">
        <f>INDEX(Products!$C$2:$C$37, MATCH(D1116, Products!$A$2:$A$37, 0))</f>
        <v>Sports</v>
      </c>
      <c r="J1116">
        <f>INDEX(Products!$E$2:$E$37, MATCH(D1116, Products!$A$2:$A$37, 0))</f>
        <v>2150</v>
      </c>
      <c r="K1116" s="9">
        <f t="shared" si="68"/>
        <v>1874.25</v>
      </c>
      <c r="L1116">
        <f t="shared" si="69"/>
        <v>2150</v>
      </c>
      <c r="M1116" s="9">
        <f t="shared" si="70"/>
        <v>-275.75</v>
      </c>
      <c r="N1116" t="str">
        <f t="shared" si="71"/>
        <v>Apr</v>
      </c>
    </row>
    <row r="1117" spans="1:14" x14ac:dyDescent="0.3">
      <c r="A1117" s="2" t="s">
        <v>1183</v>
      </c>
      <c r="B1117" s="6">
        <v>45754</v>
      </c>
      <c r="C1117" s="2" t="s">
        <v>41</v>
      </c>
      <c r="D1117" s="2" t="s">
        <v>131</v>
      </c>
      <c r="E1117" s="2">
        <v>4</v>
      </c>
      <c r="F1117" s="7">
        <v>899</v>
      </c>
      <c r="G1117" s="8">
        <v>0</v>
      </c>
      <c r="H1117" s="9" t="str">
        <f>INDEX(Products!$B$2:$B$37, MATCH(D1117, Products!$A$2:$A$37, 0))</f>
        <v>4K Action Camera</v>
      </c>
      <c r="I1117" t="str">
        <f>INDEX(Products!$C$2:$C$37, MATCH(D1117, Products!$A$2:$A$37, 0))</f>
        <v>Electronics</v>
      </c>
      <c r="J1117">
        <f>INDEX(Products!$E$2:$E$37, MATCH(D1117, Products!$A$2:$A$37, 0))</f>
        <v>610</v>
      </c>
      <c r="K1117" s="9">
        <f t="shared" si="68"/>
        <v>3596</v>
      </c>
      <c r="L1117">
        <f t="shared" si="69"/>
        <v>2440</v>
      </c>
      <c r="M1117" s="9">
        <f t="shared" si="70"/>
        <v>1156</v>
      </c>
      <c r="N1117" t="str">
        <f t="shared" si="71"/>
        <v>Apr</v>
      </c>
    </row>
    <row r="1118" spans="1:14" x14ac:dyDescent="0.3">
      <c r="A1118" s="2" t="s">
        <v>1184</v>
      </c>
      <c r="B1118" s="6">
        <v>45754</v>
      </c>
      <c r="C1118" s="2" t="s">
        <v>28</v>
      </c>
      <c r="D1118" s="2" t="s">
        <v>129</v>
      </c>
      <c r="E1118" s="2">
        <v>1</v>
      </c>
      <c r="F1118" s="7">
        <v>149</v>
      </c>
      <c r="G1118" s="8">
        <v>0.1</v>
      </c>
      <c r="H1118" s="9" t="str">
        <f>INDEX(Products!$B$2:$B$37, MATCH(D1118, Products!$A$2:$A$37, 0))</f>
        <v>Power Bank 20000mAh</v>
      </c>
      <c r="I1118" t="str">
        <f>INDEX(Products!$C$2:$C$37, MATCH(D1118, Products!$A$2:$A$37, 0))</f>
        <v>Electronics</v>
      </c>
      <c r="J1118">
        <f>INDEX(Products!$E$2:$E$37, MATCH(D1118, Products!$A$2:$A$37, 0))</f>
        <v>70</v>
      </c>
      <c r="K1118" s="9">
        <f t="shared" si="68"/>
        <v>134.1</v>
      </c>
      <c r="L1118">
        <f t="shared" si="69"/>
        <v>70</v>
      </c>
      <c r="M1118" s="9">
        <f t="shared" si="70"/>
        <v>64.099999999999994</v>
      </c>
      <c r="N1118" t="str">
        <f t="shared" si="71"/>
        <v>Apr</v>
      </c>
    </row>
    <row r="1119" spans="1:14" x14ac:dyDescent="0.3">
      <c r="A1119" s="2" t="s">
        <v>1185</v>
      </c>
      <c r="B1119" s="6">
        <v>45754</v>
      </c>
      <c r="C1119" s="2" t="s">
        <v>41</v>
      </c>
      <c r="D1119" s="2" t="s">
        <v>29</v>
      </c>
      <c r="E1119" s="2">
        <v>1</v>
      </c>
      <c r="F1119" s="7">
        <v>229</v>
      </c>
      <c r="G1119" s="8">
        <v>0</v>
      </c>
      <c r="H1119" s="9" t="str">
        <f>INDEX(Products!$B$2:$B$37, MATCH(D1119, Products!$A$2:$A$37, 0))</f>
        <v>Women's Summer Dress</v>
      </c>
      <c r="I1119" t="str">
        <f>INDEX(Products!$C$2:$C$37, MATCH(D1119, Products!$A$2:$A$37, 0))</f>
        <v>Fashion</v>
      </c>
      <c r="J1119">
        <f>INDEX(Products!$E$2:$E$37, MATCH(D1119, Products!$A$2:$A$37, 0))</f>
        <v>120</v>
      </c>
      <c r="K1119" s="9">
        <f t="shared" si="68"/>
        <v>229</v>
      </c>
      <c r="L1119">
        <f t="shared" si="69"/>
        <v>120</v>
      </c>
      <c r="M1119" s="9">
        <f t="shared" si="70"/>
        <v>109</v>
      </c>
      <c r="N1119" t="str">
        <f t="shared" si="71"/>
        <v>Apr</v>
      </c>
    </row>
    <row r="1120" spans="1:14" x14ac:dyDescent="0.3">
      <c r="A1120" s="2" t="s">
        <v>1186</v>
      </c>
      <c r="B1120" s="6">
        <v>45754</v>
      </c>
      <c r="C1120" s="2" t="s">
        <v>48</v>
      </c>
      <c r="D1120" s="2" t="s">
        <v>33</v>
      </c>
      <c r="E1120" s="2">
        <v>3</v>
      </c>
      <c r="F1120" s="7">
        <v>199</v>
      </c>
      <c r="G1120" s="8">
        <v>0.25</v>
      </c>
      <c r="H1120" s="9" t="str">
        <f>INDEX(Products!$B$2:$B$37, MATCH(D1120, Products!$A$2:$A$37, 0))</f>
        <v>Fitness Band Lite</v>
      </c>
      <c r="I1120" t="str">
        <f>INDEX(Products!$C$2:$C$37, MATCH(D1120, Products!$A$2:$A$37, 0))</f>
        <v>Electronics</v>
      </c>
      <c r="J1120">
        <f>INDEX(Products!$E$2:$E$37, MATCH(D1120, Products!$A$2:$A$37, 0))</f>
        <v>175</v>
      </c>
      <c r="K1120" s="9">
        <f t="shared" si="68"/>
        <v>447.75</v>
      </c>
      <c r="L1120">
        <f t="shared" si="69"/>
        <v>525</v>
      </c>
      <c r="M1120" s="9">
        <f t="shared" si="70"/>
        <v>-77.25</v>
      </c>
      <c r="N1120" t="str">
        <f t="shared" si="71"/>
        <v>Apr</v>
      </c>
    </row>
    <row r="1121" spans="1:14" x14ac:dyDescent="0.3">
      <c r="A1121" s="2" t="s">
        <v>1187</v>
      </c>
      <c r="B1121" s="6">
        <v>45754</v>
      </c>
      <c r="C1121" s="2" t="s">
        <v>44</v>
      </c>
      <c r="D1121" s="2" t="s">
        <v>52</v>
      </c>
      <c r="E1121" s="2">
        <v>1</v>
      </c>
      <c r="F1121" s="7">
        <v>299</v>
      </c>
      <c r="G1121" s="8">
        <v>0.15</v>
      </c>
      <c r="H1121" s="9" t="str">
        <f>INDEX(Products!$B$2:$B$37, MATCH(D1121, Products!$A$2:$A$37, 0))</f>
        <v>Hair Dryer Ionic</v>
      </c>
      <c r="I1121" t="str">
        <f>INDEX(Products!$C$2:$C$37, MATCH(D1121, Products!$A$2:$A$37, 0))</f>
        <v>Beauty</v>
      </c>
      <c r="J1121">
        <f>INDEX(Products!$E$2:$E$37, MATCH(D1121, Products!$A$2:$A$37, 0))</f>
        <v>240</v>
      </c>
      <c r="K1121" s="9">
        <f t="shared" si="68"/>
        <v>254.15</v>
      </c>
      <c r="L1121">
        <f t="shared" si="69"/>
        <v>240</v>
      </c>
      <c r="M1121" s="9">
        <f t="shared" si="70"/>
        <v>14.150000000000006</v>
      </c>
      <c r="N1121" t="str">
        <f t="shared" si="71"/>
        <v>Apr</v>
      </c>
    </row>
    <row r="1122" spans="1:14" x14ac:dyDescent="0.3">
      <c r="A1122" s="2" t="s">
        <v>1188</v>
      </c>
      <c r="B1122" s="6">
        <v>45755</v>
      </c>
      <c r="C1122" s="2" t="s">
        <v>28</v>
      </c>
      <c r="D1122" s="2" t="s">
        <v>99</v>
      </c>
      <c r="E1122" s="2">
        <v>1</v>
      </c>
      <c r="F1122" s="7">
        <v>459</v>
      </c>
      <c r="G1122" s="8">
        <v>0</v>
      </c>
      <c r="H1122" s="9" t="str">
        <f>INDEX(Products!$B$2:$B$37, MATCH(D1122, Products!$A$2:$A$37, 0))</f>
        <v>Gaming Headset X</v>
      </c>
      <c r="I1122" t="str">
        <f>INDEX(Products!$C$2:$C$37, MATCH(D1122, Products!$A$2:$A$37, 0))</f>
        <v>Electronics</v>
      </c>
      <c r="J1122">
        <f>INDEX(Products!$E$2:$E$37, MATCH(D1122, Products!$A$2:$A$37, 0))</f>
        <v>300</v>
      </c>
      <c r="K1122" s="9">
        <f t="shared" si="68"/>
        <v>459</v>
      </c>
      <c r="L1122">
        <f t="shared" si="69"/>
        <v>300</v>
      </c>
      <c r="M1122" s="9">
        <f t="shared" si="70"/>
        <v>159</v>
      </c>
      <c r="N1122" t="str">
        <f t="shared" si="71"/>
        <v>Apr</v>
      </c>
    </row>
    <row r="1123" spans="1:14" x14ac:dyDescent="0.3">
      <c r="A1123" s="2" t="s">
        <v>1189</v>
      </c>
      <c r="B1123" s="6">
        <v>45755</v>
      </c>
      <c r="C1123" s="2" t="s">
        <v>44</v>
      </c>
      <c r="D1123" s="2" t="s">
        <v>103</v>
      </c>
      <c r="E1123" s="2">
        <v>1</v>
      </c>
      <c r="F1123" s="7">
        <v>89</v>
      </c>
      <c r="G1123" s="8">
        <v>0.1</v>
      </c>
      <c r="H1123" s="9" t="str">
        <f>INDEX(Products!$B$2:$B$37, MATCH(D1123, Products!$A$2:$A$37, 0))</f>
        <v>Sunscreen SPF50</v>
      </c>
      <c r="I1123" t="str">
        <f>INDEX(Products!$C$2:$C$37, MATCH(D1123, Products!$A$2:$A$37, 0))</f>
        <v>Beauty</v>
      </c>
      <c r="J1123">
        <f>INDEX(Products!$E$2:$E$37, MATCH(D1123, Products!$A$2:$A$37, 0))</f>
        <v>40</v>
      </c>
      <c r="K1123" s="9">
        <f t="shared" si="68"/>
        <v>80.100000000000009</v>
      </c>
      <c r="L1123">
        <f t="shared" si="69"/>
        <v>40</v>
      </c>
      <c r="M1123" s="9">
        <f t="shared" si="70"/>
        <v>40.100000000000009</v>
      </c>
      <c r="N1123" t="str">
        <f t="shared" si="71"/>
        <v>Apr</v>
      </c>
    </row>
    <row r="1124" spans="1:14" x14ac:dyDescent="0.3">
      <c r="A1124" s="2" t="s">
        <v>1190</v>
      </c>
      <c r="B1124" s="6">
        <v>45755</v>
      </c>
      <c r="C1124" s="2" t="s">
        <v>28</v>
      </c>
      <c r="D1124" s="2" t="s">
        <v>49</v>
      </c>
      <c r="E1124" s="2">
        <v>1</v>
      </c>
      <c r="F1124" s="7">
        <v>149</v>
      </c>
      <c r="G1124" s="8">
        <v>0</v>
      </c>
      <c r="H1124" s="9" t="str">
        <f>INDEX(Products!$B$2:$B$37, MATCH(D1124, Products!$A$2:$A$37, 0))</f>
        <v>Kids' Sneakers</v>
      </c>
      <c r="I1124" t="str">
        <f>INDEX(Products!$C$2:$C$37, MATCH(D1124, Products!$A$2:$A$37, 0))</f>
        <v>Fashion</v>
      </c>
      <c r="J1124">
        <f>INDEX(Products!$E$2:$E$37, MATCH(D1124, Products!$A$2:$A$37, 0))</f>
        <v>80</v>
      </c>
      <c r="K1124" s="9">
        <f t="shared" si="68"/>
        <v>149</v>
      </c>
      <c r="L1124">
        <f t="shared" si="69"/>
        <v>80</v>
      </c>
      <c r="M1124" s="9">
        <f t="shared" si="70"/>
        <v>69</v>
      </c>
      <c r="N1124" t="str">
        <f t="shared" si="71"/>
        <v>Apr</v>
      </c>
    </row>
    <row r="1125" spans="1:14" x14ac:dyDescent="0.3">
      <c r="A1125" s="2" t="s">
        <v>1191</v>
      </c>
      <c r="B1125" s="6">
        <v>45755</v>
      </c>
      <c r="C1125" s="2" t="s">
        <v>31</v>
      </c>
      <c r="D1125" s="2" t="s">
        <v>39</v>
      </c>
      <c r="E1125" s="2">
        <v>1</v>
      </c>
      <c r="F1125" s="7">
        <v>199</v>
      </c>
      <c r="G1125" s="8">
        <v>0</v>
      </c>
      <c r="H1125" s="9" t="str">
        <f>INDEX(Products!$B$2:$B$37, MATCH(D1125, Products!$A$2:$A$37, 0))</f>
        <v>Bakhoor Gift Set</v>
      </c>
      <c r="I1125" t="str">
        <f>INDEX(Products!$C$2:$C$37, MATCH(D1125, Products!$A$2:$A$37, 0))</f>
        <v>Beauty</v>
      </c>
      <c r="J1125">
        <f>INDEX(Products!$E$2:$E$37, MATCH(D1125, Products!$A$2:$A$37, 0))</f>
        <v>90</v>
      </c>
      <c r="K1125" s="9">
        <f t="shared" si="68"/>
        <v>199</v>
      </c>
      <c r="L1125">
        <f t="shared" si="69"/>
        <v>90</v>
      </c>
      <c r="M1125" s="9">
        <f t="shared" si="70"/>
        <v>109</v>
      </c>
      <c r="N1125" t="str">
        <f t="shared" si="71"/>
        <v>Apr</v>
      </c>
    </row>
    <row r="1126" spans="1:14" x14ac:dyDescent="0.3">
      <c r="A1126" s="2" t="s">
        <v>1192</v>
      </c>
      <c r="B1126" s="6">
        <v>45755</v>
      </c>
      <c r="C1126" s="2" t="s">
        <v>31</v>
      </c>
      <c r="D1126" s="2" t="s">
        <v>58</v>
      </c>
      <c r="E1126" s="2">
        <v>4</v>
      </c>
      <c r="F1126" s="7">
        <v>459</v>
      </c>
      <c r="G1126" s="8">
        <v>0.2</v>
      </c>
      <c r="H1126" s="9" t="str">
        <f>INDEX(Products!$B$2:$B$37, MATCH(D1126, Products!$A$2:$A$37, 0))</f>
        <v>Women's Abaya Classic</v>
      </c>
      <c r="I1126" t="str">
        <f>INDEX(Products!$C$2:$C$37, MATCH(D1126, Products!$A$2:$A$37, 0))</f>
        <v>Fashion</v>
      </c>
      <c r="J1126">
        <f>INDEX(Products!$E$2:$E$37, MATCH(D1126, Products!$A$2:$A$37, 0))</f>
        <v>190</v>
      </c>
      <c r="K1126" s="9">
        <f t="shared" si="68"/>
        <v>1468.8000000000002</v>
      </c>
      <c r="L1126">
        <f t="shared" si="69"/>
        <v>760</v>
      </c>
      <c r="M1126" s="9">
        <f t="shared" si="70"/>
        <v>708.80000000000018</v>
      </c>
      <c r="N1126" t="str">
        <f t="shared" si="71"/>
        <v>Apr</v>
      </c>
    </row>
    <row r="1127" spans="1:14" x14ac:dyDescent="0.3">
      <c r="A1127" s="2" t="s">
        <v>1193</v>
      </c>
      <c r="B1127" s="6">
        <v>45755</v>
      </c>
      <c r="C1127" s="2" t="s">
        <v>48</v>
      </c>
      <c r="D1127" s="2" t="s">
        <v>37</v>
      </c>
      <c r="E1127" s="2">
        <v>1</v>
      </c>
      <c r="F1127" s="7">
        <v>249</v>
      </c>
      <c r="G1127" s="8">
        <v>0.2</v>
      </c>
      <c r="H1127" s="9" t="str">
        <f>INDEX(Products!$B$2:$B$37, MATCH(D1127, Products!$A$2:$A$37, 0))</f>
        <v>Sunglasses Polarised</v>
      </c>
      <c r="I1127" t="str">
        <f>INDEX(Products!$C$2:$C$37, MATCH(D1127, Products!$A$2:$A$37, 0))</f>
        <v>Fashion</v>
      </c>
      <c r="J1127">
        <f>INDEX(Products!$E$2:$E$37, MATCH(D1127, Products!$A$2:$A$37, 0))</f>
        <v>95</v>
      </c>
      <c r="K1127" s="9">
        <f t="shared" si="68"/>
        <v>199.20000000000002</v>
      </c>
      <c r="L1127">
        <f t="shared" si="69"/>
        <v>95</v>
      </c>
      <c r="M1127" s="9">
        <f t="shared" si="70"/>
        <v>104.20000000000002</v>
      </c>
      <c r="N1127" t="str">
        <f t="shared" si="71"/>
        <v>Apr</v>
      </c>
    </row>
    <row r="1128" spans="1:14" x14ac:dyDescent="0.3">
      <c r="A1128" s="2" t="s">
        <v>1194</v>
      </c>
      <c r="B1128" s="6">
        <v>45755</v>
      </c>
      <c r="C1128" s="2" t="s">
        <v>41</v>
      </c>
      <c r="D1128" s="2" t="s">
        <v>113</v>
      </c>
      <c r="E1128" s="2">
        <v>1</v>
      </c>
      <c r="F1128" s="7">
        <v>1199</v>
      </c>
      <c r="G1128" s="8">
        <v>0.2</v>
      </c>
      <c r="H1128" s="9" t="str">
        <f>INDEX(Products!$B$2:$B$37, MATCH(D1128, Products!$A$2:$A$37, 0))</f>
        <v>Robot Vacuum S3</v>
      </c>
      <c r="I1128" t="str">
        <f>INDEX(Products!$C$2:$C$37, MATCH(D1128, Products!$A$2:$A$37, 0))</f>
        <v>Home &amp; Kitchen</v>
      </c>
      <c r="J1128">
        <f>INDEX(Products!$E$2:$E$37, MATCH(D1128, Products!$A$2:$A$37, 0))</f>
        <v>1080</v>
      </c>
      <c r="K1128" s="9">
        <f t="shared" si="68"/>
        <v>959.2</v>
      </c>
      <c r="L1128">
        <f t="shared" si="69"/>
        <v>1080</v>
      </c>
      <c r="M1128" s="9">
        <f t="shared" si="70"/>
        <v>-120.79999999999995</v>
      </c>
      <c r="N1128" t="str">
        <f t="shared" si="71"/>
        <v>Apr</v>
      </c>
    </row>
    <row r="1129" spans="1:14" x14ac:dyDescent="0.3">
      <c r="A1129" s="2" t="s">
        <v>1195</v>
      </c>
      <c r="B1129" s="6">
        <v>45755</v>
      </c>
      <c r="C1129" s="2" t="s">
        <v>44</v>
      </c>
      <c r="D1129" s="2" t="s">
        <v>35</v>
      </c>
      <c r="E1129" s="2">
        <v>2</v>
      </c>
      <c r="F1129" s="7">
        <v>179</v>
      </c>
      <c r="G1129" s="8">
        <v>0</v>
      </c>
      <c r="H1129" s="9" t="str">
        <f>INDEX(Products!$B$2:$B$37, MATCH(D1129, Products!$A$2:$A$37, 0))</f>
        <v>Men's Linen Shirt</v>
      </c>
      <c r="I1129" t="str">
        <f>INDEX(Products!$C$2:$C$37, MATCH(D1129, Products!$A$2:$A$37, 0))</f>
        <v>Fashion</v>
      </c>
      <c r="J1129">
        <f>INDEX(Products!$E$2:$E$37, MATCH(D1129, Products!$A$2:$A$37, 0))</f>
        <v>70</v>
      </c>
      <c r="K1129" s="9">
        <f t="shared" si="68"/>
        <v>358</v>
      </c>
      <c r="L1129">
        <f t="shared" si="69"/>
        <v>140</v>
      </c>
      <c r="M1129" s="9">
        <f t="shared" si="70"/>
        <v>218</v>
      </c>
      <c r="N1129" t="str">
        <f t="shared" si="71"/>
        <v>Apr</v>
      </c>
    </row>
    <row r="1130" spans="1:14" x14ac:dyDescent="0.3">
      <c r="A1130" s="2" t="s">
        <v>1196</v>
      </c>
      <c r="B1130" s="6">
        <v>45756</v>
      </c>
      <c r="C1130" s="2" t="s">
        <v>44</v>
      </c>
      <c r="D1130" s="2" t="s">
        <v>35</v>
      </c>
      <c r="E1130" s="2">
        <v>1</v>
      </c>
      <c r="F1130" s="7">
        <v>179</v>
      </c>
      <c r="G1130" s="8">
        <v>0.2</v>
      </c>
      <c r="H1130" s="9" t="str">
        <f>INDEX(Products!$B$2:$B$37, MATCH(D1130, Products!$A$2:$A$37, 0))</f>
        <v>Men's Linen Shirt</v>
      </c>
      <c r="I1130" t="str">
        <f>INDEX(Products!$C$2:$C$37, MATCH(D1130, Products!$A$2:$A$37, 0))</f>
        <v>Fashion</v>
      </c>
      <c r="J1130">
        <f>INDEX(Products!$E$2:$E$37, MATCH(D1130, Products!$A$2:$A$37, 0))</f>
        <v>70</v>
      </c>
      <c r="K1130" s="9">
        <f t="shared" si="68"/>
        <v>143.20000000000002</v>
      </c>
      <c r="L1130">
        <f t="shared" si="69"/>
        <v>70</v>
      </c>
      <c r="M1130" s="9">
        <f t="shared" si="70"/>
        <v>73.200000000000017</v>
      </c>
      <c r="N1130" t="str">
        <f t="shared" si="71"/>
        <v>Apr</v>
      </c>
    </row>
    <row r="1131" spans="1:14" x14ac:dyDescent="0.3">
      <c r="A1131" s="2" t="s">
        <v>1197</v>
      </c>
      <c r="B1131" s="6">
        <v>45756</v>
      </c>
      <c r="C1131" s="2" t="s">
        <v>44</v>
      </c>
      <c r="D1131" s="2" t="s">
        <v>99</v>
      </c>
      <c r="E1131" s="2">
        <v>1</v>
      </c>
      <c r="F1131" s="7">
        <v>459</v>
      </c>
      <c r="G1131" s="8">
        <v>0</v>
      </c>
      <c r="H1131" s="9" t="str">
        <f>INDEX(Products!$B$2:$B$37, MATCH(D1131, Products!$A$2:$A$37, 0))</f>
        <v>Gaming Headset X</v>
      </c>
      <c r="I1131" t="str">
        <f>INDEX(Products!$C$2:$C$37, MATCH(D1131, Products!$A$2:$A$37, 0))</f>
        <v>Electronics</v>
      </c>
      <c r="J1131">
        <f>INDEX(Products!$E$2:$E$37, MATCH(D1131, Products!$A$2:$A$37, 0))</f>
        <v>300</v>
      </c>
      <c r="K1131" s="9">
        <f t="shared" si="68"/>
        <v>459</v>
      </c>
      <c r="L1131">
        <f t="shared" si="69"/>
        <v>300</v>
      </c>
      <c r="M1131" s="9">
        <f t="shared" si="70"/>
        <v>159</v>
      </c>
      <c r="N1131" t="str">
        <f t="shared" si="71"/>
        <v>Apr</v>
      </c>
    </row>
    <row r="1132" spans="1:14" x14ac:dyDescent="0.3">
      <c r="A1132" s="2" t="s">
        <v>1198</v>
      </c>
      <c r="B1132" s="6">
        <v>45756</v>
      </c>
      <c r="C1132" s="2" t="s">
        <v>28</v>
      </c>
      <c r="D1132" s="2" t="s">
        <v>92</v>
      </c>
      <c r="E1132" s="2">
        <v>4</v>
      </c>
      <c r="F1132" s="7">
        <v>349</v>
      </c>
      <c r="G1132" s="8">
        <v>0.2</v>
      </c>
      <c r="H1132" s="9" t="str">
        <f>INDEX(Products!$B$2:$B$37, MATCH(D1132, Products!$A$2:$A$37, 0))</f>
        <v>Non-stick Cookware Set</v>
      </c>
      <c r="I1132" t="str">
        <f>INDEX(Products!$C$2:$C$37, MATCH(D1132, Products!$A$2:$A$37, 0))</f>
        <v>Home &amp; Kitchen</v>
      </c>
      <c r="J1132">
        <f>INDEX(Products!$E$2:$E$37, MATCH(D1132, Products!$A$2:$A$37, 0))</f>
        <v>170</v>
      </c>
      <c r="K1132" s="9">
        <f t="shared" si="68"/>
        <v>1116.8</v>
      </c>
      <c r="L1132">
        <f t="shared" si="69"/>
        <v>680</v>
      </c>
      <c r="M1132" s="9">
        <f t="shared" si="70"/>
        <v>436.79999999999995</v>
      </c>
      <c r="N1132" t="str">
        <f t="shared" si="71"/>
        <v>Apr</v>
      </c>
    </row>
    <row r="1133" spans="1:14" x14ac:dyDescent="0.3">
      <c r="A1133" s="2" t="s">
        <v>1199</v>
      </c>
      <c r="B1133" s="6">
        <v>45756</v>
      </c>
      <c r="C1133" s="2" t="s">
        <v>44</v>
      </c>
      <c r="D1133" s="2" t="s">
        <v>68</v>
      </c>
      <c r="E1133" s="2">
        <v>2</v>
      </c>
      <c r="F1133" s="7">
        <v>249</v>
      </c>
      <c r="G1133" s="8">
        <v>0.3</v>
      </c>
      <c r="H1133" s="9" t="str">
        <f>INDEX(Products!$B$2:$B$37, MATCH(D1133, Products!$A$2:$A$37, 0))</f>
        <v>Bluetooth Speaker Mini</v>
      </c>
      <c r="I1133" t="str">
        <f>INDEX(Products!$C$2:$C$37, MATCH(D1133, Products!$A$2:$A$37, 0))</f>
        <v>Electronics</v>
      </c>
      <c r="J1133">
        <f>INDEX(Products!$E$2:$E$37, MATCH(D1133, Products!$A$2:$A$37, 0))</f>
        <v>150</v>
      </c>
      <c r="K1133" s="9">
        <f t="shared" si="68"/>
        <v>348.59999999999997</v>
      </c>
      <c r="L1133">
        <f t="shared" si="69"/>
        <v>300</v>
      </c>
      <c r="M1133" s="9">
        <f t="shared" si="70"/>
        <v>48.599999999999966</v>
      </c>
      <c r="N1133" t="str">
        <f t="shared" si="71"/>
        <v>Apr</v>
      </c>
    </row>
    <row r="1134" spans="1:14" x14ac:dyDescent="0.3">
      <c r="A1134" s="2" t="s">
        <v>1200</v>
      </c>
      <c r="B1134" s="6">
        <v>45756</v>
      </c>
      <c r="C1134" s="2" t="s">
        <v>41</v>
      </c>
      <c r="D1134" s="2" t="s">
        <v>60</v>
      </c>
      <c r="E1134" s="2">
        <v>2</v>
      </c>
      <c r="F1134" s="7">
        <v>99</v>
      </c>
      <c r="G1134" s="8">
        <v>0.2</v>
      </c>
      <c r="H1134" s="9" t="str">
        <f>INDEX(Products!$B$2:$B$37, MATCH(D1134, Products!$A$2:$A$37, 0))</f>
        <v>Football Size 5</v>
      </c>
      <c r="I1134" t="str">
        <f>INDEX(Products!$C$2:$C$37, MATCH(D1134, Products!$A$2:$A$37, 0))</f>
        <v>Sports</v>
      </c>
      <c r="J1134">
        <f>INDEX(Products!$E$2:$E$37, MATCH(D1134, Products!$A$2:$A$37, 0))</f>
        <v>45</v>
      </c>
      <c r="K1134" s="9">
        <f t="shared" si="68"/>
        <v>158.4</v>
      </c>
      <c r="L1134">
        <f t="shared" si="69"/>
        <v>90</v>
      </c>
      <c r="M1134" s="9">
        <f t="shared" si="70"/>
        <v>68.400000000000006</v>
      </c>
      <c r="N1134" t="str">
        <f t="shared" si="71"/>
        <v>Apr</v>
      </c>
    </row>
    <row r="1135" spans="1:14" x14ac:dyDescent="0.3">
      <c r="A1135" s="2" t="s">
        <v>1201</v>
      </c>
      <c r="B1135" s="6">
        <v>45756</v>
      </c>
      <c r="C1135" s="2" t="s">
        <v>31</v>
      </c>
      <c r="D1135" s="2" t="s">
        <v>103</v>
      </c>
      <c r="E1135" s="2">
        <v>1</v>
      </c>
      <c r="F1135" s="7">
        <v>89</v>
      </c>
      <c r="G1135" s="8">
        <v>0</v>
      </c>
      <c r="H1135" s="9" t="str">
        <f>INDEX(Products!$B$2:$B$37, MATCH(D1135, Products!$A$2:$A$37, 0))</f>
        <v>Sunscreen SPF50</v>
      </c>
      <c r="I1135" t="str">
        <f>INDEX(Products!$C$2:$C$37, MATCH(D1135, Products!$A$2:$A$37, 0))</f>
        <v>Beauty</v>
      </c>
      <c r="J1135">
        <f>INDEX(Products!$E$2:$E$37, MATCH(D1135, Products!$A$2:$A$37, 0))</f>
        <v>40</v>
      </c>
      <c r="K1135" s="9">
        <f t="shared" si="68"/>
        <v>89</v>
      </c>
      <c r="L1135">
        <f t="shared" si="69"/>
        <v>40</v>
      </c>
      <c r="M1135" s="9">
        <f t="shared" si="70"/>
        <v>49</v>
      </c>
      <c r="N1135" t="str">
        <f t="shared" si="71"/>
        <v>Apr</v>
      </c>
    </row>
    <row r="1136" spans="1:14" x14ac:dyDescent="0.3">
      <c r="A1136" s="2" t="s">
        <v>1202</v>
      </c>
      <c r="B1136" s="6">
        <v>45756</v>
      </c>
      <c r="C1136" s="2" t="s">
        <v>31</v>
      </c>
      <c r="D1136" s="2" t="s">
        <v>75</v>
      </c>
      <c r="E1136" s="2">
        <v>1</v>
      </c>
      <c r="F1136" s="7">
        <v>549</v>
      </c>
      <c r="G1136" s="8">
        <v>0.1</v>
      </c>
      <c r="H1136" s="9" t="str">
        <f>INDEX(Products!$B$2:$B$37, MATCH(D1136, Products!$A$2:$A$37, 0))</f>
        <v>Oud Perfume 100ml</v>
      </c>
      <c r="I1136" t="str">
        <f>INDEX(Products!$C$2:$C$37, MATCH(D1136, Products!$A$2:$A$37, 0))</f>
        <v>Beauty</v>
      </c>
      <c r="J1136">
        <f>INDEX(Products!$E$2:$E$37, MATCH(D1136, Products!$A$2:$A$37, 0))</f>
        <v>250</v>
      </c>
      <c r="K1136" s="9">
        <f t="shared" si="68"/>
        <v>494.1</v>
      </c>
      <c r="L1136">
        <f t="shared" si="69"/>
        <v>250</v>
      </c>
      <c r="M1136" s="9">
        <f t="shared" si="70"/>
        <v>244.10000000000002</v>
      </c>
      <c r="N1136" t="str">
        <f t="shared" si="71"/>
        <v>Apr</v>
      </c>
    </row>
    <row r="1137" spans="1:14" x14ac:dyDescent="0.3">
      <c r="A1137" s="2" t="s">
        <v>1203</v>
      </c>
      <c r="B1137" s="6">
        <v>45756</v>
      </c>
      <c r="C1137" s="2" t="s">
        <v>31</v>
      </c>
      <c r="D1137" s="2" t="s">
        <v>39</v>
      </c>
      <c r="E1137" s="2">
        <v>2</v>
      </c>
      <c r="F1137" s="7">
        <v>199</v>
      </c>
      <c r="G1137" s="8">
        <v>0.15</v>
      </c>
      <c r="H1137" s="9" t="str">
        <f>INDEX(Products!$B$2:$B$37, MATCH(D1137, Products!$A$2:$A$37, 0))</f>
        <v>Bakhoor Gift Set</v>
      </c>
      <c r="I1137" t="str">
        <f>INDEX(Products!$C$2:$C$37, MATCH(D1137, Products!$A$2:$A$37, 0))</f>
        <v>Beauty</v>
      </c>
      <c r="J1137">
        <f>INDEX(Products!$E$2:$E$37, MATCH(D1137, Products!$A$2:$A$37, 0))</f>
        <v>90</v>
      </c>
      <c r="K1137" s="9">
        <f t="shared" si="68"/>
        <v>338.3</v>
      </c>
      <c r="L1137">
        <f t="shared" si="69"/>
        <v>180</v>
      </c>
      <c r="M1137" s="9">
        <f t="shared" si="70"/>
        <v>158.30000000000001</v>
      </c>
      <c r="N1137" t="str">
        <f t="shared" si="71"/>
        <v>Apr</v>
      </c>
    </row>
    <row r="1138" spans="1:14" x14ac:dyDescent="0.3">
      <c r="A1138" s="2" t="s">
        <v>1204</v>
      </c>
      <c r="B1138" s="6">
        <v>45756</v>
      </c>
      <c r="C1138" s="2" t="s">
        <v>41</v>
      </c>
      <c r="D1138" s="2" t="s">
        <v>115</v>
      </c>
      <c r="E1138" s="2">
        <v>1</v>
      </c>
      <c r="F1138" s="7">
        <v>129</v>
      </c>
      <c r="G1138" s="8">
        <v>0.1</v>
      </c>
      <c r="H1138" s="9" t="str">
        <f>INDEX(Products!$B$2:$B$37, MATCH(D1138, Products!$A$2:$A$37, 0))</f>
        <v>Electric Kettle</v>
      </c>
      <c r="I1138" t="str">
        <f>INDEX(Products!$C$2:$C$37, MATCH(D1138, Products!$A$2:$A$37, 0))</f>
        <v>Home &amp; Kitchen</v>
      </c>
      <c r="J1138">
        <f>INDEX(Products!$E$2:$E$37, MATCH(D1138, Products!$A$2:$A$37, 0))</f>
        <v>60</v>
      </c>
      <c r="K1138" s="9">
        <f t="shared" si="68"/>
        <v>116.10000000000001</v>
      </c>
      <c r="L1138">
        <f t="shared" si="69"/>
        <v>60</v>
      </c>
      <c r="M1138" s="9">
        <f t="shared" si="70"/>
        <v>56.100000000000009</v>
      </c>
      <c r="N1138" t="str">
        <f t="shared" si="71"/>
        <v>Apr</v>
      </c>
    </row>
    <row r="1139" spans="1:14" x14ac:dyDescent="0.3">
      <c r="A1139" s="2" t="s">
        <v>1205</v>
      </c>
      <c r="B1139" s="6">
        <v>45756</v>
      </c>
      <c r="C1139" s="2" t="s">
        <v>28</v>
      </c>
      <c r="D1139" s="2" t="s">
        <v>68</v>
      </c>
      <c r="E1139" s="2">
        <v>3</v>
      </c>
      <c r="F1139" s="7">
        <v>249</v>
      </c>
      <c r="G1139" s="8">
        <v>0</v>
      </c>
      <c r="H1139" s="9" t="str">
        <f>INDEX(Products!$B$2:$B$37, MATCH(D1139, Products!$A$2:$A$37, 0))</f>
        <v>Bluetooth Speaker Mini</v>
      </c>
      <c r="I1139" t="str">
        <f>INDEX(Products!$C$2:$C$37, MATCH(D1139, Products!$A$2:$A$37, 0))</f>
        <v>Electronics</v>
      </c>
      <c r="J1139">
        <f>INDEX(Products!$E$2:$E$37, MATCH(D1139, Products!$A$2:$A$37, 0))</f>
        <v>150</v>
      </c>
      <c r="K1139" s="9">
        <f t="shared" si="68"/>
        <v>747</v>
      </c>
      <c r="L1139">
        <f t="shared" si="69"/>
        <v>450</v>
      </c>
      <c r="M1139" s="9">
        <f t="shared" si="70"/>
        <v>297</v>
      </c>
      <c r="N1139" t="str">
        <f t="shared" si="71"/>
        <v>Apr</v>
      </c>
    </row>
    <row r="1140" spans="1:14" x14ac:dyDescent="0.3">
      <c r="A1140" s="2" t="s">
        <v>1206</v>
      </c>
      <c r="B1140" s="6">
        <v>45757</v>
      </c>
      <c r="C1140" s="2" t="s">
        <v>44</v>
      </c>
      <c r="D1140" s="2" t="s">
        <v>106</v>
      </c>
      <c r="E1140" s="2">
        <v>4</v>
      </c>
      <c r="F1140" s="7">
        <v>1299</v>
      </c>
      <c r="G1140" s="8">
        <v>0.05</v>
      </c>
      <c r="H1140" s="9" t="str">
        <f>INDEX(Products!$B$2:$B$37, MATCH(D1140, Products!$A$2:$A$37, 0))</f>
        <v>Smart Watch Series 5</v>
      </c>
      <c r="I1140" t="str">
        <f>INDEX(Products!$C$2:$C$37, MATCH(D1140, Products!$A$2:$A$37, 0))</f>
        <v>Electronics</v>
      </c>
      <c r="J1140">
        <f>INDEX(Products!$E$2:$E$37, MATCH(D1140, Products!$A$2:$A$37, 0))</f>
        <v>820</v>
      </c>
      <c r="K1140" s="9">
        <f t="shared" si="68"/>
        <v>4936.2</v>
      </c>
      <c r="L1140">
        <f t="shared" si="69"/>
        <v>3280</v>
      </c>
      <c r="M1140" s="9">
        <f t="shared" si="70"/>
        <v>1656.1999999999998</v>
      </c>
      <c r="N1140" t="str">
        <f t="shared" si="71"/>
        <v>Apr</v>
      </c>
    </row>
    <row r="1141" spans="1:14" x14ac:dyDescent="0.3">
      <c r="A1141" s="2" t="s">
        <v>1207</v>
      </c>
      <c r="B1141" s="6">
        <v>45757</v>
      </c>
      <c r="C1141" s="2" t="s">
        <v>41</v>
      </c>
      <c r="D1141" s="2" t="s">
        <v>68</v>
      </c>
      <c r="E1141" s="2">
        <v>1</v>
      </c>
      <c r="F1141" s="7">
        <v>249</v>
      </c>
      <c r="G1141" s="8">
        <v>0.1</v>
      </c>
      <c r="H1141" s="9" t="str">
        <f>INDEX(Products!$B$2:$B$37, MATCH(D1141, Products!$A$2:$A$37, 0))</f>
        <v>Bluetooth Speaker Mini</v>
      </c>
      <c r="I1141" t="str">
        <f>INDEX(Products!$C$2:$C$37, MATCH(D1141, Products!$A$2:$A$37, 0))</f>
        <v>Electronics</v>
      </c>
      <c r="J1141">
        <f>INDEX(Products!$E$2:$E$37, MATCH(D1141, Products!$A$2:$A$37, 0))</f>
        <v>150</v>
      </c>
      <c r="K1141" s="9">
        <f t="shared" si="68"/>
        <v>224.1</v>
      </c>
      <c r="L1141">
        <f t="shared" si="69"/>
        <v>150</v>
      </c>
      <c r="M1141" s="9">
        <f t="shared" si="70"/>
        <v>74.099999999999994</v>
      </c>
      <c r="N1141" t="str">
        <f t="shared" si="71"/>
        <v>Apr</v>
      </c>
    </row>
    <row r="1142" spans="1:14" x14ac:dyDescent="0.3">
      <c r="A1142" s="2" t="s">
        <v>1208</v>
      </c>
      <c r="B1142" s="6">
        <v>45757</v>
      </c>
      <c r="C1142" s="2" t="s">
        <v>44</v>
      </c>
      <c r="D1142" s="2" t="s">
        <v>129</v>
      </c>
      <c r="E1142" s="2">
        <v>1</v>
      </c>
      <c r="F1142" s="7">
        <v>149</v>
      </c>
      <c r="G1142" s="8">
        <v>0</v>
      </c>
      <c r="H1142" s="9" t="str">
        <f>INDEX(Products!$B$2:$B$37, MATCH(D1142, Products!$A$2:$A$37, 0))</f>
        <v>Power Bank 20000mAh</v>
      </c>
      <c r="I1142" t="str">
        <f>INDEX(Products!$C$2:$C$37, MATCH(D1142, Products!$A$2:$A$37, 0))</f>
        <v>Electronics</v>
      </c>
      <c r="J1142">
        <f>INDEX(Products!$E$2:$E$37, MATCH(D1142, Products!$A$2:$A$37, 0))</f>
        <v>70</v>
      </c>
      <c r="K1142" s="9">
        <f t="shared" si="68"/>
        <v>149</v>
      </c>
      <c r="L1142">
        <f t="shared" si="69"/>
        <v>70</v>
      </c>
      <c r="M1142" s="9">
        <f t="shared" si="70"/>
        <v>79</v>
      </c>
      <c r="N1142" t="str">
        <f t="shared" si="71"/>
        <v>Apr</v>
      </c>
    </row>
    <row r="1143" spans="1:14" x14ac:dyDescent="0.3">
      <c r="A1143" s="2" t="s">
        <v>1209</v>
      </c>
      <c r="B1143" s="6">
        <v>45757</v>
      </c>
      <c r="C1143" s="2" t="s">
        <v>41</v>
      </c>
      <c r="D1143" s="2" t="s">
        <v>103</v>
      </c>
      <c r="E1143" s="2">
        <v>1</v>
      </c>
      <c r="F1143" s="7">
        <v>89</v>
      </c>
      <c r="G1143" s="8">
        <v>0.1</v>
      </c>
      <c r="H1143" s="9" t="str">
        <f>INDEX(Products!$B$2:$B$37, MATCH(D1143, Products!$A$2:$A$37, 0))</f>
        <v>Sunscreen SPF50</v>
      </c>
      <c r="I1143" t="str">
        <f>INDEX(Products!$C$2:$C$37, MATCH(D1143, Products!$A$2:$A$37, 0))</f>
        <v>Beauty</v>
      </c>
      <c r="J1143">
        <f>INDEX(Products!$E$2:$E$37, MATCH(D1143, Products!$A$2:$A$37, 0))</f>
        <v>40</v>
      </c>
      <c r="K1143" s="9">
        <f t="shared" si="68"/>
        <v>80.100000000000009</v>
      </c>
      <c r="L1143">
        <f t="shared" si="69"/>
        <v>40</v>
      </c>
      <c r="M1143" s="9">
        <f t="shared" si="70"/>
        <v>40.100000000000009</v>
      </c>
      <c r="N1143" t="str">
        <f t="shared" si="71"/>
        <v>Apr</v>
      </c>
    </row>
    <row r="1144" spans="1:14" x14ac:dyDescent="0.3">
      <c r="A1144" s="2" t="s">
        <v>1210</v>
      </c>
      <c r="B1144" s="6">
        <v>45757</v>
      </c>
      <c r="C1144" s="2" t="s">
        <v>44</v>
      </c>
      <c r="D1144" s="2" t="s">
        <v>56</v>
      </c>
      <c r="E1144" s="2">
        <v>2</v>
      </c>
      <c r="F1144" s="7">
        <v>289</v>
      </c>
      <c r="G1144" s="8">
        <v>0</v>
      </c>
      <c r="H1144" s="9" t="str">
        <f>INDEX(Products!$B$2:$B$37, MATCH(D1144, Products!$A$2:$A$37, 0))</f>
        <v>Ceramic Dinner Set</v>
      </c>
      <c r="I1144" t="str">
        <f>INDEX(Products!$C$2:$C$37, MATCH(D1144, Products!$A$2:$A$37, 0))</f>
        <v>Home &amp; Kitchen</v>
      </c>
      <c r="J1144">
        <f>INDEX(Products!$E$2:$E$37, MATCH(D1144, Products!$A$2:$A$37, 0))</f>
        <v>140</v>
      </c>
      <c r="K1144" s="9">
        <f t="shared" si="68"/>
        <v>578</v>
      </c>
      <c r="L1144">
        <f t="shared" si="69"/>
        <v>280</v>
      </c>
      <c r="M1144" s="9">
        <f t="shared" si="70"/>
        <v>298</v>
      </c>
      <c r="N1144" t="str">
        <f t="shared" si="71"/>
        <v>Apr</v>
      </c>
    </row>
    <row r="1145" spans="1:14" x14ac:dyDescent="0.3">
      <c r="A1145" s="2" t="s">
        <v>1211</v>
      </c>
      <c r="B1145" s="6">
        <v>45757</v>
      </c>
      <c r="C1145" s="2" t="s">
        <v>31</v>
      </c>
      <c r="D1145" s="2" t="s">
        <v>126</v>
      </c>
      <c r="E1145" s="2">
        <v>2</v>
      </c>
      <c r="F1145" s="7">
        <v>89</v>
      </c>
      <c r="G1145" s="8">
        <v>0.15</v>
      </c>
      <c r="H1145" s="9" t="str">
        <f>INDEX(Products!$B$2:$B$37, MATCH(D1145, Products!$A$2:$A$37, 0))</f>
        <v>USB-C Fast Charger</v>
      </c>
      <c r="I1145" t="str">
        <f>INDEX(Products!$C$2:$C$37, MATCH(D1145, Products!$A$2:$A$37, 0))</f>
        <v>Electronics</v>
      </c>
      <c r="J1145">
        <f>INDEX(Products!$E$2:$E$37, MATCH(D1145, Products!$A$2:$A$37, 0))</f>
        <v>35</v>
      </c>
      <c r="K1145" s="9">
        <f t="shared" si="68"/>
        <v>151.29999999999998</v>
      </c>
      <c r="L1145">
        <f t="shared" si="69"/>
        <v>70</v>
      </c>
      <c r="M1145" s="9">
        <f t="shared" si="70"/>
        <v>81.299999999999983</v>
      </c>
      <c r="N1145" t="str">
        <f t="shared" si="71"/>
        <v>Apr</v>
      </c>
    </row>
    <row r="1146" spans="1:14" x14ac:dyDescent="0.3">
      <c r="A1146" s="2" t="s">
        <v>1212</v>
      </c>
      <c r="B1146" s="6">
        <v>45757</v>
      </c>
      <c r="C1146" s="2" t="s">
        <v>31</v>
      </c>
      <c r="D1146" s="2" t="s">
        <v>68</v>
      </c>
      <c r="E1146" s="2">
        <v>2</v>
      </c>
      <c r="F1146" s="7">
        <v>249</v>
      </c>
      <c r="G1146" s="8">
        <v>0.3</v>
      </c>
      <c r="H1146" s="9" t="str">
        <f>INDEX(Products!$B$2:$B$37, MATCH(D1146, Products!$A$2:$A$37, 0))</f>
        <v>Bluetooth Speaker Mini</v>
      </c>
      <c r="I1146" t="str">
        <f>INDEX(Products!$C$2:$C$37, MATCH(D1146, Products!$A$2:$A$37, 0))</f>
        <v>Electronics</v>
      </c>
      <c r="J1146">
        <f>INDEX(Products!$E$2:$E$37, MATCH(D1146, Products!$A$2:$A$37, 0))</f>
        <v>150</v>
      </c>
      <c r="K1146" s="9">
        <f t="shared" si="68"/>
        <v>348.59999999999997</v>
      </c>
      <c r="L1146">
        <f t="shared" si="69"/>
        <v>300</v>
      </c>
      <c r="M1146" s="9">
        <f t="shared" si="70"/>
        <v>48.599999999999966</v>
      </c>
      <c r="N1146" t="str">
        <f t="shared" si="71"/>
        <v>Apr</v>
      </c>
    </row>
    <row r="1147" spans="1:14" x14ac:dyDescent="0.3">
      <c r="A1147" s="2" t="s">
        <v>1213</v>
      </c>
      <c r="B1147" s="6">
        <v>45757</v>
      </c>
      <c r="C1147" s="2" t="s">
        <v>41</v>
      </c>
      <c r="D1147" s="2" t="s">
        <v>56</v>
      </c>
      <c r="E1147" s="2">
        <v>2</v>
      </c>
      <c r="F1147" s="7">
        <v>289</v>
      </c>
      <c r="G1147" s="8">
        <v>0.05</v>
      </c>
      <c r="H1147" s="9" t="str">
        <f>INDEX(Products!$B$2:$B$37, MATCH(D1147, Products!$A$2:$A$37, 0))</f>
        <v>Ceramic Dinner Set</v>
      </c>
      <c r="I1147" t="str">
        <f>INDEX(Products!$C$2:$C$37, MATCH(D1147, Products!$A$2:$A$37, 0))</f>
        <v>Home &amp; Kitchen</v>
      </c>
      <c r="J1147">
        <f>INDEX(Products!$E$2:$E$37, MATCH(D1147, Products!$A$2:$A$37, 0))</f>
        <v>140</v>
      </c>
      <c r="K1147" s="9">
        <f t="shared" si="68"/>
        <v>549.1</v>
      </c>
      <c r="L1147">
        <f t="shared" si="69"/>
        <v>280</v>
      </c>
      <c r="M1147" s="9">
        <f t="shared" si="70"/>
        <v>269.10000000000002</v>
      </c>
      <c r="N1147" t="str">
        <f t="shared" si="71"/>
        <v>Apr</v>
      </c>
    </row>
    <row r="1148" spans="1:14" x14ac:dyDescent="0.3">
      <c r="A1148" s="2" t="s">
        <v>1214</v>
      </c>
      <c r="B1148" s="6">
        <v>45757</v>
      </c>
      <c r="C1148" s="2" t="s">
        <v>28</v>
      </c>
      <c r="D1148" s="2" t="s">
        <v>126</v>
      </c>
      <c r="E1148" s="2">
        <v>4</v>
      </c>
      <c r="F1148" s="7">
        <v>89</v>
      </c>
      <c r="G1148" s="8">
        <v>0.2</v>
      </c>
      <c r="H1148" s="9" t="str">
        <f>INDEX(Products!$B$2:$B$37, MATCH(D1148, Products!$A$2:$A$37, 0))</f>
        <v>USB-C Fast Charger</v>
      </c>
      <c r="I1148" t="str">
        <f>INDEX(Products!$C$2:$C$37, MATCH(D1148, Products!$A$2:$A$37, 0))</f>
        <v>Electronics</v>
      </c>
      <c r="J1148">
        <f>INDEX(Products!$E$2:$E$37, MATCH(D1148, Products!$A$2:$A$37, 0))</f>
        <v>35</v>
      </c>
      <c r="K1148" s="9">
        <f t="shared" si="68"/>
        <v>284.8</v>
      </c>
      <c r="L1148">
        <f t="shared" si="69"/>
        <v>140</v>
      </c>
      <c r="M1148" s="9">
        <f t="shared" si="70"/>
        <v>144.80000000000001</v>
      </c>
      <c r="N1148" t="str">
        <f t="shared" si="71"/>
        <v>Apr</v>
      </c>
    </row>
    <row r="1149" spans="1:14" x14ac:dyDescent="0.3">
      <c r="A1149" s="2" t="s">
        <v>1215</v>
      </c>
      <c r="B1149" s="6">
        <v>45757</v>
      </c>
      <c r="C1149" s="2" t="s">
        <v>31</v>
      </c>
      <c r="D1149" s="2" t="s">
        <v>129</v>
      </c>
      <c r="E1149" s="2">
        <v>2</v>
      </c>
      <c r="F1149" s="7">
        <v>149</v>
      </c>
      <c r="G1149" s="8">
        <v>0</v>
      </c>
      <c r="H1149" s="9" t="str">
        <f>INDEX(Products!$B$2:$B$37, MATCH(D1149, Products!$A$2:$A$37, 0))</f>
        <v>Power Bank 20000mAh</v>
      </c>
      <c r="I1149" t="str">
        <f>INDEX(Products!$C$2:$C$37, MATCH(D1149, Products!$A$2:$A$37, 0))</f>
        <v>Electronics</v>
      </c>
      <c r="J1149">
        <f>INDEX(Products!$E$2:$E$37, MATCH(D1149, Products!$A$2:$A$37, 0))</f>
        <v>70</v>
      </c>
      <c r="K1149" s="9">
        <f t="shared" si="68"/>
        <v>298</v>
      </c>
      <c r="L1149">
        <f t="shared" si="69"/>
        <v>140</v>
      </c>
      <c r="M1149" s="9">
        <f t="shared" si="70"/>
        <v>158</v>
      </c>
      <c r="N1149" t="str">
        <f t="shared" si="71"/>
        <v>Apr</v>
      </c>
    </row>
    <row r="1150" spans="1:14" x14ac:dyDescent="0.3">
      <c r="A1150" s="2" t="s">
        <v>1216</v>
      </c>
      <c r="B1150" s="6">
        <v>45757</v>
      </c>
      <c r="C1150" s="2" t="s">
        <v>31</v>
      </c>
      <c r="D1150" s="2" t="s">
        <v>37</v>
      </c>
      <c r="E1150" s="2">
        <v>4</v>
      </c>
      <c r="F1150" s="7">
        <v>249</v>
      </c>
      <c r="G1150" s="8">
        <v>0.1</v>
      </c>
      <c r="H1150" s="9" t="str">
        <f>INDEX(Products!$B$2:$B$37, MATCH(D1150, Products!$A$2:$A$37, 0))</f>
        <v>Sunglasses Polarised</v>
      </c>
      <c r="I1150" t="str">
        <f>INDEX(Products!$C$2:$C$37, MATCH(D1150, Products!$A$2:$A$37, 0))</f>
        <v>Fashion</v>
      </c>
      <c r="J1150">
        <f>INDEX(Products!$E$2:$E$37, MATCH(D1150, Products!$A$2:$A$37, 0))</f>
        <v>95</v>
      </c>
      <c r="K1150" s="9">
        <f t="shared" si="68"/>
        <v>896.4</v>
      </c>
      <c r="L1150">
        <f t="shared" si="69"/>
        <v>380</v>
      </c>
      <c r="M1150" s="9">
        <f t="shared" si="70"/>
        <v>516.4</v>
      </c>
      <c r="N1150" t="str">
        <f t="shared" si="71"/>
        <v>Apr</v>
      </c>
    </row>
    <row r="1151" spans="1:14" x14ac:dyDescent="0.3">
      <c r="A1151" s="2" t="s">
        <v>1217</v>
      </c>
      <c r="B1151" s="6">
        <v>45757</v>
      </c>
      <c r="C1151" s="2" t="s">
        <v>44</v>
      </c>
      <c r="D1151" s="2" t="s">
        <v>80</v>
      </c>
      <c r="E1151" s="2">
        <v>2</v>
      </c>
      <c r="F1151" s="7">
        <v>149</v>
      </c>
      <c r="G1151" s="8">
        <v>0</v>
      </c>
      <c r="H1151" s="9" t="str">
        <f>INDEX(Products!$B$2:$B$37, MATCH(D1151, Products!$A$2:$A$37, 0))</f>
        <v>Vitamin C Serum</v>
      </c>
      <c r="I1151" t="str">
        <f>INDEX(Products!$C$2:$C$37, MATCH(D1151, Products!$A$2:$A$37, 0))</f>
        <v>Beauty</v>
      </c>
      <c r="J1151">
        <f>INDEX(Products!$E$2:$E$37, MATCH(D1151, Products!$A$2:$A$37, 0))</f>
        <v>55</v>
      </c>
      <c r="K1151" s="9">
        <f t="shared" si="68"/>
        <v>298</v>
      </c>
      <c r="L1151">
        <f t="shared" si="69"/>
        <v>110</v>
      </c>
      <c r="M1151" s="9">
        <f t="shared" si="70"/>
        <v>188</v>
      </c>
      <c r="N1151" t="str">
        <f t="shared" si="71"/>
        <v>Apr</v>
      </c>
    </row>
    <row r="1152" spans="1:14" x14ac:dyDescent="0.3">
      <c r="A1152" s="2" t="s">
        <v>1218</v>
      </c>
      <c r="B1152" s="6">
        <v>45758</v>
      </c>
      <c r="C1152" s="2" t="s">
        <v>31</v>
      </c>
      <c r="D1152" s="2" t="s">
        <v>49</v>
      </c>
      <c r="E1152" s="2">
        <v>1</v>
      </c>
      <c r="F1152" s="7">
        <v>149</v>
      </c>
      <c r="G1152" s="8">
        <v>0.1</v>
      </c>
      <c r="H1152" s="9" t="str">
        <f>INDEX(Products!$B$2:$B$37, MATCH(D1152, Products!$A$2:$A$37, 0))</f>
        <v>Kids' Sneakers</v>
      </c>
      <c r="I1152" t="str">
        <f>INDEX(Products!$C$2:$C$37, MATCH(D1152, Products!$A$2:$A$37, 0))</f>
        <v>Fashion</v>
      </c>
      <c r="J1152">
        <f>INDEX(Products!$E$2:$E$37, MATCH(D1152, Products!$A$2:$A$37, 0))</f>
        <v>80</v>
      </c>
      <c r="K1152" s="9">
        <f t="shared" si="68"/>
        <v>134.1</v>
      </c>
      <c r="L1152">
        <f t="shared" si="69"/>
        <v>80</v>
      </c>
      <c r="M1152" s="9">
        <f t="shared" si="70"/>
        <v>54.099999999999994</v>
      </c>
      <c r="N1152" t="str">
        <f t="shared" si="71"/>
        <v>Apr</v>
      </c>
    </row>
    <row r="1153" spans="1:14" x14ac:dyDescent="0.3">
      <c r="A1153" s="2" t="s">
        <v>1219</v>
      </c>
      <c r="B1153" s="6">
        <v>45758</v>
      </c>
      <c r="C1153" s="2" t="s">
        <v>31</v>
      </c>
      <c r="D1153" s="2" t="s">
        <v>89</v>
      </c>
      <c r="E1153" s="2">
        <v>1</v>
      </c>
      <c r="F1153" s="7">
        <v>399</v>
      </c>
      <c r="G1153" s="8">
        <v>0</v>
      </c>
      <c r="H1153" s="9" t="str">
        <f>INDEX(Products!$B$2:$B$37, MATCH(D1153, Products!$A$2:$A$37, 0))</f>
        <v>Men's Kandura Premium</v>
      </c>
      <c r="I1153" t="str">
        <f>INDEX(Products!$C$2:$C$37, MATCH(D1153, Products!$A$2:$A$37, 0))</f>
        <v>Fashion</v>
      </c>
      <c r="J1153">
        <f>INDEX(Products!$E$2:$E$37, MATCH(D1153, Products!$A$2:$A$37, 0))</f>
        <v>210</v>
      </c>
      <c r="K1153" s="9">
        <f t="shared" si="68"/>
        <v>399</v>
      </c>
      <c r="L1153">
        <f t="shared" si="69"/>
        <v>210</v>
      </c>
      <c r="M1153" s="9">
        <f t="shared" si="70"/>
        <v>189</v>
      </c>
      <c r="N1153" t="str">
        <f t="shared" si="71"/>
        <v>Apr</v>
      </c>
    </row>
    <row r="1154" spans="1:14" x14ac:dyDescent="0.3">
      <c r="A1154" s="2" t="s">
        <v>1220</v>
      </c>
      <c r="B1154" s="6">
        <v>45758</v>
      </c>
      <c r="C1154" s="2" t="s">
        <v>28</v>
      </c>
      <c r="D1154" s="2" t="s">
        <v>70</v>
      </c>
      <c r="E1154" s="2">
        <v>1</v>
      </c>
      <c r="F1154" s="7">
        <v>429</v>
      </c>
      <c r="G1154" s="8">
        <v>0.05</v>
      </c>
      <c r="H1154" s="9" t="str">
        <f>INDEX(Products!$B$2:$B$37, MATCH(D1154, Products!$A$2:$A$37, 0))</f>
        <v>Running Shoes Elite</v>
      </c>
      <c r="I1154" t="str">
        <f>INDEX(Products!$C$2:$C$37, MATCH(D1154, Products!$A$2:$A$37, 0))</f>
        <v>Fashion</v>
      </c>
      <c r="J1154">
        <f>INDEX(Products!$E$2:$E$37, MATCH(D1154, Products!$A$2:$A$37, 0))</f>
        <v>300</v>
      </c>
      <c r="K1154" s="9">
        <f t="shared" ref="K1154:K1217" si="72">E1154*F1154*(1-G1154)</f>
        <v>407.54999999999995</v>
      </c>
      <c r="L1154">
        <f t="shared" ref="L1154:L1217" si="73">E1154*J1154</f>
        <v>300</v>
      </c>
      <c r="M1154" s="9">
        <f t="shared" ref="M1154:M1217" si="74">K1154-L1154</f>
        <v>107.54999999999995</v>
      </c>
      <c r="N1154" t="str">
        <f t="shared" ref="N1154:N1217" si="75">TEXT(B1154,"mmm")</f>
        <v>Apr</v>
      </c>
    </row>
    <row r="1155" spans="1:14" x14ac:dyDescent="0.3">
      <c r="A1155" s="2" t="s">
        <v>1221</v>
      </c>
      <c r="B1155" s="6">
        <v>45758</v>
      </c>
      <c r="C1155" s="2" t="s">
        <v>31</v>
      </c>
      <c r="D1155" s="2" t="s">
        <v>163</v>
      </c>
      <c r="E1155" s="2">
        <v>1</v>
      </c>
      <c r="F1155" s="7">
        <v>2499</v>
      </c>
      <c r="G1155" s="8">
        <v>0.1</v>
      </c>
      <c r="H1155" s="9" t="str">
        <f>INDEX(Products!$B$2:$B$37, MATCH(D1155, Products!$A$2:$A$37, 0))</f>
        <v>Treadmill Compact</v>
      </c>
      <c r="I1155" t="str">
        <f>INDEX(Products!$C$2:$C$37, MATCH(D1155, Products!$A$2:$A$37, 0))</f>
        <v>Sports</v>
      </c>
      <c r="J1155">
        <f>INDEX(Products!$E$2:$E$37, MATCH(D1155, Products!$A$2:$A$37, 0))</f>
        <v>2150</v>
      </c>
      <c r="K1155" s="9">
        <f t="shared" si="72"/>
        <v>2249.1</v>
      </c>
      <c r="L1155">
        <f t="shared" si="73"/>
        <v>2150</v>
      </c>
      <c r="M1155" s="9">
        <f t="shared" si="74"/>
        <v>99.099999999999909</v>
      </c>
      <c r="N1155" t="str">
        <f t="shared" si="75"/>
        <v>Apr</v>
      </c>
    </row>
    <row r="1156" spans="1:14" x14ac:dyDescent="0.3">
      <c r="A1156" s="2" t="s">
        <v>1222</v>
      </c>
      <c r="B1156" s="6">
        <v>45758</v>
      </c>
      <c r="C1156" s="2" t="s">
        <v>44</v>
      </c>
      <c r="D1156" s="2" t="s">
        <v>80</v>
      </c>
      <c r="E1156" s="2">
        <v>1</v>
      </c>
      <c r="F1156" s="7">
        <v>149</v>
      </c>
      <c r="G1156" s="8">
        <v>0</v>
      </c>
      <c r="H1156" s="9" t="str">
        <f>INDEX(Products!$B$2:$B$37, MATCH(D1156, Products!$A$2:$A$37, 0))</f>
        <v>Vitamin C Serum</v>
      </c>
      <c r="I1156" t="str">
        <f>INDEX(Products!$C$2:$C$37, MATCH(D1156, Products!$A$2:$A$37, 0))</f>
        <v>Beauty</v>
      </c>
      <c r="J1156">
        <f>INDEX(Products!$E$2:$E$37, MATCH(D1156, Products!$A$2:$A$37, 0))</f>
        <v>55</v>
      </c>
      <c r="K1156" s="9">
        <f t="shared" si="72"/>
        <v>149</v>
      </c>
      <c r="L1156">
        <f t="shared" si="73"/>
        <v>55</v>
      </c>
      <c r="M1156" s="9">
        <f t="shared" si="74"/>
        <v>94</v>
      </c>
      <c r="N1156" t="str">
        <f t="shared" si="75"/>
        <v>Apr</v>
      </c>
    </row>
    <row r="1157" spans="1:14" x14ac:dyDescent="0.3">
      <c r="A1157" s="2" t="s">
        <v>1223</v>
      </c>
      <c r="B1157" s="6">
        <v>45758</v>
      </c>
      <c r="C1157" s="2" t="s">
        <v>41</v>
      </c>
      <c r="D1157" s="2" t="s">
        <v>60</v>
      </c>
      <c r="E1157" s="2">
        <v>2</v>
      </c>
      <c r="F1157" s="7">
        <v>99</v>
      </c>
      <c r="G1157" s="8">
        <v>0</v>
      </c>
      <c r="H1157" s="9" t="str">
        <f>INDEX(Products!$B$2:$B$37, MATCH(D1157, Products!$A$2:$A$37, 0))</f>
        <v>Football Size 5</v>
      </c>
      <c r="I1157" t="str">
        <f>INDEX(Products!$C$2:$C$37, MATCH(D1157, Products!$A$2:$A$37, 0))</f>
        <v>Sports</v>
      </c>
      <c r="J1157">
        <f>INDEX(Products!$E$2:$E$37, MATCH(D1157, Products!$A$2:$A$37, 0))</f>
        <v>45</v>
      </c>
      <c r="K1157" s="9">
        <f t="shared" si="72"/>
        <v>198</v>
      </c>
      <c r="L1157">
        <f t="shared" si="73"/>
        <v>90</v>
      </c>
      <c r="M1157" s="9">
        <f t="shared" si="74"/>
        <v>108</v>
      </c>
      <c r="N1157" t="str">
        <f t="shared" si="75"/>
        <v>Apr</v>
      </c>
    </row>
    <row r="1158" spans="1:14" x14ac:dyDescent="0.3">
      <c r="A1158" s="2" t="s">
        <v>1224</v>
      </c>
      <c r="B1158" s="6">
        <v>45758</v>
      </c>
      <c r="C1158" s="2" t="s">
        <v>28</v>
      </c>
      <c r="D1158" s="2" t="s">
        <v>52</v>
      </c>
      <c r="E1158" s="2">
        <v>3</v>
      </c>
      <c r="F1158" s="7">
        <v>299</v>
      </c>
      <c r="G1158" s="8">
        <v>0.25</v>
      </c>
      <c r="H1158" s="9" t="str">
        <f>INDEX(Products!$B$2:$B$37, MATCH(D1158, Products!$A$2:$A$37, 0))</f>
        <v>Hair Dryer Ionic</v>
      </c>
      <c r="I1158" t="str">
        <f>INDEX(Products!$C$2:$C$37, MATCH(D1158, Products!$A$2:$A$37, 0))</f>
        <v>Beauty</v>
      </c>
      <c r="J1158">
        <f>INDEX(Products!$E$2:$E$37, MATCH(D1158, Products!$A$2:$A$37, 0))</f>
        <v>240</v>
      </c>
      <c r="K1158" s="9">
        <f t="shared" si="72"/>
        <v>672.75</v>
      </c>
      <c r="L1158">
        <f t="shared" si="73"/>
        <v>720</v>
      </c>
      <c r="M1158" s="9">
        <f t="shared" si="74"/>
        <v>-47.25</v>
      </c>
      <c r="N1158" t="str">
        <f t="shared" si="75"/>
        <v>Apr</v>
      </c>
    </row>
    <row r="1159" spans="1:14" x14ac:dyDescent="0.3">
      <c r="A1159" s="2" t="s">
        <v>1225</v>
      </c>
      <c r="B1159" s="6">
        <v>45758</v>
      </c>
      <c r="C1159" s="2" t="s">
        <v>31</v>
      </c>
      <c r="D1159" s="2" t="s">
        <v>78</v>
      </c>
      <c r="E1159" s="2">
        <v>1</v>
      </c>
      <c r="F1159" s="7">
        <v>499</v>
      </c>
      <c r="G1159" s="8">
        <v>0.3</v>
      </c>
      <c r="H1159" s="9" t="str">
        <f>INDEX(Products!$B$2:$B$37, MATCH(D1159, Products!$A$2:$A$37, 0))</f>
        <v>Air Fryer 5L</v>
      </c>
      <c r="I1159" t="str">
        <f>INDEX(Products!$C$2:$C$37, MATCH(D1159, Products!$A$2:$A$37, 0))</f>
        <v>Home &amp; Kitchen</v>
      </c>
      <c r="J1159">
        <f>INDEX(Products!$E$2:$E$37, MATCH(D1159, Products!$A$2:$A$37, 0))</f>
        <v>290</v>
      </c>
      <c r="K1159" s="9">
        <f t="shared" si="72"/>
        <v>349.29999999999995</v>
      </c>
      <c r="L1159">
        <f t="shared" si="73"/>
        <v>290</v>
      </c>
      <c r="M1159" s="9">
        <f t="shared" si="74"/>
        <v>59.299999999999955</v>
      </c>
      <c r="N1159" t="str">
        <f t="shared" si="75"/>
        <v>Apr</v>
      </c>
    </row>
    <row r="1160" spans="1:14" x14ac:dyDescent="0.3">
      <c r="A1160" s="2" t="s">
        <v>1226</v>
      </c>
      <c r="B1160" s="6">
        <v>45758</v>
      </c>
      <c r="C1160" s="2" t="s">
        <v>48</v>
      </c>
      <c r="D1160" s="2" t="s">
        <v>78</v>
      </c>
      <c r="E1160" s="2">
        <v>3</v>
      </c>
      <c r="F1160" s="7">
        <v>499</v>
      </c>
      <c r="G1160" s="8">
        <v>0.1</v>
      </c>
      <c r="H1160" s="9" t="str">
        <f>INDEX(Products!$B$2:$B$37, MATCH(D1160, Products!$A$2:$A$37, 0))</f>
        <v>Air Fryer 5L</v>
      </c>
      <c r="I1160" t="str">
        <f>INDEX(Products!$C$2:$C$37, MATCH(D1160, Products!$A$2:$A$37, 0))</f>
        <v>Home &amp; Kitchen</v>
      </c>
      <c r="J1160">
        <f>INDEX(Products!$E$2:$E$37, MATCH(D1160, Products!$A$2:$A$37, 0))</f>
        <v>290</v>
      </c>
      <c r="K1160" s="9">
        <f t="shared" si="72"/>
        <v>1347.3</v>
      </c>
      <c r="L1160">
        <f t="shared" si="73"/>
        <v>870</v>
      </c>
      <c r="M1160" s="9">
        <f t="shared" si="74"/>
        <v>477.29999999999995</v>
      </c>
      <c r="N1160" t="str">
        <f t="shared" si="75"/>
        <v>Apr</v>
      </c>
    </row>
    <row r="1161" spans="1:14" x14ac:dyDescent="0.3">
      <c r="A1161" s="2" t="s">
        <v>1227</v>
      </c>
      <c r="B1161" s="6">
        <v>45758</v>
      </c>
      <c r="C1161" s="2" t="s">
        <v>48</v>
      </c>
      <c r="D1161" s="2" t="s">
        <v>29</v>
      </c>
      <c r="E1161" s="2">
        <v>1</v>
      </c>
      <c r="F1161" s="7">
        <v>229</v>
      </c>
      <c r="G1161" s="8">
        <v>0.3</v>
      </c>
      <c r="H1161" s="9" t="str">
        <f>INDEX(Products!$B$2:$B$37, MATCH(D1161, Products!$A$2:$A$37, 0))</f>
        <v>Women's Summer Dress</v>
      </c>
      <c r="I1161" t="str">
        <f>INDEX(Products!$C$2:$C$37, MATCH(D1161, Products!$A$2:$A$37, 0))</f>
        <v>Fashion</v>
      </c>
      <c r="J1161">
        <f>INDEX(Products!$E$2:$E$37, MATCH(D1161, Products!$A$2:$A$37, 0))</f>
        <v>120</v>
      </c>
      <c r="K1161" s="9">
        <f t="shared" si="72"/>
        <v>160.29999999999998</v>
      </c>
      <c r="L1161">
        <f t="shared" si="73"/>
        <v>120</v>
      </c>
      <c r="M1161" s="9">
        <f t="shared" si="74"/>
        <v>40.299999999999983</v>
      </c>
      <c r="N1161" t="str">
        <f t="shared" si="75"/>
        <v>Apr</v>
      </c>
    </row>
    <row r="1162" spans="1:14" x14ac:dyDescent="0.3">
      <c r="A1162" s="2" t="s">
        <v>1228</v>
      </c>
      <c r="B1162" s="6">
        <v>45758</v>
      </c>
      <c r="C1162" s="2" t="s">
        <v>28</v>
      </c>
      <c r="D1162" s="2" t="s">
        <v>60</v>
      </c>
      <c r="E1162" s="2">
        <v>1</v>
      </c>
      <c r="F1162" s="7">
        <v>99</v>
      </c>
      <c r="G1162" s="8">
        <v>0.1</v>
      </c>
      <c r="H1162" s="9" t="str">
        <f>INDEX(Products!$B$2:$B$37, MATCH(D1162, Products!$A$2:$A$37, 0))</f>
        <v>Football Size 5</v>
      </c>
      <c r="I1162" t="str">
        <f>INDEX(Products!$C$2:$C$37, MATCH(D1162, Products!$A$2:$A$37, 0))</f>
        <v>Sports</v>
      </c>
      <c r="J1162">
        <f>INDEX(Products!$E$2:$E$37, MATCH(D1162, Products!$A$2:$A$37, 0))</f>
        <v>45</v>
      </c>
      <c r="K1162" s="9">
        <f t="shared" si="72"/>
        <v>89.100000000000009</v>
      </c>
      <c r="L1162">
        <f t="shared" si="73"/>
        <v>45</v>
      </c>
      <c r="M1162" s="9">
        <f t="shared" si="74"/>
        <v>44.100000000000009</v>
      </c>
      <c r="N1162" t="str">
        <f t="shared" si="75"/>
        <v>Apr</v>
      </c>
    </row>
    <row r="1163" spans="1:14" x14ac:dyDescent="0.3">
      <c r="A1163" s="2" t="s">
        <v>1229</v>
      </c>
      <c r="B1163" s="6">
        <v>45758</v>
      </c>
      <c r="C1163" s="2" t="s">
        <v>31</v>
      </c>
      <c r="D1163" s="2" t="s">
        <v>37</v>
      </c>
      <c r="E1163" s="2">
        <v>1</v>
      </c>
      <c r="F1163" s="7">
        <v>249</v>
      </c>
      <c r="G1163" s="8">
        <v>0</v>
      </c>
      <c r="H1163" s="9" t="str">
        <f>INDEX(Products!$B$2:$B$37, MATCH(D1163, Products!$A$2:$A$37, 0))</f>
        <v>Sunglasses Polarised</v>
      </c>
      <c r="I1163" t="str">
        <f>INDEX(Products!$C$2:$C$37, MATCH(D1163, Products!$A$2:$A$37, 0))</f>
        <v>Fashion</v>
      </c>
      <c r="J1163">
        <f>INDEX(Products!$E$2:$E$37, MATCH(D1163, Products!$A$2:$A$37, 0))</f>
        <v>95</v>
      </c>
      <c r="K1163" s="9">
        <f t="shared" si="72"/>
        <v>249</v>
      </c>
      <c r="L1163">
        <f t="shared" si="73"/>
        <v>95</v>
      </c>
      <c r="M1163" s="9">
        <f t="shared" si="74"/>
        <v>154</v>
      </c>
      <c r="N1163" t="str">
        <f t="shared" si="75"/>
        <v>Apr</v>
      </c>
    </row>
    <row r="1164" spans="1:14" x14ac:dyDescent="0.3">
      <c r="A1164" s="2" t="s">
        <v>1230</v>
      </c>
      <c r="B1164" s="6">
        <v>45758</v>
      </c>
      <c r="C1164" s="2" t="s">
        <v>44</v>
      </c>
      <c r="D1164" s="2" t="s">
        <v>87</v>
      </c>
      <c r="E1164" s="2">
        <v>2</v>
      </c>
      <c r="F1164" s="7">
        <v>799</v>
      </c>
      <c r="G1164" s="8">
        <v>0.25</v>
      </c>
      <c r="H1164" s="9" t="str">
        <f>INDEX(Products!$B$2:$B$37, MATCH(D1164, Products!$A$2:$A$37, 0))</f>
        <v>Adjustable Dumbbells</v>
      </c>
      <c r="I1164" t="str">
        <f>INDEX(Products!$C$2:$C$37, MATCH(D1164, Products!$A$2:$A$37, 0))</f>
        <v>Sports</v>
      </c>
      <c r="J1164">
        <f>INDEX(Products!$E$2:$E$37, MATCH(D1164, Products!$A$2:$A$37, 0))</f>
        <v>700</v>
      </c>
      <c r="K1164" s="9">
        <f t="shared" si="72"/>
        <v>1198.5</v>
      </c>
      <c r="L1164">
        <f t="shared" si="73"/>
        <v>1400</v>
      </c>
      <c r="M1164" s="9">
        <f t="shared" si="74"/>
        <v>-201.5</v>
      </c>
      <c r="N1164" t="str">
        <f t="shared" si="75"/>
        <v>Apr</v>
      </c>
    </row>
    <row r="1165" spans="1:14" x14ac:dyDescent="0.3">
      <c r="A1165" s="2" t="s">
        <v>1231</v>
      </c>
      <c r="B1165" s="6">
        <v>45759</v>
      </c>
      <c r="C1165" s="2" t="s">
        <v>41</v>
      </c>
      <c r="D1165" s="2" t="s">
        <v>29</v>
      </c>
      <c r="E1165" s="2">
        <v>1</v>
      </c>
      <c r="F1165" s="7">
        <v>229</v>
      </c>
      <c r="G1165" s="8">
        <v>0.1</v>
      </c>
      <c r="H1165" s="9" t="str">
        <f>INDEX(Products!$B$2:$B$37, MATCH(D1165, Products!$A$2:$A$37, 0))</f>
        <v>Women's Summer Dress</v>
      </c>
      <c r="I1165" t="str">
        <f>INDEX(Products!$C$2:$C$37, MATCH(D1165, Products!$A$2:$A$37, 0))</f>
        <v>Fashion</v>
      </c>
      <c r="J1165">
        <f>INDEX(Products!$E$2:$E$37, MATCH(D1165, Products!$A$2:$A$37, 0))</f>
        <v>120</v>
      </c>
      <c r="K1165" s="9">
        <f t="shared" si="72"/>
        <v>206.1</v>
      </c>
      <c r="L1165">
        <f t="shared" si="73"/>
        <v>120</v>
      </c>
      <c r="M1165" s="9">
        <f t="shared" si="74"/>
        <v>86.1</v>
      </c>
      <c r="N1165" t="str">
        <f t="shared" si="75"/>
        <v>Apr</v>
      </c>
    </row>
    <row r="1166" spans="1:14" x14ac:dyDescent="0.3">
      <c r="A1166" s="2" t="s">
        <v>1232</v>
      </c>
      <c r="B1166" s="6">
        <v>45759</v>
      </c>
      <c r="C1166" s="2" t="s">
        <v>31</v>
      </c>
      <c r="D1166" s="2" t="s">
        <v>80</v>
      </c>
      <c r="E1166" s="2">
        <v>1</v>
      </c>
      <c r="F1166" s="7">
        <v>149</v>
      </c>
      <c r="G1166" s="8">
        <v>0</v>
      </c>
      <c r="H1166" s="9" t="str">
        <f>INDEX(Products!$B$2:$B$37, MATCH(D1166, Products!$A$2:$A$37, 0))</f>
        <v>Vitamin C Serum</v>
      </c>
      <c r="I1166" t="str">
        <f>INDEX(Products!$C$2:$C$37, MATCH(D1166, Products!$A$2:$A$37, 0))</f>
        <v>Beauty</v>
      </c>
      <c r="J1166">
        <f>INDEX(Products!$E$2:$E$37, MATCH(D1166, Products!$A$2:$A$37, 0))</f>
        <v>55</v>
      </c>
      <c r="K1166" s="9">
        <f t="shared" si="72"/>
        <v>149</v>
      </c>
      <c r="L1166">
        <f t="shared" si="73"/>
        <v>55</v>
      </c>
      <c r="M1166" s="9">
        <f t="shared" si="74"/>
        <v>94</v>
      </c>
      <c r="N1166" t="str">
        <f t="shared" si="75"/>
        <v>Apr</v>
      </c>
    </row>
    <row r="1167" spans="1:14" x14ac:dyDescent="0.3">
      <c r="A1167" s="2" t="s">
        <v>1233</v>
      </c>
      <c r="B1167" s="6">
        <v>45759</v>
      </c>
      <c r="C1167" s="2" t="s">
        <v>31</v>
      </c>
      <c r="D1167" s="2" t="s">
        <v>35</v>
      </c>
      <c r="E1167" s="2">
        <v>3</v>
      </c>
      <c r="F1167" s="7">
        <v>179</v>
      </c>
      <c r="G1167" s="8">
        <v>0</v>
      </c>
      <c r="H1167" s="9" t="str">
        <f>INDEX(Products!$B$2:$B$37, MATCH(D1167, Products!$A$2:$A$37, 0))</f>
        <v>Men's Linen Shirt</v>
      </c>
      <c r="I1167" t="str">
        <f>INDEX(Products!$C$2:$C$37, MATCH(D1167, Products!$A$2:$A$37, 0))</f>
        <v>Fashion</v>
      </c>
      <c r="J1167">
        <f>INDEX(Products!$E$2:$E$37, MATCH(D1167, Products!$A$2:$A$37, 0))</f>
        <v>70</v>
      </c>
      <c r="K1167" s="9">
        <f t="shared" si="72"/>
        <v>537</v>
      </c>
      <c r="L1167">
        <f t="shared" si="73"/>
        <v>210</v>
      </c>
      <c r="M1167" s="9">
        <f t="shared" si="74"/>
        <v>327</v>
      </c>
      <c r="N1167" t="str">
        <f t="shared" si="75"/>
        <v>Apr</v>
      </c>
    </row>
    <row r="1168" spans="1:14" x14ac:dyDescent="0.3">
      <c r="A1168" s="2" t="s">
        <v>1234</v>
      </c>
      <c r="B1168" s="6">
        <v>45759</v>
      </c>
      <c r="C1168" s="2" t="s">
        <v>44</v>
      </c>
      <c r="D1168" s="2" t="s">
        <v>126</v>
      </c>
      <c r="E1168" s="2">
        <v>2</v>
      </c>
      <c r="F1168" s="7">
        <v>89</v>
      </c>
      <c r="G1168" s="8">
        <v>0</v>
      </c>
      <c r="H1168" s="9" t="str">
        <f>INDEX(Products!$B$2:$B$37, MATCH(D1168, Products!$A$2:$A$37, 0))</f>
        <v>USB-C Fast Charger</v>
      </c>
      <c r="I1168" t="str">
        <f>INDEX(Products!$C$2:$C$37, MATCH(D1168, Products!$A$2:$A$37, 0))</f>
        <v>Electronics</v>
      </c>
      <c r="J1168">
        <f>INDEX(Products!$E$2:$E$37, MATCH(D1168, Products!$A$2:$A$37, 0))</f>
        <v>35</v>
      </c>
      <c r="K1168" s="9">
        <f t="shared" si="72"/>
        <v>178</v>
      </c>
      <c r="L1168">
        <f t="shared" si="73"/>
        <v>70</v>
      </c>
      <c r="M1168" s="9">
        <f t="shared" si="74"/>
        <v>108</v>
      </c>
      <c r="N1168" t="str">
        <f t="shared" si="75"/>
        <v>Apr</v>
      </c>
    </row>
    <row r="1169" spans="1:14" x14ac:dyDescent="0.3">
      <c r="A1169" s="2" t="s">
        <v>1235</v>
      </c>
      <c r="B1169" s="6">
        <v>45759</v>
      </c>
      <c r="C1169" s="2" t="s">
        <v>28</v>
      </c>
      <c r="D1169" s="2" t="s">
        <v>165</v>
      </c>
      <c r="E1169" s="2">
        <v>1</v>
      </c>
      <c r="F1169" s="7">
        <v>69</v>
      </c>
      <c r="G1169" s="8">
        <v>0</v>
      </c>
      <c r="H1169" s="9" t="str">
        <f>INDEX(Products!$B$2:$B$37, MATCH(D1169, Products!$A$2:$A$37, 0))</f>
        <v>Swim Goggles</v>
      </c>
      <c r="I1169" t="str">
        <f>INDEX(Products!$C$2:$C$37, MATCH(D1169, Products!$A$2:$A$37, 0))</f>
        <v>Sports</v>
      </c>
      <c r="J1169">
        <f>INDEX(Products!$E$2:$E$37, MATCH(D1169, Products!$A$2:$A$37, 0))</f>
        <v>25</v>
      </c>
      <c r="K1169" s="9">
        <f t="shared" si="72"/>
        <v>69</v>
      </c>
      <c r="L1169">
        <f t="shared" si="73"/>
        <v>25</v>
      </c>
      <c r="M1169" s="9">
        <f t="shared" si="74"/>
        <v>44</v>
      </c>
      <c r="N1169" t="str">
        <f t="shared" si="75"/>
        <v>Apr</v>
      </c>
    </row>
    <row r="1170" spans="1:14" x14ac:dyDescent="0.3">
      <c r="A1170" s="2" t="s">
        <v>1236</v>
      </c>
      <c r="B1170" s="6">
        <v>45759</v>
      </c>
      <c r="C1170" s="2" t="s">
        <v>48</v>
      </c>
      <c r="D1170" s="2" t="s">
        <v>80</v>
      </c>
      <c r="E1170" s="2">
        <v>1</v>
      </c>
      <c r="F1170" s="7">
        <v>149</v>
      </c>
      <c r="G1170" s="8">
        <v>0.05</v>
      </c>
      <c r="H1170" s="9" t="str">
        <f>INDEX(Products!$B$2:$B$37, MATCH(D1170, Products!$A$2:$A$37, 0))</f>
        <v>Vitamin C Serum</v>
      </c>
      <c r="I1170" t="str">
        <f>INDEX(Products!$C$2:$C$37, MATCH(D1170, Products!$A$2:$A$37, 0))</f>
        <v>Beauty</v>
      </c>
      <c r="J1170">
        <f>INDEX(Products!$E$2:$E$37, MATCH(D1170, Products!$A$2:$A$37, 0))</f>
        <v>55</v>
      </c>
      <c r="K1170" s="9">
        <f t="shared" si="72"/>
        <v>141.54999999999998</v>
      </c>
      <c r="L1170">
        <f t="shared" si="73"/>
        <v>55</v>
      </c>
      <c r="M1170" s="9">
        <f t="shared" si="74"/>
        <v>86.549999999999983</v>
      </c>
      <c r="N1170" t="str">
        <f t="shared" si="75"/>
        <v>Apr</v>
      </c>
    </row>
    <row r="1171" spans="1:14" x14ac:dyDescent="0.3">
      <c r="A1171" s="2" t="s">
        <v>1237</v>
      </c>
      <c r="B1171" s="6">
        <v>45759</v>
      </c>
      <c r="C1171" s="2" t="s">
        <v>28</v>
      </c>
      <c r="D1171" s="2" t="s">
        <v>78</v>
      </c>
      <c r="E1171" s="2">
        <v>4</v>
      </c>
      <c r="F1171" s="7">
        <v>499</v>
      </c>
      <c r="G1171" s="8">
        <v>0.1</v>
      </c>
      <c r="H1171" s="9" t="str">
        <f>INDEX(Products!$B$2:$B$37, MATCH(D1171, Products!$A$2:$A$37, 0))</f>
        <v>Air Fryer 5L</v>
      </c>
      <c r="I1171" t="str">
        <f>INDEX(Products!$C$2:$C$37, MATCH(D1171, Products!$A$2:$A$37, 0))</f>
        <v>Home &amp; Kitchen</v>
      </c>
      <c r="J1171">
        <f>INDEX(Products!$E$2:$E$37, MATCH(D1171, Products!$A$2:$A$37, 0))</f>
        <v>290</v>
      </c>
      <c r="K1171" s="9">
        <f t="shared" si="72"/>
        <v>1796.4</v>
      </c>
      <c r="L1171">
        <f t="shared" si="73"/>
        <v>1160</v>
      </c>
      <c r="M1171" s="9">
        <f t="shared" si="74"/>
        <v>636.40000000000009</v>
      </c>
      <c r="N1171" t="str">
        <f t="shared" si="75"/>
        <v>Apr</v>
      </c>
    </row>
    <row r="1172" spans="1:14" x14ac:dyDescent="0.3">
      <c r="A1172" s="2" t="s">
        <v>1238</v>
      </c>
      <c r="B1172" s="6">
        <v>45759</v>
      </c>
      <c r="C1172" s="2" t="s">
        <v>41</v>
      </c>
      <c r="D1172" s="2" t="s">
        <v>109</v>
      </c>
      <c r="E1172" s="2">
        <v>4</v>
      </c>
      <c r="F1172" s="7">
        <v>1499</v>
      </c>
      <c r="G1172" s="8">
        <v>0.3</v>
      </c>
      <c r="H1172" s="9" t="str">
        <f>INDEX(Products!$B$2:$B$37, MATCH(D1172, Products!$A$2:$A$37, 0))</f>
        <v>Espresso Machine</v>
      </c>
      <c r="I1172" t="str">
        <f>INDEX(Products!$C$2:$C$37, MATCH(D1172, Products!$A$2:$A$37, 0))</f>
        <v>Home &amp; Kitchen</v>
      </c>
      <c r="J1172">
        <f>INDEX(Products!$E$2:$E$37, MATCH(D1172, Products!$A$2:$A$37, 0))</f>
        <v>1050</v>
      </c>
      <c r="K1172" s="9">
        <f t="shared" si="72"/>
        <v>4197.2</v>
      </c>
      <c r="L1172">
        <f t="shared" si="73"/>
        <v>4200</v>
      </c>
      <c r="M1172" s="9">
        <f t="shared" si="74"/>
        <v>-2.8000000000001819</v>
      </c>
      <c r="N1172" t="str">
        <f t="shared" si="75"/>
        <v>Apr</v>
      </c>
    </row>
    <row r="1173" spans="1:14" x14ac:dyDescent="0.3">
      <c r="A1173" s="2" t="s">
        <v>1239</v>
      </c>
      <c r="B1173" s="6">
        <v>45759</v>
      </c>
      <c r="C1173" s="2" t="s">
        <v>41</v>
      </c>
      <c r="D1173" s="2" t="s">
        <v>126</v>
      </c>
      <c r="E1173" s="2">
        <v>2</v>
      </c>
      <c r="F1173" s="7">
        <v>89</v>
      </c>
      <c r="G1173" s="8">
        <v>0.05</v>
      </c>
      <c r="H1173" s="9" t="str">
        <f>INDEX(Products!$B$2:$B$37, MATCH(D1173, Products!$A$2:$A$37, 0))</f>
        <v>USB-C Fast Charger</v>
      </c>
      <c r="I1173" t="str">
        <f>INDEX(Products!$C$2:$C$37, MATCH(D1173, Products!$A$2:$A$37, 0))</f>
        <v>Electronics</v>
      </c>
      <c r="J1173">
        <f>INDEX(Products!$E$2:$E$37, MATCH(D1173, Products!$A$2:$A$37, 0))</f>
        <v>35</v>
      </c>
      <c r="K1173" s="9">
        <f t="shared" si="72"/>
        <v>169.1</v>
      </c>
      <c r="L1173">
        <f t="shared" si="73"/>
        <v>70</v>
      </c>
      <c r="M1173" s="9">
        <f t="shared" si="74"/>
        <v>99.1</v>
      </c>
      <c r="N1173" t="str">
        <f t="shared" si="75"/>
        <v>Apr</v>
      </c>
    </row>
    <row r="1174" spans="1:14" x14ac:dyDescent="0.3">
      <c r="A1174" s="2" t="s">
        <v>1240</v>
      </c>
      <c r="B1174" s="6">
        <v>45759</v>
      </c>
      <c r="C1174" s="2" t="s">
        <v>28</v>
      </c>
      <c r="D1174" s="2" t="s">
        <v>92</v>
      </c>
      <c r="E1174" s="2">
        <v>3</v>
      </c>
      <c r="F1174" s="7">
        <v>349</v>
      </c>
      <c r="G1174" s="8">
        <v>0</v>
      </c>
      <c r="H1174" s="9" t="str">
        <f>INDEX(Products!$B$2:$B$37, MATCH(D1174, Products!$A$2:$A$37, 0))</f>
        <v>Non-stick Cookware Set</v>
      </c>
      <c r="I1174" t="str">
        <f>INDEX(Products!$C$2:$C$37, MATCH(D1174, Products!$A$2:$A$37, 0))</f>
        <v>Home &amp; Kitchen</v>
      </c>
      <c r="J1174">
        <f>INDEX(Products!$E$2:$E$37, MATCH(D1174, Products!$A$2:$A$37, 0))</f>
        <v>170</v>
      </c>
      <c r="K1174" s="9">
        <f t="shared" si="72"/>
        <v>1047</v>
      </c>
      <c r="L1174">
        <f t="shared" si="73"/>
        <v>510</v>
      </c>
      <c r="M1174" s="9">
        <f t="shared" si="74"/>
        <v>537</v>
      </c>
      <c r="N1174" t="str">
        <f t="shared" si="75"/>
        <v>Apr</v>
      </c>
    </row>
    <row r="1175" spans="1:14" x14ac:dyDescent="0.3">
      <c r="A1175" s="2" t="s">
        <v>1241</v>
      </c>
      <c r="B1175" s="6">
        <v>45759</v>
      </c>
      <c r="C1175" s="2" t="s">
        <v>44</v>
      </c>
      <c r="D1175" s="2" t="s">
        <v>89</v>
      </c>
      <c r="E1175" s="2">
        <v>1</v>
      </c>
      <c r="F1175" s="7">
        <v>399</v>
      </c>
      <c r="G1175" s="8">
        <v>0.3</v>
      </c>
      <c r="H1175" s="9" t="str">
        <f>INDEX(Products!$B$2:$B$37, MATCH(D1175, Products!$A$2:$A$37, 0))</f>
        <v>Men's Kandura Premium</v>
      </c>
      <c r="I1175" t="str">
        <f>INDEX(Products!$C$2:$C$37, MATCH(D1175, Products!$A$2:$A$37, 0))</f>
        <v>Fashion</v>
      </c>
      <c r="J1175">
        <f>INDEX(Products!$E$2:$E$37, MATCH(D1175, Products!$A$2:$A$37, 0))</f>
        <v>210</v>
      </c>
      <c r="K1175" s="9">
        <f t="shared" si="72"/>
        <v>279.29999999999995</v>
      </c>
      <c r="L1175">
        <f t="shared" si="73"/>
        <v>210</v>
      </c>
      <c r="M1175" s="9">
        <f t="shared" si="74"/>
        <v>69.299999999999955</v>
      </c>
      <c r="N1175" t="str">
        <f t="shared" si="75"/>
        <v>Apr</v>
      </c>
    </row>
    <row r="1176" spans="1:14" x14ac:dyDescent="0.3">
      <c r="A1176" s="2" t="s">
        <v>1242</v>
      </c>
      <c r="B1176" s="6">
        <v>45759</v>
      </c>
      <c r="C1176" s="2" t="s">
        <v>44</v>
      </c>
      <c r="D1176" s="2" t="s">
        <v>75</v>
      </c>
      <c r="E1176" s="2">
        <v>1</v>
      </c>
      <c r="F1176" s="7">
        <v>549</v>
      </c>
      <c r="G1176" s="8">
        <v>0</v>
      </c>
      <c r="H1176" s="9" t="str">
        <f>INDEX(Products!$B$2:$B$37, MATCH(D1176, Products!$A$2:$A$37, 0))</f>
        <v>Oud Perfume 100ml</v>
      </c>
      <c r="I1176" t="str">
        <f>INDEX(Products!$C$2:$C$37, MATCH(D1176, Products!$A$2:$A$37, 0))</f>
        <v>Beauty</v>
      </c>
      <c r="J1176">
        <f>INDEX(Products!$E$2:$E$37, MATCH(D1176, Products!$A$2:$A$37, 0))</f>
        <v>250</v>
      </c>
      <c r="K1176" s="9">
        <f t="shared" si="72"/>
        <v>549</v>
      </c>
      <c r="L1176">
        <f t="shared" si="73"/>
        <v>250</v>
      </c>
      <c r="M1176" s="9">
        <f t="shared" si="74"/>
        <v>299</v>
      </c>
      <c r="N1176" t="str">
        <f t="shared" si="75"/>
        <v>Apr</v>
      </c>
    </row>
    <row r="1177" spans="1:14" x14ac:dyDescent="0.3">
      <c r="A1177" s="2" t="s">
        <v>1243</v>
      </c>
      <c r="B1177" s="6">
        <v>45759</v>
      </c>
      <c r="C1177" s="2" t="s">
        <v>28</v>
      </c>
      <c r="D1177" s="2" t="s">
        <v>33</v>
      </c>
      <c r="E1177" s="2">
        <v>2</v>
      </c>
      <c r="F1177" s="7">
        <v>199</v>
      </c>
      <c r="G1177" s="8">
        <v>0.1</v>
      </c>
      <c r="H1177" s="9" t="str">
        <f>INDEX(Products!$B$2:$B$37, MATCH(D1177, Products!$A$2:$A$37, 0))</f>
        <v>Fitness Band Lite</v>
      </c>
      <c r="I1177" t="str">
        <f>INDEX(Products!$C$2:$C$37, MATCH(D1177, Products!$A$2:$A$37, 0))</f>
        <v>Electronics</v>
      </c>
      <c r="J1177">
        <f>INDEX(Products!$E$2:$E$37, MATCH(D1177, Products!$A$2:$A$37, 0))</f>
        <v>175</v>
      </c>
      <c r="K1177" s="9">
        <f t="shared" si="72"/>
        <v>358.2</v>
      </c>
      <c r="L1177">
        <f t="shared" si="73"/>
        <v>350</v>
      </c>
      <c r="M1177" s="9">
        <f t="shared" si="74"/>
        <v>8.1999999999999886</v>
      </c>
      <c r="N1177" t="str">
        <f t="shared" si="75"/>
        <v>Apr</v>
      </c>
    </row>
    <row r="1178" spans="1:14" x14ac:dyDescent="0.3">
      <c r="A1178" s="2" t="s">
        <v>1244</v>
      </c>
      <c r="B1178" s="6">
        <v>45759</v>
      </c>
      <c r="C1178" s="2" t="s">
        <v>28</v>
      </c>
      <c r="D1178" s="2" t="s">
        <v>49</v>
      </c>
      <c r="E1178" s="2">
        <v>3</v>
      </c>
      <c r="F1178" s="7">
        <v>149</v>
      </c>
      <c r="G1178" s="8">
        <v>0</v>
      </c>
      <c r="H1178" s="9" t="str">
        <f>INDEX(Products!$B$2:$B$37, MATCH(D1178, Products!$A$2:$A$37, 0))</f>
        <v>Kids' Sneakers</v>
      </c>
      <c r="I1178" t="str">
        <f>INDEX(Products!$C$2:$C$37, MATCH(D1178, Products!$A$2:$A$37, 0))</f>
        <v>Fashion</v>
      </c>
      <c r="J1178">
        <f>INDEX(Products!$E$2:$E$37, MATCH(D1178, Products!$A$2:$A$37, 0))</f>
        <v>80</v>
      </c>
      <c r="K1178" s="9">
        <f t="shared" si="72"/>
        <v>447</v>
      </c>
      <c r="L1178">
        <f t="shared" si="73"/>
        <v>240</v>
      </c>
      <c r="M1178" s="9">
        <f t="shared" si="74"/>
        <v>207</v>
      </c>
      <c r="N1178" t="str">
        <f t="shared" si="75"/>
        <v>Apr</v>
      </c>
    </row>
    <row r="1179" spans="1:14" x14ac:dyDescent="0.3">
      <c r="A1179" s="2" t="s">
        <v>1245</v>
      </c>
      <c r="B1179" s="6">
        <v>45759</v>
      </c>
      <c r="C1179" s="2" t="s">
        <v>44</v>
      </c>
      <c r="D1179" s="2" t="s">
        <v>70</v>
      </c>
      <c r="E1179" s="2">
        <v>1</v>
      </c>
      <c r="F1179" s="7">
        <v>429</v>
      </c>
      <c r="G1179" s="8">
        <v>0</v>
      </c>
      <c r="H1179" s="9" t="str">
        <f>INDEX(Products!$B$2:$B$37, MATCH(D1179, Products!$A$2:$A$37, 0))</f>
        <v>Running Shoes Elite</v>
      </c>
      <c r="I1179" t="str">
        <f>INDEX(Products!$C$2:$C$37, MATCH(D1179, Products!$A$2:$A$37, 0))</f>
        <v>Fashion</v>
      </c>
      <c r="J1179">
        <f>INDEX(Products!$E$2:$E$37, MATCH(D1179, Products!$A$2:$A$37, 0))</f>
        <v>300</v>
      </c>
      <c r="K1179" s="9">
        <f t="shared" si="72"/>
        <v>429</v>
      </c>
      <c r="L1179">
        <f t="shared" si="73"/>
        <v>300</v>
      </c>
      <c r="M1179" s="9">
        <f t="shared" si="74"/>
        <v>129</v>
      </c>
      <c r="N1179" t="str">
        <f t="shared" si="75"/>
        <v>Apr</v>
      </c>
    </row>
    <row r="1180" spans="1:14" x14ac:dyDescent="0.3">
      <c r="A1180" s="2" t="s">
        <v>1246</v>
      </c>
      <c r="B1180" s="6">
        <v>45760</v>
      </c>
      <c r="C1180" s="2" t="s">
        <v>44</v>
      </c>
      <c r="D1180" s="2" t="s">
        <v>46</v>
      </c>
      <c r="E1180" s="2">
        <v>2</v>
      </c>
      <c r="F1180" s="7">
        <v>189</v>
      </c>
      <c r="G1180" s="8">
        <v>0.15</v>
      </c>
      <c r="H1180" s="9" t="str">
        <f>INDEX(Products!$B$2:$B$37, MATCH(D1180, Products!$A$2:$A$37, 0))</f>
        <v>Makeup Palette</v>
      </c>
      <c r="I1180" t="str">
        <f>INDEX(Products!$C$2:$C$37, MATCH(D1180, Products!$A$2:$A$37, 0))</f>
        <v>Beauty</v>
      </c>
      <c r="J1180">
        <f>INDEX(Products!$E$2:$E$37, MATCH(D1180, Products!$A$2:$A$37, 0))</f>
        <v>85</v>
      </c>
      <c r="K1180" s="9">
        <f t="shared" si="72"/>
        <v>321.3</v>
      </c>
      <c r="L1180">
        <f t="shared" si="73"/>
        <v>170</v>
      </c>
      <c r="M1180" s="9">
        <f t="shared" si="74"/>
        <v>151.30000000000001</v>
      </c>
      <c r="N1180" t="str">
        <f t="shared" si="75"/>
        <v>Apr</v>
      </c>
    </row>
    <row r="1181" spans="1:14" x14ac:dyDescent="0.3">
      <c r="A1181" s="2" t="s">
        <v>1247</v>
      </c>
      <c r="B1181" s="6">
        <v>45760</v>
      </c>
      <c r="C1181" s="2" t="s">
        <v>44</v>
      </c>
      <c r="D1181" s="2" t="s">
        <v>95</v>
      </c>
      <c r="E1181" s="2">
        <v>1</v>
      </c>
      <c r="F1181" s="7">
        <v>259</v>
      </c>
      <c r="G1181" s="8">
        <v>0</v>
      </c>
      <c r="H1181" s="9" t="str">
        <f>INDEX(Products!$B$2:$B$37, MATCH(D1181, Products!$A$2:$A$37, 0))</f>
        <v>Bed Linen Set (King)</v>
      </c>
      <c r="I1181" t="str">
        <f>INDEX(Products!$C$2:$C$37, MATCH(D1181, Products!$A$2:$A$37, 0))</f>
        <v>Home &amp; Kitchen</v>
      </c>
      <c r="J1181">
        <f>INDEX(Products!$E$2:$E$37, MATCH(D1181, Products!$A$2:$A$37, 0))</f>
        <v>115</v>
      </c>
      <c r="K1181" s="9">
        <f t="shared" si="72"/>
        <v>259</v>
      </c>
      <c r="L1181">
        <f t="shared" si="73"/>
        <v>115</v>
      </c>
      <c r="M1181" s="9">
        <f t="shared" si="74"/>
        <v>144</v>
      </c>
      <c r="N1181" t="str">
        <f t="shared" si="75"/>
        <v>Apr</v>
      </c>
    </row>
    <row r="1182" spans="1:14" x14ac:dyDescent="0.3">
      <c r="A1182" s="2" t="s">
        <v>1248</v>
      </c>
      <c r="B1182" s="6">
        <v>45760</v>
      </c>
      <c r="C1182" s="2" t="s">
        <v>44</v>
      </c>
      <c r="D1182" s="2" t="s">
        <v>29</v>
      </c>
      <c r="E1182" s="2">
        <v>1</v>
      </c>
      <c r="F1182" s="7">
        <v>229</v>
      </c>
      <c r="G1182" s="8">
        <v>0</v>
      </c>
      <c r="H1182" s="9" t="str">
        <f>INDEX(Products!$B$2:$B$37, MATCH(D1182, Products!$A$2:$A$37, 0))</f>
        <v>Women's Summer Dress</v>
      </c>
      <c r="I1182" t="str">
        <f>INDEX(Products!$C$2:$C$37, MATCH(D1182, Products!$A$2:$A$37, 0))</f>
        <v>Fashion</v>
      </c>
      <c r="J1182">
        <f>INDEX(Products!$E$2:$E$37, MATCH(D1182, Products!$A$2:$A$37, 0))</f>
        <v>120</v>
      </c>
      <c r="K1182" s="9">
        <f t="shared" si="72"/>
        <v>229</v>
      </c>
      <c r="L1182">
        <f t="shared" si="73"/>
        <v>120</v>
      </c>
      <c r="M1182" s="9">
        <f t="shared" si="74"/>
        <v>109</v>
      </c>
      <c r="N1182" t="str">
        <f t="shared" si="75"/>
        <v>Apr</v>
      </c>
    </row>
    <row r="1183" spans="1:14" x14ac:dyDescent="0.3">
      <c r="A1183" s="2" t="s">
        <v>1249</v>
      </c>
      <c r="B1183" s="6">
        <v>45760</v>
      </c>
      <c r="C1183" s="2" t="s">
        <v>41</v>
      </c>
      <c r="D1183" s="2" t="s">
        <v>165</v>
      </c>
      <c r="E1183" s="2">
        <v>2</v>
      </c>
      <c r="F1183" s="7">
        <v>69</v>
      </c>
      <c r="G1183" s="8">
        <v>0.1</v>
      </c>
      <c r="H1183" s="9" t="str">
        <f>INDEX(Products!$B$2:$B$37, MATCH(D1183, Products!$A$2:$A$37, 0))</f>
        <v>Swim Goggles</v>
      </c>
      <c r="I1183" t="str">
        <f>INDEX(Products!$C$2:$C$37, MATCH(D1183, Products!$A$2:$A$37, 0))</f>
        <v>Sports</v>
      </c>
      <c r="J1183">
        <f>INDEX(Products!$E$2:$E$37, MATCH(D1183, Products!$A$2:$A$37, 0))</f>
        <v>25</v>
      </c>
      <c r="K1183" s="9">
        <f t="shared" si="72"/>
        <v>124.2</v>
      </c>
      <c r="L1183">
        <f t="shared" si="73"/>
        <v>50</v>
      </c>
      <c r="M1183" s="9">
        <f t="shared" si="74"/>
        <v>74.2</v>
      </c>
      <c r="N1183" t="str">
        <f t="shared" si="75"/>
        <v>Apr</v>
      </c>
    </row>
    <row r="1184" spans="1:14" x14ac:dyDescent="0.3">
      <c r="A1184" s="2" t="s">
        <v>1250</v>
      </c>
      <c r="B1184" s="6">
        <v>45760</v>
      </c>
      <c r="C1184" s="2" t="s">
        <v>41</v>
      </c>
      <c r="D1184" s="2" t="s">
        <v>35</v>
      </c>
      <c r="E1184" s="2">
        <v>1</v>
      </c>
      <c r="F1184" s="7">
        <v>179</v>
      </c>
      <c r="G1184" s="8">
        <v>0.05</v>
      </c>
      <c r="H1184" s="9" t="str">
        <f>INDEX(Products!$B$2:$B$37, MATCH(D1184, Products!$A$2:$A$37, 0))</f>
        <v>Men's Linen Shirt</v>
      </c>
      <c r="I1184" t="str">
        <f>INDEX(Products!$C$2:$C$37, MATCH(D1184, Products!$A$2:$A$37, 0))</f>
        <v>Fashion</v>
      </c>
      <c r="J1184">
        <f>INDEX(Products!$E$2:$E$37, MATCH(D1184, Products!$A$2:$A$37, 0))</f>
        <v>70</v>
      </c>
      <c r="K1184" s="9">
        <f t="shared" si="72"/>
        <v>170.04999999999998</v>
      </c>
      <c r="L1184">
        <f t="shared" si="73"/>
        <v>70</v>
      </c>
      <c r="M1184" s="9">
        <f t="shared" si="74"/>
        <v>100.04999999999998</v>
      </c>
      <c r="N1184" t="str">
        <f t="shared" si="75"/>
        <v>Apr</v>
      </c>
    </row>
    <row r="1185" spans="1:14" x14ac:dyDescent="0.3">
      <c r="A1185" s="2" t="s">
        <v>1251</v>
      </c>
      <c r="B1185" s="6">
        <v>45760</v>
      </c>
      <c r="C1185" s="2" t="s">
        <v>41</v>
      </c>
      <c r="D1185" s="2" t="s">
        <v>78</v>
      </c>
      <c r="E1185" s="2">
        <v>1</v>
      </c>
      <c r="F1185" s="7">
        <v>499</v>
      </c>
      <c r="G1185" s="8">
        <v>0.05</v>
      </c>
      <c r="H1185" s="9" t="str">
        <f>INDEX(Products!$B$2:$B$37, MATCH(D1185, Products!$A$2:$A$37, 0))</f>
        <v>Air Fryer 5L</v>
      </c>
      <c r="I1185" t="str">
        <f>INDEX(Products!$C$2:$C$37, MATCH(D1185, Products!$A$2:$A$37, 0))</f>
        <v>Home &amp; Kitchen</v>
      </c>
      <c r="J1185">
        <f>INDEX(Products!$E$2:$E$37, MATCH(D1185, Products!$A$2:$A$37, 0))</f>
        <v>290</v>
      </c>
      <c r="K1185" s="9">
        <f t="shared" si="72"/>
        <v>474.04999999999995</v>
      </c>
      <c r="L1185">
        <f t="shared" si="73"/>
        <v>290</v>
      </c>
      <c r="M1185" s="9">
        <f t="shared" si="74"/>
        <v>184.04999999999995</v>
      </c>
      <c r="N1185" t="str">
        <f t="shared" si="75"/>
        <v>Apr</v>
      </c>
    </row>
    <row r="1186" spans="1:14" x14ac:dyDescent="0.3">
      <c r="A1186" s="2" t="s">
        <v>1252</v>
      </c>
      <c r="B1186" s="6">
        <v>45760</v>
      </c>
      <c r="C1186" s="2" t="s">
        <v>41</v>
      </c>
      <c r="D1186" s="2" t="s">
        <v>52</v>
      </c>
      <c r="E1186" s="2">
        <v>1</v>
      </c>
      <c r="F1186" s="7">
        <v>299</v>
      </c>
      <c r="G1186" s="8">
        <v>0.25</v>
      </c>
      <c r="H1186" s="9" t="str">
        <f>INDEX(Products!$B$2:$B$37, MATCH(D1186, Products!$A$2:$A$37, 0))</f>
        <v>Hair Dryer Ionic</v>
      </c>
      <c r="I1186" t="str">
        <f>INDEX(Products!$C$2:$C$37, MATCH(D1186, Products!$A$2:$A$37, 0))</f>
        <v>Beauty</v>
      </c>
      <c r="J1186">
        <f>INDEX(Products!$E$2:$E$37, MATCH(D1186, Products!$A$2:$A$37, 0))</f>
        <v>240</v>
      </c>
      <c r="K1186" s="9">
        <f t="shared" si="72"/>
        <v>224.25</v>
      </c>
      <c r="L1186">
        <f t="shared" si="73"/>
        <v>240</v>
      </c>
      <c r="M1186" s="9">
        <f t="shared" si="74"/>
        <v>-15.75</v>
      </c>
      <c r="N1186" t="str">
        <f t="shared" si="75"/>
        <v>Apr</v>
      </c>
    </row>
    <row r="1187" spans="1:14" x14ac:dyDescent="0.3">
      <c r="A1187" s="2" t="s">
        <v>1253</v>
      </c>
      <c r="B1187" s="6">
        <v>45760</v>
      </c>
      <c r="C1187" s="2" t="s">
        <v>44</v>
      </c>
      <c r="D1187" s="2" t="s">
        <v>80</v>
      </c>
      <c r="E1187" s="2">
        <v>1</v>
      </c>
      <c r="F1187" s="7">
        <v>149</v>
      </c>
      <c r="G1187" s="8">
        <v>0</v>
      </c>
      <c r="H1187" s="9" t="str">
        <f>INDEX(Products!$B$2:$B$37, MATCH(D1187, Products!$A$2:$A$37, 0))</f>
        <v>Vitamin C Serum</v>
      </c>
      <c r="I1187" t="str">
        <f>INDEX(Products!$C$2:$C$37, MATCH(D1187, Products!$A$2:$A$37, 0))</f>
        <v>Beauty</v>
      </c>
      <c r="J1187">
        <f>INDEX(Products!$E$2:$E$37, MATCH(D1187, Products!$A$2:$A$37, 0))</f>
        <v>55</v>
      </c>
      <c r="K1187" s="9">
        <f t="shared" si="72"/>
        <v>149</v>
      </c>
      <c r="L1187">
        <f t="shared" si="73"/>
        <v>55</v>
      </c>
      <c r="M1187" s="9">
        <f t="shared" si="74"/>
        <v>94</v>
      </c>
      <c r="N1187" t="str">
        <f t="shared" si="75"/>
        <v>Apr</v>
      </c>
    </row>
    <row r="1188" spans="1:14" x14ac:dyDescent="0.3">
      <c r="A1188" s="2" t="s">
        <v>1254</v>
      </c>
      <c r="B1188" s="6">
        <v>45760</v>
      </c>
      <c r="C1188" s="2" t="s">
        <v>28</v>
      </c>
      <c r="D1188" s="2" t="s">
        <v>103</v>
      </c>
      <c r="E1188" s="2">
        <v>1</v>
      </c>
      <c r="F1188" s="7">
        <v>89</v>
      </c>
      <c r="G1188" s="8">
        <v>0.1</v>
      </c>
      <c r="H1188" s="9" t="str">
        <f>INDEX(Products!$B$2:$B$37, MATCH(D1188, Products!$A$2:$A$37, 0))</f>
        <v>Sunscreen SPF50</v>
      </c>
      <c r="I1188" t="str">
        <f>INDEX(Products!$C$2:$C$37, MATCH(D1188, Products!$A$2:$A$37, 0))</f>
        <v>Beauty</v>
      </c>
      <c r="J1188">
        <f>INDEX(Products!$E$2:$E$37, MATCH(D1188, Products!$A$2:$A$37, 0))</f>
        <v>40</v>
      </c>
      <c r="K1188" s="9">
        <f t="shared" si="72"/>
        <v>80.100000000000009</v>
      </c>
      <c r="L1188">
        <f t="shared" si="73"/>
        <v>40</v>
      </c>
      <c r="M1188" s="9">
        <f t="shared" si="74"/>
        <v>40.100000000000009</v>
      </c>
      <c r="N1188" t="str">
        <f t="shared" si="75"/>
        <v>Apr</v>
      </c>
    </row>
    <row r="1189" spans="1:14" x14ac:dyDescent="0.3">
      <c r="A1189" s="2" t="s">
        <v>1255</v>
      </c>
      <c r="B1189" s="6">
        <v>45760</v>
      </c>
      <c r="C1189" s="2" t="s">
        <v>28</v>
      </c>
      <c r="D1189" s="2" t="s">
        <v>149</v>
      </c>
      <c r="E1189" s="2">
        <v>3</v>
      </c>
      <c r="F1189" s="7">
        <v>399</v>
      </c>
      <c r="G1189" s="8">
        <v>0.15</v>
      </c>
      <c r="H1189" s="9" t="str">
        <f>INDEX(Products!$B$2:$B$37, MATCH(D1189, Products!$A$2:$A$37, 0))</f>
        <v>Blender Pro 1200W</v>
      </c>
      <c r="I1189" t="str">
        <f>INDEX(Products!$C$2:$C$37, MATCH(D1189, Products!$A$2:$A$37, 0))</f>
        <v>Home &amp; Kitchen</v>
      </c>
      <c r="J1189">
        <f>INDEX(Products!$E$2:$E$37, MATCH(D1189, Products!$A$2:$A$37, 0))</f>
        <v>250</v>
      </c>
      <c r="K1189" s="9">
        <f t="shared" si="72"/>
        <v>1017.4499999999999</v>
      </c>
      <c r="L1189">
        <f t="shared" si="73"/>
        <v>750</v>
      </c>
      <c r="M1189" s="9">
        <f t="shared" si="74"/>
        <v>267.44999999999993</v>
      </c>
      <c r="N1189" t="str">
        <f t="shared" si="75"/>
        <v>Apr</v>
      </c>
    </row>
    <row r="1190" spans="1:14" x14ac:dyDescent="0.3">
      <c r="A1190" s="2" t="s">
        <v>1256</v>
      </c>
      <c r="B1190" s="6">
        <v>45760</v>
      </c>
      <c r="C1190" s="2" t="s">
        <v>41</v>
      </c>
      <c r="D1190" s="2" t="s">
        <v>35</v>
      </c>
      <c r="E1190" s="2">
        <v>3</v>
      </c>
      <c r="F1190" s="7">
        <v>179</v>
      </c>
      <c r="G1190" s="8">
        <v>0.2</v>
      </c>
      <c r="H1190" s="9" t="str">
        <f>INDEX(Products!$B$2:$B$37, MATCH(D1190, Products!$A$2:$A$37, 0))</f>
        <v>Men's Linen Shirt</v>
      </c>
      <c r="I1190" t="str">
        <f>INDEX(Products!$C$2:$C$37, MATCH(D1190, Products!$A$2:$A$37, 0))</f>
        <v>Fashion</v>
      </c>
      <c r="J1190">
        <f>INDEX(Products!$E$2:$E$37, MATCH(D1190, Products!$A$2:$A$37, 0))</f>
        <v>70</v>
      </c>
      <c r="K1190" s="9">
        <f t="shared" si="72"/>
        <v>429.6</v>
      </c>
      <c r="L1190">
        <f t="shared" si="73"/>
        <v>210</v>
      </c>
      <c r="M1190" s="9">
        <f t="shared" si="74"/>
        <v>219.60000000000002</v>
      </c>
      <c r="N1190" t="str">
        <f t="shared" si="75"/>
        <v>Apr</v>
      </c>
    </row>
    <row r="1191" spans="1:14" x14ac:dyDescent="0.3">
      <c r="A1191" s="2" t="s">
        <v>1257</v>
      </c>
      <c r="B1191" s="6">
        <v>45760</v>
      </c>
      <c r="C1191" s="2" t="s">
        <v>28</v>
      </c>
      <c r="D1191" s="2" t="s">
        <v>49</v>
      </c>
      <c r="E1191" s="2">
        <v>1</v>
      </c>
      <c r="F1191" s="7">
        <v>149</v>
      </c>
      <c r="G1191" s="8">
        <v>0.2</v>
      </c>
      <c r="H1191" s="9" t="str">
        <f>INDEX(Products!$B$2:$B$37, MATCH(D1191, Products!$A$2:$A$37, 0))</f>
        <v>Kids' Sneakers</v>
      </c>
      <c r="I1191" t="str">
        <f>INDEX(Products!$C$2:$C$37, MATCH(D1191, Products!$A$2:$A$37, 0))</f>
        <v>Fashion</v>
      </c>
      <c r="J1191">
        <f>INDEX(Products!$E$2:$E$37, MATCH(D1191, Products!$A$2:$A$37, 0))</f>
        <v>80</v>
      </c>
      <c r="K1191" s="9">
        <f t="shared" si="72"/>
        <v>119.2</v>
      </c>
      <c r="L1191">
        <f t="shared" si="73"/>
        <v>80</v>
      </c>
      <c r="M1191" s="9">
        <f t="shared" si="74"/>
        <v>39.200000000000003</v>
      </c>
      <c r="N1191" t="str">
        <f t="shared" si="75"/>
        <v>Apr</v>
      </c>
    </row>
    <row r="1192" spans="1:14" x14ac:dyDescent="0.3">
      <c r="A1192" s="2" t="s">
        <v>1258</v>
      </c>
      <c r="B1192" s="6">
        <v>45761</v>
      </c>
      <c r="C1192" s="2" t="s">
        <v>44</v>
      </c>
      <c r="D1192" s="2" t="s">
        <v>58</v>
      </c>
      <c r="E1192" s="2">
        <v>2</v>
      </c>
      <c r="F1192" s="7">
        <v>459</v>
      </c>
      <c r="G1192" s="8">
        <v>0</v>
      </c>
      <c r="H1192" s="9" t="str">
        <f>INDEX(Products!$B$2:$B$37, MATCH(D1192, Products!$A$2:$A$37, 0))</f>
        <v>Women's Abaya Classic</v>
      </c>
      <c r="I1192" t="str">
        <f>INDEX(Products!$C$2:$C$37, MATCH(D1192, Products!$A$2:$A$37, 0))</f>
        <v>Fashion</v>
      </c>
      <c r="J1192">
        <f>INDEX(Products!$E$2:$E$37, MATCH(D1192, Products!$A$2:$A$37, 0))</f>
        <v>190</v>
      </c>
      <c r="K1192" s="9">
        <f t="shared" si="72"/>
        <v>918</v>
      </c>
      <c r="L1192">
        <f t="shared" si="73"/>
        <v>380</v>
      </c>
      <c r="M1192" s="9">
        <f t="shared" si="74"/>
        <v>538</v>
      </c>
      <c r="N1192" t="str">
        <f t="shared" si="75"/>
        <v>Apr</v>
      </c>
    </row>
    <row r="1193" spans="1:14" x14ac:dyDescent="0.3">
      <c r="A1193" s="2" t="s">
        <v>1259</v>
      </c>
      <c r="B1193" s="6">
        <v>45761</v>
      </c>
      <c r="C1193" s="2" t="s">
        <v>31</v>
      </c>
      <c r="D1193" s="2" t="s">
        <v>89</v>
      </c>
      <c r="E1193" s="2">
        <v>3</v>
      </c>
      <c r="F1193" s="7">
        <v>399</v>
      </c>
      <c r="G1193" s="8">
        <v>0.1</v>
      </c>
      <c r="H1193" s="9" t="str">
        <f>INDEX(Products!$B$2:$B$37, MATCH(D1193, Products!$A$2:$A$37, 0))</f>
        <v>Men's Kandura Premium</v>
      </c>
      <c r="I1193" t="str">
        <f>INDEX(Products!$C$2:$C$37, MATCH(D1193, Products!$A$2:$A$37, 0))</f>
        <v>Fashion</v>
      </c>
      <c r="J1193">
        <f>INDEX(Products!$E$2:$E$37, MATCH(D1193, Products!$A$2:$A$37, 0))</f>
        <v>210</v>
      </c>
      <c r="K1193" s="9">
        <f t="shared" si="72"/>
        <v>1077.3</v>
      </c>
      <c r="L1193">
        <f t="shared" si="73"/>
        <v>630</v>
      </c>
      <c r="M1193" s="9">
        <f t="shared" si="74"/>
        <v>447.29999999999995</v>
      </c>
      <c r="N1193" t="str">
        <f t="shared" si="75"/>
        <v>Apr</v>
      </c>
    </row>
    <row r="1194" spans="1:14" x14ac:dyDescent="0.3">
      <c r="A1194" s="2" t="s">
        <v>1260</v>
      </c>
      <c r="B1194" s="6">
        <v>45761</v>
      </c>
      <c r="C1194" s="2" t="s">
        <v>48</v>
      </c>
      <c r="D1194" s="2" t="s">
        <v>131</v>
      </c>
      <c r="E1194" s="2">
        <v>2</v>
      </c>
      <c r="F1194" s="7">
        <v>899</v>
      </c>
      <c r="G1194" s="8">
        <v>0</v>
      </c>
      <c r="H1194" s="9" t="str">
        <f>INDEX(Products!$B$2:$B$37, MATCH(D1194, Products!$A$2:$A$37, 0))</f>
        <v>4K Action Camera</v>
      </c>
      <c r="I1194" t="str">
        <f>INDEX(Products!$C$2:$C$37, MATCH(D1194, Products!$A$2:$A$37, 0))</f>
        <v>Electronics</v>
      </c>
      <c r="J1194">
        <f>INDEX(Products!$E$2:$E$37, MATCH(D1194, Products!$A$2:$A$37, 0))</f>
        <v>610</v>
      </c>
      <c r="K1194" s="9">
        <f t="shared" si="72"/>
        <v>1798</v>
      </c>
      <c r="L1194">
        <f t="shared" si="73"/>
        <v>1220</v>
      </c>
      <c r="M1194" s="9">
        <f t="shared" si="74"/>
        <v>578</v>
      </c>
      <c r="N1194" t="str">
        <f t="shared" si="75"/>
        <v>Apr</v>
      </c>
    </row>
    <row r="1195" spans="1:14" x14ac:dyDescent="0.3">
      <c r="A1195" s="2" t="s">
        <v>1261</v>
      </c>
      <c r="B1195" s="6">
        <v>45761</v>
      </c>
      <c r="C1195" s="2" t="s">
        <v>44</v>
      </c>
      <c r="D1195" s="2" t="s">
        <v>99</v>
      </c>
      <c r="E1195" s="2">
        <v>4</v>
      </c>
      <c r="F1195" s="7">
        <v>459</v>
      </c>
      <c r="G1195" s="8">
        <v>0.2</v>
      </c>
      <c r="H1195" s="9" t="str">
        <f>INDEX(Products!$B$2:$B$37, MATCH(D1195, Products!$A$2:$A$37, 0))</f>
        <v>Gaming Headset X</v>
      </c>
      <c r="I1195" t="str">
        <f>INDEX(Products!$C$2:$C$37, MATCH(D1195, Products!$A$2:$A$37, 0))</f>
        <v>Electronics</v>
      </c>
      <c r="J1195">
        <f>INDEX(Products!$E$2:$E$37, MATCH(D1195, Products!$A$2:$A$37, 0))</f>
        <v>300</v>
      </c>
      <c r="K1195" s="9">
        <f t="shared" si="72"/>
        <v>1468.8000000000002</v>
      </c>
      <c r="L1195">
        <f t="shared" si="73"/>
        <v>1200</v>
      </c>
      <c r="M1195" s="9">
        <f t="shared" si="74"/>
        <v>268.80000000000018</v>
      </c>
      <c r="N1195" t="str">
        <f t="shared" si="75"/>
        <v>Apr</v>
      </c>
    </row>
    <row r="1196" spans="1:14" x14ac:dyDescent="0.3">
      <c r="A1196" s="2" t="s">
        <v>1262</v>
      </c>
      <c r="B1196" s="6">
        <v>45761</v>
      </c>
      <c r="C1196" s="2" t="s">
        <v>31</v>
      </c>
      <c r="D1196" s="2" t="s">
        <v>68</v>
      </c>
      <c r="E1196" s="2">
        <v>1</v>
      </c>
      <c r="F1196" s="7">
        <v>249</v>
      </c>
      <c r="G1196" s="8">
        <v>0</v>
      </c>
      <c r="H1196" s="9" t="str">
        <f>INDEX(Products!$B$2:$B$37, MATCH(D1196, Products!$A$2:$A$37, 0))</f>
        <v>Bluetooth Speaker Mini</v>
      </c>
      <c r="I1196" t="str">
        <f>INDEX(Products!$C$2:$C$37, MATCH(D1196, Products!$A$2:$A$37, 0))</f>
        <v>Electronics</v>
      </c>
      <c r="J1196">
        <f>INDEX(Products!$E$2:$E$37, MATCH(D1196, Products!$A$2:$A$37, 0))</f>
        <v>150</v>
      </c>
      <c r="K1196" s="9">
        <f t="shared" si="72"/>
        <v>249</v>
      </c>
      <c r="L1196">
        <f t="shared" si="73"/>
        <v>150</v>
      </c>
      <c r="M1196" s="9">
        <f t="shared" si="74"/>
        <v>99</v>
      </c>
      <c r="N1196" t="str">
        <f t="shared" si="75"/>
        <v>Apr</v>
      </c>
    </row>
    <row r="1197" spans="1:14" x14ac:dyDescent="0.3">
      <c r="A1197" s="2" t="s">
        <v>1263</v>
      </c>
      <c r="B1197" s="6">
        <v>45761</v>
      </c>
      <c r="C1197" s="2" t="s">
        <v>28</v>
      </c>
      <c r="D1197" s="2" t="s">
        <v>33</v>
      </c>
      <c r="E1197" s="2">
        <v>4</v>
      </c>
      <c r="F1197" s="7">
        <v>199</v>
      </c>
      <c r="G1197" s="8">
        <v>0.1</v>
      </c>
      <c r="H1197" s="9" t="str">
        <f>INDEX(Products!$B$2:$B$37, MATCH(D1197, Products!$A$2:$A$37, 0))</f>
        <v>Fitness Band Lite</v>
      </c>
      <c r="I1197" t="str">
        <f>INDEX(Products!$C$2:$C$37, MATCH(D1197, Products!$A$2:$A$37, 0))</f>
        <v>Electronics</v>
      </c>
      <c r="J1197">
        <f>INDEX(Products!$E$2:$E$37, MATCH(D1197, Products!$A$2:$A$37, 0))</f>
        <v>175</v>
      </c>
      <c r="K1197" s="9">
        <f t="shared" si="72"/>
        <v>716.4</v>
      </c>
      <c r="L1197">
        <f t="shared" si="73"/>
        <v>700</v>
      </c>
      <c r="M1197" s="9">
        <f t="shared" si="74"/>
        <v>16.399999999999977</v>
      </c>
      <c r="N1197" t="str">
        <f t="shared" si="75"/>
        <v>Apr</v>
      </c>
    </row>
    <row r="1198" spans="1:14" x14ac:dyDescent="0.3">
      <c r="A1198" s="2" t="s">
        <v>1264</v>
      </c>
      <c r="B1198" s="6">
        <v>45761</v>
      </c>
      <c r="C1198" s="2" t="s">
        <v>41</v>
      </c>
      <c r="D1198" s="2" t="s">
        <v>75</v>
      </c>
      <c r="E1198" s="2">
        <v>1</v>
      </c>
      <c r="F1198" s="7">
        <v>549</v>
      </c>
      <c r="G1198" s="8">
        <v>0</v>
      </c>
      <c r="H1198" s="9" t="str">
        <f>INDEX(Products!$B$2:$B$37, MATCH(D1198, Products!$A$2:$A$37, 0))</f>
        <v>Oud Perfume 100ml</v>
      </c>
      <c r="I1198" t="str">
        <f>INDEX(Products!$C$2:$C$37, MATCH(D1198, Products!$A$2:$A$37, 0))</f>
        <v>Beauty</v>
      </c>
      <c r="J1198">
        <f>INDEX(Products!$E$2:$E$37, MATCH(D1198, Products!$A$2:$A$37, 0))</f>
        <v>250</v>
      </c>
      <c r="K1198" s="9">
        <f t="shared" si="72"/>
        <v>549</v>
      </c>
      <c r="L1198">
        <f t="shared" si="73"/>
        <v>250</v>
      </c>
      <c r="M1198" s="9">
        <f t="shared" si="74"/>
        <v>299</v>
      </c>
      <c r="N1198" t="str">
        <f t="shared" si="75"/>
        <v>Apr</v>
      </c>
    </row>
    <row r="1199" spans="1:14" x14ac:dyDescent="0.3">
      <c r="A1199" s="2" t="s">
        <v>1265</v>
      </c>
      <c r="B1199" s="6">
        <v>45761</v>
      </c>
      <c r="C1199" s="2" t="s">
        <v>44</v>
      </c>
      <c r="D1199" s="2" t="s">
        <v>52</v>
      </c>
      <c r="E1199" s="2">
        <v>1</v>
      </c>
      <c r="F1199" s="7">
        <v>299</v>
      </c>
      <c r="G1199" s="8">
        <v>0.1</v>
      </c>
      <c r="H1199" s="9" t="str">
        <f>INDEX(Products!$B$2:$B$37, MATCH(D1199, Products!$A$2:$A$37, 0))</f>
        <v>Hair Dryer Ionic</v>
      </c>
      <c r="I1199" t="str">
        <f>INDEX(Products!$C$2:$C$37, MATCH(D1199, Products!$A$2:$A$37, 0))</f>
        <v>Beauty</v>
      </c>
      <c r="J1199">
        <f>INDEX(Products!$E$2:$E$37, MATCH(D1199, Products!$A$2:$A$37, 0))</f>
        <v>240</v>
      </c>
      <c r="K1199" s="9">
        <f t="shared" si="72"/>
        <v>269.10000000000002</v>
      </c>
      <c r="L1199">
        <f t="shared" si="73"/>
        <v>240</v>
      </c>
      <c r="M1199" s="9">
        <f t="shared" si="74"/>
        <v>29.100000000000023</v>
      </c>
      <c r="N1199" t="str">
        <f t="shared" si="75"/>
        <v>Apr</v>
      </c>
    </row>
    <row r="1200" spans="1:14" x14ac:dyDescent="0.3">
      <c r="A1200" s="2" t="s">
        <v>1266</v>
      </c>
      <c r="B1200" s="6">
        <v>45761</v>
      </c>
      <c r="C1200" s="2" t="s">
        <v>31</v>
      </c>
      <c r="D1200" s="2" t="s">
        <v>52</v>
      </c>
      <c r="E1200" s="2">
        <v>1</v>
      </c>
      <c r="F1200" s="7">
        <v>299</v>
      </c>
      <c r="G1200" s="8">
        <v>0.1</v>
      </c>
      <c r="H1200" s="9" t="str">
        <f>INDEX(Products!$B$2:$B$37, MATCH(D1200, Products!$A$2:$A$37, 0))</f>
        <v>Hair Dryer Ionic</v>
      </c>
      <c r="I1200" t="str">
        <f>INDEX(Products!$C$2:$C$37, MATCH(D1200, Products!$A$2:$A$37, 0))</f>
        <v>Beauty</v>
      </c>
      <c r="J1200">
        <f>INDEX(Products!$E$2:$E$37, MATCH(D1200, Products!$A$2:$A$37, 0))</f>
        <v>240</v>
      </c>
      <c r="K1200" s="9">
        <f t="shared" si="72"/>
        <v>269.10000000000002</v>
      </c>
      <c r="L1200">
        <f t="shared" si="73"/>
        <v>240</v>
      </c>
      <c r="M1200" s="9">
        <f t="shared" si="74"/>
        <v>29.100000000000023</v>
      </c>
      <c r="N1200" t="str">
        <f t="shared" si="75"/>
        <v>Apr</v>
      </c>
    </row>
    <row r="1201" spans="1:14" x14ac:dyDescent="0.3">
      <c r="A1201" s="2" t="s">
        <v>1267</v>
      </c>
      <c r="B1201" s="6">
        <v>45761</v>
      </c>
      <c r="C1201" s="2" t="s">
        <v>41</v>
      </c>
      <c r="D1201" s="2" t="s">
        <v>46</v>
      </c>
      <c r="E1201" s="2">
        <v>2</v>
      </c>
      <c r="F1201" s="7">
        <v>189</v>
      </c>
      <c r="G1201" s="8">
        <v>0</v>
      </c>
      <c r="H1201" s="9" t="str">
        <f>INDEX(Products!$B$2:$B$37, MATCH(D1201, Products!$A$2:$A$37, 0))</f>
        <v>Makeup Palette</v>
      </c>
      <c r="I1201" t="str">
        <f>INDEX(Products!$C$2:$C$37, MATCH(D1201, Products!$A$2:$A$37, 0))</f>
        <v>Beauty</v>
      </c>
      <c r="J1201">
        <f>INDEX(Products!$E$2:$E$37, MATCH(D1201, Products!$A$2:$A$37, 0))</f>
        <v>85</v>
      </c>
      <c r="K1201" s="9">
        <f t="shared" si="72"/>
        <v>378</v>
      </c>
      <c r="L1201">
        <f t="shared" si="73"/>
        <v>170</v>
      </c>
      <c r="M1201" s="9">
        <f t="shared" si="74"/>
        <v>208</v>
      </c>
      <c r="N1201" t="str">
        <f t="shared" si="75"/>
        <v>Apr</v>
      </c>
    </row>
    <row r="1202" spans="1:14" x14ac:dyDescent="0.3">
      <c r="A1202" s="2" t="s">
        <v>1268</v>
      </c>
      <c r="B1202" s="6">
        <v>45761</v>
      </c>
      <c r="C1202" s="2" t="s">
        <v>44</v>
      </c>
      <c r="D1202" s="2" t="s">
        <v>165</v>
      </c>
      <c r="E1202" s="2">
        <v>1</v>
      </c>
      <c r="F1202" s="7">
        <v>69</v>
      </c>
      <c r="G1202" s="8">
        <v>0</v>
      </c>
      <c r="H1202" s="9" t="str">
        <f>INDEX(Products!$B$2:$B$37, MATCH(D1202, Products!$A$2:$A$37, 0))</f>
        <v>Swim Goggles</v>
      </c>
      <c r="I1202" t="str">
        <f>INDEX(Products!$C$2:$C$37, MATCH(D1202, Products!$A$2:$A$37, 0))</f>
        <v>Sports</v>
      </c>
      <c r="J1202">
        <f>INDEX(Products!$E$2:$E$37, MATCH(D1202, Products!$A$2:$A$37, 0))</f>
        <v>25</v>
      </c>
      <c r="K1202" s="9">
        <f t="shared" si="72"/>
        <v>69</v>
      </c>
      <c r="L1202">
        <f t="shared" si="73"/>
        <v>25</v>
      </c>
      <c r="M1202" s="9">
        <f t="shared" si="74"/>
        <v>44</v>
      </c>
      <c r="N1202" t="str">
        <f t="shared" si="75"/>
        <v>Apr</v>
      </c>
    </row>
    <row r="1203" spans="1:14" x14ac:dyDescent="0.3">
      <c r="A1203" s="2" t="s">
        <v>1269</v>
      </c>
      <c r="B1203" s="6">
        <v>45761</v>
      </c>
      <c r="C1203" s="2" t="s">
        <v>28</v>
      </c>
      <c r="D1203" s="2" t="s">
        <v>129</v>
      </c>
      <c r="E1203" s="2">
        <v>2</v>
      </c>
      <c r="F1203" s="7">
        <v>149</v>
      </c>
      <c r="G1203" s="8">
        <v>0.05</v>
      </c>
      <c r="H1203" s="9" t="str">
        <f>INDEX(Products!$B$2:$B$37, MATCH(D1203, Products!$A$2:$A$37, 0))</f>
        <v>Power Bank 20000mAh</v>
      </c>
      <c r="I1203" t="str">
        <f>INDEX(Products!$C$2:$C$37, MATCH(D1203, Products!$A$2:$A$37, 0))</f>
        <v>Electronics</v>
      </c>
      <c r="J1203">
        <f>INDEX(Products!$E$2:$E$37, MATCH(D1203, Products!$A$2:$A$37, 0))</f>
        <v>70</v>
      </c>
      <c r="K1203" s="9">
        <f t="shared" si="72"/>
        <v>283.09999999999997</v>
      </c>
      <c r="L1203">
        <f t="shared" si="73"/>
        <v>140</v>
      </c>
      <c r="M1203" s="9">
        <f t="shared" si="74"/>
        <v>143.09999999999997</v>
      </c>
      <c r="N1203" t="str">
        <f t="shared" si="75"/>
        <v>Apr</v>
      </c>
    </row>
    <row r="1204" spans="1:14" x14ac:dyDescent="0.3">
      <c r="A1204" s="2" t="s">
        <v>1270</v>
      </c>
      <c r="B1204" s="6">
        <v>45761</v>
      </c>
      <c r="C1204" s="2" t="s">
        <v>31</v>
      </c>
      <c r="D1204" s="2" t="s">
        <v>46</v>
      </c>
      <c r="E1204" s="2">
        <v>1</v>
      </c>
      <c r="F1204" s="7">
        <v>189</v>
      </c>
      <c r="G1204" s="8">
        <v>0</v>
      </c>
      <c r="H1204" s="9" t="str">
        <f>INDEX(Products!$B$2:$B$37, MATCH(D1204, Products!$A$2:$A$37, 0))</f>
        <v>Makeup Palette</v>
      </c>
      <c r="I1204" t="str">
        <f>INDEX(Products!$C$2:$C$37, MATCH(D1204, Products!$A$2:$A$37, 0))</f>
        <v>Beauty</v>
      </c>
      <c r="J1204">
        <f>INDEX(Products!$E$2:$E$37, MATCH(D1204, Products!$A$2:$A$37, 0))</f>
        <v>85</v>
      </c>
      <c r="K1204" s="9">
        <f t="shared" si="72"/>
        <v>189</v>
      </c>
      <c r="L1204">
        <f t="shared" si="73"/>
        <v>85</v>
      </c>
      <c r="M1204" s="9">
        <f t="shared" si="74"/>
        <v>104</v>
      </c>
      <c r="N1204" t="str">
        <f t="shared" si="75"/>
        <v>Apr</v>
      </c>
    </row>
    <row r="1205" spans="1:14" x14ac:dyDescent="0.3">
      <c r="A1205" s="2" t="s">
        <v>1271</v>
      </c>
      <c r="B1205" s="6">
        <v>45762</v>
      </c>
      <c r="C1205" s="2" t="s">
        <v>44</v>
      </c>
      <c r="D1205" s="2" t="s">
        <v>80</v>
      </c>
      <c r="E1205" s="2">
        <v>1</v>
      </c>
      <c r="F1205" s="7">
        <v>149</v>
      </c>
      <c r="G1205" s="8">
        <v>0</v>
      </c>
      <c r="H1205" s="9" t="str">
        <f>INDEX(Products!$B$2:$B$37, MATCH(D1205, Products!$A$2:$A$37, 0))</f>
        <v>Vitamin C Serum</v>
      </c>
      <c r="I1205" t="str">
        <f>INDEX(Products!$C$2:$C$37, MATCH(D1205, Products!$A$2:$A$37, 0))</f>
        <v>Beauty</v>
      </c>
      <c r="J1205">
        <f>INDEX(Products!$E$2:$E$37, MATCH(D1205, Products!$A$2:$A$37, 0))</f>
        <v>55</v>
      </c>
      <c r="K1205" s="9">
        <f t="shared" si="72"/>
        <v>149</v>
      </c>
      <c r="L1205">
        <f t="shared" si="73"/>
        <v>55</v>
      </c>
      <c r="M1205" s="9">
        <f t="shared" si="74"/>
        <v>94</v>
      </c>
      <c r="N1205" t="str">
        <f t="shared" si="75"/>
        <v>Apr</v>
      </c>
    </row>
    <row r="1206" spans="1:14" x14ac:dyDescent="0.3">
      <c r="A1206" s="2" t="s">
        <v>1272</v>
      </c>
      <c r="B1206" s="6">
        <v>45762</v>
      </c>
      <c r="C1206" s="2" t="s">
        <v>41</v>
      </c>
      <c r="D1206" s="2" t="s">
        <v>33</v>
      </c>
      <c r="E1206" s="2">
        <v>2</v>
      </c>
      <c r="F1206" s="7">
        <v>199</v>
      </c>
      <c r="G1206" s="8">
        <v>0.1</v>
      </c>
      <c r="H1206" s="9" t="str">
        <f>INDEX(Products!$B$2:$B$37, MATCH(D1206, Products!$A$2:$A$37, 0))</f>
        <v>Fitness Band Lite</v>
      </c>
      <c r="I1206" t="str">
        <f>INDEX(Products!$C$2:$C$37, MATCH(D1206, Products!$A$2:$A$37, 0))</f>
        <v>Electronics</v>
      </c>
      <c r="J1206">
        <f>INDEX(Products!$E$2:$E$37, MATCH(D1206, Products!$A$2:$A$37, 0))</f>
        <v>175</v>
      </c>
      <c r="K1206" s="9">
        <f t="shared" si="72"/>
        <v>358.2</v>
      </c>
      <c r="L1206">
        <f t="shared" si="73"/>
        <v>350</v>
      </c>
      <c r="M1206" s="9">
        <f t="shared" si="74"/>
        <v>8.1999999999999886</v>
      </c>
      <c r="N1206" t="str">
        <f t="shared" si="75"/>
        <v>Apr</v>
      </c>
    </row>
    <row r="1207" spans="1:14" x14ac:dyDescent="0.3">
      <c r="A1207" s="2" t="s">
        <v>1273</v>
      </c>
      <c r="B1207" s="6">
        <v>45762</v>
      </c>
      <c r="C1207" s="2" t="s">
        <v>28</v>
      </c>
      <c r="D1207" s="2" t="s">
        <v>39</v>
      </c>
      <c r="E1207" s="2">
        <v>1</v>
      </c>
      <c r="F1207" s="7">
        <v>199</v>
      </c>
      <c r="G1207" s="8">
        <v>0</v>
      </c>
      <c r="H1207" s="9" t="str">
        <f>INDEX(Products!$B$2:$B$37, MATCH(D1207, Products!$A$2:$A$37, 0))</f>
        <v>Bakhoor Gift Set</v>
      </c>
      <c r="I1207" t="str">
        <f>INDEX(Products!$C$2:$C$37, MATCH(D1207, Products!$A$2:$A$37, 0))</f>
        <v>Beauty</v>
      </c>
      <c r="J1207">
        <f>INDEX(Products!$E$2:$E$37, MATCH(D1207, Products!$A$2:$A$37, 0))</f>
        <v>90</v>
      </c>
      <c r="K1207" s="9">
        <f t="shared" si="72"/>
        <v>199</v>
      </c>
      <c r="L1207">
        <f t="shared" si="73"/>
        <v>90</v>
      </c>
      <c r="M1207" s="9">
        <f t="shared" si="74"/>
        <v>109</v>
      </c>
      <c r="N1207" t="str">
        <f t="shared" si="75"/>
        <v>Apr</v>
      </c>
    </row>
    <row r="1208" spans="1:14" x14ac:dyDescent="0.3">
      <c r="A1208" s="2" t="s">
        <v>1274</v>
      </c>
      <c r="B1208" s="6">
        <v>45762</v>
      </c>
      <c r="C1208" s="2" t="s">
        <v>28</v>
      </c>
      <c r="D1208" s="2" t="s">
        <v>194</v>
      </c>
      <c r="E1208" s="2">
        <v>1</v>
      </c>
      <c r="F1208" s="7">
        <v>699</v>
      </c>
      <c r="G1208" s="8">
        <v>0</v>
      </c>
      <c r="H1208" s="9" t="str">
        <f>INDEX(Products!$B$2:$B$37, MATCH(D1208, Products!$A$2:$A$37, 0))</f>
        <v>Leather Handbag</v>
      </c>
      <c r="I1208" t="str">
        <f>INDEX(Products!$C$2:$C$37, MATCH(D1208, Products!$A$2:$A$37, 0))</f>
        <v>Fashion</v>
      </c>
      <c r="J1208">
        <f>INDEX(Products!$E$2:$E$37, MATCH(D1208, Products!$A$2:$A$37, 0))</f>
        <v>380</v>
      </c>
      <c r="K1208" s="9">
        <f t="shared" si="72"/>
        <v>699</v>
      </c>
      <c r="L1208">
        <f t="shared" si="73"/>
        <v>380</v>
      </c>
      <c r="M1208" s="9">
        <f t="shared" si="74"/>
        <v>319</v>
      </c>
      <c r="N1208" t="str">
        <f t="shared" si="75"/>
        <v>Apr</v>
      </c>
    </row>
    <row r="1209" spans="1:14" x14ac:dyDescent="0.3">
      <c r="A1209" s="2" t="s">
        <v>1275</v>
      </c>
      <c r="B1209" s="6">
        <v>45762</v>
      </c>
      <c r="C1209" s="2" t="s">
        <v>28</v>
      </c>
      <c r="D1209" s="2" t="s">
        <v>37</v>
      </c>
      <c r="E1209" s="2">
        <v>1</v>
      </c>
      <c r="F1209" s="7">
        <v>249</v>
      </c>
      <c r="G1209" s="8">
        <v>0</v>
      </c>
      <c r="H1209" s="9" t="str">
        <f>INDEX(Products!$B$2:$B$37, MATCH(D1209, Products!$A$2:$A$37, 0))</f>
        <v>Sunglasses Polarised</v>
      </c>
      <c r="I1209" t="str">
        <f>INDEX(Products!$C$2:$C$37, MATCH(D1209, Products!$A$2:$A$37, 0))</f>
        <v>Fashion</v>
      </c>
      <c r="J1209">
        <f>INDEX(Products!$E$2:$E$37, MATCH(D1209, Products!$A$2:$A$37, 0))</f>
        <v>95</v>
      </c>
      <c r="K1209" s="9">
        <f t="shared" si="72"/>
        <v>249</v>
      </c>
      <c r="L1209">
        <f t="shared" si="73"/>
        <v>95</v>
      </c>
      <c r="M1209" s="9">
        <f t="shared" si="74"/>
        <v>154</v>
      </c>
      <c r="N1209" t="str">
        <f t="shared" si="75"/>
        <v>Apr</v>
      </c>
    </row>
    <row r="1210" spans="1:14" x14ac:dyDescent="0.3">
      <c r="A1210" s="2" t="s">
        <v>1276</v>
      </c>
      <c r="B1210" s="6">
        <v>45762</v>
      </c>
      <c r="C1210" s="2" t="s">
        <v>28</v>
      </c>
      <c r="D1210" s="2" t="s">
        <v>113</v>
      </c>
      <c r="E1210" s="2">
        <v>1</v>
      </c>
      <c r="F1210" s="7">
        <v>1199</v>
      </c>
      <c r="G1210" s="8">
        <v>0.2</v>
      </c>
      <c r="H1210" s="9" t="str">
        <f>INDEX(Products!$B$2:$B$37, MATCH(D1210, Products!$A$2:$A$37, 0))</f>
        <v>Robot Vacuum S3</v>
      </c>
      <c r="I1210" t="str">
        <f>INDEX(Products!$C$2:$C$37, MATCH(D1210, Products!$A$2:$A$37, 0))</f>
        <v>Home &amp; Kitchen</v>
      </c>
      <c r="J1210">
        <f>INDEX(Products!$E$2:$E$37, MATCH(D1210, Products!$A$2:$A$37, 0))</f>
        <v>1080</v>
      </c>
      <c r="K1210" s="9">
        <f t="shared" si="72"/>
        <v>959.2</v>
      </c>
      <c r="L1210">
        <f t="shared" si="73"/>
        <v>1080</v>
      </c>
      <c r="M1210" s="9">
        <f t="shared" si="74"/>
        <v>-120.79999999999995</v>
      </c>
      <c r="N1210" t="str">
        <f t="shared" si="75"/>
        <v>Apr</v>
      </c>
    </row>
    <row r="1211" spans="1:14" x14ac:dyDescent="0.3">
      <c r="A1211" s="2" t="s">
        <v>1277</v>
      </c>
      <c r="B1211" s="6">
        <v>45762</v>
      </c>
      <c r="C1211" s="2" t="s">
        <v>41</v>
      </c>
      <c r="D1211" s="2" t="s">
        <v>35</v>
      </c>
      <c r="E1211" s="2">
        <v>3</v>
      </c>
      <c r="F1211" s="7">
        <v>179</v>
      </c>
      <c r="G1211" s="8">
        <v>0</v>
      </c>
      <c r="H1211" s="9" t="str">
        <f>INDEX(Products!$B$2:$B$37, MATCH(D1211, Products!$A$2:$A$37, 0))</f>
        <v>Men's Linen Shirt</v>
      </c>
      <c r="I1211" t="str">
        <f>INDEX(Products!$C$2:$C$37, MATCH(D1211, Products!$A$2:$A$37, 0))</f>
        <v>Fashion</v>
      </c>
      <c r="J1211">
        <f>INDEX(Products!$E$2:$E$37, MATCH(D1211, Products!$A$2:$A$37, 0))</f>
        <v>70</v>
      </c>
      <c r="K1211" s="9">
        <f t="shared" si="72"/>
        <v>537</v>
      </c>
      <c r="L1211">
        <f t="shared" si="73"/>
        <v>210</v>
      </c>
      <c r="M1211" s="9">
        <f t="shared" si="74"/>
        <v>327</v>
      </c>
      <c r="N1211" t="str">
        <f t="shared" si="75"/>
        <v>Apr</v>
      </c>
    </row>
    <row r="1212" spans="1:14" x14ac:dyDescent="0.3">
      <c r="A1212" s="2" t="s">
        <v>1278</v>
      </c>
      <c r="B1212" s="6">
        <v>45762</v>
      </c>
      <c r="C1212" s="2" t="s">
        <v>31</v>
      </c>
      <c r="D1212" s="2" t="s">
        <v>129</v>
      </c>
      <c r="E1212" s="2">
        <v>1</v>
      </c>
      <c r="F1212" s="7">
        <v>149</v>
      </c>
      <c r="G1212" s="8">
        <v>0</v>
      </c>
      <c r="H1212" s="9" t="str">
        <f>INDEX(Products!$B$2:$B$37, MATCH(D1212, Products!$A$2:$A$37, 0))</f>
        <v>Power Bank 20000mAh</v>
      </c>
      <c r="I1212" t="str">
        <f>INDEX(Products!$C$2:$C$37, MATCH(D1212, Products!$A$2:$A$37, 0))</f>
        <v>Electronics</v>
      </c>
      <c r="J1212">
        <f>INDEX(Products!$E$2:$E$37, MATCH(D1212, Products!$A$2:$A$37, 0))</f>
        <v>70</v>
      </c>
      <c r="K1212" s="9">
        <f t="shared" si="72"/>
        <v>149</v>
      </c>
      <c r="L1212">
        <f t="shared" si="73"/>
        <v>70</v>
      </c>
      <c r="M1212" s="9">
        <f t="shared" si="74"/>
        <v>79</v>
      </c>
      <c r="N1212" t="str">
        <f t="shared" si="75"/>
        <v>Apr</v>
      </c>
    </row>
    <row r="1213" spans="1:14" x14ac:dyDescent="0.3">
      <c r="A1213" s="2" t="s">
        <v>1279</v>
      </c>
      <c r="B1213" s="6">
        <v>45762</v>
      </c>
      <c r="C1213" s="2" t="s">
        <v>28</v>
      </c>
      <c r="D1213" s="2" t="s">
        <v>106</v>
      </c>
      <c r="E1213" s="2">
        <v>1</v>
      </c>
      <c r="F1213" s="7">
        <v>1299</v>
      </c>
      <c r="G1213" s="8">
        <v>0.1</v>
      </c>
      <c r="H1213" s="9" t="str">
        <f>INDEX(Products!$B$2:$B$37, MATCH(D1213, Products!$A$2:$A$37, 0))</f>
        <v>Smart Watch Series 5</v>
      </c>
      <c r="I1213" t="str">
        <f>INDEX(Products!$C$2:$C$37, MATCH(D1213, Products!$A$2:$A$37, 0))</f>
        <v>Electronics</v>
      </c>
      <c r="J1213">
        <f>INDEX(Products!$E$2:$E$37, MATCH(D1213, Products!$A$2:$A$37, 0))</f>
        <v>820</v>
      </c>
      <c r="K1213" s="9">
        <f t="shared" si="72"/>
        <v>1169.1000000000001</v>
      </c>
      <c r="L1213">
        <f t="shared" si="73"/>
        <v>820</v>
      </c>
      <c r="M1213" s="9">
        <f t="shared" si="74"/>
        <v>349.10000000000014</v>
      </c>
      <c r="N1213" t="str">
        <f t="shared" si="75"/>
        <v>Apr</v>
      </c>
    </row>
    <row r="1214" spans="1:14" x14ac:dyDescent="0.3">
      <c r="A1214" s="2" t="s">
        <v>1280</v>
      </c>
      <c r="B1214" s="6">
        <v>45762</v>
      </c>
      <c r="C1214" s="2" t="s">
        <v>41</v>
      </c>
      <c r="D1214" s="2" t="s">
        <v>68</v>
      </c>
      <c r="E1214" s="2">
        <v>1</v>
      </c>
      <c r="F1214" s="7">
        <v>249</v>
      </c>
      <c r="G1214" s="8">
        <v>0.1</v>
      </c>
      <c r="H1214" s="9" t="str">
        <f>INDEX(Products!$B$2:$B$37, MATCH(D1214, Products!$A$2:$A$37, 0))</f>
        <v>Bluetooth Speaker Mini</v>
      </c>
      <c r="I1214" t="str">
        <f>INDEX(Products!$C$2:$C$37, MATCH(D1214, Products!$A$2:$A$37, 0))</f>
        <v>Electronics</v>
      </c>
      <c r="J1214">
        <f>INDEX(Products!$E$2:$E$37, MATCH(D1214, Products!$A$2:$A$37, 0))</f>
        <v>150</v>
      </c>
      <c r="K1214" s="9">
        <f t="shared" si="72"/>
        <v>224.1</v>
      </c>
      <c r="L1214">
        <f t="shared" si="73"/>
        <v>150</v>
      </c>
      <c r="M1214" s="9">
        <f t="shared" si="74"/>
        <v>74.099999999999994</v>
      </c>
      <c r="N1214" t="str">
        <f t="shared" si="75"/>
        <v>Apr</v>
      </c>
    </row>
    <row r="1215" spans="1:14" x14ac:dyDescent="0.3">
      <c r="A1215" s="2" t="s">
        <v>1281</v>
      </c>
      <c r="B1215" s="6">
        <v>45762</v>
      </c>
      <c r="C1215" s="2" t="s">
        <v>41</v>
      </c>
      <c r="D1215" s="2" t="s">
        <v>194</v>
      </c>
      <c r="E1215" s="2">
        <v>1</v>
      </c>
      <c r="F1215" s="7">
        <v>699</v>
      </c>
      <c r="G1215" s="8">
        <v>0.1</v>
      </c>
      <c r="H1215" s="9" t="str">
        <f>INDEX(Products!$B$2:$B$37, MATCH(D1215, Products!$A$2:$A$37, 0))</f>
        <v>Leather Handbag</v>
      </c>
      <c r="I1215" t="str">
        <f>INDEX(Products!$C$2:$C$37, MATCH(D1215, Products!$A$2:$A$37, 0))</f>
        <v>Fashion</v>
      </c>
      <c r="J1215">
        <f>INDEX(Products!$E$2:$E$37, MATCH(D1215, Products!$A$2:$A$37, 0))</f>
        <v>380</v>
      </c>
      <c r="K1215" s="9">
        <f t="shared" si="72"/>
        <v>629.1</v>
      </c>
      <c r="L1215">
        <f t="shared" si="73"/>
        <v>380</v>
      </c>
      <c r="M1215" s="9">
        <f t="shared" si="74"/>
        <v>249.10000000000002</v>
      </c>
      <c r="N1215" t="str">
        <f t="shared" si="75"/>
        <v>Apr</v>
      </c>
    </row>
    <row r="1216" spans="1:14" x14ac:dyDescent="0.3">
      <c r="A1216" s="2" t="s">
        <v>1282</v>
      </c>
      <c r="B1216" s="6">
        <v>45762</v>
      </c>
      <c r="C1216" s="2" t="s">
        <v>31</v>
      </c>
      <c r="D1216" s="2" t="s">
        <v>49</v>
      </c>
      <c r="E1216" s="2">
        <v>2</v>
      </c>
      <c r="F1216" s="7">
        <v>149</v>
      </c>
      <c r="G1216" s="8">
        <v>0</v>
      </c>
      <c r="H1216" s="9" t="str">
        <f>INDEX(Products!$B$2:$B$37, MATCH(D1216, Products!$A$2:$A$37, 0))</f>
        <v>Kids' Sneakers</v>
      </c>
      <c r="I1216" t="str">
        <f>INDEX(Products!$C$2:$C$37, MATCH(D1216, Products!$A$2:$A$37, 0))</f>
        <v>Fashion</v>
      </c>
      <c r="J1216">
        <f>INDEX(Products!$E$2:$E$37, MATCH(D1216, Products!$A$2:$A$37, 0))</f>
        <v>80</v>
      </c>
      <c r="K1216" s="9">
        <f t="shared" si="72"/>
        <v>298</v>
      </c>
      <c r="L1216">
        <f t="shared" si="73"/>
        <v>160</v>
      </c>
      <c r="M1216" s="9">
        <f t="shared" si="74"/>
        <v>138</v>
      </c>
      <c r="N1216" t="str">
        <f t="shared" si="75"/>
        <v>Apr</v>
      </c>
    </row>
    <row r="1217" spans="1:14" x14ac:dyDescent="0.3">
      <c r="A1217" s="2" t="s">
        <v>1283</v>
      </c>
      <c r="B1217" s="6">
        <v>45762</v>
      </c>
      <c r="C1217" s="2" t="s">
        <v>44</v>
      </c>
      <c r="D1217" s="2" t="s">
        <v>115</v>
      </c>
      <c r="E1217" s="2">
        <v>1</v>
      </c>
      <c r="F1217" s="7">
        <v>129</v>
      </c>
      <c r="G1217" s="8">
        <v>0.05</v>
      </c>
      <c r="H1217" s="9" t="str">
        <f>INDEX(Products!$B$2:$B$37, MATCH(D1217, Products!$A$2:$A$37, 0))</f>
        <v>Electric Kettle</v>
      </c>
      <c r="I1217" t="str">
        <f>INDEX(Products!$C$2:$C$37, MATCH(D1217, Products!$A$2:$A$37, 0))</f>
        <v>Home &amp; Kitchen</v>
      </c>
      <c r="J1217">
        <f>INDEX(Products!$E$2:$E$37, MATCH(D1217, Products!$A$2:$A$37, 0))</f>
        <v>60</v>
      </c>
      <c r="K1217" s="9">
        <f t="shared" si="72"/>
        <v>122.55</v>
      </c>
      <c r="L1217">
        <f t="shared" si="73"/>
        <v>60</v>
      </c>
      <c r="M1217" s="9">
        <f t="shared" si="74"/>
        <v>62.55</v>
      </c>
      <c r="N1217" t="str">
        <f t="shared" si="75"/>
        <v>Apr</v>
      </c>
    </row>
    <row r="1218" spans="1:14" x14ac:dyDescent="0.3">
      <c r="A1218" s="2" t="s">
        <v>1284</v>
      </c>
      <c r="B1218" s="6">
        <v>45762</v>
      </c>
      <c r="C1218" s="2" t="s">
        <v>48</v>
      </c>
      <c r="D1218" s="2" t="s">
        <v>126</v>
      </c>
      <c r="E1218" s="2">
        <v>4</v>
      </c>
      <c r="F1218" s="7">
        <v>89</v>
      </c>
      <c r="G1218" s="8">
        <v>0.15</v>
      </c>
      <c r="H1218" s="9" t="str">
        <f>INDEX(Products!$B$2:$B$37, MATCH(D1218, Products!$A$2:$A$37, 0))</f>
        <v>USB-C Fast Charger</v>
      </c>
      <c r="I1218" t="str">
        <f>INDEX(Products!$C$2:$C$37, MATCH(D1218, Products!$A$2:$A$37, 0))</f>
        <v>Electronics</v>
      </c>
      <c r="J1218">
        <f>INDEX(Products!$E$2:$E$37, MATCH(D1218, Products!$A$2:$A$37, 0))</f>
        <v>35</v>
      </c>
      <c r="K1218" s="9">
        <f t="shared" ref="K1218:K1281" si="76">E1218*F1218*(1-G1218)</f>
        <v>302.59999999999997</v>
      </c>
      <c r="L1218">
        <f t="shared" ref="L1218:L1281" si="77">E1218*J1218</f>
        <v>140</v>
      </c>
      <c r="M1218" s="9">
        <f t="shared" ref="M1218:M1281" si="78">K1218-L1218</f>
        <v>162.59999999999997</v>
      </c>
      <c r="N1218" t="str">
        <f t="shared" ref="N1218:N1281" si="79">TEXT(B1218,"mmm")</f>
        <v>Apr</v>
      </c>
    </row>
    <row r="1219" spans="1:14" x14ac:dyDescent="0.3">
      <c r="A1219" s="2" t="s">
        <v>1285</v>
      </c>
      <c r="B1219" s="6">
        <v>45762</v>
      </c>
      <c r="C1219" s="2" t="s">
        <v>48</v>
      </c>
      <c r="D1219" s="2" t="s">
        <v>109</v>
      </c>
      <c r="E1219" s="2">
        <v>1</v>
      </c>
      <c r="F1219" s="7">
        <v>1499</v>
      </c>
      <c r="G1219" s="8">
        <v>0.05</v>
      </c>
      <c r="H1219" s="9" t="str">
        <f>INDEX(Products!$B$2:$B$37, MATCH(D1219, Products!$A$2:$A$37, 0))</f>
        <v>Espresso Machine</v>
      </c>
      <c r="I1219" t="str">
        <f>INDEX(Products!$C$2:$C$37, MATCH(D1219, Products!$A$2:$A$37, 0))</f>
        <v>Home &amp; Kitchen</v>
      </c>
      <c r="J1219">
        <f>INDEX(Products!$E$2:$E$37, MATCH(D1219, Products!$A$2:$A$37, 0))</f>
        <v>1050</v>
      </c>
      <c r="K1219" s="9">
        <f t="shared" si="76"/>
        <v>1424.05</v>
      </c>
      <c r="L1219">
        <f t="shared" si="77"/>
        <v>1050</v>
      </c>
      <c r="M1219" s="9">
        <f t="shared" si="78"/>
        <v>374.04999999999995</v>
      </c>
      <c r="N1219" t="str">
        <f t="shared" si="79"/>
        <v>Apr</v>
      </c>
    </row>
    <row r="1220" spans="1:14" x14ac:dyDescent="0.3">
      <c r="A1220" s="2" t="s">
        <v>1286</v>
      </c>
      <c r="B1220" s="6">
        <v>45762</v>
      </c>
      <c r="C1220" s="2" t="s">
        <v>41</v>
      </c>
      <c r="D1220" s="2" t="s">
        <v>131</v>
      </c>
      <c r="E1220" s="2">
        <v>3</v>
      </c>
      <c r="F1220" s="7">
        <v>899</v>
      </c>
      <c r="G1220" s="8">
        <v>0</v>
      </c>
      <c r="H1220" s="9" t="str">
        <f>INDEX(Products!$B$2:$B$37, MATCH(D1220, Products!$A$2:$A$37, 0))</f>
        <v>4K Action Camera</v>
      </c>
      <c r="I1220" t="str">
        <f>INDEX(Products!$C$2:$C$37, MATCH(D1220, Products!$A$2:$A$37, 0))</f>
        <v>Electronics</v>
      </c>
      <c r="J1220">
        <f>INDEX(Products!$E$2:$E$37, MATCH(D1220, Products!$A$2:$A$37, 0))</f>
        <v>610</v>
      </c>
      <c r="K1220" s="9">
        <f t="shared" si="76"/>
        <v>2697</v>
      </c>
      <c r="L1220">
        <f t="shared" si="77"/>
        <v>1830</v>
      </c>
      <c r="M1220" s="9">
        <f t="shared" si="78"/>
        <v>867</v>
      </c>
      <c r="N1220" t="str">
        <f t="shared" si="79"/>
        <v>Apr</v>
      </c>
    </row>
    <row r="1221" spans="1:14" x14ac:dyDescent="0.3">
      <c r="A1221" s="2" t="s">
        <v>1287</v>
      </c>
      <c r="B1221" s="6">
        <v>45762</v>
      </c>
      <c r="C1221" s="2" t="s">
        <v>31</v>
      </c>
      <c r="D1221" s="2" t="s">
        <v>115</v>
      </c>
      <c r="E1221" s="2">
        <v>1</v>
      </c>
      <c r="F1221" s="7">
        <v>129</v>
      </c>
      <c r="G1221" s="8">
        <v>0</v>
      </c>
      <c r="H1221" s="9" t="str">
        <f>INDEX(Products!$B$2:$B$37, MATCH(D1221, Products!$A$2:$A$37, 0))</f>
        <v>Electric Kettle</v>
      </c>
      <c r="I1221" t="str">
        <f>INDEX(Products!$C$2:$C$37, MATCH(D1221, Products!$A$2:$A$37, 0))</f>
        <v>Home &amp; Kitchen</v>
      </c>
      <c r="J1221">
        <f>INDEX(Products!$E$2:$E$37, MATCH(D1221, Products!$A$2:$A$37, 0))</f>
        <v>60</v>
      </c>
      <c r="K1221" s="9">
        <f t="shared" si="76"/>
        <v>129</v>
      </c>
      <c r="L1221">
        <f t="shared" si="77"/>
        <v>60</v>
      </c>
      <c r="M1221" s="9">
        <f t="shared" si="78"/>
        <v>69</v>
      </c>
      <c r="N1221" t="str">
        <f t="shared" si="79"/>
        <v>Apr</v>
      </c>
    </row>
    <row r="1222" spans="1:14" x14ac:dyDescent="0.3">
      <c r="A1222" s="2" t="s">
        <v>1288</v>
      </c>
      <c r="B1222" s="6">
        <v>45763</v>
      </c>
      <c r="C1222" s="2" t="s">
        <v>41</v>
      </c>
      <c r="D1222" s="2" t="s">
        <v>103</v>
      </c>
      <c r="E1222" s="2">
        <v>1</v>
      </c>
      <c r="F1222" s="7">
        <v>89</v>
      </c>
      <c r="G1222" s="8">
        <v>0.05</v>
      </c>
      <c r="H1222" s="9" t="str">
        <f>INDEX(Products!$B$2:$B$37, MATCH(D1222, Products!$A$2:$A$37, 0))</f>
        <v>Sunscreen SPF50</v>
      </c>
      <c r="I1222" t="str">
        <f>INDEX(Products!$C$2:$C$37, MATCH(D1222, Products!$A$2:$A$37, 0))</f>
        <v>Beauty</v>
      </c>
      <c r="J1222">
        <f>INDEX(Products!$E$2:$E$37, MATCH(D1222, Products!$A$2:$A$37, 0))</f>
        <v>40</v>
      </c>
      <c r="K1222" s="9">
        <f t="shared" si="76"/>
        <v>84.55</v>
      </c>
      <c r="L1222">
        <f t="shared" si="77"/>
        <v>40</v>
      </c>
      <c r="M1222" s="9">
        <f t="shared" si="78"/>
        <v>44.55</v>
      </c>
      <c r="N1222" t="str">
        <f t="shared" si="79"/>
        <v>Apr</v>
      </c>
    </row>
    <row r="1223" spans="1:14" x14ac:dyDescent="0.3">
      <c r="A1223" s="2" t="s">
        <v>1289</v>
      </c>
      <c r="B1223" s="6">
        <v>45763</v>
      </c>
      <c r="C1223" s="2" t="s">
        <v>28</v>
      </c>
      <c r="D1223" s="2" t="s">
        <v>129</v>
      </c>
      <c r="E1223" s="2">
        <v>2</v>
      </c>
      <c r="F1223" s="7">
        <v>149</v>
      </c>
      <c r="G1223" s="8">
        <v>0.1</v>
      </c>
      <c r="H1223" s="9" t="str">
        <f>INDEX(Products!$B$2:$B$37, MATCH(D1223, Products!$A$2:$A$37, 0))</f>
        <v>Power Bank 20000mAh</v>
      </c>
      <c r="I1223" t="str">
        <f>INDEX(Products!$C$2:$C$37, MATCH(D1223, Products!$A$2:$A$37, 0))</f>
        <v>Electronics</v>
      </c>
      <c r="J1223">
        <f>INDEX(Products!$E$2:$E$37, MATCH(D1223, Products!$A$2:$A$37, 0))</f>
        <v>70</v>
      </c>
      <c r="K1223" s="9">
        <f t="shared" si="76"/>
        <v>268.2</v>
      </c>
      <c r="L1223">
        <f t="shared" si="77"/>
        <v>140</v>
      </c>
      <c r="M1223" s="9">
        <f t="shared" si="78"/>
        <v>128.19999999999999</v>
      </c>
      <c r="N1223" t="str">
        <f t="shared" si="79"/>
        <v>Apr</v>
      </c>
    </row>
    <row r="1224" spans="1:14" x14ac:dyDescent="0.3">
      <c r="A1224" s="2" t="s">
        <v>1290</v>
      </c>
      <c r="B1224" s="6">
        <v>45763</v>
      </c>
      <c r="C1224" s="2" t="s">
        <v>48</v>
      </c>
      <c r="D1224" s="2" t="s">
        <v>39</v>
      </c>
      <c r="E1224" s="2">
        <v>1</v>
      </c>
      <c r="F1224" s="7">
        <v>199</v>
      </c>
      <c r="G1224" s="8">
        <v>0.05</v>
      </c>
      <c r="H1224" s="9" t="str">
        <f>INDEX(Products!$B$2:$B$37, MATCH(D1224, Products!$A$2:$A$37, 0))</f>
        <v>Bakhoor Gift Set</v>
      </c>
      <c r="I1224" t="str">
        <f>INDEX(Products!$C$2:$C$37, MATCH(D1224, Products!$A$2:$A$37, 0))</f>
        <v>Beauty</v>
      </c>
      <c r="J1224">
        <f>INDEX(Products!$E$2:$E$37, MATCH(D1224, Products!$A$2:$A$37, 0))</f>
        <v>90</v>
      </c>
      <c r="K1224" s="9">
        <f t="shared" si="76"/>
        <v>189.04999999999998</v>
      </c>
      <c r="L1224">
        <f t="shared" si="77"/>
        <v>90</v>
      </c>
      <c r="M1224" s="9">
        <f t="shared" si="78"/>
        <v>99.049999999999983</v>
      </c>
      <c r="N1224" t="str">
        <f t="shared" si="79"/>
        <v>Apr</v>
      </c>
    </row>
    <row r="1225" spans="1:14" x14ac:dyDescent="0.3">
      <c r="A1225" s="2" t="s">
        <v>1291</v>
      </c>
      <c r="B1225" s="6">
        <v>45763</v>
      </c>
      <c r="C1225" s="2" t="s">
        <v>48</v>
      </c>
      <c r="D1225" s="2" t="s">
        <v>149</v>
      </c>
      <c r="E1225" s="2">
        <v>2</v>
      </c>
      <c r="F1225" s="7">
        <v>399</v>
      </c>
      <c r="G1225" s="8">
        <v>0.2</v>
      </c>
      <c r="H1225" s="9" t="str">
        <f>INDEX(Products!$B$2:$B$37, MATCH(D1225, Products!$A$2:$A$37, 0))</f>
        <v>Blender Pro 1200W</v>
      </c>
      <c r="I1225" t="str">
        <f>INDEX(Products!$C$2:$C$37, MATCH(D1225, Products!$A$2:$A$37, 0))</f>
        <v>Home &amp; Kitchen</v>
      </c>
      <c r="J1225">
        <f>INDEX(Products!$E$2:$E$37, MATCH(D1225, Products!$A$2:$A$37, 0))</f>
        <v>250</v>
      </c>
      <c r="K1225" s="9">
        <f t="shared" si="76"/>
        <v>638.40000000000009</v>
      </c>
      <c r="L1225">
        <f t="shared" si="77"/>
        <v>500</v>
      </c>
      <c r="M1225" s="9">
        <f t="shared" si="78"/>
        <v>138.40000000000009</v>
      </c>
      <c r="N1225" t="str">
        <f t="shared" si="79"/>
        <v>Apr</v>
      </c>
    </row>
    <row r="1226" spans="1:14" x14ac:dyDescent="0.3">
      <c r="A1226" s="2" t="s">
        <v>1292</v>
      </c>
      <c r="B1226" s="6">
        <v>45763</v>
      </c>
      <c r="C1226" s="2" t="s">
        <v>44</v>
      </c>
      <c r="D1226" s="2" t="s">
        <v>52</v>
      </c>
      <c r="E1226" s="2">
        <v>1</v>
      </c>
      <c r="F1226" s="7">
        <v>299</v>
      </c>
      <c r="G1226" s="8">
        <v>0.15</v>
      </c>
      <c r="H1226" s="9" t="str">
        <f>INDEX(Products!$B$2:$B$37, MATCH(D1226, Products!$A$2:$A$37, 0))</f>
        <v>Hair Dryer Ionic</v>
      </c>
      <c r="I1226" t="str">
        <f>INDEX(Products!$C$2:$C$37, MATCH(D1226, Products!$A$2:$A$37, 0))</f>
        <v>Beauty</v>
      </c>
      <c r="J1226">
        <f>INDEX(Products!$E$2:$E$37, MATCH(D1226, Products!$A$2:$A$37, 0))</f>
        <v>240</v>
      </c>
      <c r="K1226" s="9">
        <f t="shared" si="76"/>
        <v>254.15</v>
      </c>
      <c r="L1226">
        <f t="shared" si="77"/>
        <v>240</v>
      </c>
      <c r="M1226" s="9">
        <f t="shared" si="78"/>
        <v>14.150000000000006</v>
      </c>
      <c r="N1226" t="str">
        <f t="shared" si="79"/>
        <v>Apr</v>
      </c>
    </row>
    <row r="1227" spans="1:14" x14ac:dyDescent="0.3">
      <c r="A1227" s="2" t="s">
        <v>1293</v>
      </c>
      <c r="B1227" s="6">
        <v>45763</v>
      </c>
      <c r="C1227" s="2" t="s">
        <v>28</v>
      </c>
      <c r="D1227" s="2" t="s">
        <v>194</v>
      </c>
      <c r="E1227" s="2">
        <v>3</v>
      </c>
      <c r="F1227" s="7">
        <v>699</v>
      </c>
      <c r="G1227" s="8">
        <v>0.1</v>
      </c>
      <c r="H1227" s="9" t="str">
        <f>INDEX(Products!$B$2:$B$37, MATCH(D1227, Products!$A$2:$A$37, 0))</f>
        <v>Leather Handbag</v>
      </c>
      <c r="I1227" t="str">
        <f>INDEX(Products!$C$2:$C$37, MATCH(D1227, Products!$A$2:$A$37, 0))</f>
        <v>Fashion</v>
      </c>
      <c r="J1227">
        <f>INDEX(Products!$E$2:$E$37, MATCH(D1227, Products!$A$2:$A$37, 0))</f>
        <v>380</v>
      </c>
      <c r="K1227" s="9">
        <f t="shared" si="76"/>
        <v>1887.3</v>
      </c>
      <c r="L1227">
        <f t="shared" si="77"/>
        <v>1140</v>
      </c>
      <c r="M1227" s="9">
        <f t="shared" si="78"/>
        <v>747.3</v>
      </c>
      <c r="N1227" t="str">
        <f t="shared" si="79"/>
        <v>Apr</v>
      </c>
    </row>
    <row r="1228" spans="1:14" x14ac:dyDescent="0.3">
      <c r="A1228" s="2" t="s">
        <v>1294</v>
      </c>
      <c r="B1228" s="6">
        <v>45763</v>
      </c>
      <c r="C1228" s="2" t="s">
        <v>41</v>
      </c>
      <c r="D1228" s="2" t="s">
        <v>131</v>
      </c>
      <c r="E1228" s="2">
        <v>1</v>
      </c>
      <c r="F1228" s="7">
        <v>899</v>
      </c>
      <c r="G1228" s="8">
        <v>0</v>
      </c>
      <c r="H1228" s="9" t="str">
        <f>INDEX(Products!$B$2:$B$37, MATCH(D1228, Products!$A$2:$A$37, 0))</f>
        <v>4K Action Camera</v>
      </c>
      <c r="I1228" t="str">
        <f>INDEX(Products!$C$2:$C$37, MATCH(D1228, Products!$A$2:$A$37, 0))</f>
        <v>Electronics</v>
      </c>
      <c r="J1228">
        <f>INDEX(Products!$E$2:$E$37, MATCH(D1228, Products!$A$2:$A$37, 0))</f>
        <v>610</v>
      </c>
      <c r="K1228" s="9">
        <f t="shared" si="76"/>
        <v>899</v>
      </c>
      <c r="L1228">
        <f t="shared" si="77"/>
        <v>610</v>
      </c>
      <c r="M1228" s="9">
        <f t="shared" si="78"/>
        <v>289</v>
      </c>
      <c r="N1228" t="str">
        <f t="shared" si="79"/>
        <v>Apr</v>
      </c>
    </row>
    <row r="1229" spans="1:14" x14ac:dyDescent="0.3">
      <c r="A1229" s="2" t="s">
        <v>1295</v>
      </c>
      <c r="B1229" s="6">
        <v>45763</v>
      </c>
      <c r="C1229" s="2" t="s">
        <v>28</v>
      </c>
      <c r="D1229" s="2" t="s">
        <v>49</v>
      </c>
      <c r="E1229" s="2">
        <v>1</v>
      </c>
      <c r="F1229" s="7">
        <v>149</v>
      </c>
      <c r="G1229" s="8">
        <v>0</v>
      </c>
      <c r="H1229" s="9" t="str">
        <f>INDEX(Products!$B$2:$B$37, MATCH(D1229, Products!$A$2:$A$37, 0))</f>
        <v>Kids' Sneakers</v>
      </c>
      <c r="I1229" t="str">
        <f>INDEX(Products!$C$2:$C$37, MATCH(D1229, Products!$A$2:$A$37, 0))</f>
        <v>Fashion</v>
      </c>
      <c r="J1229">
        <f>INDEX(Products!$E$2:$E$37, MATCH(D1229, Products!$A$2:$A$37, 0))</f>
        <v>80</v>
      </c>
      <c r="K1229" s="9">
        <f t="shared" si="76"/>
        <v>149</v>
      </c>
      <c r="L1229">
        <f t="shared" si="77"/>
        <v>80</v>
      </c>
      <c r="M1229" s="9">
        <f t="shared" si="78"/>
        <v>69</v>
      </c>
      <c r="N1229" t="str">
        <f t="shared" si="79"/>
        <v>Apr</v>
      </c>
    </row>
    <row r="1230" spans="1:14" x14ac:dyDescent="0.3">
      <c r="A1230" s="2" t="s">
        <v>1296</v>
      </c>
      <c r="B1230" s="6">
        <v>45763</v>
      </c>
      <c r="C1230" s="2" t="s">
        <v>28</v>
      </c>
      <c r="D1230" s="2" t="s">
        <v>149</v>
      </c>
      <c r="E1230" s="2">
        <v>1</v>
      </c>
      <c r="F1230" s="7">
        <v>399</v>
      </c>
      <c r="G1230" s="8">
        <v>0.2</v>
      </c>
      <c r="H1230" s="9" t="str">
        <f>INDEX(Products!$B$2:$B$37, MATCH(D1230, Products!$A$2:$A$37, 0))</f>
        <v>Blender Pro 1200W</v>
      </c>
      <c r="I1230" t="str">
        <f>INDEX(Products!$C$2:$C$37, MATCH(D1230, Products!$A$2:$A$37, 0))</f>
        <v>Home &amp; Kitchen</v>
      </c>
      <c r="J1230">
        <f>INDEX(Products!$E$2:$E$37, MATCH(D1230, Products!$A$2:$A$37, 0))</f>
        <v>250</v>
      </c>
      <c r="K1230" s="9">
        <f t="shared" si="76"/>
        <v>319.20000000000005</v>
      </c>
      <c r="L1230">
        <f t="shared" si="77"/>
        <v>250</v>
      </c>
      <c r="M1230" s="9">
        <f t="shared" si="78"/>
        <v>69.200000000000045</v>
      </c>
      <c r="N1230" t="str">
        <f t="shared" si="79"/>
        <v>Apr</v>
      </c>
    </row>
    <row r="1231" spans="1:14" x14ac:dyDescent="0.3">
      <c r="A1231" s="2" t="s">
        <v>1297</v>
      </c>
      <c r="B1231" s="6">
        <v>45763</v>
      </c>
      <c r="C1231" s="2" t="s">
        <v>31</v>
      </c>
      <c r="D1231" s="2" t="s">
        <v>39</v>
      </c>
      <c r="E1231" s="2">
        <v>1</v>
      </c>
      <c r="F1231" s="7">
        <v>199</v>
      </c>
      <c r="G1231" s="8">
        <v>0.2</v>
      </c>
      <c r="H1231" s="9" t="str">
        <f>INDEX(Products!$B$2:$B$37, MATCH(D1231, Products!$A$2:$A$37, 0))</f>
        <v>Bakhoor Gift Set</v>
      </c>
      <c r="I1231" t="str">
        <f>INDEX(Products!$C$2:$C$37, MATCH(D1231, Products!$A$2:$A$37, 0))</f>
        <v>Beauty</v>
      </c>
      <c r="J1231">
        <f>INDEX(Products!$E$2:$E$37, MATCH(D1231, Products!$A$2:$A$37, 0))</f>
        <v>90</v>
      </c>
      <c r="K1231" s="9">
        <f t="shared" si="76"/>
        <v>159.20000000000002</v>
      </c>
      <c r="L1231">
        <f t="shared" si="77"/>
        <v>90</v>
      </c>
      <c r="M1231" s="9">
        <f t="shared" si="78"/>
        <v>69.200000000000017</v>
      </c>
      <c r="N1231" t="str">
        <f t="shared" si="79"/>
        <v>Apr</v>
      </c>
    </row>
    <row r="1232" spans="1:14" x14ac:dyDescent="0.3">
      <c r="A1232" s="2" t="s">
        <v>1298</v>
      </c>
      <c r="B1232" s="6">
        <v>45763</v>
      </c>
      <c r="C1232" s="2" t="s">
        <v>28</v>
      </c>
      <c r="D1232" s="2" t="s">
        <v>52</v>
      </c>
      <c r="E1232" s="2">
        <v>1</v>
      </c>
      <c r="F1232" s="7">
        <v>299</v>
      </c>
      <c r="G1232" s="8">
        <v>0.25</v>
      </c>
      <c r="H1232" s="9" t="str">
        <f>INDEX(Products!$B$2:$B$37, MATCH(D1232, Products!$A$2:$A$37, 0))</f>
        <v>Hair Dryer Ionic</v>
      </c>
      <c r="I1232" t="str">
        <f>INDEX(Products!$C$2:$C$37, MATCH(D1232, Products!$A$2:$A$37, 0))</f>
        <v>Beauty</v>
      </c>
      <c r="J1232">
        <f>INDEX(Products!$E$2:$E$37, MATCH(D1232, Products!$A$2:$A$37, 0))</f>
        <v>240</v>
      </c>
      <c r="K1232" s="9">
        <f t="shared" si="76"/>
        <v>224.25</v>
      </c>
      <c r="L1232">
        <f t="shared" si="77"/>
        <v>240</v>
      </c>
      <c r="M1232" s="9">
        <f t="shared" si="78"/>
        <v>-15.75</v>
      </c>
      <c r="N1232" t="str">
        <f t="shared" si="79"/>
        <v>Apr</v>
      </c>
    </row>
    <row r="1233" spans="1:14" x14ac:dyDescent="0.3">
      <c r="A1233" s="2" t="s">
        <v>1299</v>
      </c>
      <c r="B1233" s="6">
        <v>45763</v>
      </c>
      <c r="C1233" s="2" t="s">
        <v>44</v>
      </c>
      <c r="D1233" s="2" t="s">
        <v>56</v>
      </c>
      <c r="E1233" s="2">
        <v>1</v>
      </c>
      <c r="F1233" s="7">
        <v>289</v>
      </c>
      <c r="G1233" s="8">
        <v>0</v>
      </c>
      <c r="H1233" s="9" t="str">
        <f>INDEX(Products!$B$2:$B$37, MATCH(D1233, Products!$A$2:$A$37, 0))</f>
        <v>Ceramic Dinner Set</v>
      </c>
      <c r="I1233" t="str">
        <f>INDEX(Products!$C$2:$C$37, MATCH(D1233, Products!$A$2:$A$37, 0))</f>
        <v>Home &amp; Kitchen</v>
      </c>
      <c r="J1233">
        <f>INDEX(Products!$E$2:$E$37, MATCH(D1233, Products!$A$2:$A$37, 0))</f>
        <v>140</v>
      </c>
      <c r="K1233" s="9">
        <f t="shared" si="76"/>
        <v>289</v>
      </c>
      <c r="L1233">
        <f t="shared" si="77"/>
        <v>140</v>
      </c>
      <c r="M1233" s="9">
        <f t="shared" si="78"/>
        <v>149</v>
      </c>
      <c r="N1233" t="str">
        <f t="shared" si="79"/>
        <v>Apr</v>
      </c>
    </row>
    <row r="1234" spans="1:14" x14ac:dyDescent="0.3">
      <c r="A1234" s="2" t="s">
        <v>1300</v>
      </c>
      <c r="B1234" s="6">
        <v>45764</v>
      </c>
      <c r="C1234" s="2" t="s">
        <v>31</v>
      </c>
      <c r="D1234" s="2" t="s">
        <v>29</v>
      </c>
      <c r="E1234" s="2">
        <v>4</v>
      </c>
      <c r="F1234" s="7">
        <v>229</v>
      </c>
      <c r="G1234" s="8">
        <v>0.15</v>
      </c>
      <c r="H1234" s="9" t="str">
        <f>INDEX(Products!$B$2:$B$37, MATCH(D1234, Products!$A$2:$A$37, 0))</f>
        <v>Women's Summer Dress</v>
      </c>
      <c r="I1234" t="str">
        <f>INDEX(Products!$C$2:$C$37, MATCH(D1234, Products!$A$2:$A$37, 0))</f>
        <v>Fashion</v>
      </c>
      <c r="J1234">
        <f>INDEX(Products!$E$2:$E$37, MATCH(D1234, Products!$A$2:$A$37, 0))</f>
        <v>120</v>
      </c>
      <c r="K1234" s="9">
        <f t="shared" si="76"/>
        <v>778.6</v>
      </c>
      <c r="L1234">
        <f t="shared" si="77"/>
        <v>480</v>
      </c>
      <c r="M1234" s="9">
        <f t="shared" si="78"/>
        <v>298.60000000000002</v>
      </c>
      <c r="N1234" t="str">
        <f t="shared" si="79"/>
        <v>Apr</v>
      </c>
    </row>
    <row r="1235" spans="1:14" x14ac:dyDescent="0.3">
      <c r="A1235" s="2" t="s">
        <v>1301</v>
      </c>
      <c r="B1235" s="6">
        <v>45764</v>
      </c>
      <c r="C1235" s="2" t="s">
        <v>31</v>
      </c>
      <c r="D1235" s="2" t="s">
        <v>56</v>
      </c>
      <c r="E1235" s="2">
        <v>1</v>
      </c>
      <c r="F1235" s="7">
        <v>289</v>
      </c>
      <c r="G1235" s="8">
        <v>0</v>
      </c>
      <c r="H1235" s="9" t="str">
        <f>INDEX(Products!$B$2:$B$37, MATCH(D1235, Products!$A$2:$A$37, 0))</f>
        <v>Ceramic Dinner Set</v>
      </c>
      <c r="I1235" t="str">
        <f>INDEX(Products!$C$2:$C$37, MATCH(D1235, Products!$A$2:$A$37, 0))</f>
        <v>Home &amp; Kitchen</v>
      </c>
      <c r="J1235">
        <f>INDEX(Products!$E$2:$E$37, MATCH(D1235, Products!$A$2:$A$37, 0))</f>
        <v>140</v>
      </c>
      <c r="K1235" s="9">
        <f t="shared" si="76"/>
        <v>289</v>
      </c>
      <c r="L1235">
        <f t="shared" si="77"/>
        <v>140</v>
      </c>
      <c r="M1235" s="9">
        <f t="shared" si="78"/>
        <v>149</v>
      </c>
      <c r="N1235" t="str">
        <f t="shared" si="79"/>
        <v>Apr</v>
      </c>
    </row>
    <row r="1236" spans="1:14" x14ac:dyDescent="0.3">
      <c r="A1236" s="2" t="s">
        <v>1302</v>
      </c>
      <c r="B1236" s="6">
        <v>45764</v>
      </c>
      <c r="C1236" s="2" t="s">
        <v>28</v>
      </c>
      <c r="D1236" s="2" t="s">
        <v>35</v>
      </c>
      <c r="E1236" s="2">
        <v>2</v>
      </c>
      <c r="F1236" s="7">
        <v>179</v>
      </c>
      <c r="G1236" s="8">
        <v>0</v>
      </c>
      <c r="H1236" s="9" t="str">
        <f>INDEX(Products!$B$2:$B$37, MATCH(D1236, Products!$A$2:$A$37, 0))</f>
        <v>Men's Linen Shirt</v>
      </c>
      <c r="I1236" t="str">
        <f>INDEX(Products!$C$2:$C$37, MATCH(D1236, Products!$A$2:$A$37, 0))</f>
        <v>Fashion</v>
      </c>
      <c r="J1236">
        <f>INDEX(Products!$E$2:$E$37, MATCH(D1236, Products!$A$2:$A$37, 0))</f>
        <v>70</v>
      </c>
      <c r="K1236" s="9">
        <f t="shared" si="76"/>
        <v>358</v>
      </c>
      <c r="L1236">
        <f t="shared" si="77"/>
        <v>140</v>
      </c>
      <c r="M1236" s="9">
        <f t="shared" si="78"/>
        <v>218</v>
      </c>
      <c r="N1236" t="str">
        <f t="shared" si="79"/>
        <v>Apr</v>
      </c>
    </row>
    <row r="1237" spans="1:14" x14ac:dyDescent="0.3">
      <c r="A1237" s="2" t="s">
        <v>1303</v>
      </c>
      <c r="B1237" s="6">
        <v>45764</v>
      </c>
      <c r="C1237" s="2" t="s">
        <v>41</v>
      </c>
      <c r="D1237" s="2" t="s">
        <v>99</v>
      </c>
      <c r="E1237" s="2">
        <v>4</v>
      </c>
      <c r="F1237" s="7">
        <v>459</v>
      </c>
      <c r="G1237" s="8">
        <v>0.1</v>
      </c>
      <c r="H1237" s="9" t="str">
        <f>INDEX(Products!$B$2:$B$37, MATCH(D1237, Products!$A$2:$A$37, 0))</f>
        <v>Gaming Headset X</v>
      </c>
      <c r="I1237" t="str">
        <f>INDEX(Products!$C$2:$C$37, MATCH(D1237, Products!$A$2:$A$37, 0))</f>
        <v>Electronics</v>
      </c>
      <c r="J1237">
        <f>INDEX(Products!$E$2:$E$37, MATCH(D1237, Products!$A$2:$A$37, 0))</f>
        <v>300</v>
      </c>
      <c r="K1237" s="9">
        <f t="shared" si="76"/>
        <v>1652.4</v>
      </c>
      <c r="L1237">
        <f t="shared" si="77"/>
        <v>1200</v>
      </c>
      <c r="M1237" s="9">
        <f t="shared" si="78"/>
        <v>452.40000000000009</v>
      </c>
      <c r="N1237" t="str">
        <f t="shared" si="79"/>
        <v>Apr</v>
      </c>
    </row>
    <row r="1238" spans="1:14" x14ac:dyDescent="0.3">
      <c r="A1238" s="2" t="s">
        <v>1304</v>
      </c>
      <c r="B1238" s="6">
        <v>45764</v>
      </c>
      <c r="C1238" s="2" t="s">
        <v>48</v>
      </c>
      <c r="D1238" s="2" t="s">
        <v>78</v>
      </c>
      <c r="E1238" s="2">
        <v>1</v>
      </c>
      <c r="F1238" s="7">
        <v>499</v>
      </c>
      <c r="G1238" s="8">
        <v>0</v>
      </c>
      <c r="H1238" s="9" t="str">
        <f>INDEX(Products!$B$2:$B$37, MATCH(D1238, Products!$A$2:$A$37, 0))</f>
        <v>Air Fryer 5L</v>
      </c>
      <c r="I1238" t="str">
        <f>INDEX(Products!$C$2:$C$37, MATCH(D1238, Products!$A$2:$A$37, 0))</f>
        <v>Home &amp; Kitchen</v>
      </c>
      <c r="J1238">
        <f>INDEX(Products!$E$2:$E$37, MATCH(D1238, Products!$A$2:$A$37, 0))</f>
        <v>290</v>
      </c>
      <c r="K1238" s="9">
        <f t="shared" si="76"/>
        <v>499</v>
      </c>
      <c r="L1238">
        <f t="shared" si="77"/>
        <v>290</v>
      </c>
      <c r="M1238" s="9">
        <f t="shared" si="78"/>
        <v>209</v>
      </c>
      <c r="N1238" t="str">
        <f t="shared" si="79"/>
        <v>Apr</v>
      </c>
    </row>
    <row r="1239" spans="1:14" x14ac:dyDescent="0.3">
      <c r="A1239" s="2" t="s">
        <v>1305</v>
      </c>
      <c r="B1239" s="6">
        <v>45764</v>
      </c>
      <c r="C1239" s="2" t="s">
        <v>31</v>
      </c>
      <c r="D1239" s="2" t="s">
        <v>29</v>
      </c>
      <c r="E1239" s="2">
        <v>1</v>
      </c>
      <c r="F1239" s="7">
        <v>229</v>
      </c>
      <c r="G1239" s="8">
        <v>0.05</v>
      </c>
      <c r="H1239" s="9" t="str">
        <f>INDEX(Products!$B$2:$B$37, MATCH(D1239, Products!$A$2:$A$37, 0))</f>
        <v>Women's Summer Dress</v>
      </c>
      <c r="I1239" t="str">
        <f>INDEX(Products!$C$2:$C$37, MATCH(D1239, Products!$A$2:$A$37, 0))</f>
        <v>Fashion</v>
      </c>
      <c r="J1239">
        <f>INDEX(Products!$E$2:$E$37, MATCH(D1239, Products!$A$2:$A$37, 0))</f>
        <v>120</v>
      </c>
      <c r="K1239" s="9">
        <f t="shared" si="76"/>
        <v>217.54999999999998</v>
      </c>
      <c r="L1239">
        <f t="shared" si="77"/>
        <v>120</v>
      </c>
      <c r="M1239" s="9">
        <f t="shared" si="78"/>
        <v>97.549999999999983</v>
      </c>
      <c r="N1239" t="str">
        <f t="shared" si="79"/>
        <v>Apr</v>
      </c>
    </row>
    <row r="1240" spans="1:14" x14ac:dyDescent="0.3">
      <c r="A1240" s="2" t="s">
        <v>1306</v>
      </c>
      <c r="B1240" s="6">
        <v>45764</v>
      </c>
      <c r="C1240" s="2" t="s">
        <v>48</v>
      </c>
      <c r="D1240" s="2" t="s">
        <v>46</v>
      </c>
      <c r="E1240" s="2">
        <v>2</v>
      </c>
      <c r="F1240" s="7">
        <v>189</v>
      </c>
      <c r="G1240" s="8">
        <v>0</v>
      </c>
      <c r="H1240" s="9" t="str">
        <f>INDEX(Products!$B$2:$B$37, MATCH(D1240, Products!$A$2:$A$37, 0))</f>
        <v>Makeup Palette</v>
      </c>
      <c r="I1240" t="str">
        <f>INDEX(Products!$C$2:$C$37, MATCH(D1240, Products!$A$2:$A$37, 0))</f>
        <v>Beauty</v>
      </c>
      <c r="J1240">
        <f>INDEX(Products!$E$2:$E$37, MATCH(D1240, Products!$A$2:$A$37, 0))</f>
        <v>85</v>
      </c>
      <c r="K1240" s="9">
        <f t="shared" si="76"/>
        <v>378</v>
      </c>
      <c r="L1240">
        <f t="shared" si="77"/>
        <v>170</v>
      </c>
      <c r="M1240" s="9">
        <f t="shared" si="78"/>
        <v>208</v>
      </c>
      <c r="N1240" t="str">
        <f t="shared" si="79"/>
        <v>Apr</v>
      </c>
    </row>
    <row r="1241" spans="1:14" x14ac:dyDescent="0.3">
      <c r="A1241" s="2" t="s">
        <v>1307</v>
      </c>
      <c r="B1241" s="6">
        <v>45764</v>
      </c>
      <c r="C1241" s="2" t="s">
        <v>48</v>
      </c>
      <c r="D1241" s="2" t="s">
        <v>131</v>
      </c>
      <c r="E1241" s="2">
        <v>2</v>
      </c>
      <c r="F1241" s="7">
        <v>899</v>
      </c>
      <c r="G1241" s="8">
        <v>0.2</v>
      </c>
      <c r="H1241" s="9" t="str">
        <f>INDEX(Products!$B$2:$B$37, MATCH(D1241, Products!$A$2:$A$37, 0))</f>
        <v>4K Action Camera</v>
      </c>
      <c r="I1241" t="str">
        <f>INDEX(Products!$C$2:$C$37, MATCH(D1241, Products!$A$2:$A$37, 0))</f>
        <v>Electronics</v>
      </c>
      <c r="J1241">
        <f>INDEX(Products!$E$2:$E$37, MATCH(D1241, Products!$A$2:$A$37, 0))</f>
        <v>610</v>
      </c>
      <c r="K1241" s="9">
        <f t="shared" si="76"/>
        <v>1438.4</v>
      </c>
      <c r="L1241">
        <f t="shared" si="77"/>
        <v>1220</v>
      </c>
      <c r="M1241" s="9">
        <f t="shared" si="78"/>
        <v>218.40000000000009</v>
      </c>
      <c r="N1241" t="str">
        <f t="shared" si="79"/>
        <v>Apr</v>
      </c>
    </row>
    <row r="1242" spans="1:14" x14ac:dyDescent="0.3">
      <c r="A1242" s="2" t="s">
        <v>1308</v>
      </c>
      <c r="B1242" s="6">
        <v>45764</v>
      </c>
      <c r="C1242" s="2" t="s">
        <v>44</v>
      </c>
      <c r="D1242" s="2" t="s">
        <v>113</v>
      </c>
      <c r="E1242" s="2">
        <v>2</v>
      </c>
      <c r="F1242" s="7">
        <v>1199</v>
      </c>
      <c r="G1242" s="8">
        <v>0.2</v>
      </c>
      <c r="H1242" s="9" t="str">
        <f>INDEX(Products!$B$2:$B$37, MATCH(D1242, Products!$A$2:$A$37, 0))</f>
        <v>Robot Vacuum S3</v>
      </c>
      <c r="I1242" t="str">
        <f>INDEX(Products!$C$2:$C$37, MATCH(D1242, Products!$A$2:$A$37, 0))</f>
        <v>Home &amp; Kitchen</v>
      </c>
      <c r="J1242">
        <f>INDEX(Products!$E$2:$E$37, MATCH(D1242, Products!$A$2:$A$37, 0))</f>
        <v>1080</v>
      </c>
      <c r="K1242" s="9">
        <f t="shared" si="76"/>
        <v>1918.4</v>
      </c>
      <c r="L1242">
        <f t="shared" si="77"/>
        <v>2160</v>
      </c>
      <c r="M1242" s="9">
        <f t="shared" si="78"/>
        <v>-241.59999999999991</v>
      </c>
      <c r="N1242" t="str">
        <f t="shared" si="79"/>
        <v>Apr</v>
      </c>
    </row>
    <row r="1243" spans="1:14" x14ac:dyDescent="0.3">
      <c r="A1243" s="2" t="s">
        <v>1309</v>
      </c>
      <c r="B1243" s="6">
        <v>45764</v>
      </c>
      <c r="C1243" s="2" t="s">
        <v>28</v>
      </c>
      <c r="D1243" s="2" t="s">
        <v>92</v>
      </c>
      <c r="E1243" s="2">
        <v>4</v>
      </c>
      <c r="F1243" s="7">
        <v>349</v>
      </c>
      <c r="G1243" s="8">
        <v>0</v>
      </c>
      <c r="H1243" s="9" t="str">
        <f>INDEX(Products!$B$2:$B$37, MATCH(D1243, Products!$A$2:$A$37, 0))</f>
        <v>Non-stick Cookware Set</v>
      </c>
      <c r="I1243" t="str">
        <f>INDEX(Products!$C$2:$C$37, MATCH(D1243, Products!$A$2:$A$37, 0))</f>
        <v>Home &amp; Kitchen</v>
      </c>
      <c r="J1243">
        <f>INDEX(Products!$E$2:$E$37, MATCH(D1243, Products!$A$2:$A$37, 0))</f>
        <v>170</v>
      </c>
      <c r="K1243" s="9">
        <f t="shared" si="76"/>
        <v>1396</v>
      </c>
      <c r="L1243">
        <f t="shared" si="77"/>
        <v>680</v>
      </c>
      <c r="M1243" s="9">
        <f t="shared" si="78"/>
        <v>716</v>
      </c>
      <c r="N1243" t="str">
        <f t="shared" si="79"/>
        <v>Apr</v>
      </c>
    </row>
    <row r="1244" spans="1:14" x14ac:dyDescent="0.3">
      <c r="A1244" s="2" t="s">
        <v>1310</v>
      </c>
      <c r="B1244" s="6">
        <v>45764</v>
      </c>
      <c r="C1244" s="2" t="s">
        <v>44</v>
      </c>
      <c r="D1244" s="2" t="s">
        <v>46</v>
      </c>
      <c r="E1244" s="2">
        <v>4</v>
      </c>
      <c r="F1244" s="7">
        <v>189</v>
      </c>
      <c r="G1244" s="8">
        <v>0.15</v>
      </c>
      <c r="H1244" s="9" t="str">
        <f>INDEX(Products!$B$2:$B$37, MATCH(D1244, Products!$A$2:$A$37, 0))</f>
        <v>Makeup Palette</v>
      </c>
      <c r="I1244" t="str">
        <f>INDEX(Products!$C$2:$C$37, MATCH(D1244, Products!$A$2:$A$37, 0))</f>
        <v>Beauty</v>
      </c>
      <c r="J1244">
        <f>INDEX(Products!$E$2:$E$37, MATCH(D1244, Products!$A$2:$A$37, 0))</f>
        <v>85</v>
      </c>
      <c r="K1244" s="9">
        <f t="shared" si="76"/>
        <v>642.6</v>
      </c>
      <c r="L1244">
        <f t="shared" si="77"/>
        <v>340</v>
      </c>
      <c r="M1244" s="9">
        <f t="shared" si="78"/>
        <v>302.60000000000002</v>
      </c>
      <c r="N1244" t="str">
        <f t="shared" si="79"/>
        <v>Apr</v>
      </c>
    </row>
    <row r="1245" spans="1:14" x14ac:dyDescent="0.3">
      <c r="A1245" s="2" t="s">
        <v>1311</v>
      </c>
      <c r="B1245" s="6">
        <v>45765</v>
      </c>
      <c r="C1245" s="2" t="s">
        <v>41</v>
      </c>
      <c r="D1245" s="2" t="s">
        <v>165</v>
      </c>
      <c r="E1245" s="2">
        <v>3</v>
      </c>
      <c r="F1245" s="7">
        <v>69</v>
      </c>
      <c r="G1245" s="8">
        <v>0.1</v>
      </c>
      <c r="H1245" s="9" t="str">
        <f>INDEX(Products!$B$2:$B$37, MATCH(D1245, Products!$A$2:$A$37, 0))</f>
        <v>Swim Goggles</v>
      </c>
      <c r="I1245" t="str">
        <f>INDEX(Products!$C$2:$C$37, MATCH(D1245, Products!$A$2:$A$37, 0))</f>
        <v>Sports</v>
      </c>
      <c r="J1245">
        <f>INDEX(Products!$E$2:$E$37, MATCH(D1245, Products!$A$2:$A$37, 0))</f>
        <v>25</v>
      </c>
      <c r="K1245" s="9">
        <f t="shared" si="76"/>
        <v>186.3</v>
      </c>
      <c r="L1245">
        <f t="shared" si="77"/>
        <v>75</v>
      </c>
      <c r="M1245" s="9">
        <f t="shared" si="78"/>
        <v>111.30000000000001</v>
      </c>
      <c r="N1245" t="str">
        <f t="shared" si="79"/>
        <v>Apr</v>
      </c>
    </row>
    <row r="1246" spans="1:14" x14ac:dyDescent="0.3">
      <c r="A1246" s="2" t="s">
        <v>1312</v>
      </c>
      <c r="B1246" s="6">
        <v>45765</v>
      </c>
      <c r="C1246" s="2" t="s">
        <v>41</v>
      </c>
      <c r="D1246" s="2" t="s">
        <v>39</v>
      </c>
      <c r="E1246" s="2">
        <v>1</v>
      </c>
      <c r="F1246" s="7">
        <v>199</v>
      </c>
      <c r="G1246" s="8">
        <v>0.15</v>
      </c>
      <c r="H1246" s="9" t="str">
        <f>INDEX(Products!$B$2:$B$37, MATCH(D1246, Products!$A$2:$A$37, 0))</f>
        <v>Bakhoor Gift Set</v>
      </c>
      <c r="I1246" t="str">
        <f>INDEX(Products!$C$2:$C$37, MATCH(D1246, Products!$A$2:$A$37, 0))</f>
        <v>Beauty</v>
      </c>
      <c r="J1246">
        <f>INDEX(Products!$E$2:$E$37, MATCH(D1246, Products!$A$2:$A$37, 0))</f>
        <v>90</v>
      </c>
      <c r="K1246" s="9">
        <f t="shared" si="76"/>
        <v>169.15</v>
      </c>
      <c r="L1246">
        <f t="shared" si="77"/>
        <v>90</v>
      </c>
      <c r="M1246" s="9">
        <f t="shared" si="78"/>
        <v>79.150000000000006</v>
      </c>
      <c r="N1246" t="str">
        <f t="shared" si="79"/>
        <v>Apr</v>
      </c>
    </row>
    <row r="1247" spans="1:14" x14ac:dyDescent="0.3">
      <c r="A1247" s="2" t="s">
        <v>1313</v>
      </c>
      <c r="B1247" s="6">
        <v>45765</v>
      </c>
      <c r="C1247" s="2" t="s">
        <v>44</v>
      </c>
      <c r="D1247" s="2" t="s">
        <v>52</v>
      </c>
      <c r="E1247" s="2">
        <v>1</v>
      </c>
      <c r="F1247" s="7">
        <v>299</v>
      </c>
      <c r="G1247" s="8">
        <v>0.25</v>
      </c>
      <c r="H1247" s="9" t="str">
        <f>INDEX(Products!$B$2:$B$37, MATCH(D1247, Products!$A$2:$A$37, 0))</f>
        <v>Hair Dryer Ionic</v>
      </c>
      <c r="I1247" t="str">
        <f>INDEX(Products!$C$2:$C$37, MATCH(D1247, Products!$A$2:$A$37, 0))</f>
        <v>Beauty</v>
      </c>
      <c r="J1247">
        <f>INDEX(Products!$E$2:$E$37, MATCH(D1247, Products!$A$2:$A$37, 0))</f>
        <v>240</v>
      </c>
      <c r="K1247" s="9">
        <f t="shared" si="76"/>
        <v>224.25</v>
      </c>
      <c r="L1247">
        <f t="shared" si="77"/>
        <v>240</v>
      </c>
      <c r="M1247" s="9">
        <f t="shared" si="78"/>
        <v>-15.75</v>
      </c>
      <c r="N1247" t="str">
        <f t="shared" si="79"/>
        <v>Apr</v>
      </c>
    </row>
    <row r="1248" spans="1:14" x14ac:dyDescent="0.3">
      <c r="A1248" s="2" t="s">
        <v>1314</v>
      </c>
      <c r="B1248" s="6">
        <v>45765</v>
      </c>
      <c r="C1248" s="2" t="s">
        <v>44</v>
      </c>
      <c r="D1248" s="2" t="s">
        <v>83</v>
      </c>
      <c r="E1248" s="2">
        <v>1</v>
      </c>
      <c r="F1248" s="7">
        <v>229</v>
      </c>
      <c r="G1248" s="8">
        <v>0</v>
      </c>
      <c r="H1248" s="9" t="str">
        <f>INDEX(Products!$B$2:$B$37, MATCH(D1248, Products!$A$2:$A$37, 0))</f>
        <v>Cycling Helmet</v>
      </c>
      <c r="I1248" t="str">
        <f>INDEX(Products!$C$2:$C$37, MATCH(D1248, Products!$A$2:$A$37, 0))</f>
        <v>Sports</v>
      </c>
      <c r="J1248">
        <f>INDEX(Products!$E$2:$E$37, MATCH(D1248, Products!$A$2:$A$37, 0))</f>
        <v>120</v>
      </c>
      <c r="K1248" s="9">
        <f t="shared" si="76"/>
        <v>229</v>
      </c>
      <c r="L1248">
        <f t="shared" si="77"/>
        <v>120</v>
      </c>
      <c r="M1248" s="9">
        <f t="shared" si="78"/>
        <v>109</v>
      </c>
      <c r="N1248" t="str">
        <f t="shared" si="79"/>
        <v>Apr</v>
      </c>
    </row>
    <row r="1249" spans="1:14" x14ac:dyDescent="0.3">
      <c r="A1249" s="2" t="s">
        <v>1315</v>
      </c>
      <c r="B1249" s="6">
        <v>45765</v>
      </c>
      <c r="C1249" s="2" t="s">
        <v>44</v>
      </c>
      <c r="D1249" s="2" t="s">
        <v>129</v>
      </c>
      <c r="E1249" s="2">
        <v>3</v>
      </c>
      <c r="F1249" s="7">
        <v>149</v>
      </c>
      <c r="G1249" s="8">
        <v>0</v>
      </c>
      <c r="H1249" s="9" t="str">
        <f>INDEX(Products!$B$2:$B$37, MATCH(D1249, Products!$A$2:$A$37, 0))</f>
        <v>Power Bank 20000mAh</v>
      </c>
      <c r="I1249" t="str">
        <f>INDEX(Products!$C$2:$C$37, MATCH(D1249, Products!$A$2:$A$37, 0))</f>
        <v>Electronics</v>
      </c>
      <c r="J1249">
        <f>INDEX(Products!$E$2:$E$37, MATCH(D1249, Products!$A$2:$A$37, 0))</f>
        <v>70</v>
      </c>
      <c r="K1249" s="9">
        <f t="shared" si="76"/>
        <v>447</v>
      </c>
      <c r="L1249">
        <f t="shared" si="77"/>
        <v>210</v>
      </c>
      <c r="M1249" s="9">
        <f t="shared" si="78"/>
        <v>237</v>
      </c>
      <c r="N1249" t="str">
        <f t="shared" si="79"/>
        <v>Apr</v>
      </c>
    </row>
    <row r="1250" spans="1:14" x14ac:dyDescent="0.3">
      <c r="A1250" s="2" t="s">
        <v>1316</v>
      </c>
      <c r="B1250" s="6">
        <v>45765</v>
      </c>
      <c r="C1250" s="2" t="s">
        <v>28</v>
      </c>
      <c r="D1250" s="2" t="s">
        <v>49</v>
      </c>
      <c r="E1250" s="2">
        <v>1</v>
      </c>
      <c r="F1250" s="7">
        <v>149</v>
      </c>
      <c r="G1250" s="8">
        <v>0</v>
      </c>
      <c r="H1250" s="9" t="str">
        <f>INDEX(Products!$B$2:$B$37, MATCH(D1250, Products!$A$2:$A$37, 0))</f>
        <v>Kids' Sneakers</v>
      </c>
      <c r="I1250" t="str">
        <f>INDEX(Products!$C$2:$C$37, MATCH(D1250, Products!$A$2:$A$37, 0))</f>
        <v>Fashion</v>
      </c>
      <c r="J1250">
        <f>INDEX(Products!$E$2:$E$37, MATCH(D1250, Products!$A$2:$A$37, 0))</f>
        <v>80</v>
      </c>
      <c r="K1250" s="9">
        <f t="shared" si="76"/>
        <v>149</v>
      </c>
      <c r="L1250">
        <f t="shared" si="77"/>
        <v>80</v>
      </c>
      <c r="M1250" s="9">
        <f t="shared" si="78"/>
        <v>69</v>
      </c>
      <c r="N1250" t="str">
        <f t="shared" si="79"/>
        <v>Apr</v>
      </c>
    </row>
    <row r="1251" spans="1:14" x14ac:dyDescent="0.3">
      <c r="A1251" s="2" t="s">
        <v>1317</v>
      </c>
      <c r="B1251" s="6">
        <v>45765</v>
      </c>
      <c r="C1251" s="2" t="s">
        <v>28</v>
      </c>
      <c r="D1251" s="2" t="s">
        <v>52</v>
      </c>
      <c r="E1251" s="2">
        <v>1</v>
      </c>
      <c r="F1251" s="7">
        <v>299</v>
      </c>
      <c r="G1251" s="8">
        <v>0.2</v>
      </c>
      <c r="H1251" s="9" t="str">
        <f>INDEX(Products!$B$2:$B$37, MATCH(D1251, Products!$A$2:$A$37, 0))</f>
        <v>Hair Dryer Ionic</v>
      </c>
      <c r="I1251" t="str">
        <f>INDEX(Products!$C$2:$C$37, MATCH(D1251, Products!$A$2:$A$37, 0))</f>
        <v>Beauty</v>
      </c>
      <c r="J1251">
        <f>INDEX(Products!$E$2:$E$37, MATCH(D1251, Products!$A$2:$A$37, 0))</f>
        <v>240</v>
      </c>
      <c r="K1251" s="9">
        <f t="shared" si="76"/>
        <v>239.20000000000002</v>
      </c>
      <c r="L1251">
        <f t="shared" si="77"/>
        <v>240</v>
      </c>
      <c r="M1251" s="9">
        <f t="shared" si="78"/>
        <v>-0.79999999999998295</v>
      </c>
      <c r="N1251" t="str">
        <f t="shared" si="79"/>
        <v>Apr</v>
      </c>
    </row>
    <row r="1252" spans="1:14" x14ac:dyDescent="0.3">
      <c r="A1252" s="2" t="s">
        <v>1318</v>
      </c>
      <c r="B1252" s="6">
        <v>45765</v>
      </c>
      <c r="C1252" s="2" t="s">
        <v>28</v>
      </c>
      <c r="D1252" s="2" t="s">
        <v>103</v>
      </c>
      <c r="E1252" s="2">
        <v>2</v>
      </c>
      <c r="F1252" s="7">
        <v>89</v>
      </c>
      <c r="G1252" s="8">
        <v>0.3</v>
      </c>
      <c r="H1252" s="9" t="str">
        <f>INDEX(Products!$B$2:$B$37, MATCH(D1252, Products!$A$2:$A$37, 0))</f>
        <v>Sunscreen SPF50</v>
      </c>
      <c r="I1252" t="str">
        <f>INDEX(Products!$C$2:$C$37, MATCH(D1252, Products!$A$2:$A$37, 0))</f>
        <v>Beauty</v>
      </c>
      <c r="J1252">
        <f>INDEX(Products!$E$2:$E$37, MATCH(D1252, Products!$A$2:$A$37, 0))</f>
        <v>40</v>
      </c>
      <c r="K1252" s="9">
        <f t="shared" si="76"/>
        <v>124.6</v>
      </c>
      <c r="L1252">
        <f t="shared" si="77"/>
        <v>80</v>
      </c>
      <c r="M1252" s="9">
        <f t="shared" si="78"/>
        <v>44.599999999999994</v>
      </c>
      <c r="N1252" t="str">
        <f t="shared" si="79"/>
        <v>Apr</v>
      </c>
    </row>
    <row r="1253" spans="1:14" x14ac:dyDescent="0.3">
      <c r="A1253" s="2" t="s">
        <v>1319</v>
      </c>
      <c r="B1253" s="6">
        <v>45765</v>
      </c>
      <c r="C1253" s="2" t="s">
        <v>28</v>
      </c>
      <c r="D1253" s="2" t="s">
        <v>109</v>
      </c>
      <c r="E1253" s="2">
        <v>2</v>
      </c>
      <c r="F1253" s="7">
        <v>1499</v>
      </c>
      <c r="G1253" s="8">
        <v>0</v>
      </c>
      <c r="H1253" s="9" t="str">
        <f>INDEX(Products!$B$2:$B$37, MATCH(D1253, Products!$A$2:$A$37, 0))</f>
        <v>Espresso Machine</v>
      </c>
      <c r="I1253" t="str">
        <f>INDEX(Products!$C$2:$C$37, MATCH(D1253, Products!$A$2:$A$37, 0))</f>
        <v>Home &amp; Kitchen</v>
      </c>
      <c r="J1253">
        <f>INDEX(Products!$E$2:$E$37, MATCH(D1253, Products!$A$2:$A$37, 0))</f>
        <v>1050</v>
      </c>
      <c r="K1253" s="9">
        <f t="shared" si="76"/>
        <v>2998</v>
      </c>
      <c r="L1253">
        <f t="shared" si="77"/>
        <v>2100</v>
      </c>
      <c r="M1253" s="9">
        <f t="shared" si="78"/>
        <v>898</v>
      </c>
      <c r="N1253" t="str">
        <f t="shared" si="79"/>
        <v>Apr</v>
      </c>
    </row>
    <row r="1254" spans="1:14" x14ac:dyDescent="0.3">
      <c r="A1254" s="2" t="s">
        <v>1320</v>
      </c>
      <c r="B1254" s="6">
        <v>45765</v>
      </c>
      <c r="C1254" s="2" t="s">
        <v>44</v>
      </c>
      <c r="D1254" s="2" t="s">
        <v>106</v>
      </c>
      <c r="E1254" s="2">
        <v>1</v>
      </c>
      <c r="F1254" s="7">
        <v>1299</v>
      </c>
      <c r="G1254" s="8">
        <v>0.05</v>
      </c>
      <c r="H1254" s="9" t="str">
        <f>INDEX(Products!$B$2:$B$37, MATCH(D1254, Products!$A$2:$A$37, 0))</f>
        <v>Smart Watch Series 5</v>
      </c>
      <c r="I1254" t="str">
        <f>INDEX(Products!$C$2:$C$37, MATCH(D1254, Products!$A$2:$A$37, 0))</f>
        <v>Electronics</v>
      </c>
      <c r="J1254">
        <f>INDEX(Products!$E$2:$E$37, MATCH(D1254, Products!$A$2:$A$37, 0))</f>
        <v>820</v>
      </c>
      <c r="K1254" s="9">
        <f t="shared" si="76"/>
        <v>1234.05</v>
      </c>
      <c r="L1254">
        <f t="shared" si="77"/>
        <v>820</v>
      </c>
      <c r="M1254" s="9">
        <f t="shared" si="78"/>
        <v>414.04999999999995</v>
      </c>
      <c r="N1254" t="str">
        <f t="shared" si="79"/>
        <v>Apr</v>
      </c>
    </row>
    <row r="1255" spans="1:14" x14ac:dyDescent="0.3">
      <c r="A1255" s="2" t="s">
        <v>1321</v>
      </c>
      <c r="B1255" s="6">
        <v>45766</v>
      </c>
      <c r="C1255" s="2" t="s">
        <v>44</v>
      </c>
      <c r="D1255" s="2" t="s">
        <v>70</v>
      </c>
      <c r="E1255" s="2">
        <v>2</v>
      </c>
      <c r="F1255" s="7">
        <v>429</v>
      </c>
      <c r="G1255" s="8">
        <v>0</v>
      </c>
      <c r="H1255" s="9" t="str">
        <f>INDEX(Products!$B$2:$B$37, MATCH(D1255, Products!$A$2:$A$37, 0))</f>
        <v>Running Shoes Elite</v>
      </c>
      <c r="I1255" t="str">
        <f>INDEX(Products!$C$2:$C$37, MATCH(D1255, Products!$A$2:$A$37, 0))</f>
        <v>Fashion</v>
      </c>
      <c r="J1255">
        <f>INDEX(Products!$E$2:$E$37, MATCH(D1255, Products!$A$2:$A$37, 0))</f>
        <v>300</v>
      </c>
      <c r="K1255" s="9">
        <f t="shared" si="76"/>
        <v>858</v>
      </c>
      <c r="L1255">
        <f t="shared" si="77"/>
        <v>600</v>
      </c>
      <c r="M1255" s="9">
        <f t="shared" si="78"/>
        <v>258</v>
      </c>
      <c r="N1255" t="str">
        <f t="shared" si="79"/>
        <v>Apr</v>
      </c>
    </row>
    <row r="1256" spans="1:14" x14ac:dyDescent="0.3">
      <c r="A1256" s="2" t="s">
        <v>1322</v>
      </c>
      <c r="B1256" s="6">
        <v>45766</v>
      </c>
      <c r="C1256" s="2" t="s">
        <v>28</v>
      </c>
      <c r="D1256" s="2" t="s">
        <v>78</v>
      </c>
      <c r="E1256" s="2">
        <v>2</v>
      </c>
      <c r="F1256" s="7">
        <v>499</v>
      </c>
      <c r="G1256" s="8">
        <v>0</v>
      </c>
      <c r="H1256" s="9" t="str">
        <f>INDEX(Products!$B$2:$B$37, MATCH(D1256, Products!$A$2:$A$37, 0))</f>
        <v>Air Fryer 5L</v>
      </c>
      <c r="I1256" t="str">
        <f>INDEX(Products!$C$2:$C$37, MATCH(D1256, Products!$A$2:$A$37, 0))</f>
        <v>Home &amp; Kitchen</v>
      </c>
      <c r="J1256">
        <f>INDEX(Products!$E$2:$E$37, MATCH(D1256, Products!$A$2:$A$37, 0))</f>
        <v>290</v>
      </c>
      <c r="K1256" s="9">
        <f t="shared" si="76"/>
        <v>998</v>
      </c>
      <c r="L1256">
        <f t="shared" si="77"/>
        <v>580</v>
      </c>
      <c r="M1256" s="9">
        <f t="shared" si="78"/>
        <v>418</v>
      </c>
      <c r="N1256" t="str">
        <f t="shared" si="79"/>
        <v>Apr</v>
      </c>
    </row>
    <row r="1257" spans="1:14" x14ac:dyDescent="0.3">
      <c r="A1257" s="2" t="s">
        <v>1323</v>
      </c>
      <c r="B1257" s="6">
        <v>45766</v>
      </c>
      <c r="C1257" s="2" t="s">
        <v>44</v>
      </c>
      <c r="D1257" s="2" t="s">
        <v>60</v>
      </c>
      <c r="E1257" s="2">
        <v>1</v>
      </c>
      <c r="F1257" s="7">
        <v>99</v>
      </c>
      <c r="G1257" s="8">
        <v>0.3</v>
      </c>
      <c r="H1257" s="9" t="str">
        <f>INDEX(Products!$B$2:$B$37, MATCH(D1257, Products!$A$2:$A$37, 0))</f>
        <v>Football Size 5</v>
      </c>
      <c r="I1257" t="str">
        <f>INDEX(Products!$C$2:$C$37, MATCH(D1257, Products!$A$2:$A$37, 0))</f>
        <v>Sports</v>
      </c>
      <c r="J1257">
        <f>INDEX(Products!$E$2:$E$37, MATCH(D1257, Products!$A$2:$A$37, 0))</f>
        <v>45</v>
      </c>
      <c r="K1257" s="9">
        <f t="shared" si="76"/>
        <v>69.3</v>
      </c>
      <c r="L1257">
        <f t="shared" si="77"/>
        <v>45</v>
      </c>
      <c r="M1257" s="9">
        <f t="shared" si="78"/>
        <v>24.299999999999997</v>
      </c>
      <c r="N1257" t="str">
        <f t="shared" si="79"/>
        <v>Apr</v>
      </c>
    </row>
    <row r="1258" spans="1:14" x14ac:dyDescent="0.3">
      <c r="A1258" s="2" t="s">
        <v>1324</v>
      </c>
      <c r="B1258" s="6">
        <v>45766</v>
      </c>
      <c r="C1258" s="2" t="s">
        <v>28</v>
      </c>
      <c r="D1258" s="2" t="s">
        <v>37</v>
      </c>
      <c r="E1258" s="2">
        <v>1</v>
      </c>
      <c r="F1258" s="7">
        <v>249</v>
      </c>
      <c r="G1258" s="8">
        <v>0.15</v>
      </c>
      <c r="H1258" s="9" t="str">
        <f>INDEX(Products!$B$2:$B$37, MATCH(D1258, Products!$A$2:$A$37, 0))</f>
        <v>Sunglasses Polarised</v>
      </c>
      <c r="I1258" t="str">
        <f>INDEX(Products!$C$2:$C$37, MATCH(D1258, Products!$A$2:$A$37, 0))</f>
        <v>Fashion</v>
      </c>
      <c r="J1258">
        <f>INDEX(Products!$E$2:$E$37, MATCH(D1258, Products!$A$2:$A$37, 0))</f>
        <v>95</v>
      </c>
      <c r="K1258" s="9">
        <f t="shared" si="76"/>
        <v>211.65</v>
      </c>
      <c r="L1258">
        <f t="shared" si="77"/>
        <v>95</v>
      </c>
      <c r="M1258" s="9">
        <f t="shared" si="78"/>
        <v>116.65</v>
      </c>
      <c r="N1258" t="str">
        <f t="shared" si="79"/>
        <v>Apr</v>
      </c>
    </row>
    <row r="1259" spans="1:14" x14ac:dyDescent="0.3">
      <c r="A1259" s="2" t="s">
        <v>1325</v>
      </c>
      <c r="B1259" s="6">
        <v>45766</v>
      </c>
      <c r="C1259" s="2" t="s">
        <v>28</v>
      </c>
      <c r="D1259" s="2" t="s">
        <v>106</v>
      </c>
      <c r="E1259" s="2">
        <v>2</v>
      </c>
      <c r="F1259" s="7">
        <v>1299</v>
      </c>
      <c r="G1259" s="8">
        <v>0.05</v>
      </c>
      <c r="H1259" s="9" t="str">
        <f>INDEX(Products!$B$2:$B$37, MATCH(D1259, Products!$A$2:$A$37, 0))</f>
        <v>Smart Watch Series 5</v>
      </c>
      <c r="I1259" t="str">
        <f>INDEX(Products!$C$2:$C$37, MATCH(D1259, Products!$A$2:$A$37, 0))</f>
        <v>Electronics</v>
      </c>
      <c r="J1259">
        <f>INDEX(Products!$E$2:$E$37, MATCH(D1259, Products!$A$2:$A$37, 0))</f>
        <v>820</v>
      </c>
      <c r="K1259" s="9">
        <f t="shared" si="76"/>
        <v>2468.1</v>
      </c>
      <c r="L1259">
        <f t="shared" si="77"/>
        <v>1640</v>
      </c>
      <c r="M1259" s="9">
        <f t="shared" si="78"/>
        <v>828.09999999999991</v>
      </c>
      <c r="N1259" t="str">
        <f t="shared" si="79"/>
        <v>Apr</v>
      </c>
    </row>
    <row r="1260" spans="1:14" x14ac:dyDescent="0.3">
      <c r="A1260" s="2" t="s">
        <v>1326</v>
      </c>
      <c r="B1260" s="6">
        <v>45766</v>
      </c>
      <c r="C1260" s="2" t="s">
        <v>41</v>
      </c>
      <c r="D1260" s="2" t="s">
        <v>29</v>
      </c>
      <c r="E1260" s="2">
        <v>2</v>
      </c>
      <c r="F1260" s="7">
        <v>229</v>
      </c>
      <c r="G1260" s="8">
        <v>0</v>
      </c>
      <c r="H1260" s="9" t="str">
        <f>INDEX(Products!$B$2:$B$37, MATCH(D1260, Products!$A$2:$A$37, 0))</f>
        <v>Women's Summer Dress</v>
      </c>
      <c r="I1260" t="str">
        <f>INDEX(Products!$C$2:$C$37, MATCH(D1260, Products!$A$2:$A$37, 0))</f>
        <v>Fashion</v>
      </c>
      <c r="J1260">
        <f>INDEX(Products!$E$2:$E$37, MATCH(D1260, Products!$A$2:$A$37, 0))</f>
        <v>120</v>
      </c>
      <c r="K1260" s="9">
        <f t="shared" si="76"/>
        <v>458</v>
      </c>
      <c r="L1260">
        <f t="shared" si="77"/>
        <v>240</v>
      </c>
      <c r="M1260" s="9">
        <f t="shared" si="78"/>
        <v>218</v>
      </c>
      <c r="N1260" t="str">
        <f t="shared" si="79"/>
        <v>Apr</v>
      </c>
    </row>
    <row r="1261" spans="1:14" x14ac:dyDescent="0.3">
      <c r="A1261" s="2" t="s">
        <v>1327</v>
      </c>
      <c r="B1261" s="6">
        <v>45766</v>
      </c>
      <c r="C1261" s="2" t="s">
        <v>48</v>
      </c>
      <c r="D1261" s="2" t="s">
        <v>56</v>
      </c>
      <c r="E1261" s="2">
        <v>2</v>
      </c>
      <c r="F1261" s="7">
        <v>289</v>
      </c>
      <c r="G1261" s="8">
        <v>0.1</v>
      </c>
      <c r="H1261" s="9" t="str">
        <f>INDEX(Products!$B$2:$B$37, MATCH(D1261, Products!$A$2:$A$37, 0))</f>
        <v>Ceramic Dinner Set</v>
      </c>
      <c r="I1261" t="str">
        <f>INDEX(Products!$C$2:$C$37, MATCH(D1261, Products!$A$2:$A$37, 0))</f>
        <v>Home &amp; Kitchen</v>
      </c>
      <c r="J1261">
        <f>INDEX(Products!$E$2:$E$37, MATCH(D1261, Products!$A$2:$A$37, 0))</f>
        <v>140</v>
      </c>
      <c r="K1261" s="9">
        <f t="shared" si="76"/>
        <v>520.20000000000005</v>
      </c>
      <c r="L1261">
        <f t="shared" si="77"/>
        <v>280</v>
      </c>
      <c r="M1261" s="9">
        <f t="shared" si="78"/>
        <v>240.20000000000005</v>
      </c>
      <c r="N1261" t="str">
        <f t="shared" si="79"/>
        <v>Apr</v>
      </c>
    </row>
    <row r="1262" spans="1:14" x14ac:dyDescent="0.3">
      <c r="A1262" s="2" t="s">
        <v>1328</v>
      </c>
      <c r="B1262" s="6">
        <v>45766</v>
      </c>
      <c r="C1262" s="2" t="s">
        <v>28</v>
      </c>
      <c r="D1262" s="2" t="s">
        <v>35</v>
      </c>
      <c r="E1262" s="2">
        <v>3</v>
      </c>
      <c r="F1262" s="7">
        <v>179</v>
      </c>
      <c r="G1262" s="8">
        <v>0</v>
      </c>
      <c r="H1262" s="9" t="str">
        <f>INDEX(Products!$B$2:$B$37, MATCH(D1262, Products!$A$2:$A$37, 0))</f>
        <v>Men's Linen Shirt</v>
      </c>
      <c r="I1262" t="str">
        <f>INDEX(Products!$C$2:$C$37, MATCH(D1262, Products!$A$2:$A$37, 0))</f>
        <v>Fashion</v>
      </c>
      <c r="J1262">
        <f>INDEX(Products!$E$2:$E$37, MATCH(D1262, Products!$A$2:$A$37, 0))</f>
        <v>70</v>
      </c>
      <c r="K1262" s="9">
        <f t="shared" si="76"/>
        <v>537</v>
      </c>
      <c r="L1262">
        <f t="shared" si="77"/>
        <v>210</v>
      </c>
      <c r="M1262" s="9">
        <f t="shared" si="78"/>
        <v>327</v>
      </c>
      <c r="N1262" t="str">
        <f t="shared" si="79"/>
        <v>Apr</v>
      </c>
    </row>
    <row r="1263" spans="1:14" x14ac:dyDescent="0.3">
      <c r="A1263" s="2" t="s">
        <v>1329</v>
      </c>
      <c r="B1263" s="6">
        <v>45766</v>
      </c>
      <c r="C1263" s="2" t="s">
        <v>28</v>
      </c>
      <c r="D1263" s="2" t="s">
        <v>39</v>
      </c>
      <c r="E1263" s="2">
        <v>1</v>
      </c>
      <c r="F1263" s="7">
        <v>199</v>
      </c>
      <c r="G1263" s="8">
        <v>0</v>
      </c>
      <c r="H1263" s="9" t="str">
        <f>INDEX(Products!$B$2:$B$37, MATCH(D1263, Products!$A$2:$A$37, 0))</f>
        <v>Bakhoor Gift Set</v>
      </c>
      <c r="I1263" t="str">
        <f>INDEX(Products!$C$2:$C$37, MATCH(D1263, Products!$A$2:$A$37, 0))</f>
        <v>Beauty</v>
      </c>
      <c r="J1263">
        <f>INDEX(Products!$E$2:$E$37, MATCH(D1263, Products!$A$2:$A$37, 0))</f>
        <v>90</v>
      </c>
      <c r="K1263" s="9">
        <f t="shared" si="76"/>
        <v>199</v>
      </c>
      <c r="L1263">
        <f t="shared" si="77"/>
        <v>90</v>
      </c>
      <c r="M1263" s="9">
        <f t="shared" si="78"/>
        <v>109</v>
      </c>
      <c r="N1263" t="str">
        <f t="shared" si="79"/>
        <v>Apr</v>
      </c>
    </row>
    <row r="1264" spans="1:14" x14ac:dyDescent="0.3">
      <c r="A1264" s="2" t="s">
        <v>1330</v>
      </c>
      <c r="B1264" s="6">
        <v>45766</v>
      </c>
      <c r="C1264" s="2" t="s">
        <v>44</v>
      </c>
      <c r="D1264" s="2" t="s">
        <v>115</v>
      </c>
      <c r="E1264" s="2">
        <v>1</v>
      </c>
      <c r="F1264" s="7">
        <v>129</v>
      </c>
      <c r="G1264" s="8">
        <v>0</v>
      </c>
      <c r="H1264" s="9" t="str">
        <f>INDEX(Products!$B$2:$B$37, MATCH(D1264, Products!$A$2:$A$37, 0))</f>
        <v>Electric Kettle</v>
      </c>
      <c r="I1264" t="str">
        <f>INDEX(Products!$C$2:$C$37, MATCH(D1264, Products!$A$2:$A$37, 0))</f>
        <v>Home &amp; Kitchen</v>
      </c>
      <c r="J1264">
        <f>INDEX(Products!$E$2:$E$37, MATCH(D1264, Products!$A$2:$A$37, 0))</f>
        <v>60</v>
      </c>
      <c r="K1264" s="9">
        <f t="shared" si="76"/>
        <v>129</v>
      </c>
      <c r="L1264">
        <f t="shared" si="77"/>
        <v>60</v>
      </c>
      <c r="M1264" s="9">
        <f t="shared" si="78"/>
        <v>69</v>
      </c>
      <c r="N1264" t="str">
        <f t="shared" si="79"/>
        <v>Apr</v>
      </c>
    </row>
    <row r="1265" spans="1:14" x14ac:dyDescent="0.3">
      <c r="A1265" s="2" t="s">
        <v>1331</v>
      </c>
      <c r="B1265" s="6">
        <v>45766</v>
      </c>
      <c r="C1265" s="2" t="s">
        <v>44</v>
      </c>
      <c r="D1265" s="2" t="s">
        <v>129</v>
      </c>
      <c r="E1265" s="2">
        <v>1</v>
      </c>
      <c r="F1265" s="7">
        <v>149</v>
      </c>
      <c r="G1265" s="8">
        <v>0.05</v>
      </c>
      <c r="H1265" s="9" t="str">
        <f>INDEX(Products!$B$2:$B$37, MATCH(D1265, Products!$A$2:$A$37, 0))</f>
        <v>Power Bank 20000mAh</v>
      </c>
      <c r="I1265" t="str">
        <f>INDEX(Products!$C$2:$C$37, MATCH(D1265, Products!$A$2:$A$37, 0))</f>
        <v>Electronics</v>
      </c>
      <c r="J1265">
        <f>INDEX(Products!$E$2:$E$37, MATCH(D1265, Products!$A$2:$A$37, 0))</f>
        <v>70</v>
      </c>
      <c r="K1265" s="9">
        <f t="shared" si="76"/>
        <v>141.54999999999998</v>
      </c>
      <c r="L1265">
        <f t="shared" si="77"/>
        <v>70</v>
      </c>
      <c r="M1265" s="9">
        <f t="shared" si="78"/>
        <v>71.549999999999983</v>
      </c>
      <c r="N1265" t="str">
        <f t="shared" si="79"/>
        <v>Apr</v>
      </c>
    </row>
    <row r="1266" spans="1:14" x14ac:dyDescent="0.3">
      <c r="A1266" s="2" t="s">
        <v>1332</v>
      </c>
      <c r="B1266" s="6">
        <v>45766</v>
      </c>
      <c r="C1266" s="2" t="s">
        <v>28</v>
      </c>
      <c r="D1266" s="2" t="s">
        <v>106</v>
      </c>
      <c r="E1266" s="2">
        <v>1</v>
      </c>
      <c r="F1266" s="7">
        <v>1299</v>
      </c>
      <c r="G1266" s="8">
        <v>0.1</v>
      </c>
      <c r="H1266" s="9" t="str">
        <f>INDEX(Products!$B$2:$B$37, MATCH(D1266, Products!$A$2:$A$37, 0))</f>
        <v>Smart Watch Series 5</v>
      </c>
      <c r="I1266" t="str">
        <f>INDEX(Products!$C$2:$C$37, MATCH(D1266, Products!$A$2:$A$37, 0))</f>
        <v>Electronics</v>
      </c>
      <c r="J1266">
        <f>INDEX(Products!$E$2:$E$37, MATCH(D1266, Products!$A$2:$A$37, 0))</f>
        <v>820</v>
      </c>
      <c r="K1266" s="9">
        <f t="shared" si="76"/>
        <v>1169.1000000000001</v>
      </c>
      <c r="L1266">
        <f t="shared" si="77"/>
        <v>820</v>
      </c>
      <c r="M1266" s="9">
        <f t="shared" si="78"/>
        <v>349.10000000000014</v>
      </c>
      <c r="N1266" t="str">
        <f t="shared" si="79"/>
        <v>Apr</v>
      </c>
    </row>
    <row r="1267" spans="1:14" x14ac:dyDescent="0.3">
      <c r="A1267" s="2" t="s">
        <v>1333</v>
      </c>
      <c r="B1267" s="6">
        <v>45766</v>
      </c>
      <c r="C1267" s="2" t="s">
        <v>44</v>
      </c>
      <c r="D1267" s="2" t="s">
        <v>65</v>
      </c>
      <c r="E1267" s="2">
        <v>1</v>
      </c>
      <c r="F1267" s="7">
        <v>129</v>
      </c>
      <c r="G1267" s="8">
        <v>0</v>
      </c>
      <c r="H1267" s="9" t="str">
        <f>INDEX(Products!$B$2:$B$37, MATCH(D1267, Products!$A$2:$A$37, 0))</f>
        <v>Yoga Mat Premium</v>
      </c>
      <c r="I1267" t="str">
        <f>INDEX(Products!$C$2:$C$37, MATCH(D1267, Products!$A$2:$A$37, 0))</f>
        <v>Sports</v>
      </c>
      <c r="J1267">
        <f>INDEX(Products!$E$2:$E$37, MATCH(D1267, Products!$A$2:$A$37, 0))</f>
        <v>60</v>
      </c>
      <c r="K1267" s="9">
        <f t="shared" si="76"/>
        <v>129</v>
      </c>
      <c r="L1267">
        <f t="shared" si="77"/>
        <v>60</v>
      </c>
      <c r="M1267" s="9">
        <f t="shared" si="78"/>
        <v>69</v>
      </c>
      <c r="N1267" t="str">
        <f t="shared" si="79"/>
        <v>Apr</v>
      </c>
    </row>
    <row r="1268" spans="1:14" x14ac:dyDescent="0.3">
      <c r="A1268" s="2" t="s">
        <v>1334</v>
      </c>
      <c r="B1268" s="6">
        <v>45766</v>
      </c>
      <c r="C1268" s="2" t="s">
        <v>41</v>
      </c>
      <c r="D1268" s="2" t="s">
        <v>35</v>
      </c>
      <c r="E1268" s="2">
        <v>1</v>
      </c>
      <c r="F1268" s="7">
        <v>179</v>
      </c>
      <c r="G1268" s="8">
        <v>0</v>
      </c>
      <c r="H1268" s="9" t="str">
        <f>INDEX(Products!$B$2:$B$37, MATCH(D1268, Products!$A$2:$A$37, 0))</f>
        <v>Men's Linen Shirt</v>
      </c>
      <c r="I1268" t="str">
        <f>INDEX(Products!$C$2:$C$37, MATCH(D1268, Products!$A$2:$A$37, 0))</f>
        <v>Fashion</v>
      </c>
      <c r="J1268">
        <f>INDEX(Products!$E$2:$E$37, MATCH(D1268, Products!$A$2:$A$37, 0))</f>
        <v>70</v>
      </c>
      <c r="K1268" s="9">
        <f t="shared" si="76"/>
        <v>179</v>
      </c>
      <c r="L1268">
        <f t="shared" si="77"/>
        <v>70</v>
      </c>
      <c r="M1268" s="9">
        <f t="shared" si="78"/>
        <v>109</v>
      </c>
      <c r="N1268" t="str">
        <f t="shared" si="79"/>
        <v>Apr</v>
      </c>
    </row>
    <row r="1269" spans="1:14" x14ac:dyDescent="0.3">
      <c r="A1269" s="2" t="s">
        <v>1335</v>
      </c>
      <c r="B1269" s="6">
        <v>45766</v>
      </c>
      <c r="C1269" s="2" t="s">
        <v>28</v>
      </c>
      <c r="D1269" s="2" t="s">
        <v>95</v>
      </c>
      <c r="E1269" s="2">
        <v>1</v>
      </c>
      <c r="F1269" s="7">
        <v>259</v>
      </c>
      <c r="G1269" s="8">
        <v>0.15</v>
      </c>
      <c r="H1269" s="9" t="str">
        <f>INDEX(Products!$B$2:$B$37, MATCH(D1269, Products!$A$2:$A$37, 0))</f>
        <v>Bed Linen Set (King)</v>
      </c>
      <c r="I1269" t="str">
        <f>INDEX(Products!$C$2:$C$37, MATCH(D1269, Products!$A$2:$A$37, 0))</f>
        <v>Home &amp; Kitchen</v>
      </c>
      <c r="J1269">
        <f>INDEX(Products!$E$2:$E$37, MATCH(D1269, Products!$A$2:$A$37, 0))</f>
        <v>115</v>
      </c>
      <c r="K1269" s="9">
        <f t="shared" si="76"/>
        <v>220.15</v>
      </c>
      <c r="L1269">
        <f t="shared" si="77"/>
        <v>115</v>
      </c>
      <c r="M1269" s="9">
        <f t="shared" si="78"/>
        <v>105.15</v>
      </c>
      <c r="N1269" t="str">
        <f t="shared" si="79"/>
        <v>Apr</v>
      </c>
    </row>
    <row r="1270" spans="1:14" x14ac:dyDescent="0.3">
      <c r="A1270" s="2" t="s">
        <v>1336</v>
      </c>
      <c r="B1270" s="6">
        <v>45767</v>
      </c>
      <c r="C1270" s="2" t="s">
        <v>48</v>
      </c>
      <c r="D1270" s="2" t="s">
        <v>149</v>
      </c>
      <c r="E1270" s="2">
        <v>1</v>
      </c>
      <c r="F1270" s="7">
        <v>399</v>
      </c>
      <c r="G1270" s="8">
        <v>0</v>
      </c>
      <c r="H1270" s="9" t="str">
        <f>INDEX(Products!$B$2:$B$37, MATCH(D1270, Products!$A$2:$A$37, 0))</f>
        <v>Blender Pro 1200W</v>
      </c>
      <c r="I1270" t="str">
        <f>INDEX(Products!$C$2:$C$37, MATCH(D1270, Products!$A$2:$A$37, 0))</f>
        <v>Home &amp; Kitchen</v>
      </c>
      <c r="J1270">
        <f>INDEX(Products!$E$2:$E$37, MATCH(D1270, Products!$A$2:$A$37, 0))</f>
        <v>250</v>
      </c>
      <c r="K1270" s="9">
        <f t="shared" si="76"/>
        <v>399</v>
      </c>
      <c r="L1270">
        <f t="shared" si="77"/>
        <v>250</v>
      </c>
      <c r="M1270" s="9">
        <f t="shared" si="78"/>
        <v>149</v>
      </c>
      <c r="N1270" t="str">
        <f t="shared" si="79"/>
        <v>Apr</v>
      </c>
    </row>
    <row r="1271" spans="1:14" x14ac:dyDescent="0.3">
      <c r="A1271" s="2" t="s">
        <v>1337</v>
      </c>
      <c r="B1271" s="6">
        <v>45767</v>
      </c>
      <c r="C1271" s="2" t="s">
        <v>41</v>
      </c>
      <c r="D1271" s="2" t="s">
        <v>29</v>
      </c>
      <c r="E1271" s="2">
        <v>4</v>
      </c>
      <c r="F1271" s="7">
        <v>229</v>
      </c>
      <c r="G1271" s="8">
        <v>0</v>
      </c>
      <c r="H1271" s="9" t="str">
        <f>INDEX(Products!$B$2:$B$37, MATCH(D1271, Products!$A$2:$A$37, 0))</f>
        <v>Women's Summer Dress</v>
      </c>
      <c r="I1271" t="str">
        <f>INDEX(Products!$C$2:$C$37, MATCH(D1271, Products!$A$2:$A$37, 0))</f>
        <v>Fashion</v>
      </c>
      <c r="J1271">
        <f>INDEX(Products!$E$2:$E$37, MATCH(D1271, Products!$A$2:$A$37, 0))</f>
        <v>120</v>
      </c>
      <c r="K1271" s="9">
        <f t="shared" si="76"/>
        <v>916</v>
      </c>
      <c r="L1271">
        <f t="shared" si="77"/>
        <v>480</v>
      </c>
      <c r="M1271" s="9">
        <f t="shared" si="78"/>
        <v>436</v>
      </c>
      <c r="N1271" t="str">
        <f t="shared" si="79"/>
        <v>Apr</v>
      </c>
    </row>
    <row r="1272" spans="1:14" x14ac:dyDescent="0.3">
      <c r="A1272" s="2" t="s">
        <v>1338</v>
      </c>
      <c r="B1272" s="6">
        <v>45767</v>
      </c>
      <c r="C1272" s="2" t="s">
        <v>44</v>
      </c>
      <c r="D1272" s="2" t="s">
        <v>56</v>
      </c>
      <c r="E1272" s="2">
        <v>4</v>
      </c>
      <c r="F1272" s="7">
        <v>289</v>
      </c>
      <c r="G1272" s="8">
        <v>0</v>
      </c>
      <c r="H1272" s="9" t="str">
        <f>INDEX(Products!$B$2:$B$37, MATCH(D1272, Products!$A$2:$A$37, 0))</f>
        <v>Ceramic Dinner Set</v>
      </c>
      <c r="I1272" t="str">
        <f>INDEX(Products!$C$2:$C$37, MATCH(D1272, Products!$A$2:$A$37, 0))</f>
        <v>Home &amp; Kitchen</v>
      </c>
      <c r="J1272">
        <f>INDEX(Products!$E$2:$E$37, MATCH(D1272, Products!$A$2:$A$37, 0))</f>
        <v>140</v>
      </c>
      <c r="K1272" s="9">
        <f t="shared" si="76"/>
        <v>1156</v>
      </c>
      <c r="L1272">
        <f t="shared" si="77"/>
        <v>560</v>
      </c>
      <c r="M1272" s="9">
        <f t="shared" si="78"/>
        <v>596</v>
      </c>
      <c r="N1272" t="str">
        <f t="shared" si="79"/>
        <v>Apr</v>
      </c>
    </row>
    <row r="1273" spans="1:14" x14ac:dyDescent="0.3">
      <c r="A1273" s="2" t="s">
        <v>1339</v>
      </c>
      <c r="B1273" s="6">
        <v>45767</v>
      </c>
      <c r="C1273" s="2" t="s">
        <v>41</v>
      </c>
      <c r="D1273" s="2" t="s">
        <v>103</v>
      </c>
      <c r="E1273" s="2">
        <v>2</v>
      </c>
      <c r="F1273" s="7">
        <v>89</v>
      </c>
      <c r="G1273" s="8">
        <v>0.1</v>
      </c>
      <c r="H1273" s="9" t="str">
        <f>INDEX(Products!$B$2:$B$37, MATCH(D1273, Products!$A$2:$A$37, 0))</f>
        <v>Sunscreen SPF50</v>
      </c>
      <c r="I1273" t="str">
        <f>INDEX(Products!$C$2:$C$37, MATCH(D1273, Products!$A$2:$A$37, 0))</f>
        <v>Beauty</v>
      </c>
      <c r="J1273">
        <f>INDEX(Products!$E$2:$E$37, MATCH(D1273, Products!$A$2:$A$37, 0))</f>
        <v>40</v>
      </c>
      <c r="K1273" s="9">
        <f t="shared" si="76"/>
        <v>160.20000000000002</v>
      </c>
      <c r="L1273">
        <f t="shared" si="77"/>
        <v>80</v>
      </c>
      <c r="M1273" s="9">
        <f t="shared" si="78"/>
        <v>80.200000000000017</v>
      </c>
      <c r="N1273" t="str">
        <f t="shared" si="79"/>
        <v>Apr</v>
      </c>
    </row>
    <row r="1274" spans="1:14" x14ac:dyDescent="0.3">
      <c r="A1274" s="2" t="s">
        <v>1340</v>
      </c>
      <c r="B1274" s="6">
        <v>45767</v>
      </c>
      <c r="C1274" s="2" t="s">
        <v>44</v>
      </c>
      <c r="D1274" s="2" t="s">
        <v>89</v>
      </c>
      <c r="E1274" s="2">
        <v>3</v>
      </c>
      <c r="F1274" s="7">
        <v>399</v>
      </c>
      <c r="G1274" s="8">
        <v>0.15</v>
      </c>
      <c r="H1274" s="9" t="str">
        <f>INDEX(Products!$B$2:$B$37, MATCH(D1274, Products!$A$2:$A$37, 0))</f>
        <v>Men's Kandura Premium</v>
      </c>
      <c r="I1274" t="str">
        <f>INDEX(Products!$C$2:$C$37, MATCH(D1274, Products!$A$2:$A$37, 0))</f>
        <v>Fashion</v>
      </c>
      <c r="J1274">
        <f>INDEX(Products!$E$2:$E$37, MATCH(D1274, Products!$A$2:$A$37, 0))</f>
        <v>210</v>
      </c>
      <c r="K1274" s="9">
        <f t="shared" si="76"/>
        <v>1017.4499999999999</v>
      </c>
      <c r="L1274">
        <f t="shared" si="77"/>
        <v>630</v>
      </c>
      <c r="M1274" s="9">
        <f t="shared" si="78"/>
        <v>387.44999999999993</v>
      </c>
      <c r="N1274" t="str">
        <f t="shared" si="79"/>
        <v>Apr</v>
      </c>
    </row>
    <row r="1275" spans="1:14" x14ac:dyDescent="0.3">
      <c r="A1275" s="2" t="s">
        <v>1341</v>
      </c>
      <c r="B1275" s="6">
        <v>45767</v>
      </c>
      <c r="C1275" s="2" t="s">
        <v>41</v>
      </c>
      <c r="D1275" s="2" t="s">
        <v>99</v>
      </c>
      <c r="E1275" s="2">
        <v>2</v>
      </c>
      <c r="F1275" s="7">
        <v>459</v>
      </c>
      <c r="G1275" s="8">
        <v>0</v>
      </c>
      <c r="H1275" s="9" t="str">
        <f>INDEX(Products!$B$2:$B$37, MATCH(D1275, Products!$A$2:$A$37, 0))</f>
        <v>Gaming Headset X</v>
      </c>
      <c r="I1275" t="str">
        <f>INDEX(Products!$C$2:$C$37, MATCH(D1275, Products!$A$2:$A$37, 0))</f>
        <v>Electronics</v>
      </c>
      <c r="J1275">
        <f>INDEX(Products!$E$2:$E$37, MATCH(D1275, Products!$A$2:$A$37, 0))</f>
        <v>300</v>
      </c>
      <c r="K1275" s="9">
        <f t="shared" si="76"/>
        <v>918</v>
      </c>
      <c r="L1275">
        <f t="shared" si="77"/>
        <v>600</v>
      </c>
      <c r="M1275" s="9">
        <f t="shared" si="78"/>
        <v>318</v>
      </c>
      <c r="N1275" t="str">
        <f t="shared" si="79"/>
        <v>Apr</v>
      </c>
    </row>
    <row r="1276" spans="1:14" x14ac:dyDescent="0.3">
      <c r="A1276" s="2" t="s">
        <v>1342</v>
      </c>
      <c r="B1276" s="6">
        <v>45767</v>
      </c>
      <c r="C1276" s="2" t="s">
        <v>44</v>
      </c>
      <c r="D1276" s="2" t="s">
        <v>56</v>
      </c>
      <c r="E1276" s="2">
        <v>2</v>
      </c>
      <c r="F1276" s="7">
        <v>289</v>
      </c>
      <c r="G1276" s="8">
        <v>0.15</v>
      </c>
      <c r="H1276" s="9" t="str">
        <f>INDEX(Products!$B$2:$B$37, MATCH(D1276, Products!$A$2:$A$37, 0))</f>
        <v>Ceramic Dinner Set</v>
      </c>
      <c r="I1276" t="str">
        <f>INDEX(Products!$C$2:$C$37, MATCH(D1276, Products!$A$2:$A$37, 0))</f>
        <v>Home &amp; Kitchen</v>
      </c>
      <c r="J1276">
        <f>INDEX(Products!$E$2:$E$37, MATCH(D1276, Products!$A$2:$A$37, 0))</f>
        <v>140</v>
      </c>
      <c r="K1276" s="9">
        <f t="shared" si="76"/>
        <v>491.3</v>
      </c>
      <c r="L1276">
        <f t="shared" si="77"/>
        <v>280</v>
      </c>
      <c r="M1276" s="9">
        <f t="shared" si="78"/>
        <v>211.3</v>
      </c>
      <c r="N1276" t="str">
        <f t="shared" si="79"/>
        <v>Apr</v>
      </c>
    </row>
    <row r="1277" spans="1:14" x14ac:dyDescent="0.3">
      <c r="A1277" s="2" t="s">
        <v>1343</v>
      </c>
      <c r="B1277" s="6">
        <v>45767</v>
      </c>
      <c r="C1277" s="2" t="s">
        <v>31</v>
      </c>
      <c r="D1277" s="2" t="s">
        <v>165</v>
      </c>
      <c r="E1277" s="2">
        <v>3</v>
      </c>
      <c r="F1277" s="7">
        <v>69</v>
      </c>
      <c r="G1277" s="8">
        <v>0.15</v>
      </c>
      <c r="H1277" s="9" t="str">
        <f>INDEX(Products!$B$2:$B$37, MATCH(D1277, Products!$A$2:$A$37, 0))</f>
        <v>Swim Goggles</v>
      </c>
      <c r="I1277" t="str">
        <f>INDEX(Products!$C$2:$C$37, MATCH(D1277, Products!$A$2:$A$37, 0))</f>
        <v>Sports</v>
      </c>
      <c r="J1277">
        <f>INDEX(Products!$E$2:$E$37, MATCH(D1277, Products!$A$2:$A$37, 0))</f>
        <v>25</v>
      </c>
      <c r="K1277" s="9">
        <f t="shared" si="76"/>
        <v>175.95</v>
      </c>
      <c r="L1277">
        <f t="shared" si="77"/>
        <v>75</v>
      </c>
      <c r="M1277" s="9">
        <f t="shared" si="78"/>
        <v>100.94999999999999</v>
      </c>
      <c r="N1277" t="str">
        <f t="shared" si="79"/>
        <v>Apr</v>
      </c>
    </row>
    <row r="1278" spans="1:14" x14ac:dyDescent="0.3">
      <c r="A1278" s="2" t="s">
        <v>1344</v>
      </c>
      <c r="B1278" s="6">
        <v>45768</v>
      </c>
      <c r="C1278" s="2" t="s">
        <v>28</v>
      </c>
      <c r="D1278" s="2" t="s">
        <v>149</v>
      </c>
      <c r="E1278" s="2">
        <v>1</v>
      </c>
      <c r="F1278" s="7">
        <v>399</v>
      </c>
      <c r="G1278" s="8">
        <v>0.05</v>
      </c>
      <c r="H1278" s="9" t="str">
        <f>INDEX(Products!$B$2:$B$37, MATCH(D1278, Products!$A$2:$A$37, 0))</f>
        <v>Blender Pro 1200W</v>
      </c>
      <c r="I1278" t="str">
        <f>INDEX(Products!$C$2:$C$37, MATCH(D1278, Products!$A$2:$A$37, 0))</f>
        <v>Home &amp; Kitchen</v>
      </c>
      <c r="J1278">
        <f>INDEX(Products!$E$2:$E$37, MATCH(D1278, Products!$A$2:$A$37, 0))</f>
        <v>250</v>
      </c>
      <c r="K1278" s="9">
        <f t="shared" si="76"/>
        <v>379.04999999999995</v>
      </c>
      <c r="L1278">
        <f t="shared" si="77"/>
        <v>250</v>
      </c>
      <c r="M1278" s="9">
        <f t="shared" si="78"/>
        <v>129.04999999999995</v>
      </c>
      <c r="N1278" t="str">
        <f t="shared" si="79"/>
        <v>Apr</v>
      </c>
    </row>
    <row r="1279" spans="1:14" x14ac:dyDescent="0.3">
      <c r="A1279" s="2" t="s">
        <v>1345</v>
      </c>
      <c r="B1279" s="6">
        <v>45768</v>
      </c>
      <c r="C1279" s="2" t="s">
        <v>44</v>
      </c>
      <c r="D1279" s="2" t="s">
        <v>194</v>
      </c>
      <c r="E1279" s="2">
        <v>1</v>
      </c>
      <c r="F1279" s="7">
        <v>699</v>
      </c>
      <c r="G1279" s="8">
        <v>0.2</v>
      </c>
      <c r="H1279" s="9" t="str">
        <f>INDEX(Products!$B$2:$B$37, MATCH(D1279, Products!$A$2:$A$37, 0))</f>
        <v>Leather Handbag</v>
      </c>
      <c r="I1279" t="str">
        <f>INDEX(Products!$C$2:$C$37, MATCH(D1279, Products!$A$2:$A$37, 0))</f>
        <v>Fashion</v>
      </c>
      <c r="J1279">
        <f>INDEX(Products!$E$2:$E$37, MATCH(D1279, Products!$A$2:$A$37, 0))</f>
        <v>380</v>
      </c>
      <c r="K1279" s="9">
        <f t="shared" si="76"/>
        <v>559.20000000000005</v>
      </c>
      <c r="L1279">
        <f t="shared" si="77"/>
        <v>380</v>
      </c>
      <c r="M1279" s="9">
        <f t="shared" si="78"/>
        <v>179.20000000000005</v>
      </c>
      <c r="N1279" t="str">
        <f t="shared" si="79"/>
        <v>Apr</v>
      </c>
    </row>
    <row r="1280" spans="1:14" x14ac:dyDescent="0.3">
      <c r="A1280" s="2" t="s">
        <v>1346</v>
      </c>
      <c r="B1280" s="6">
        <v>45768</v>
      </c>
      <c r="C1280" s="2" t="s">
        <v>28</v>
      </c>
      <c r="D1280" s="2" t="s">
        <v>87</v>
      </c>
      <c r="E1280" s="2">
        <v>1</v>
      </c>
      <c r="F1280" s="7">
        <v>799</v>
      </c>
      <c r="G1280" s="8">
        <v>0.2</v>
      </c>
      <c r="H1280" s="9" t="str">
        <f>INDEX(Products!$B$2:$B$37, MATCH(D1280, Products!$A$2:$A$37, 0))</f>
        <v>Adjustable Dumbbells</v>
      </c>
      <c r="I1280" t="str">
        <f>INDEX(Products!$C$2:$C$37, MATCH(D1280, Products!$A$2:$A$37, 0))</f>
        <v>Sports</v>
      </c>
      <c r="J1280">
        <f>INDEX(Products!$E$2:$E$37, MATCH(D1280, Products!$A$2:$A$37, 0))</f>
        <v>700</v>
      </c>
      <c r="K1280" s="9">
        <f t="shared" si="76"/>
        <v>639.20000000000005</v>
      </c>
      <c r="L1280">
        <f t="shared" si="77"/>
        <v>700</v>
      </c>
      <c r="M1280" s="9">
        <f t="shared" si="78"/>
        <v>-60.799999999999955</v>
      </c>
      <c r="N1280" t="str">
        <f t="shared" si="79"/>
        <v>Apr</v>
      </c>
    </row>
    <row r="1281" spans="1:14" x14ac:dyDescent="0.3">
      <c r="A1281" s="2" t="s">
        <v>1347</v>
      </c>
      <c r="B1281" s="6">
        <v>45768</v>
      </c>
      <c r="C1281" s="2" t="s">
        <v>41</v>
      </c>
      <c r="D1281" s="2" t="s">
        <v>58</v>
      </c>
      <c r="E1281" s="2">
        <v>1</v>
      </c>
      <c r="F1281" s="7">
        <v>459</v>
      </c>
      <c r="G1281" s="8">
        <v>0.15</v>
      </c>
      <c r="H1281" s="9" t="str">
        <f>INDEX(Products!$B$2:$B$37, MATCH(D1281, Products!$A$2:$A$37, 0))</f>
        <v>Women's Abaya Classic</v>
      </c>
      <c r="I1281" t="str">
        <f>INDEX(Products!$C$2:$C$37, MATCH(D1281, Products!$A$2:$A$37, 0))</f>
        <v>Fashion</v>
      </c>
      <c r="J1281">
        <f>INDEX(Products!$E$2:$E$37, MATCH(D1281, Products!$A$2:$A$37, 0))</f>
        <v>190</v>
      </c>
      <c r="K1281" s="9">
        <f t="shared" si="76"/>
        <v>390.15</v>
      </c>
      <c r="L1281">
        <f t="shared" si="77"/>
        <v>190</v>
      </c>
      <c r="M1281" s="9">
        <f t="shared" si="78"/>
        <v>200.14999999999998</v>
      </c>
      <c r="N1281" t="str">
        <f t="shared" si="79"/>
        <v>Apr</v>
      </c>
    </row>
    <row r="1282" spans="1:14" x14ac:dyDescent="0.3">
      <c r="A1282" s="2" t="s">
        <v>1348</v>
      </c>
      <c r="B1282" s="6">
        <v>45768</v>
      </c>
      <c r="C1282" s="2" t="s">
        <v>41</v>
      </c>
      <c r="D1282" s="2" t="s">
        <v>68</v>
      </c>
      <c r="E1282" s="2">
        <v>1</v>
      </c>
      <c r="F1282" s="7">
        <v>249</v>
      </c>
      <c r="G1282" s="8">
        <v>0</v>
      </c>
      <c r="H1282" s="9" t="str">
        <f>INDEX(Products!$B$2:$B$37, MATCH(D1282, Products!$A$2:$A$37, 0))</f>
        <v>Bluetooth Speaker Mini</v>
      </c>
      <c r="I1282" t="str">
        <f>INDEX(Products!$C$2:$C$37, MATCH(D1282, Products!$A$2:$A$37, 0))</f>
        <v>Electronics</v>
      </c>
      <c r="J1282">
        <f>INDEX(Products!$E$2:$E$37, MATCH(D1282, Products!$A$2:$A$37, 0))</f>
        <v>150</v>
      </c>
      <c r="K1282" s="9">
        <f t="shared" ref="K1282:K1345" si="80">E1282*F1282*(1-G1282)</f>
        <v>249</v>
      </c>
      <c r="L1282">
        <f t="shared" ref="L1282:L1345" si="81">E1282*J1282</f>
        <v>150</v>
      </c>
      <c r="M1282" s="9">
        <f t="shared" ref="M1282:M1345" si="82">K1282-L1282</f>
        <v>99</v>
      </c>
      <c r="N1282" t="str">
        <f t="shared" ref="N1282:N1345" si="83">TEXT(B1282,"mmm")</f>
        <v>Apr</v>
      </c>
    </row>
    <row r="1283" spans="1:14" x14ac:dyDescent="0.3">
      <c r="A1283" s="2" t="s">
        <v>1349</v>
      </c>
      <c r="B1283" s="6">
        <v>45768</v>
      </c>
      <c r="C1283" s="2" t="s">
        <v>28</v>
      </c>
      <c r="D1283" s="2" t="s">
        <v>83</v>
      </c>
      <c r="E1283" s="2">
        <v>1</v>
      </c>
      <c r="F1283" s="7">
        <v>229</v>
      </c>
      <c r="G1283" s="8">
        <v>0</v>
      </c>
      <c r="H1283" s="9" t="str">
        <f>INDEX(Products!$B$2:$B$37, MATCH(D1283, Products!$A$2:$A$37, 0))</f>
        <v>Cycling Helmet</v>
      </c>
      <c r="I1283" t="str">
        <f>INDEX(Products!$C$2:$C$37, MATCH(D1283, Products!$A$2:$A$37, 0))</f>
        <v>Sports</v>
      </c>
      <c r="J1283">
        <f>INDEX(Products!$E$2:$E$37, MATCH(D1283, Products!$A$2:$A$37, 0))</f>
        <v>120</v>
      </c>
      <c r="K1283" s="9">
        <f t="shared" si="80"/>
        <v>229</v>
      </c>
      <c r="L1283">
        <f t="shared" si="81"/>
        <v>120</v>
      </c>
      <c r="M1283" s="9">
        <f t="shared" si="82"/>
        <v>109</v>
      </c>
      <c r="N1283" t="str">
        <f t="shared" si="83"/>
        <v>Apr</v>
      </c>
    </row>
    <row r="1284" spans="1:14" x14ac:dyDescent="0.3">
      <c r="A1284" s="2" t="s">
        <v>1350</v>
      </c>
      <c r="B1284" s="6">
        <v>45769</v>
      </c>
      <c r="C1284" s="2" t="s">
        <v>41</v>
      </c>
      <c r="D1284" s="2" t="s">
        <v>49</v>
      </c>
      <c r="E1284" s="2">
        <v>2</v>
      </c>
      <c r="F1284" s="7">
        <v>149</v>
      </c>
      <c r="G1284" s="8">
        <v>0.2</v>
      </c>
      <c r="H1284" s="9" t="str">
        <f>INDEX(Products!$B$2:$B$37, MATCH(D1284, Products!$A$2:$A$37, 0))</f>
        <v>Kids' Sneakers</v>
      </c>
      <c r="I1284" t="str">
        <f>INDEX(Products!$C$2:$C$37, MATCH(D1284, Products!$A$2:$A$37, 0))</f>
        <v>Fashion</v>
      </c>
      <c r="J1284">
        <f>INDEX(Products!$E$2:$E$37, MATCH(D1284, Products!$A$2:$A$37, 0))</f>
        <v>80</v>
      </c>
      <c r="K1284" s="9">
        <f t="shared" si="80"/>
        <v>238.4</v>
      </c>
      <c r="L1284">
        <f t="shared" si="81"/>
        <v>160</v>
      </c>
      <c r="M1284" s="9">
        <f t="shared" si="82"/>
        <v>78.400000000000006</v>
      </c>
      <c r="N1284" t="str">
        <f t="shared" si="83"/>
        <v>Apr</v>
      </c>
    </row>
    <row r="1285" spans="1:14" x14ac:dyDescent="0.3">
      <c r="A1285" s="2" t="s">
        <v>1351</v>
      </c>
      <c r="B1285" s="6">
        <v>45769</v>
      </c>
      <c r="C1285" s="2" t="s">
        <v>31</v>
      </c>
      <c r="D1285" s="2" t="s">
        <v>103</v>
      </c>
      <c r="E1285" s="2">
        <v>1</v>
      </c>
      <c r="F1285" s="7">
        <v>89</v>
      </c>
      <c r="G1285" s="8">
        <v>0.2</v>
      </c>
      <c r="H1285" s="9" t="str">
        <f>INDEX(Products!$B$2:$B$37, MATCH(D1285, Products!$A$2:$A$37, 0))</f>
        <v>Sunscreen SPF50</v>
      </c>
      <c r="I1285" t="str">
        <f>INDEX(Products!$C$2:$C$37, MATCH(D1285, Products!$A$2:$A$37, 0))</f>
        <v>Beauty</v>
      </c>
      <c r="J1285">
        <f>INDEX(Products!$E$2:$E$37, MATCH(D1285, Products!$A$2:$A$37, 0))</f>
        <v>40</v>
      </c>
      <c r="K1285" s="9">
        <f t="shared" si="80"/>
        <v>71.2</v>
      </c>
      <c r="L1285">
        <f t="shared" si="81"/>
        <v>40</v>
      </c>
      <c r="M1285" s="9">
        <f t="shared" si="82"/>
        <v>31.200000000000003</v>
      </c>
      <c r="N1285" t="str">
        <f t="shared" si="83"/>
        <v>Apr</v>
      </c>
    </row>
    <row r="1286" spans="1:14" x14ac:dyDescent="0.3">
      <c r="A1286" s="2" t="s">
        <v>1352</v>
      </c>
      <c r="B1286" s="6">
        <v>45769</v>
      </c>
      <c r="C1286" s="2" t="s">
        <v>48</v>
      </c>
      <c r="D1286" s="2" t="s">
        <v>194</v>
      </c>
      <c r="E1286" s="2">
        <v>1</v>
      </c>
      <c r="F1286" s="7">
        <v>699</v>
      </c>
      <c r="G1286" s="8">
        <v>0.05</v>
      </c>
      <c r="H1286" s="9" t="str">
        <f>INDEX(Products!$B$2:$B$37, MATCH(D1286, Products!$A$2:$A$37, 0))</f>
        <v>Leather Handbag</v>
      </c>
      <c r="I1286" t="str">
        <f>INDEX(Products!$C$2:$C$37, MATCH(D1286, Products!$A$2:$A$37, 0))</f>
        <v>Fashion</v>
      </c>
      <c r="J1286">
        <f>INDEX(Products!$E$2:$E$37, MATCH(D1286, Products!$A$2:$A$37, 0))</f>
        <v>380</v>
      </c>
      <c r="K1286" s="9">
        <f t="shared" si="80"/>
        <v>664.05</v>
      </c>
      <c r="L1286">
        <f t="shared" si="81"/>
        <v>380</v>
      </c>
      <c r="M1286" s="9">
        <f t="shared" si="82"/>
        <v>284.04999999999995</v>
      </c>
      <c r="N1286" t="str">
        <f t="shared" si="83"/>
        <v>Apr</v>
      </c>
    </row>
    <row r="1287" spans="1:14" x14ac:dyDescent="0.3">
      <c r="A1287" s="2" t="s">
        <v>1353</v>
      </c>
      <c r="B1287" s="6">
        <v>45769</v>
      </c>
      <c r="C1287" s="2" t="s">
        <v>28</v>
      </c>
      <c r="D1287" s="2" t="s">
        <v>126</v>
      </c>
      <c r="E1287" s="2">
        <v>3</v>
      </c>
      <c r="F1287" s="7">
        <v>89</v>
      </c>
      <c r="G1287" s="8">
        <v>0</v>
      </c>
      <c r="H1287" s="9" t="str">
        <f>INDEX(Products!$B$2:$B$37, MATCH(D1287, Products!$A$2:$A$37, 0))</f>
        <v>USB-C Fast Charger</v>
      </c>
      <c r="I1287" t="str">
        <f>INDEX(Products!$C$2:$C$37, MATCH(D1287, Products!$A$2:$A$37, 0))</f>
        <v>Electronics</v>
      </c>
      <c r="J1287">
        <f>INDEX(Products!$E$2:$E$37, MATCH(D1287, Products!$A$2:$A$37, 0))</f>
        <v>35</v>
      </c>
      <c r="K1287" s="9">
        <f t="shared" si="80"/>
        <v>267</v>
      </c>
      <c r="L1287">
        <f t="shared" si="81"/>
        <v>105</v>
      </c>
      <c r="M1287" s="9">
        <f t="shared" si="82"/>
        <v>162</v>
      </c>
      <c r="N1287" t="str">
        <f t="shared" si="83"/>
        <v>Apr</v>
      </c>
    </row>
    <row r="1288" spans="1:14" x14ac:dyDescent="0.3">
      <c r="A1288" s="2" t="s">
        <v>1354</v>
      </c>
      <c r="B1288" s="6">
        <v>45769</v>
      </c>
      <c r="C1288" s="2" t="s">
        <v>41</v>
      </c>
      <c r="D1288" s="2" t="s">
        <v>46</v>
      </c>
      <c r="E1288" s="2">
        <v>3</v>
      </c>
      <c r="F1288" s="7">
        <v>189</v>
      </c>
      <c r="G1288" s="8">
        <v>0</v>
      </c>
      <c r="H1288" s="9" t="str">
        <f>INDEX(Products!$B$2:$B$37, MATCH(D1288, Products!$A$2:$A$37, 0))</f>
        <v>Makeup Palette</v>
      </c>
      <c r="I1288" t="str">
        <f>INDEX(Products!$C$2:$C$37, MATCH(D1288, Products!$A$2:$A$37, 0))</f>
        <v>Beauty</v>
      </c>
      <c r="J1288">
        <f>INDEX(Products!$E$2:$E$37, MATCH(D1288, Products!$A$2:$A$37, 0))</f>
        <v>85</v>
      </c>
      <c r="K1288" s="9">
        <f t="shared" si="80"/>
        <v>567</v>
      </c>
      <c r="L1288">
        <f t="shared" si="81"/>
        <v>255</v>
      </c>
      <c r="M1288" s="9">
        <f t="shared" si="82"/>
        <v>312</v>
      </c>
      <c r="N1288" t="str">
        <f t="shared" si="83"/>
        <v>Apr</v>
      </c>
    </row>
    <row r="1289" spans="1:14" x14ac:dyDescent="0.3">
      <c r="A1289" s="2" t="s">
        <v>1355</v>
      </c>
      <c r="B1289" s="6">
        <v>45769</v>
      </c>
      <c r="C1289" s="2" t="s">
        <v>31</v>
      </c>
      <c r="D1289" s="2" t="s">
        <v>49</v>
      </c>
      <c r="E1289" s="2">
        <v>2</v>
      </c>
      <c r="F1289" s="7">
        <v>149</v>
      </c>
      <c r="G1289" s="8">
        <v>0.15</v>
      </c>
      <c r="H1289" s="9" t="str">
        <f>INDEX(Products!$B$2:$B$37, MATCH(D1289, Products!$A$2:$A$37, 0))</f>
        <v>Kids' Sneakers</v>
      </c>
      <c r="I1289" t="str">
        <f>INDEX(Products!$C$2:$C$37, MATCH(D1289, Products!$A$2:$A$37, 0))</f>
        <v>Fashion</v>
      </c>
      <c r="J1289">
        <f>INDEX(Products!$E$2:$E$37, MATCH(D1289, Products!$A$2:$A$37, 0))</f>
        <v>80</v>
      </c>
      <c r="K1289" s="9">
        <f t="shared" si="80"/>
        <v>253.29999999999998</v>
      </c>
      <c r="L1289">
        <f t="shared" si="81"/>
        <v>160</v>
      </c>
      <c r="M1289" s="9">
        <f t="shared" si="82"/>
        <v>93.299999999999983</v>
      </c>
      <c r="N1289" t="str">
        <f t="shared" si="83"/>
        <v>Apr</v>
      </c>
    </row>
    <row r="1290" spans="1:14" x14ac:dyDescent="0.3">
      <c r="A1290" s="2" t="s">
        <v>1356</v>
      </c>
      <c r="B1290" s="6">
        <v>45769</v>
      </c>
      <c r="C1290" s="2" t="s">
        <v>28</v>
      </c>
      <c r="D1290" s="2" t="s">
        <v>70</v>
      </c>
      <c r="E1290" s="2">
        <v>1</v>
      </c>
      <c r="F1290" s="7">
        <v>429</v>
      </c>
      <c r="G1290" s="8">
        <v>0</v>
      </c>
      <c r="H1290" s="9" t="str">
        <f>INDEX(Products!$B$2:$B$37, MATCH(D1290, Products!$A$2:$A$37, 0))</f>
        <v>Running Shoes Elite</v>
      </c>
      <c r="I1290" t="str">
        <f>INDEX(Products!$C$2:$C$37, MATCH(D1290, Products!$A$2:$A$37, 0))</f>
        <v>Fashion</v>
      </c>
      <c r="J1290">
        <f>INDEX(Products!$E$2:$E$37, MATCH(D1290, Products!$A$2:$A$37, 0))</f>
        <v>300</v>
      </c>
      <c r="K1290" s="9">
        <f t="shared" si="80"/>
        <v>429</v>
      </c>
      <c r="L1290">
        <f t="shared" si="81"/>
        <v>300</v>
      </c>
      <c r="M1290" s="9">
        <f t="shared" si="82"/>
        <v>129</v>
      </c>
      <c r="N1290" t="str">
        <f t="shared" si="83"/>
        <v>Apr</v>
      </c>
    </row>
    <row r="1291" spans="1:14" x14ac:dyDescent="0.3">
      <c r="A1291" s="2" t="s">
        <v>1357</v>
      </c>
      <c r="B1291" s="6">
        <v>45769</v>
      </c>
      <c r="C1291" s="2" t="s">
        <v>41</v>
      </c>
      <c r="D1291" s="2" t="s">
        <v>42</v>
      </c>
      <c r="E1291" s="2">
        <v>4</v>
      </c>
      <c r="F1291" s="7">
        <v>399</v>
      </c>
      <c r="G1291" s="8">
        <v>0.2</v>
      </c>
      <c r="H1291" s="9" t="str">
        <f>INDEX(Products!$B$2:$B$37, MATCH(D1291, Products!$A$2:$A$37, 0))</f>
        <v>Wireless Earbuds Pro</v>
      </c>
      <c r="I1291" t="str">
        <f>INDEX(Products!$C$2:$C$37, MATCH(D1291, Products!$A$2:$A$37, 0))</f>
        <v>Electronics</v>
      </c>
      <c r="J1291">
        <f>INDEX(Products!$E$2:$E$37, MATCH(D1291, Products!$A$2:$A$37, 0))</f>
        <v>230</v>
      </c>
      <c r="K1291" s="9">
        <f t="shared" si="80"/>
        <v>1276.8000000000002</v>
      </c>
      <c r="L1291">
        <f t="shared" si="81"/>
        <v>920</v>
      </c>
      <c r="M1291" s="9">
        <f t="shared" si="82"/>
        <v>356.80000000000018</v>
      </c>
      <c r="N1291" t="str">
        <f t="shared" si="83"/>
        <v>Apr</v>
      </c>
    </row>
    <row r="1292" spans="1:14" x14ac:dyDescent="0.3">
      <c r="A1292" s="2" t="s">
        <v>1358</v>
      </c>
      <c r="B1292" s="6">
        <v>45769</v>
      </c>
      <c r="C1292" s="2" t="s">
        <v>44</v>
      </c>
      <c r="D1292" s="2" t="s">
        <v>70</v>
      </c>
      <c r="E1292" s="2">
        <v>1</v>
      </c>
      <c r="F1292" s="7">
        <v>429</v>
      </c>
      <c r="G1292" s="8">
        <v>0.1</v>
      </c>
      <c r="H1292" s="9" t="str">
        <f>INDEX(Products!$B$2:$B$37, MATCH(D1292, Products!$A$2:$A$37, 0))</f>
        <v>Running Shoes Elite</v>
      </c>
      <c r="I1292" t="str">
        <f>INDEX(Products!$C$2:$C$37, MATCH(D1292, Products!$A$2:$A$37, 0))</f>
        <v>Fashion</v>
      </c>
      <c r="J1292">
        <f>INDEX(Products!$E$2:$E$37, MATCH(D1292, Products!$A$2:$A$37, 0))</f>
        <v>300</v>
      </c>
      <c r="K1292" s="9">
        <f t="shared" si="80"/>
        <v>386.1</v>
      </c>
      <c r="L1292">
        <f t="shared" si="81"/>
        <v>300</v>
      </c>
      <c r="M1292" s="9">
        <f t="shared" si="82"/>
        <v>86.100000000000023</v>
      </c>
      <c r="N1292" t="str">
        <f t="shared" si="83"/>
        <v>Apr</v>
      </c>
    </row>
    <row r="1293" spans="1:14" x14ac:dyDescent="0.3">
      <c r="A1293" s="2" t="s">
        <v>1359</v>
      </c>
      <c r="B1293" s="6">
        <v>45769</v>
      </c>
      <c r="C1293" s="2" t="s">
        <v>44</v>
      </c>
      <c r="D1293" s="2" t="s">
        <v>129</v>
      </c>
      <c r="E1293" s="2">
        <v>1</v>
      </c>
      <c r="F1293" s="7">
        <v>149</v>
      </c>
      <c r="G1293" s="8">
        <v>0.15</v>
      </c>
      <c r="H1293" s="9" t="str">
        <f>INDEX(Products!$B$2:$B$37, MATCH(D1293, Products!$A$2:$A$37, 0))</f>
        <v>Power Bank 20000mAh</v>
      </c>
      <c r="I1293" t="str">
        <f>INDEX(Products!$C$2:$C$37, MATCH(D1293, Products!$A$2:$A$37, 0))</f>
        <v>Electronics</v>
      </c>
      <c r="J1293">
        <f>INDEX(Products!$E$2:$E$37, MATCH(D1293, Products!$A$2:$A$37, 0))</f>
        <v>70</v>
      </c>
      <c r="K1293" s="9">
        <f t="shared" si="80"/>
        <v>126.64999999999999</v>
      </c>
      <c r="L1293">
        <f t="shared" si="81"/>
        <v>70</v>
      </c>
      <c r="M1293" s="9">
        <f t="shared" si="82"/>
        <v>56.649999999999991</v>
      </c>
      <c r="N1293" t="str">
        <f t="shared" si="83"/>
        <v>Apr</v>
      </c>
    </row>
    <row r="1294" spans="1:14" x14ac:dyDescent="0.3">
      <c r="A1294" s="2" t="s">
        <v>1360</v>
      </c>
      <c r="B1294" s="6">
        <v>45769</v>
      </c>
      <c r="C1294" s="2" t="s">
        <v>41</v>
      </c>
      <c r="D1294" s="2" t="s">
        <v>60</v>
      </c>
      <c r="E1294" s="2">
        <v>1</v>
      </c>
      <c r="F1294" s="7">
        <v>99</v>
      </c>
      <c r="G1294" s="8">
        <v>0.3</v>
      </c>
      <c r="H1294" s="9" t="str">
        <f>INDEX(Products!$B$2:$B$37, MATCH(D1294, Products!$A$2:$A$37, 0))</f>
        <v>Football Size 5</v>
      </c>
      <c r="I1294" t="str">
        <f>INDEX(Products!$C$2:$C$37, MATCH(D1294, Products!$A$2:$A$37, 0))</f>
        <v>Sports</v>
      </c>
      <c r="J1294">
        <f>INDEX(Products!$E$2:$E$37, MATCH(D1294, Products!$A$2:$A$37, 0))</f>
        <v>45</v>
      </c>
      <c r="K1294" s="9">
        <f t="shared" si="80"/>
        <v>69.3</v>
      </c>
      <c r="L1294">
        <f t="shared" si="81"/>
        <v>45</v>
      </c>
      <c r="M1294" s="9">
        <f t="shared" si="82"/>
        <v>24.299999999999997</v>
      </c>
      <c r="N1294" t="str">
        <f t="shared" si="83"/>
        <v>Apr</v>
      </c>
    </row>
    <row r="1295" spans="1:14" x14ac:dyDescent="0.3">
      <c r="A1295" s="2" t="s">
        <v>1361</v>
      </c>
      <c r="B1295" s="6">
        <v>45769</v>
      </c>
      <c r="C1295" s="2" t="s">
        <v>28</v>
      </c>
      <c r="D1295" s="2" t="s">
        <v>106</v>
      </c>
      <c r="E1295" s="2">
        <v>1</v>
      </c>
      <c r="F1295" s="7">
        <v>1299</v>
      </c>
      <c r="G1295" s="8">
        <v>0</v>
      </c>
      <c r="H1295" s="9" t="str">
        <f>INDEX(Products!$B$2:$B$37, MATCH(D1295, Products!$A$2:$A$37, 0))</f>
        <v>Smart Watch Series 5</v>
      </c>
      <c r="I1295" t="str">
        <f>INDEX(Products!$C$2:$C$37, MATCH(D1295, Products!$A$2:$A$37, 0))</f>
        <v>Electronics</v>
      </c>
      <c r="J1295">
        <f>INDEX(Products!$E$2:$E$37, MATCH(D1295, Products!$A$2:$A$37, 0))</f>
        <v>820</v>
      </c>
      <c r="K1295" s="9">
        <f t="shared" si="80"/>
        <v>1299</v>
      </c>
      <c r="L1295">
        <f t="shared" si="81"/>
        <v>820</v>
      </c>
      <c r="M1295" s="9">
        <f t="shared" si="82"/>
        <v>479</v>
      </c>
      <c r="N1295" t="str">
        <f t="shared" si="83"/>
        <v>Apr</v>
      </c>
    </row>
    <row r="1296" spans="1:14" x14ac:dyDescent="0.3">
      <c r="A1296" s="2" t="s">
        <v>1362</v>
      </c>
      <c r="B1296" s="6">
        <v>45769</v>
      </c>
      <c r="C1296" s="2" t="s">
        <v>28</v>
      </c>
      <c r="D1296" s="2" t="s">
        <v>194</v>
      </c>
      <c r="E1296" s="2">
        <v>4</v>
      </c>
      <c r="F1296" s="7">
        <v>699</v>
      </c>
      <c r="G1296" s="8">
        <v>0</v>
      </c>
      <c r="H1296" s="9" t="str">
        <f>INDEX(Products!$B$2:$B$37, MATCH(D1296, Products!$A$2:$A$37, 0))</f>
        <v>Leather Handbag</v>
      </c>
      <c r="I1296" t="str">
        <f>INDEX(Products!$C$2:$C$37, MATCH(D1296, Products!$A$2:$A$37, 0))</f>
        <v>Fashion</v>
      </c>
      <c r="J1296">
        <f>INDEX(Products!$E$2:$E$37, MATCH(D1296, Products!$A$2:$A$37, 0))</f>
        <v>380</v>
      </c>
      <c r="K1296" s="9">
        <f t="shared" si="80"/>
        <v>2796</v>
      </c>
      <c r="L1296">
        <f t="shared" si="81"/>
        <v>1520</v>
      </c>
      <c r="M1296" s="9">
        <f t="shared" si="82"/>
        <v>1276</v>
      </c>
      <c r="N1296" t="str">
        <f t="shared" si="83"/>
        <v>Apr</v>
      </c>
    </row>
    <row r="1297" spans="1:14" x14ac:dyDescent="0.3">
      <c r="A1297" s="2" t="s">
        <v>1363</v>
      </c>
      <c r="B1297" s="6">
        <v>45769</v>
      </c>
      <c r="C1297" s="2" t="s">
        <v>41</v>
      </c>
      <c r="D1297" s="2" t="s">
        <v>42</v>
      </c>
      <c r="E1297" s="2">
        <v>1</v>
      </c>
      <c r="F1297" s="7">
        <v>399</v>
      </c>
      <c r="G1297" s="8">
        <v>0.1</v>
      </c>
      <c r="H1297" s="9" t="str">
        <f>INDEX(Products!$B$2:$B$37, MATCH(D1297, Products!$A$2:$A$37, 0))</f>
        <v>Wireless Earbuds Pro</v>
      </c>
      <c r="I1297" t="str">
        <f>INDEX(Products!$C$2:$C$37, MATCH(D1297, Products!$A$2:$A$37, 0))</f>
        <v>Electronics</v>
      </c>
      <c r="J1297">
        <f>INDEX(Products!$E$2:$E$37, MATCH(D1297, Products!$A$2:$A$37, 0))</f>
        <v>230</v>
      </c>
      <c r="K1297" s="9">
        <f t="shared" si="80"/>
        <v>359.1</v>
      </c>
      <c r="L1297">
        <f t="shared" si="81"/>
        <v>230</v>
      </c>
      <c r="M1297" s="9">
        <f t="shared" si="82"/>
        <v>129.10000000000002</v>
      </c>
      <c r="N1297" t="str">
        <f t="shared" si="83"/>
        <v>Apr</v>
      </c>
    </row>
    <row r="1298" spans="1:14" x14ac:dyDescent="0.3">
      <c r="A1298" s="2" t="s">
        <v>1364</v>
      </c>
      <c r="B1298" s="6">
        <v>45770</v>
      </c>
      <c r="C1298" s="2" t="s">
        <v>31</v>
      </c>
      <c r="D1298" s="2" t="s">
        <v>115</v>
      </c>
      <c r="E1298" s="2">
        <v>1</v>
      </c>
      <c r="F1298" s="7">
        <v>129</v>
      </c>
      <c r="G1298" s="8">
        <v>0</v>
      </c>
      <c r="H1298" s="9" t="str">
        <f>INDEX(Products!$B$2:$B$37, MATCH(D1298, Products!$A$2:$A$37, 0))</f>
        <v>Electric Kettle</v>
      </c>
      <c r="I1298" t="str">
        <f>INDEX(Products!$C$2:$C$37, MATCH(D1298, Products!$A$2:$A$37, 0))</f>
        <v>Home &amp; Kitchen</v>
      </c>
      <c r="J1298">
        <f>INDEX(Products!$E$2:$E$37, MATCH(D1298, Products!$A$2:$A$37, 0))</f>
        <v>60</v>
      </c>
      <c r="K1298" s="9">
        <f t="shared" si="80"/>
        <v>129</v>
      </c>
      <c r="L1298">
        <f t="shared" si="81"/>
        <v>60</v>
      </c>
      <c r="M1298" s="9">
        <f t="shared" si="82"/>
        <v>69</v>
      </c>
      <c r="N1298" t="str">
        <f t="shared" si="83"/>
        <v>Apr</v>
      </c>
    </row>
    <row r="1299" spans="1:14" x14ac:dyDescent="0.3">
      <c r="A1299" s="2" t="s">
        <v>1365</v>
      </c>
      <c r="B1299" s="6">
        <v>45770</v>
      </c>
      <c r="C1299" s="2" t="s">
        <v>41</v>
      </c>
      <c r="D1299" s="2" t="s">
        <v>49</v>
      </c>
      <c r="E1299" s="2">
        <v>3</v>
      </c>
      <c r="F1299" s="7">
        <v>149</v>
      </c>
      <c r="G1299" s="8">
        <v>0.15</v>
      </c>
      <c r="H1299" s="9" t="str">
        <f>INDEX(Products!$B$2:$B$37, MATCH(D1299, Products!$A$2:$A$37, 0))</f>
        <v>Kids' Sneakers</v>
      </c>
      <c r="I1299" t="str">
        <f>INDEX(Products!$C$2:$C$37, MATCH(D1299, Products!$A$2:$A$37, 0))</f>
        <v>Fashion</v>
      </c>
      <c r="J1299">
        <f>INDEX(Products!$E$2:$E$37, MATCH(D1299, Products!$A$2:$A$37, 0))</f>
        <v>80</v>
      </c>
      <c r="K1299" s="9">
        <f t="shared" si="80"/>
        <v>379.95</v>
      </c>
      <c r="L1299">
        <f t="shared" si="81"/>
        <v>240</v>
      </c>
      <c r="M1299" s="9">
        <f t="shared" si="82"/>
        <v>139.94999999999999</v>
      </c>
      <c r="N1299" t="str">
        <f t="shared" si="83"/>
        <v>Apr</v>
      </c>
    </row>
    <row r="1300" spans="1:14" x14ac:dyDescent="0.3">
      <c r="A1300" s="2" t="s">
        <v>1366</v>
      </c>
      <c r="B1300" s="6">
        <v>45770</v>
      </c>
      <c r="C1300" s="2" t="s">
        <v>28</v>
      </c>
      <c r="D1300" s="2" t="s">
        <v>115</v>
      </c>
      <c r="E1300" s="2">
        <v>1</v>
      </c>
      <c r="F1300" s="7">
        <v>129</v>
      </c>
      <c r="G1300" s="8">
        <v>0</v>
      </c>
      <c r="H1300" s="9" t="str">
        <f>INDEX(Products!$B$2:$B$37, MATCH(D1300, Products!$A$2:$A$37, 0))</f>
        <v>Electric Kettle</v>
      </c>
      <c r="I1300" t="str">
        <f>INDEX(Products!$C$2:$C$37, MATCH(D1300, Products!$A$2:$A$37, 0))</f>
        <v>Home &amp; Kitchen</v>
      </c>
      <c r="J1300">
        <f>INDEX(Products!$E$2:$E$37, MATCH(D1300, Products!$A$2:$A$37, 0))</f>
        <v>60</v>
      </c>
      <c r="K1300" s="9">
        <f t="shared" si="80"/>
        <v>129</v>
      </c>
      <c r="L1300">
        <f t="shared" si="81"/>
        <v>60</v>
      </c>
      <c r="M1300" s="9">
        <f t="shared" si="82"/>
        <v>69</v>
      </c>
      <c r="N1300" t="str">
        <f t="shared" si="83"/>
        <v>Apr</v>
      </c>
    </row>
    <row r="1301" spans="1:14" x14ac:dyDescent="0.3">
      <c r="A1301" s="2" t="s">
        <v>1367</v>
      </c>
      <c r="B1301" s="6">
        <v>45770</v>
      </c>
      <c r="C1301" s="2" t="s">
        <v>48</v>
      </c>
      <c r="D1301" s="2" t="s">
        <v>99</v>
      </c>
      <c r="E1301" s="2">
        <v>1</v>
      </c>
      <c r="F1301" s="7">
        <v>459</v>
      </c>
      <c r="G1301" s="8">
        <v>0</v>
      </c>
      <c r="H1301" s="9" t="str">
        <f>INDEX(Products!$B$2:$B$37, MATCH(D1301, Products!$A$2:$A$37, 0))</f>
        <v>Gaming Headset X</v>
      </c>
      <c r="I1301" t="str">
        <f>INDEX(Products!$C$2:$C$37, MATCH(D1301, Products!$A$2:$A$37, 0))</f>
        <v>Electronics</v>
      </c>
      <c r="J1301">
        <f>INDEX(Products!$E$2:$E$37, MATCH(D1301, Products!$A$2:$A$37, 0))</f>
        <v>300</v>
      </c>
      <c r="K1301" s="9">
        <f t="shared" si="80"/>
        <v>459</v>
      </c>
      <c r="L1301">
        <f t="shared" si="81"/>
        <v>300</v>
      </c>
      <c r="M1301" s="9">
        <f t="shared" si="82"/>
        <v>159</v>
      </c>
      <c r="N1301" t="str">
        <f t="shared" si="83"/>
        <v>Apr</v>
      </c>
    </row>
    <row r="1302" spans="1:14" x14ac:dyDescent="0.3">
      <c r="A1302" s="2" t="s">
        <v>1368</v>
      </c>
      <c r="B1302" s="6">
        <v>45770</v>
      </c>
      <c r="C1302" s="2" t="s">
        <v>44</v>
      </c>
      <c r="D1302" s="2" t="s">
        <v>42</v>
      </c>
      <c r="E1302" s="2">
        <v>1</v>
      </c>
      <c r="F1302" s="7">
        <v>399</v>
      </c>
      <c r="G1302" s="8">
        <v>0.05</v>
      </c>
      <c r="H1302" s="9" t="str">
        <f>INDEX(Products!$B$2:$B$37, MATCH(D1302, Products!$A$2:$A$37, 0))</f>
        <v>Wireless Earbuds Pro</v>
      </c>
      <c r="I1302" t="str">
        <f>INDEX(Products!$C$2:$C$37, MATCH(D1302, Products!$A$2:$A$37, 0))</f>
        <v>Electronics</v>
      </c>
      <c r="J1302">
        <f>INDEX(Products!$E$2:$E$37, MATCH(D1302, Products!$A$2:$A$37, 0))</f>
        <v>230</v>
      </c>
      <c r="K1302" s="9">
        <f t="shared" si="80"/>
        <v>379.04999999999995</v>
      </c>
      <c r="L1302">
        <f t="shared" si="81"/>
        <v>230</v>
      </c>
      <c r="M1302" s="9">
        <f t="shared" si="82"/>
        <v>149.04999999999995</v>
      </c>
      <c r="N1302" t="str">
        <f t="shared" si="83"/>
        <v>Apr</v>
      </c>
    </row>
    <row r="1303" spans="1:14" x14ac:dyDescent="0.3">
      <c r="A1303" s="2" t="s">
        <v>1369</v>
      </c>
      <c r="B1303" s="6">
        <v>45770</v>
      </c>
      <c r="C1303" s="2" t="s">
        <v>48</v>
      </c>
      <c r="D1303" s="2" t="s">
        <v>49</v>
      </c>
      <c r="E1303" s="2">
        <v>1</v>
      </c>
      <c r="F1303" s="7">
        <v>149</v>
      </c>
      <c r="G1303" s="8">
        <v>0.1</v>
      </c>
      <c r="H1303" s="9" t="str">
        <f>INDEX(Products!$B$2:$B$37, MATCH(D1303, Products!$A$2:$A$37, 0))</f>
        <v>Kids' Sneakers</v>
      </c>
      <c r="I1303" t="str">
        <f>INDEX(Products!$C$2:$C$37, MATCH(D1303, Products!$A$2:$A$37, 0))</f>
        <v>Fashion</v>
      </c>
      <c r="J1303">
        <f>INDEX(Products!$E$2:$E$37, MATCH(D1303, Products!$A$2:$A$37, 0))</f>
        <v>80</v>
      </c>
      <c r="K1303" s="9">
        <f t="shared" si="80"/>
        <v>134.1</v>
      </c>
      <c r="L1303">
        <f t="shared" si="81"/>
        <v>80</v>
      </c>
      <c r="M1303" s="9">
        <f t="shared" si="82"/>
        <v>54.099999999999994</v>
      </c>
      <c r="N1303" t="str">
        <f t="shared" si="83"/>
        <v>Apr</v>
      </c>
    </row>
    <row r="1304" spans="1:14" x14ac:dyDescent="0.3">
      <c r="A1304" s="2" t="s">
        <v>1370</v>
      </c>
      <c r="B1304" s="6">
        <v>45770</v>
      </c>
      <c r="C1304" s="2" t="s">
        <v>41</v>
      </c>
      <c r="D1304" s="2" t="s">
        <v>109</v>
      </c>
      <c r="E1304" s="2">
        <v>1</v>
      </c>
      <c r="F1304" s="7">
        <v>1499</v>
      </c>
      <c r="G1304" s="8">
        <v>0</v>
      </c>
      <c r="H1304" s="9" t="str">
        <f>INDEX(Products!$B$2:$B$37, MATCH(D1304, Products!$A$2:$A$37, 0))</f>
        <v>Espresso Machine</v>
      </c>
      <c r="I1304" t="str">
        <f>INDEX(Products!$C$2:$C$37, MATCH(D1304, Products!$A$2:$A$37, 0))</f>
        <v>Home &amp; Kitchen</v>
      </c>
      <c r="J1304">
        <f>INDEX(Products!$E$2:$E$37, MATCH(D1304, Products!$A$2:$A$37, 0))</f>
        <v>1050</v>
      </c>
      <c r="K1304" s="9">
        <f t="shared" si="80"/>
        <v>1499</v>
      </c>
      <c r="L1304">
        <f t="shared" si="81"/>
        <v>1050</v>
      </c>
      <c r="M1304" s="9">
        <f t="shared" si="82"/>
        <v>449</v>
      </c>
      <c r="N1304" t="str">
        <f t="shared" si="83"/>
        <v>Apr</v>
      </c>
    </row>
    <row r="1305" spans="1:14" x14ac:dyDescent="0.3">
      <c r="A1305" s="2" t="s">
        <v>1371</v>
      </c>
      <c r="B1305" s="6">
        <v>45770</v>
      </c>
      <c r="C1305" s="2" t="s">
        <v>28</v>
      </c>
      <c r="D1305" s="2" t="s">
        <v>165</v>
      </c>
      <c r="E1305" s="2">
        <v>1</v>
      </c>
      <c r="F1305" s="7">
        <v>69</v>
      </c>
      <c r="G1305" s="8">
        <v>0</v>
      </c>
      <c r="H1305" s="9" t="str">
        <f>INDEX(Products!$B$2:$B$37, MATCH(D1305, Products!$A$2:$A$37, 0))</f>
        <v>Swim Goggles</v>
      </c>
      <c r="I1305" t="str">
        <f>INDEX(Products!$C$2:$C$37, MATCH(D1305, Products!$A$2:$A$37, 0))</f>
        <v>Sports</v>
      </c>
      <c r="J1305">
        <f>INDEX(Products!$E$2:$E$37, MATCH(D1305, Products!$A$2:$A$37, 0))</f>
        <v>25</v>
      </c>
      <c r="K1305" s="9">
        <f t="shared" si="80"/>
        <v>69</v>
      </c>
      <c r="L1305">
        <f t="shared" si="81"/>
        <v>25</v>
      </c>
      <c r="M1305" s="9">
        <f t="shared" si="82"/>
        <v>44</v>
      </c>
      <c r="N1305" t="str">
        <f t="shared" si="83"/>
        <v>Apr</v>
      </c>
    </row>
    <row r="1306" spans="1:14" x14ac:dyDescent="0.3">
      <c r="A1306" s="2" t="s">
        <v>1372</v>
      </c>
      <c r="B1306" s="6">
        <v>45770</v>
      </c>
      <c r="C1306" s="2" t="s">
        <v>31</v>
      </c>
      <c r="D1306" s="2" t="s">
        <v>165</v>
      </c>
      <c r="E1306" s="2">
        <v>3</v>
      </c>
      <c r="F1306" s="7">
        <v>69</v>
      </c>
      <c r="G1306" s="8">
        <v>0</v>
      </c>
      <c r="H1306" s="9" t="str">
        <f>INDEX(Products!$B$2:$B$37, MATCH(D1306, Products!$A$2:$A$37, 0))</f>
        <v>Swim Goggles</v>
      </c>
      <c r="I1306" t="str">
        <f>INDEX(Products!$C$2:$C$37, MATCH(D1306, Products!$A$2:$A$37, 0))</f>
        <v>Sports</v>
      </c>
      <c r="J1306">
        <f>INDEX(Products!$E$2:$E$37, MATCH(D1306, Products!$A$2:$A$37, 0))</f>
        <v>25</v>
      </c>
      <c r="K1306" s="9">
        <f t="shared" si="80"/>
        <v>207</v>
      </c>
      <c r="L1306">
        <f t="shared" si="81"/>
        <v>75</v>
      </c>
      <c r="M1306" s="9">
        <f t="shared" si="82"/>
        <v>132</v>
      </c>
      <c r="N1306" t="str">
        <f t="shared" si="83"/>
        <v>Apr</v>
      </c>
    </row>
    <row r="1307" spans="1:14" x14ac:dyDescent="0.3">
      <c r="A1307" s="2" t="s">
        <v>1373</v>
      </c>
      <c r="B1307" s="6">
        <v>45770</v>
      </c>
      <c r="C1307" s="2" t="s">
        <v>48</v>
      </c>
      <c r="D1307" s="2" t="s">
        <v>49</v>
      </c>
      <c r="E1307" s="2">
        <v>1</v>
      </c>
      <c r="F1307" s="7">
        <v>149</v>
      </c>
      <c r="G1307" s="8">
        <v>0.2</v>
      </c>
      <c r="H1307" s="9" t="str">
        <f>INDEX(Products!$B$2:$B$37, MATCH(D1307, Products!$A$2:$A$37, 0))</f>
        <v>Kids' Sneakers</v>
      </c>
      <c r="I1307" t="str">
        <f>INDEX(Products!$C$2:$C$37, MATCH(D1307, Products!$A$2:$A$37, 0))</f>
        <v>Fashion</v>
      </c>
      <c r="J1307">
        <f>INDEX(Products!$E$2:$E$37, MATCH(D1307, Products!$A$2:$A$37, 0))</f>
        <v>80</v>
      </c>
      <c r="K1307" s="9">
        <f t="shared" si="80"/>
        <v>119.2</v>
      </c>
      <c r="L1307">
        <f t="shared" si="81"/>
        <v>80</v>
      </c>
      <c r="M1307" s="9">
        <f t="shared" si="82"/>
        <v>39.200000000000003</v>
      </c>
      <c r="N1307" t="str">
        <f t="shared" si="83"/>
        <v>Apr</v>
      </c>
    </row>
    <row r="1308" spans="1:14" x14ac:dyDescent="0.3">
      <c r="A1308" s="2" t="s">
        <v>1374</v>
      </c>
      <c r="B1308" s="6">
        <v>45770</v>
      </c>
      <c r="C1308" s="2" t="s">
        <v>41</v>
      </c>
      <c r="D1308" s="2" t="s">
        <v>115</v>
      </c>
      <c r="E1308" s="2">
        <v>1</v>
      </c>
      <c r="F1308" s="7">
        <v>129</v>
      </c>
      <c r="G1308" s="8">
        <v>0.05</v>
      </c>
      <c r="H1308" s="9" t="str">
        <f>INDEX(Products!$B$2:$B$37, MATCH(D1308, Products!$A$2:$A$37, 0))</f>
        <v>Electric Kettle</v>
      </c>
      <c r="I1308" t="str">
        <f>INDEX(Products!$C$2:$C$37, MATCH(D1308, Products!$A$2:$A$37, 0))</f>
        <v>Home &amp; Kitchen</v>
      </c>
      <c r="J1308">
        <f>INDEX(Products!$E$2:$E$37, MATCH(D1308, Products!$A$2:$A$37, 0))</f>
        <v>60</v>
      </c>
      <c r="K1308" s="9">
        <f t="shared" si="80"/>
        <v>122.55</v>
      </c>
      <c r="L1308">
        <f t="shared" si="81"/>
        <v>60</v>
      </c>
      <c r="M1308" s="9">
        <f t="shared" si="82"/>
        <v>62.55</v>
      </c>
      <c r="N1308" t="str">
        <f t="shared" si="83"/>
        <v>Apr</v>
      </c>
    </row>
    <row r="1309" spans="1:14" x14ac:dyDescent="0.3">
      <c r="A1309" s="2" t="s">
        <v>1375</v>
      </c>
      <c r="B1309" s="6">
        <v>45770</v>
      </c>
      <c r="C1309" s="2" t="s">
        <v>31</v>
      </c>
      <c r="D1309" s="2" t="s">
        <v>95</v>
      </c>
      <c r="E1309" s="2">
        <v>1</v>
      </c>
      <c r="F1309" s="7">
        <v>259</v>
      </c>
      <c r="G1309" s="8">
        <v>0.3</v>
      </c>
      <c r="H1309" s="9" t="str">
        <f>INDEX(Products!$B$2:$B$37, MATCH(D1309, Products!$A$2:$A$37, 0))</f>
        <v>Bed Linen Set (King)</v>
      </c>
      <c r="I1309" t="str">
        <f>INDEX(Products!$C$2:$C$37, MATCH(D1309, Products!$A$2:$A$37, 0))</f>
        <v>Home &amp; Kitchen</v>
      </c>
      <c r="J1309">
        <f>INDEX(Products!$E$2:$E$37, MATCH(D1309, Products!$A$2:$A$37, 0))</f>
        <v>115</v>
      </c>
      <c r="K1309" s="9">
        <f t="shared" si="80"/>
        <v>181.29999999999998</v>
      </c>
      <c r="L1309">
        <f t="shared" si="81"/>
        <v>115</v>
      </c>
      <c r="M1309" s="9">
        <f t="shared" si="82"/>
        <v>66.299999999999983</v>
      </c>
      <c r="N1309" t="str">
        <f t="shared" si="83"/>
        <v>Apr</v>
      </c>
    </row>
    <row r="1310" spans="1:14" x14ac:dyDescent="0.3">
      <c r="A1310" s="2" t="s">
        <v>1376</v>
      </c>
      <c r="B1310" s="6">
        <v>45770</v>
      </c>
      <c r="C1310" s="2" t="s">
        <v>44</v>
      </c>
      <c r="D1310" s="2" t="s">
        <v>60</v>
      </c>
      <c r="E1310" s="2">
        <v>3</v>
      </c>
      <c r="F1310" s="7">
        <v>99</v>
      </c>
      <c r="G1310" s="8">
        <v>0</v>
      </c>
      <c r="H1310" s="9" t="str">
        <f>INDEX(Products!$B$2:$B$37, MATCH(D1310, Products!$A$2:$A$37, 0))</f>
        <v>Football Size 5</v>
      </c>
      <c r="I1310" t="str">
        <f>INDEX(Products!$C$2:$C$37, MATCH(D1310, Products!$A$2:$A$37, 0))</f>
        <v>Sports</v>
      </c>
      <c r="J1310">
        <f>INDEX(Products!$E$2:$E$37, MATCH(D1310, Products!$A$2:$A$37, 0))</f>
        <v>45</v>
      </c>
      <c r="K1310" s="9">
        <f t="shared" si="80"/>
        <v>297</v>
      </c>
      <c r="L1310">
        <f t="shared" si="81"/>
        <v>135</v>
      </c>
      <c r="M1310" s="9">
        <f t="shared" si="82"/>
        <v>162</v>
      </c>
      <c r="N1310" t="str">
        <f t="shared" si="83"/>
        <v>Apr</v>
      </c>
    </row>
    <row r="1311" spans="1:14" x14ac:dyDescent="0.3">
      <c r="A1311" s="2" t="s">
        <v>1377</v>
      </c>
      <c r="B1311" s="6">
        <v>45771</v>
      </c>
      <c r="C1311" s="2" t="s">
        <v>41</v>
      </c>
      <c r="D1311" s="2" t="s">
        <v>60</v>
      </c>
      <c r="E1311" s="2">
        <v>1</v>
      </c>
      <c r="F1311" s="7">
        <v>99</v>
      </c>
      <c r="G1311" s="8">
        <v>0</v>
      </c>
      <c r="H1311" s="9" t="str">
        <f>INDEX(Products!$B$2:$B$37, MATCH(D1311, Products!$A$2:$A$37, 0))</f>
        <v>Football Size 5</v>
      </c>
      <c r="I1311" t="str">
        <f>INDEX(Products!$C$2:$C$37, MATCH(D1311, Products!$A$2:$A$37, 0))</f>
        <v>Sports</v>
      </c>
      <c r="J1311">
        <f>INDEX(Products!$E$2:$E$37, MATCH(D1311, Products!$A$2:$A$37, 0))</f>
        <v>45</v>
      </c>
      <c r="K1311" s="9">
        <f t="shared" si="80"/>
        <v>99</v>
      </c>
      <c r="L1311">
        <f t="shared" si="81"/>
        <v>45</v>
      </c>
      <c r="M1311" s="9">
        <f t="shared" si="82"/>
        <v>54</v>
      </c>
      <c r="N1311" t="str">
        <f t="shared" si="83"/>
        <v>Apr</v>
      </c>
    </row>
    <row r="1312" spans="1:14" x14ac:dyDescent="0.3">
      <c r="A1312" s="2" t="s">
        <v>1378</v>
      </c>
      <c r="B1312" s="6">
        <v>45771</v>
      </c>
      <c r="C1312" s="2" t="s">
        <v>41</v>
      </c>
      <c r="D1312" s="2" t="s">
        <v>42</v>
      </c>
      <c r="E1312" s="2">
        <v>1</v>
      </c>
      <c r="F1312" s="7">
        <v>399</v>
      </c>
      <c r="G1312" s="8">
        <v>0.05</v>
      </c>
      <c r="H1312" s="9" t="str">
        <f>INDEX(Products!$B$2:$B$37, MATCH(D1312, Products!$A$2:$A$37, 0))</f>
        <v>Wireless Earbuds Pro</v>
      </c>
      <c r="I1312" t="str">
        <f>INDEX(Products!$C$2:$C$37, MATCH(D1312, Products!$A$2:$A$37, 0))</f>
        <v>Electronics</v>
      </c>
      <c r="J1312">
        <f>INDEX(Products!$E$2:$E$37, MATCH(D1312, Products!$A$2:$A$37, 0))</f>
        <v>230</v>
      </c>
      <c r="K1312" s="9">
        <f t="shared" si="80"/>
        <v>379.04999999999995</v>
      </c>
      <c r="L1312">
        <f t="shared" si="81"/>
        <v>230</v>
      </c>
      <c r="M1312" s="9">
        <f t="shared" si="82"/>
        <v>149.04999999999995</v>
      </c>
      <c r="N1312" t="str">
        <f t="shared" si="83"/>
        <v>Apr</v>
      </c>
    </row>
    <row r="1313" spans="1:14" x14ac:dyDescent="0.3">
      <c r="A1313" s="2" t="s">
        <v>1379</v>
      </c>
      <c r="B1313" s="6">
        <v>45771</v>
      </c>
      <c r="C1313" s="2" t="s">
        <v>41</v>
      </c>
      <c r="D1313" s="2" t="s">
        <v>194</v>
      </c>
      <c r="E1313" s="2">
        <v>4</v>
      </c>
      <c r="F1313" s="7">
        <v>699</v>
      </c>
      <c r="G1313" s="8">
        <v>0.2</v>
      </c>
      <c r="H1313" s="9" t="str">
        <f>INDEX(Products!$B$2:$B$37, MATCH(D1313, Products!$A$2:$A$37, 0))</f>
        <v>Leather Handbag</v>
      </c>
      <c r="I1313" t="str">
        <f>INDEX(Products!$C$2:$C$37, MATCH(D1313, Products!$A$2:$A$37, 0))</f>
        <v>Fashion</v>
      </c>
      <c r="J1313">
        <f>INDEX(Products!$E$2:$E$37, MATCH(D1313, Products!$A$2:$A$37, 0))</f>
        <v>380</v>
      </c>
      <c r="K1313" s="9">
        <f t="shared" si="80"/>
        <v>2236.8000000000002</v>
      </c>
      <c r="L1313">
        <f t="shared" si="81"/>
        <v>1520</v>
      </c>
      <c r="M1313" s="9">
        <f t="shared" si="82"/>
        <v>716.80000000000018</v>
      </c>
      <c r="N1313" t="str">
        <f t="shared" si="83"/>
        <v>Apr</v>
      </c>
    </row>
    <row r="1314" spans="1:14" x14ac:dyDescent="0.3">
      <c r="A1314" s="2" t="s">
        <v>1380</v>
      </c>
      <c r="B1314" s="6">
        <v>45771</v>
      </c>
      <c r="C1314" s="2" t="s">
        <v>41</v>
      </c>
      <c r="D1314" s="2" t="s">
        <v>89</v>
      </c>
      <c r="E1314" s="2">
        <v>2</v>
      </c>
      <c r="F1314" s="7">
        <v>399</v>
      </c>
      <c r="G1314" s="8">
        <v>0.1</v>
      </c>
      <c r="H1314" s="9" t="str">
        <f>INDEX(Products!$B$2:$B$37, MATCH(D1314, Products!$A$2:$A$37, 0))</f>
        <v>Men's Kandura Premium</v>
      </c>
      <c r="I1314" t="str">
        <f>INDEX(Products!$C$2:$C$37, MATCH(D1314, Products!$A$2:$A$37, 0))</f>
        <v>Fashion</v>
      </c>
      <c r="J1314">
        <f>INDEX(Products!$E$2:$E$37, MATCH(D1314, Products!$A$2:$A$37, 0))</f>
        <v>210</v>
      </c>
      <c r="K1314" s="9">
        <f t="shared" si="80"/>
        <v>718.2</v>
      </c>
      <c r="L1314">
        <f t="shared" si="81"/>
        <v>420</v>
      </c>
      <c r="M1314" s="9">
        <f t="shared" si="82"/>
        <v>298.20000000000005</v>
      </c>
      <c r="N1314" t="str">
        <f t="shared" si="83"/>
        <v>Apr</v>
      </c>
    </row>
    <row r="1315" spans="1:14" x14ac:dyDescent="0.3">
      <c r="A1315" s="2" t="s">
        <v>1381</v>
      </c>
      <c r="B1315" s="6">
        <v>45771</v>
      </c>
      <c r="C1315" s="2" t="s">
        <v>28</v>
      </c>
      <c r="D1315" s="2" t="s">
        <v>33</v>
      </c>
      <c r="E1315" s="2">
        <v>1</v>
      </c>
      <c r="F1315" s="7">
        <v>199</v>
      </c>
      <c r="G1315" s="8">
        <v>0.2</v>
      </c>
      <c r="H1315" s="9" t="str">
        <f>INDEX(Products!$B$2:$B$37, MATCH(D1315, Products!$A$2:$A$37, 0))</f>
        <v>Fitness Band Lite</v>
      </c>
      <c r="I1315" t="str">
        <f>INDEX(Products!$C$2:$C$37, MATCH(D1315, Products!$A$2:$A$37, 0))</f>
        <v>Electronics</v>
      </c>
      <c r="J1315">
        <f>INDEX(Products!$E$2:$E$37, MATCH(D1315, Products!$A$2:$A$37, 0))</f>
        <v>175</v>
      </c>
      <c r="K1315" s="9">
        <f t="shared" si="80"/>
        <v>159.20000000000002</v>
      </c>
      <c r="L1315">
        <f t="shared" si="81"/>
        <v>175</v>
      </c>
      <c r="M1315" s="9">
        <f t="shared" si="82"/>
        <v>-15.799999999999983</v>
      </c>
      <c r="N1315" t="str">
        <f t="shared" si="83"/>
        <v>Apr</v>
      </c>
    </row>
    <row r="1316" spans="1:14" x14ac:dyDescent="0.3">
      <c r="A1316" s="2" t="s">
        <v>1382</v>
      </c>
      <c r="B1316" s="6">
        <v>45771</v>
      </c>
      <c r="C1316" s="2" t="s">
        <v>44</v>
      </c>
      <c r="D1316" s="2" t="s">
        <v>35</v>
      </c>
      <c r="E1316" s="2">
        <v>2</v>
      </c>
      <c r="F1316" s="7">
        <v>179</v>
      </c>
      <c r="G1316" s="8">
        <v>0</v>
      </c>
      <c r="H1316" s="9" t="str">
        <f>INDEX(Products!$B$2:$B$37, MATCH(D1316, Products!$A$2:$A$37, 0))</f>
        <v>Men's Linen Shirt</v>
      </c>
      <c r="I1316" t="str">
        <f>INDEX(Products!$C$2:$C$37, MATCH(D1316, Products!$A$2:$A$37, 0))</f>
        <v>Fashion</v>
      </c>
      <c r="J1316">
        <f>INDEX(Products!$E$2:$E$37, MATCH(D1316, Products!$A$2:$A$37, 0))</f>
        <v>70</v>
      </c>
      <c r="K1316" s="9">
        <f t="shared" si="80"/>
        <v>358</v>
      </c>
      <c r="L1316">
        <f t="shared" si="81"/>
        <v>140</v>
      </c>
      <c r="M1316" s="9">
        <f t="shared" si="82"/>
        <v>218</v>
      </c>
      <c r="N1316" t="str">
        <f t="shared" si="83"/>
        <v>Apr</v>
      </c>
    </row>
    <row r="1317" spans="1:14" x14ac:dyDescent="0.3">
      <c r="A1317" s="2" t="s">
        <v>1383</v>
      </c>
      <c r="B1317" s="6">
        <v>45771</v>
      </c>
      <c r="C1317" s="2" t="s">
        <v>44</v>
      </c>
      <c r="D1317" s="2" t="s">
        <v>126</v>
      </c>
      <c r="E1317" s="2">
        <v>1</v>
      </c>
      <c r="F1317" s="7">
        <v>89</v>
      </c>
      <c r="G1317" s="8">
        <v>0</v>
      </c>
      <c r="H1317" s="9" t="str">
        <f>INDEX(Products!$B$2:$B$37, MATCH(D1317, Products!$A$2:$A$37, 0))</f>
        <v>USB-C Fast Charger</v>
      </c>
      <c r="I1317" t="str">
        <f>INDEX(Products!$C$2:$C$37, MATCH(D1317, Products!$A$2:$A$37, 0))</f>
        <v>Electronics</v>
      </c>
      <c r="J1317">
        <f>INDEX(Products!$E$2:$E$37, MATCH(D1317, Products!$A$2:$A$37, 0))</f>
        <v>35</v>
      </c>
      <c r="K1317" s="9">
        <f t="shared" si="80"/>
        <v>89</v>
      </c>
      <c r="L1317">
        <f t="shared" si="81"/>
        <v>35</v>
      </c>
      <c r="M1317" s="9">
        <f t="shared" si="82"/>
        <v>54</v>
      </c>
      <c r="N1317" t="str">
        <f t="shared" si="83"/>
        <v>Apr</v>
      </c>
    </row>
    <row r="1318" spans="1:14" x14ac:dyDescent="0.3">
      <c r="A1318" s="2" t="s">
        <v>1384</v>
      </c>
      <c r="B1318" s="6">
        <v>45771</v>
      </c>
      <c r="C1318" s="2" t="s">
        <v>41</v>
      </c>
      <c r="D1318" s="2" t="s">
        <v>33</v>
      </c>
      <c r="E1318" s="2">
        <v>1</v>
      </c>
      <c r="F1318" s="7">
        <v>199</v>
      </c>
      <c r="G1318" s="8">
        <v>0.15</v>
      </c>
      <c r="H1318" s="9" t="str">
        <f>INDEX(Products!$B$2:$B$37, MATCH(D1318, Products!$A$2:$A$37, 0))</f>
        <v>Fitness Band Lite</v>
      </c>
      <c r="I1318" t="str">
        <f>INDEX(Products!$C$2:$C$37, MATCH(D1318, Products!$A$2:$A$37, 0))</f>
        <v>Electronics</v>
      </c>
      <c r="J1318">
        <f>INDEX(Products!$E$2:$E$37, MATCH(D1318, Products!$A$2:$A$37, 0))</f>
        <v>175</v>
      </c>
      <c r="K1318" s="9">
        <f t="shared" si="80"/>
        <v>169.15</v>
      </c>
      <c r="L1318">
        <f t="shared" si="81"/>
        <v>175</v>
      </c>
      <c r="M1318" s="9">
        <f t="shared" si="82"/>
        <v>-5.8499999999999943</v>
      </c>
      <c r="N1318" t="str">
        <f t="shared" si="83"/>
        <v>Apr</v>
      </c>
    </row>
    <row r="1319" spans="1:14" x14ac:dyDescent="0.3">
      <c r="A1319" s="2" t="s">
        <v>1385</v>
      </c>
      <c r="B1319" s="6">
        <v>45772</v>
      </c>
      <c r="C1319" s="2" t="s">
        <v>28</v>
      </c>
      <c r="D1319" s="2" t="s">
        <v>35</v>
      </c>
      <c r="E1319" s="2">
        <v>4</v>
      </c>
      <c r="F1319" s="7">
        <v>179</v>
      </c>
      <c r="G1319" s="8">
        <v>0</v>
      </c>
      <c r="H1319" s="9" t="str">
        <f>INDEX(Products!$B$2:$B$37, MATCH(D1319, Products!$A$2:$A$37, 0))</f>
        <v>Men's Linen Shirt</v>
      </c>
      <c r="I1319" t="str">
        <f>INDEX(Products!$C$2:$C$37, MATCH(D1319, Products!$A$2:$A$37, 0))</f>
        <v>Fashion</v>
      </c>
      <c r="J1319">
        <f>INDEX(Products!$E$2:$E$37, MATCH(D1319, Products!$A$2:$A$37, 0))</f>
        <v>70</v>
      </c>
      <c r="K1319" s="9">
        <f t="shared" si="80"/>
        <v>716</v>
      </c>
      <c r="L1319">
        <f t="shared" si="81"/>
        <v>280</v>
      </c>
      <c r="M1319" s="9">
        <f t="shared" si="82"/>
        <v>436</v>
      </c>
      <c r="N1319" t="str">
        <f t="shared" si="83"/>
        <v>Apr</v>
      </c>
    </row>
    <row r="1320" spans="1:14" x14ac:dyDescent="0.3">
      <c r="A1320" s="2" t="s">
        <v>1386</v>
      </c>
      <c r="B1320" s="6">
        <v>45772</v>
      </c>
      <c r="C1320" s="2" t="s">
        <v>44</v>
      </c>
      <c r="D1320" s="2" t="s">
        <v>39</v>
      </c>
      <c r="E1320" s="2">
        <v>2</v>
      </c>
      <c r="F1320" s="7">
        <v>199</v>
      </c>
      <c r="G1320" s="8">
        <v>0</v>
      </c>
      <c r="H1320" s="9" t="str">
        <f>INDEX(Products!$B$2:$B$37, MATCH(D1320, Products!$A$2:$A$37, 0))</f>
        <v>Bakhoor Gift Set</v>
      </c>
      <c r="I1320" t="str">
        <f>INDEX(Products!$C$2:$C$37, MATCH(D1320, Products!$A$2:$A$37, 0))</f>
        <v>Beauty</v>
      </c>
      <c r="J1320">
        <f>INDEX(Products!$E$2:$E$37, MATCH(D1320, Products!$A$2:$A$37, 0))</f>
        <v>90</v>
      </c>
      <c r="K1320" s="9">
        <f t="shared" si="80"/>
        <v>398</v>
      </c>
      <c r="L1320">
        <f t="shared" si="81"/>
        <v>180</v>
      </c>
      <c r="M1320" s="9">
        <f t="shared" si="82"/>
        <v>218</v>
      </c>
      <c r="N1320" t="str">
        <f t="shared" si="83"/>
        <v>Apr</v>
      </c>
    </row>
    <row r="1321" spans="1:14" x14ac:dyDescent="0.3">
      <c r="A1321" s="2" t="s">
        <v>1387</v>
      </c>
      <c r="B1321" s="6">
        <v>45772</v>
      </c>
      <c r="C1321" s="2" t="s">
        <v>28</v>
      </c>
      <c r="D1321" s="2" t="s">
        <v>92</v>
      </c>
      <c r="E1321" s="2">
        <v>1</v>
      </c>
      <c r="F1321" s="7">
        <v>349</v>
      </c>
      <c r="G1321" s="8">
        <v>0.1</v>
      </c>
      <c r="H1321" s="9" t="str">
        <f>INDEX(Products!$B$2:$B$37, MATCH(D1321, Products!$A$2:$A$37, 0))</f>
        <v>Non-stick Cookware Set</v>
      </c>
      <c r="I1321" t="str">
        <f>INDEX(Products!$C$2:$C$37, MATCH(D1321, Products!$A$2:$A$37, 0))</f>
        <v>Home &amp; Kitchen</v>
      </c>
      <c r="J1321">
        <f>INDEX(Products!$E$2:$E$37, MATCH(D1321, Products!$A$2:$A$37, 0))</f>
        <v>170</v>
      </c>
      <c r="K1321" s="9">
        <f t="shared" si="80"/>
        <v>314.10000000000002</v>
      </c>
      <c r="L1321">
        <f t="shared" si="81"/>
        <v>170</v>
      </c>
      <c r="M1321" s="9">
        <f t="shared" si="82"/>
        <v>144.10000000000002</v>
      </c>
      <c r="N1321" t="str">
        <f t="shared" si="83"/>
        <v>Apr</v>
      </c>
    </row>
    <row r="1322" spans="1:14" x14ac:dyDescent="0.3">
      <c r="A1322" s="2" t="s">
        <v>1388</v>
      </c>
      <c r="B1322" s="6">
        <v>45772</v>
      </c>
      <c r="C1322" s="2" t="s">
        <v>44</v>
      </c>
      <c r="D1322" s="2" t="s">
        <v>103</v>
      </c>
      <c r="E1322" s="2">
        <v>1</v>
      </c>
      <c r="F1322" s="7">
        <v>89</v>
      </c>
      <c r="G1322" s="8">
        <v>0</v>
      </c>
      <c r="H1322" s="9" t="str">
        <f>INDEX(Products!$B$2:$B$37, MATCH(D1322, Products!$A$2:$A$37, 0))</f>
        <v>Sunscreen SPF50</v>
      </c>
      <c r="I1322" t="str">
        <f>INDEX(Products!$C$2:$C$37, MATCH(D1322, Products!$A$2:$A$37, 0))</f>
        <v>Beauty</v>
      </c>
      <c r="J1322">
        <f>INDEX(Products!$E$2:$E$37, MATCH(D1322, Products!$A$2:$A$37, 0))</f>
        <v>40</v>
      </c>
      <c r="K1322" s="9">
        <f t="shared" si="80"/>
        <v>89</v>
      </c>
      <c r="L1322">
        <f t="shared" si="81"/>
        <v>40</v>
      </c>
      <c r="M1322" s="9">
        <f t="shared" si="82"/>
        <v>49</v>
      </c>
      <c r="N1322" t="str">
        <f t="shared" si="83"/>
        <v>Apr</v>
      </c>
    </row>
    <row r="1323" spans="1:14" x14ac:dyDescent="0.3">
      <c r="A1323" s="2" t="s">
        <v>1389</v>
      </c>
      <c r="B1323" s="6">
        <v>45772</v>
      </c>
      <c r="C1323" s="2" t="s">
        <v>28</v>
      </c>
      <c r="D1323" s="2" t="s">
        <v>131</v>
      </c>
      <c r="E1323" s="2">
        <v>1</v>
      </c>
      <c r="F1323" s="7">
        <v>899</v>
      </c>
      <c r="G1323" s="8">
        <v>0.15</v>
      </c>
      <c r="H1323" s="9" t="str">
        <f>INDEX(Products!$B$2:$B$37, MATCH(D1323, Products!$A$2:$A$37, 0))</f>
        <v>4K Action Camera</v>
      </c>
      <c r="I1323" t="str">
        <f>INDEX(Products!$C$2:$C$37, MATCH(D1323, Products!$A$2:$A$37, 0))</f>
        <v>Electronics</v>
      </c>
      <c r="J1323">
        <f>INDEX(Products!$E$2:$E$37, MATCH(D1323, Products!$A$2:$A$37, 0))</f>
        <v>610</v>
      </c>
      <c r="K1323" s="9">
        <f t="shared" si="80"/>
        <v>764.15</v>
      </c>
      <c r="L1323">
        <f t="shared" si="81"/>
        <v>610</v>
      </c>
      <c r="M1323" s="9">
        <f t="shared" si="82"/>
        <v>154.14999999999998</v>
      </c>
      <c r="N1323" t="str">
        <f t="shared" si="83"/>
        <v>Apr</v>
      </c>
    </row>
    <row r="1324" spans="1:14" x14ac:dyDescent="0.3">
      <c r="A1324" s="2" t="s">
        <v>1390</v>
      </c>
      <c r="B1324" s="6">
        <v>45772</v>
      </c>
      <c r="C1324" s="2" t="s">
        <v>41</v>
      </c>
      <c r="D1324" s="2" t="s">
        <v>65</v>
      </c>
      <c r="E1324" s="2">
        <v>1</v>
      </c>
      <c r="F1324" s="7">
        <v>129</v>
      </c>
      <c r="G1324" s="8">
        <v>0.15</v>
      </c>
      <c r="H1324" s="9" t="str">
        <f>INDEX(Products!$B$2:$B$37, MATCH(D1324, Products!$A$2:$A$37, 0))</f>
        <v>Yoga Mat Premium</v>
      </c>
      <c r="I1324" t="str">
        <f>INDEX(Products!$C$2:$C$37, MATCH(D1324, Products!$A$2:$A$37, 0))</f>
        <v>Sports</v>
      </c>
      <c r="J1324">
        <f>INDEX(Products!$E$2:$E$37, MATCH(D1324, Products!$A$2:$A$37, 0))</f>
        <v>60</v>
      </c>
      <c r="K1324" s="9">
        <f t="shared" si="80"/>
        <v>109.64999999999999</v>
      </c>
      <c r="L1324">
        <f t="shared" si="81"/>
        <v>60</v>
      </c>
      <c r="M1324" s="9">
        <f t="shared" si="82"/>
        <v>49.649999999999991</v>
      </c>
      <c r="N1324" t="str">
        <f t="shared" si="83"/>
        <v>Apr</v>
      </c>
    </row>
    <row r="1325" spans="1:14" x14ac:dyDescent="0.3">
      <c r="A1325" s="2" t="s">
        <v>1391</v>
      </c>
      <c r="B1325" s="6">
        <v>45772</v>
      </c>
      <c r="C1325" s="2" t="s">
        <v>44</v>
      </c>
      <c r="D1325" s="2" t="s">
        <v>126</v>
      </c>
      <c r="E1325" s="2">
        <v>1</v>
      </c>
      <c r="F1325" s="7">
        <v>89</v>
      </c>
      <c r="G1325" s="8">
        <v>0.2</v>
      </c>
      <c r="H1325" s="9" t="str">
        <f>INDEX(Products!$B$2:$B$37, MATCH(D1325, Products!$A$2:$A$37, 0))</f>
        <v>USB-C Fast Charger</v>
      </c>
      <c r="I1325" t="str">
        <f>INDEX(Products!$C$2:$C$37, MATCH(D1325, Products!$A$2:$A$37, 0))</f>
        <v>Electronics</v>
      </c>
      <c r="J1325">
        <f>INDEX(Products!$E$2:$E$37, MATCH(D1325, Products!$A$2:$A$37, 0))</f>
        <v>35</v>
      </c>
      <c r="K1325" s="9">
        <f t="shared" si="80"/>
        <v>71.2</v>
      </c>
      <c r="L1325">
        <f t="shared" si="81"/>
        <v>35</v>
      </c>
      <c r="M1325" s="9">
        <f t="shared" si="82"/>
        <v>36.200000000000003</v>
      </c>
      <c r="N1325" t="str">
        <f t="shared" si="83"/>
        <v>Apr</v>
      </c>
    </row>
    <row r="1326" spans="1:14" x14ac:dyDescent="0.3">
      <c r="A1326" s="2" t="s">
        <v>1392</v>
      </c>
      <c r="B1326" s="6">
        <v>45772</v>
      </c>
      <c r="C1326" s="2" t="s">
        <v>28</v>
      </c>
      <c r="D1326" s="2" t="s">
        <v>129</v>
      </c>
      <c r="E1326" s="2">
        <v>2</v>
      </c>
      <c r="F1326" s="7">
        <v>149</v>
      </c>
      <c r="G1326" s="8">
        <v>0.15</v>
      </c>
      <c r="H1326" s="9" t="str">
        <f>INDEX(Products!$B$2:$B$37, MATCH(D1326, Products!$A$2:$A$37, 0))</f>
        <v>Power Bank 20000mAh</v>
      </c>
      <c r="I1326" t="str">
        <f>INDEX(Products!$C$2:$C$37, MATCH(D1326, Products!$A$2:$A$37, 0))</f>
        <v>Electronics</v>
      </c>
      <c r="J1326">
        <f>INDEX(Products!$E$2:$E$37, MATCH(D1326, Products!$A$2:$A$37, 0))</f>
        <v>70</v>
      </c>
      <c r="K1326" s="9">
        <f t="shared" si="80"/>
        <v>253.29999999999998</v>
      </c>
      <c r="L1326">
        <f t="shared" si="81"/>
        <v>140</v>
      </c>
      <c r="M1326" s="9">
        <f t="shared" si="82"/>
        <v>113.29999999999998</v>
      </c>
      <c r="N1326" t="str">
        <f t="shared" si="83"/>
        <v>Apr</v>
      </c>
    </row>
    <row r="1327" spans="1:14" x14ac:dyDescent="0.3">
      <c r="A1327" s="2" t="s">
        <v>1393</v>
      </c>
      <c r="B1327" s="6">
        <v>45772</v>
      </c>
      <c r="C1327" s="2" t="s">
        <v>31</v>
      </c>
      <c r="D1327" s="2" t="s">
        <v>33</v>
      </c>
      <c r="E1327" s="2">
        <v>2</v>
      </c>
      <c r="F1327" s="7">
        <v>199</v>
      </c>
      <c r="G1327" s="8">
        <v>0.25</v>
      </c>
      <c r="H1327" s="9" t="str">
        <f>INDEX(Products!$B$2:$B$37, MATCH(D1327, Products!$A$2:$A$37, 0))</f>
        <v>Fitness Band Lite</v>
      </c>
      <c r="I1327" t="str">
        <f>INDEX(Products!$C$2:$C$37, MATCH(D1327, Products!$A$2:$A$37, 0))</f>
        <v>Electronics</v>
      </c>
      <c r="J1327">
        <f>INDEX(Products!$E$2:$E$37, MATCH(D1327, Products!$A$2:$A$37, 0))</f>
        <v>175</v>
      </c>
      <c r="K1327" s="9">
        <f t="shared" si="80"/>
        <v>298.5</v>
      </c>
      <c r="L1327">
        <f t="shared" si="81"/>
        <v>350</v>
      </c>
      <c r="M1327" s="9">
        <f t="shared" si="82"/>
        <v>-51.5</v>
      </c>
      <c r="N1327" t="str">
        <f t="shared" si="83"/>
        <v>Apr</v>
      </c>
    </row>
    <row r="1328" spans="1:14" x14ac:dyDescent="0.3">
      <c r="A1328" s="2" t="s">
        <v>1394</v>
      </c>
      <c r="B1328" s="6">
        <v>45772</v>
      </c>
      <c r="C1328" s="2" t="s">
        <v>41</v>
      </c>
      <c r="D1328" s="2" t="s">
        <v>70</v>
      </c>
      <c r="E1328" s="2">
        <v>1</v>
      </c>
      <c r="F1328" s="7">
        <v>429</v>
      </c>
      <c r="G1328" s="8">
        <v>0</v>
      </c>
      <c r="H1328" s="9" t="str">
        <f>INDEX(Products!$B$2:$B$37, MATCH(D1328, Products!$A$2:$A$37, 0))</f>
        <v>Running Shoes Elite</v>
      </c>
      <c r="I1328" t="str">
        <f>INDEX(Products!$C$2:$C$37, MATCH(D1328, Products!$A$2:$A$37, 0))</f>
        <v>Fashion</v>
      </c>
      <c r="J1328">
        <f>INDEX(Products!$E$2:$E$37, MATCH(D1328, Products!$A$2:$A$37, 0))</f>
        <v>300</v>
      </c>
      <c r="K1328" s="9">
        <f t="shared" si="80"/>
        <v>429</v>
      </c>
      <c r="L1328">
        <f t="shared" si="81"/>
        <v>300</v>
      </c>
      <c r="M1328" s="9">
        <f t="shared" si="82"/>
        <v>129</v>
      </c>
      <c r="N1328" t="str">
        <f t="shared" si="83"/>
        <v>Apr</v>
      </c>
    </row>
    <row r="1329" spans="1:14" x14ac:dyDescent="0.3">
      <c r="A1329" s="2" t="s">
        <v>1395</v>
      </c>
      <c r="B1329" s="6">
        <v>45772</v>
      </c>
      <c r="C1329" s="2" t="s">
        <v>41</v>
      </c>
      <c r="D1329" s="2" t="s">
        <v>129</v>
      </c>
      <c r="E1329" s="2">
        <v>3</v>
      </c>
      <c r="F1329" s="7">
        <v>149</v>
      </c>
      <c r="G1329" s="8">
        <v>0</v>
      </c>
      <c r="H1329" s="9" t="str">
        <f>INDEX(Products!$B$2:$B$37, MATCH(D1329, Products!$A$2:$A$37, 0))</f>
        <v>Power Bank 20000mAh</v>
      </c>
      <c r="I1329" t="str">
        <f>INDEX(Products!$C$2:$C$37, MATCH(D1329, Products!$A$2:$A$37, 0))</f>
        <v>Electronics</v>
      </c>
      <c r="J1329">
        <f>INDEX(Products!$E$2:$E$37, MATCH(D1329, Products!$A$2:$A$37, 0))</f>
        <v>70</v>
      </c>
      <c r="K1329" s="9">
        <f t="shared" si="80"/>
        <v>447</v>
      </c>
      <c r="L1329">
        <f t="shared" si="81"/>
        <v>210</v>
      </c>
      <c r="M1329" s="9">
        <f t="shared" si="82"/>
        <v>237</v>
      </c>
      <c r="N1329" t="str">
        <f t="shared" si="83"/>
        <v>Apr</v>
      </c>
    </row>
    <row r="1330" spans="1:14" x14ac:dyDescent="0.3">
      <c r="A1330" s="2" t="s">
        <v>1396</v>
      </c>
      <c r="B1330" s="6">
        <v>45772</v>
      </c>
      <c r="C1330" s="2" t="s">
        <v>44</v>
      </c>
      <c r="D1330" s="2" t="s">
        <v>129</v>
      </c>
      <c r="E1330" s="2">
        <v>1</v>
      </c>
      <c r="F1330" s="7">
        <v>149</v>
      </c>
      <c r="G1330" s="8">
        <v>0</v>
      </c>
      <c r="H1330" s="9" t="str">
        <f>INDEX(Products!$B$2:$B$37, MATCH(D1330, Products!$A$2:$A$37, 0))</f>
        <v>Power Bank 20000mAh</v>
      </c>
      <c r="I1330" t="str">
        <f>INDEX(Products!$C$2:$C$37, MATCH(D1330, Products!$A$2:$A$37, 0))</f>
        <v>Electronics</v>
      </c>
      <c r="J1330">
        <f>INDEX(Products!$E$2:$E$37, MATCH(D1330, Products!$A$2:$A$37, 0))</f>
        <v>70</v>
      </c>
      <c r="K1330" s="9">
        <f t="shared" si="80"/>
        <v>149</v>
      </c>
      <c r="L1330">
        <f t="shared" si="81"/>
        <v>70</v>
      </c>
      <c r="M1330" s="9">
        <f t="shared" si="82"/>
        <v>79</v>
      </c>
      <c r="N1330" t="str">
        <f t="shared" si="83"/>
        <v>Apr</v>
      </c>
    </row>
    <row r="1331" spans="1:14" x14ac:dyDescent="0.3">
      <c r="A1331" s="2" t="s">
        <v>1397</v>
      </c>
      <c r="B1331" s="6">
        <v>45772</v>
      </c>
      <c r="C1331" s="2" t="s">
        <v>44</v>
      </c>
      <c r="D1331" s="2" t="s">
        <v>129</v>
      </c>
      <c r="E1331" s="2">
        <v>1</v>
      </c>
      <c r="F1331" s="7">
        <v>149</v>
      </c>
      <c r="G1331" s="8">
        <v>0</v>
      </c>
      <c r="H1331" s="9" t="str">
        <f>INDEX(Products!$B$2:$B$37, MATCH(D1331, Products!$A$2:$A$37, 0))</f>
        <v>Power Bank 20000mAh</v>
      </c>
      <c r="I1331" t="str">
        <f>INDEX(Products!$C$2:$C$37, MATCH(D1331, Products!$A$2:$A$37, 0))</f>
        <v>Electronics</v>
      </c>
      <c r="J1331">
        <f>INDEX(Products!$E$2:$E$37, MATCH(D1331, Products!$A$2:$A$37, 0))</f>
        <v>70</v>
      </c>
      <c r="K1331" s="9">
        <f t="shared" si="80"/>
        <v>149</v>
      </c>
      <c r="L1331">
        <f t="shared" si="81"/>
        <v>70</v>
      </c>
      <c r="M1331" s="9">
        <f t="shared" si="82"/>
        <v>79</v>
      </c>
      <c r="N1331" t="str">
        <f t="shared" si="83"/>
        <v>Apr</v>
      </c>
    </row>
    <row r="1332" spans="1:14" x14ac:dyDescent="0.3">
      <c r="A1332" s="2" t="s">
        <v>1398</v>
      </c>
      <c r="B1332" s="6">
        <v>45772</v>
      </c>
      <c r="C1332" s="2" t="s">
        <v>44</v>
      </c>
      <c r="D1332" s="2" t="s">
        <v>56</v>
      </c>
      <c r="E1332" s="2">
        <v>1</v>
      </c>
      <c r="F1332" s="7">
        <v>289</v>
      </c>
      <c r="G1332" s="8">
        <v>0</v>
      </c>
      <c r="H1332" s="9" t="str">
        <f>INDEX(Products!$B$2:$B$37, MATCH(D1332, Products!$A$2:$A$37, 0))</f>
        <v>Ceramic Dinner Set</v>
      </c>
      <c r="I1332" t="str">
        <f>INDEX(Products!$C$2:$C$37, MATCH(D1332, Products!$A$2:$A$37, 0))</f>
        <v>Home &amp; Kitchen</v>
      </c>
      <c r="J1332">
        <f>INDEX(Products!$E$2:$E$37, MATCH(D1332, Products!$A$2:$A$37, 0))</f>
        <v>140</v>
      </c>
      <c r="K1332" s="9">
        <f t="shared" si="80"/>
        <v>289</v>
      </c>
      <c r="L1332">
        <f t="shared" si="81"/>
        <v>140</v>
      </c>
      <c r="M1332" s="9">
        <f t="shared" si="82"/>
        <v>149</v>
      </c>
      <c r="N1332" t="str">
        <f t="shared" si="83"/>
        <v>Apr</v>
      </c>
    </row>
    <row r="1333" spans="1:14" x14ac:dyDescent="0.3">
      <c r="A1333" s="2" t="s">
        <v>1399</v>
      </c>
      <c r="B1333" s="6">
        <v>45773</v>
      </c>
      <c r="C1333" s="2" t="s">
        <v>28</v>
      </c>
      <c r="D1333" s="2" t="s">
        <v>103</v>
      </c>
      <c r="E1333" s="2">
        <v>1</v>
      </c>
      <c r="F1333" s="7">
        <v>89</v>
      </c>
      <c r="G1333" s="8">
        <v>0.15</v>
      </c>
      <c r="H1333" s="9" t="str">
        <f>INDEX(Products!$B$2:$B$37, MATCH(D1333, Products!$A$2:$A$37, 0))</f>
        <v>Sunscreen SPF50</v>
      </c>
      <c r="I1333" t="str">
        <f>INDEX(Products!$C$2:$C$37, MATCH(D1333, Products!$A$2:$A$37, 0))</f>
        <v>Beauty</v>
      </c>
      <c r="J1333">
        <f>INDEX(Products!$E$2:$E$37, MATCH(D1333, Products!$A$2:$A$37, 0))</f>
        <v>40</v>
      </c>
      <c r="K1333" s="9">
        <f t="shared" si="80"/>
        <v>75.649999999999991</v>
      </c>
      <c r="L1333">
        <f t="shared" si="81"/>
        <v>40</v>
      </c>
      <c r="M1333" s="9">
        <f t="shared" si="82"/>
        <v>35.649999999999991</v>
      </c>
      <c r="N1333" t="str">
        <f t="shared" si="83"/>
        <v>Apr</v>
      </c>
    </row>
    <row r="1334" spans="1:14" x14ac:dyDescent="0.3">
      <c r="A1334" s="2" t="s">
        <v>1400</v>
      </c>
      <c r="B1334" s="6">
        <v>45773</v>
      </c>
      <c r="C1334" s="2" t="s">
        <v>44</v>
      </c>
      <c r="D1334" s="2" t="s">
        <v>58</v>
      </c>
      <c r="E1334" s="2">
        <v>1</v>
      </c>
      <c r="F1334" s="7">
        <v>459</v>
      </c>
      <c r="G1334" s="8">
        <v>0.1</v>
      </c>
      <c r="H1334" s="9" t="str">
        <f>INDEX(Products!$B$2:$B$37, MATCH(D1334, Products!$A$2:$A$37, 0))</f>
        <v>Women's Abaya Classic</v>
      </c>
      <c r="I1334" t="str">
        <f>INDEX(Products!$C$2:$C$37, MATCH(D1334, Products!$A$2:$A$37, 0))</f>
        <v>Fashion</v>
      </c>
      <c r="J1334">
        <f>INDEX(Products!$E$2:$E$37, MATCH(D1334, Products!$A$2:$A$37, 0))</f>
        <v>190</v>
      </c>
      <c r="K1334" s="9">
        <f t="shared" si="80"/>
        <v>413.1</v>
      </c>
      <c r="L1334">
        <f t="shared" si="81"/>
        <v>190</v>
      </c>
      <c r="M1334" s="9">
        <f t="shared" si="82"/>
        <v>223.10000000000002</v>
      </c>
      <c r="N1334" t="str">
        <f t="shared" si="83"/>
        <v>Apr</v>
      </c>
    </row>
    <row r="1335" spans="1:14" x14ac:dyDescent="0.3">
      <c r="A1335" s="2" t="s">
        <v>1401</v>
      </c>
      <c r="B1335" s="6">
        <v>45773</v>
      </c>
      <c r="C1335" s="2" t="s">
        <v>44</v>
      </c>
      <c r="D1335" s="2" t="s">
        <v>33</v>
      </c>
      <c r="E1335" s="2">
        <v>2</v>
      </c>
      <c r="F1335" s="7">
        <v>199</v>
      </c>
      <c r="G1335" s="8">
        <v>0.25</v>
      </c>
      <c r="H1335" s="9" t="str">
        <f>INDEX(Products!$B$2:$B$37, MATCH(D1335, Products!$A$2:$A$37, 0))</f>
        <v>Fitness Band Lite</v>
      </c>
      <c r="I1335" t="str">
        <f>INDEX(Products!$C$2:$C$37, MATCH(D1335, Products!$A$2:$A$37, 0))</f>
        <v>Electronics</v>
      </c>
      <c r="J1335">
        <f>INDEX(Products!$E$2:$E$37, MATCH(D1335, Products!$A$2:$A$37, 0))</f>
        <v>175</v>
      </c>
      <c r="K1335" s="9">
        <f t="shared" si="80"/>
        <v>298.5</v>
      </c>
      <c r="L1335">
        <f t="shared" si="81"/>
        <v>350</v>
      </c>
      <c r="M1335" s="9">
        <f t="shared" si="82"/>
        <v>-51.5</v>
      </c>
      <c r="N1335" t="str">
        <f t="shared" si="83"/>
        <v>Apr</v>
      </c>
    </row>
    <row r="1336" spans="1:14" x14ac:dyDescent="0.3">
      <c r="A1336" s="2" t="s">
        <v>1402</v>
      </c>
      <c r="B1336" s="6">
        <v>45773</v>
      </c>
      <c r="C1336" s="2" t="s">
        <v>28</v>
      </c>
      <c r="D1336" s="2" t="s">
        <v>115</v>
      </c>
      <c r="E1336" s="2">
        <v>2</v>
      </c>
      <c r="F1336" s="7">
        <v>129</v>
      </c>
      <c r="G1336" s="8">
        <v>0</v>
      </c>
      <c r="H1336" s="9" t="str">
        <f>INDEX(Products!$B$2:$B$37, MATCH(D1336, Products!$A$2:$A$37, 0))</f>
        <v>Electric Kettle</v>
      </c>
      <c r="I1336" t="str">
        <f>INDEX(Products!$C$2:$C$37, MATCH(D1336, Products!$A$2:$A$37, 0))</f>
        <v>Home &amp; Kitchen</v>
      </c>
      <c r="J1336">
        <f>INDEX(Products!$E$2:$E$37, MATCH(D1336, Products!$A$2:$A$37, 0))</f>
        <v>60</v>
      </c>
      <c r="K1336" s="9">
        <f t="shared" si="80"/>
        <v>258</v>
      </c>
      <c r="L1336">
        <f t="shared" si="81"/>
        <v>120</v>
      </c>
      <c r="M1336" s="9">
        <f t="shared" si="82"/>
        <v>138</v>
      </c>
      <c r="N1336" t="str">
        <f t="shared" si="83"/>
        <v>Apr</v>
      </c>
    </row>
    <row r="1337" spans="1:14" x14ac:dyDescent="0.3">
      <c r="A1337" s="2" t="s">
        <v>1403</v>
      </c>
      <c r="B1337" s="6">
        <v>45773</v>
      </c>
      <c r="C1337" s="2" t="s">
        <v>44</v>
      </c>
      <c r="D1337" s="2" t="s">
        <v>49</v>
      </c>
      <c r="E1337" s="2">
        <v>2</v>
      </c>
      <c r="F1337" s="7">
        <v>149</v>
      </c>
      <c r="G1337" s="8">
        <v>0.1</v>
      </c>
      <c r="H1337" s="9" t="str">
        <f>INDEX(Products!$B$2:$B$37, MATCH(D1337, Products!$A$2:$A$37, 0))</f>
        <v>Kids' Sneakers</v>
      </c>
      <c r="I1337" t="str">
        <f>INDEX(Products!$C$2:$C$37, MATCH(D1337, Products!$A$2:$A$37, 0))</f>
        <v>Fashion</v>
      </c>
      <c r="J1337">
        <f>INDEX(Products!$E$2:$E$37, MATCH(D1337, Products!$A$2:$A$37, 0))</f>
        <v>80</v>
      </c>
      <c r="K1337" s="9">
        <f t="shared" si="80"/>
        <v>268.2</v>
      </c>
      <c r="L1337">
        <f t="shared" si="81"/>
        <v>160</v>
      </c>
      <c r="M1337" s="9">
        <f t="shared" si="82"/>
        <v>108.19999999999999</v>
      </c>
      <c r="N1337" t="str">
        <f t="shared" si="83"/>
        <v>Apr</v>
      </c>
    </row>
    <row r="1338" spans="1:14" x14ac:dyDescent="0.3">
      <c r="A1338" s="2" t="s">
        <v>1404</v>
      </c>
      <c r="B1338" s="6">
        <v>45773</v>
      </c>
      <c r="C1338" s="2" t="s">
        <v>44</v>
      </c>
      <c r="D1338" s="2" t="s">
        <v>68</v>
      </c>
      <c r="E1338" s="2">
        <v>1</v>
      </c>
      <c r="F1338" s="7">
        <v>249</v>
      </c>
      <c r="G1338" s="8">
        <v>0.15</v>
      </c>
      <c r="H1338" s="9" t="str">
        <f>INDEX(Products!$B$2:$B$37, MATCH(D1338, Products!$A$2:$A$37, 0))</f>
        <v>Bluetooth Speaker Mini</v>
      </c>
      <c r="I1338" t="str">
        <f>INDEX(Products!$C$2:$C$37, MATCH(D1338, Products!$A$2:$A$37, 0))</f>
        <v>Electronics</v>
      </c>
      <c r="J1338">
        <f>INDEX(Products!$E$2:$E$37, MATCH(D1338, Products!$A$2:$A$37, 0))</f>
        <v>150</v>
      </c>
      <c r="K1338" s="9">
        <f t="shared" si="80"/>
        <v>211.65</v>
      </c>
      <c r="L1338">
        <f t="shared" si="81"/>
        <v>150</v>
      </c>
      <c r="M1338" s="9">
        <f t="shared" si="82"/>
        <v>61.650000000000006</v>
      </c>
      <c r="N1338" t="str">
        <f t="shared" si="83"/>
        <v>Apr</v>
      </c>
    </row>
    <row r="1339" spans="1:14" x14ac:dyDescent="0.3">
      <c r="A1339" s="2" t="s">
        <v>1405</v>
      </c>
      <c r="B1339" s="6">
        <v>45773</v>
      </c>
      <c r="C1339" s="2" t="s">
        <v>31</v>
      </c>
      <c r="D1339" s="2" t="s">
        <v>95</v>
      </c>
      <c r="E1339" s="2">
        <v>2</v>
      </c>
      <c r="F1339" s="7">
        <v>259</v>
      </c>
      <c r="G1339" s="8">
        <v>0.15</v>
      </c>
      <c r="H1339" s="9" t="str">
        <f>INDEX(Products!$B$2:$B$37, MATCH(D1339, Products!$A$2:$A$37, 0))</f>
        <v>Bed Linen Set (King)</v>
      </c>
      <c r="I1339" t="str">
        <f>INDEX(Products!$C$2:$C$37, MATCH(D1339, Products!$A$2:$A$37, 0))</f>
        <v>Home &amp; Kitchen</v>
      </c>
      <c r="J1339">
        <f>INDEX(Products!$E$2:$E$37, MATCH(D1339, Products!$A$2:$A$37, 0))</f>
        <v>115</v>
      </c>
      <c r="K1339" s="9">
        <f t="shared" si="80"/>
        <v>440.3</v>
      </c>
      <c r="L1339">
        <f t="shared" si="81"/>
        <v>230</v>
      </c>
      <c r="M1339" s="9">
        <f t="shared" si="82"/>
        <v>210.3</v>
      </c>
      <c r="N1339" t="str">
        <f t="shared" si="83"/>
        <v>Apr</v>
      </c>
    </row>
    <row r="1340" spans="1:14" x14ac:dyDescent="0.3">
      <c r="A1340" s="2" t="s">
        <v>1406</v>
      </c>
      <c r="B1340" s="6">
        <v>45773</v>
      </c>
      <c r="C1340" s="2" t="s">
        <v>48</v>
      </c>
      <c r="D1340" s="2" t="s">
        <v>126</v>
      </c>
      <c r="E1340" s="2">
        <v>1</v>
      </c>
      <c r="F1340" s="7">
        <v>89</v>
      </c>
      <c r="G1340" s="8">
        <v>0.1</v>
      </c>
      <c r="H1340" s="9" t="str">
        <f>INDEX(Products!$B$2:$B$37, MATCH(D1340, Products!$A$2:$A$37, 0))</f>
        <v>USB-C Fast Charger</v>
      </c>
      <c r="I1340" t="str">
        <f>INDEX(Products!$C$2:$C$37, MATCH(D1340, Products!$A$2:$A$37, 0))</f>
        <v>Electronics</v>
      </c>
      <c r="J1340">
        <f>INDEX(Products!$E$2:$E$37, MATCH(D1340, Products!$A$2:$A$37, 0))</f>
        <v>35</v>
      </c>
      <c r="K1340" s="9">
        <f t="shared" si="80"/>
        <v>80.100000000000009</v>
      </c>
      <c r="L1340">
        <f t="shared" si="81"/>
        <v>35</v>
      </c>
      <c r="M1340" s="9">
        <f t="shared" si="82"/>
        <v>45.100000000000009</v>
      </c>
      <c r="N1340" t="str">
        <f t="shared" si="83"/>
        <v>Apr</v>
      </c>
    </row>
    <row r="1341" spans="1:14" x14ac:dyDescent="0.3">
      <c r="A1341" s="2" t="s">
        <v>1407</v>
      </c>
      <c r="B1341" s="6">
        <v>45773</v>
      </c>
      <c r="C1341" s="2" t="s">
        <v>31</v>
      </c>
      <c r="D1341" s="2" t="s">
        <v>149</v>
      </c>
      <c r="E1341" s="2">
        <v>3</v>
      </c>
      <c r="F1341" s="7">
        <v>399</v>
      </c>
      <c r="G1341" s="8">
        <v>0</v>
      </c>
      <c r="H1341" s="9" t="str">
        <f>INDEX(Products!$B$2:$B$37, MATCH(D1341, Products!$A$2:$A$37, 0))</f>
        <v>Blender Pro 1200W</v>
      </c>
      <c r="I1341" t="str">
        <f>INDEX(Products!$C$2:$C$37, MATCH(D1341, Products!$A$2:$A$37, 0))</f>
        <v>Home &amp; Kitchen</v>
      </c>
      <c r="J1341">
        <f>INDEX(Products!$E$2:$E$37, MATCH(D1341, Products!$A$2:$A$37, 0))</f>
        <v>250</v>
      </c>
      <c r="K1341" s="9">
        <f t="shared" si="80"/>
        <v>1197</v>
      </c>
      <c r="L1341">
        <f t="shared" si="81"/>
        <v>750</v>
      </c>
      <c r="M1341" s="9">
        <f t="shared" si="82"/>
        <v>447</v>
      </c>
      <c r="N1341" t="str">
        <f t="shared" si="83"/>
        <v>Apr</v>
      </c>
    </row>
    <row r="1342" spans="1:14" x14ac:dyDescent="0.3">
      <c r="A1342" s="2" t="s">
        <v>1408</v>
      </c>
      <c r="B1342" s="6">
        <v>45773</v>
      </c>
      <c r="C1342" s="2" t="s">
        <v>41</v>
      </c>
      <c r="D1342" s="2" t="s">
        <v>52</v>
      </c>
      <c r="E1342" s="2">
        <v>2</v>
      </c>
      <c r="F1342" s="7">
        <v>299</v>
      </c>
      <c r="G1342" s="8">
        <v>0.25</v>
      </c>
      <c r="H1342" s="9" t="str">
        <f>INDEX(Products!$B$2:$B$37, MATCH(D1342, Products!$A$2:$A$37, 0))</f>
        <v>Hair Dryer Ionic</v>
      </c>
      <c r="I1342" t="str">
        <f>INDEX(Products!$C$2:$C$37, MATCH(D1342, Products!$A$2:$A$37, 0))</f>
        <v>Beauty</v>
      </c>
      <c r="J1342">
        <f>INDEX(Products!$E$2:$E$37, MATCH(D1342, Products!$A$2:$A$37, 0))</f>
        <v>240</v>
      </c>
      <c r="K1342" s="9">
        <f t="shared" si="80"/>
        <v>448.5</v>
      </c>
      <c r="L1342">
        <f t="shared" si="81"/>
        <v>480</v>
      </c>
      <c r="M1342" s="9">
        <f t="shared" si="82"/>
        <v>-31.5</v>
      </c>
      <c r="N1342" t="str">
        <f t="shared" si="83"/>
        <v>Apr</v>
      </c>
    </row>
    <row r="1343" spans="1:14" x14ac:dyDescent="0.3">
      <c r="A1343" s="2" t="s">
        <v>1409</v>
      </c>
      <c r="B1343" s="6">
        <v>45773</v>
      </c>
      <c r="C1343" s="2" t="s">
        <v>41</v>
      </c>
      <c r="D1343" s="2" t="s">
        <v>80</v>
      </c>
      <c r="E1343" s="2">
        <v>2</v>
      </c>
      <c r="F1343" s="7">
        <v>149</v>
      </c>
      <c r="G1343" s="8">
        <v>0.1</v>
      </c>
      <c r="H1343" s="9" t="str">
        <f>INDEX(Products!$B$2:$B$37, MATCH(D1343, Products!$A$2:$A$37, 0))</f>
        <v>Vitamin C Serum</v>
      </c>
      <c r="I1343" t="str">
        <f>INDEX(Products!$C$2:$C$37, MATCH(D1343, Products!$A$2:$A$37, 0))</f>
        <v>Beauty</v>
      </c>
      <c r="J1343">
        <f>INDEX(Products!$E$2:$E$37, MATCH(D1343, Products!$A$2:$A$37, 0))</f>
        <v>55</v>
      </c>
      <c r="K1343" s="9">
        <f t="shared" si="80"/>
        <v>268.2</v>
      </c>
      <c r="L1343">
        <f t="shared" si="81"/>
        <v>110</v>
      </c>
      <c r="M1343" s="9">
        <f t="shared" si="82"/>
        <v>158.19999999999999</v>
      </c>
      <c r="N1343" t="str">
        <f t="shared" si="83"/>
        <v>Apr</v>
      </c>
    </row>
    <row r="1344" spans="1:14" x14ac:dyDescent="0.3">
      <c r="A1344" s="2" t="s">
        <v>1410</v>
      </c>
      <c r="B1344" s="6">
        <v>45773</v>
      </c>
      <c r="C1344" s="2" t="s">
        <v>44</v>
      </c>
      <c r="D1344" s="2" t="s">
        <v>126</v>
      </c>
      <c r="E1344" s="2">
        <v>1</v>
      </c>
      <c r="F1344" s="7">
        <v>89</v>
      </c>
      <c r="G1344" s="8">
        <v>0.2</v>
      </c>
      <c r="H1344" s="9" t="str">
        <f>INDEX(Products!$B$2:$B$37, MATCH(D1344, Products!$A$2:$A$37, 0))</f>
        <v>USB-C Fast Charger</v>
      </c>
      <c r="I1344" t="str">
        <f>INDEX(Products!$C$2:$C$37, MATCH(D1344, Products!$A$2:$A$37, 0))</f>
        <v>Electronics</v>
      </c>
      <c r="J1344">
        <f>INDEX(Products!$E$2:$E$37, MATCH(D1344, Products!$A$2:$A$37, 0))</f>
        <v>35</v>
      </c>
      <c r="K1344" s="9">
        <f t="shared" si="80"/>
        <v>71.2</v>
      </c>
      <c r="L1344">
        <f t="shared" si="81"/>
        <v>35</v>
      </c>
      <c r="M1344" s="9">
        <f t="shared" si="82"/>
        <v>36.200000000000003</v>
      </c>
      <c r="N1344" t="str">
        <f t="shared" si="83"/>
        <v>Apr</v>
      </c>
    </row>
    <row r="1345" spans="1:14" x14ac:dyDescent="0.3">
      <c r="A1345" s="2" t="s">
        <v>1411</v>
      </c>
      <c r="B1345" s="6">
        <v>45774</v>
      </c>
      <c r="C1345" s="2" t="s">
        <v>28</v>
      </c>
      <c r="D1345" s="2" t="s">
        <v>42</v>
      </c>
      <c r="E1345" s="2">
        <v>2</v>
      </c>
      <c r="F1345" s="7">
        <v>399</v>
      </c>
      <c r="G1345" s="8">
        <v>0</v>
      </c>
      <c r="H1345" s="9" t="str">
        <f>INDEX(Products!$B$2:$B$37, MATCH(D1345, Products!$A$2:$A$37, 0))</f>
        <v>Wireless Earbuds Pro</v>
      </c>
      <c r="I1345" t="str">
        <f>INDEX(Products!$C$2:$C$37, MATCH(D1345, Products!$A$2:$A$37, 0))</f>
        <v>Electronics</v>
      </c>
      <c r="J1345">
        <f>INDEX(Products!$E$2:$E$37, MATCH(D1345, Products!$A$2:$A$37, 0))</f>
        <v>230</v>
      </c>
      <c r="K1345" s="9">
        <f t="shared" si="80"/>
        <v>798</v>
      </c>
      <c r="L1345">
        <f t="shared" si="81"/>
        <v>460</v>
      </c>
      <c r="M1345" s="9">
        <f t="shared" si="82"/>
        <v>338</v>
      </c>
      <c r="N1345" t="str">
        <f t="shared" si="83"/>
        <v>Apr</v>
      </c>
    </row>
    <row r="1346" spans="1:14" x14ac:dyDescent="0.3">
      <c r="A1346" s="2" t="s">
        <v>1412</v>
      </c>
      <c r="B1346" s="6">
        <v>45774</v>
      </c>
      <c r="C1346" s="2" t="s">
        <v>28</v>
      </c>
      <c r="D1346" s="2" t="s">
        <v>115</v>
      </c>
      <c r="E1346" s="2">
        <v>4</v>
      </c>
      <c r="F1346" s="7">
        <v>129</v>
      </c>
      <c r="G1346" s="8">
        <v>0.1</v>
      </c>
      <c r="H1346" s="9" t="str">
        <f>INDEX(Products!$B$2:$B$37, MATCH(D1346, Products!$A$2:$A$37, 0))</f>
        <v>Electric Kettle</v>
      </c>
      <c r="I1346" t="str">
        <f>INDEX(Products!$C$2:$C$37, MATCH(D1346, Products!$A$2:$A$37, 0))</f>
        <v>Home &amp; Kitchen</v>
      </c>
      <c r="J1346">
        <f>INDEX(Products!$E$2:$E$37, MATCH(D1346, Products!$A$2:$A$37, 0))</f>
        <v>60</v>
      </c>
      <c r="K1346" s="9">
        <f t="shared" ref="K1346:K1409" si="84">E1346*F1346*(1-G1346)</f>
        <v>464.40000000000003</v>
      </c>
      <c r="L1346">
        <f t="shared" ref="L1346:L1409" si="85">E1346*J1346</f>
        <v>240</v>
      </c>
      <c r="M1346" s="9">
        <f t="shared" ref="M1346:M1409" si="86">K1346-L1346</f>
        <v>224.40000000000003</v>
      </c>
      <c r="N1346" t="str">
        <f t="shared" ref="N1346:N1409" si="87">TEXT(B1346,"mmm")</f>
        <v>Apr</v>
      </c>
    </row>
    <row r="1347" spans="1:14" x14ac:dyDescent="0.3">
      <c r="A1347" s="2" t="s">
        <v>1413</v>
      </c>
      <c r="B1347" s="6">
        <v>45774</v>
      </c>
      <c r="C1347" s="2" t="s">
        <v>31</v>
      </c>
      <c r="D1347" s="2" t="s">
        <v>92</v>
      </c>
      <c r="E1347" s="2">
        <v>3</v>
      </c>
      <c r="F1347" s="7">
        <v>349</v>
      </c>
      <c r="G1347" s="8">
        <v>0.1</v>
      </c>
      <c r="H1347" s="9" t="str">
        <f>INDEX(Products!$B$2:$B$37, MATCH(D1347, Products!$A$2:$A$37, 0))</f>
        <v>Non-stick Cookware Set</v>
      </c>
      <c r="I1347" t="str">
        <f>INDEX(Products!$C$2:$C$37, MATCH(D1347, Products!$A$2:$A$37, 0))</f>
        <v>Home &amp; Kitchen</v>
      </c>
      <c r="J1347">
        <f>INDEX(Products!$E$2:$E$37, MATCH(D1347, Products!$A$2:$A$37, 0))</f>
        <v>170</v>
      </c>
      <c r="K1347" s="9">
        <f t="shared" si="84"/>
        <v>942.30000000000007</v>
      </c>
      <c r="L1347">
        <f t="shared" si="85"/>
        <v>510</v>
      </c>
      <c r="M1347" s="9">
        <f t="shared" si="86"/>
        <v>432.30000000000007</v>
      </c>
      <c r="N1347" t="str">
        <f t="shared" si="87"/>
        <v>Apr</v>
      </c>
    </row>
    <row r="1348" spans="1:14" x14ac:dyDescent="0.3">
      <c r="A1348" s="2" t="s">
        <v>1414</v>
      </c>
      <c r="B1348" s="6">
        <v>45774</v>
      </c>
      <c r="C1348" s="2" t="s">
        <v>44</v>
      </c>
      <c r="D1348" s="2" t="s">
        <v>49</v>
      </c>
      <c r="E1348" s="2">
        <v>2</v>
      </c>
      <c r="F1348" s="7">
        <v>149</v>
      </c>
      <c r="G1348" s="8">
        <v>0.1</v>
      </c>
      <c r="H1348" s="9" t="str">
        <f>INDEX(Products!$B$2:$B$37, MATCH(D1348, Products!$A$2:$A$37, 0))</f>
        <v>Kids' Sneakers</v>
      </c>
      <c r="I1348" t="str">
        <f>INDEX(Products!$C$2:$C$37, MATCH(D1348, Products!$A$2:$A$37, 0))</f>
        <v>Fashion</v>
      </c>
      <c r="J1348">
        <f>INDEX(Products!$E$2:$E$37, MATCH(D1348, Products!$A$2:$A$37, 0))</f>
        <v>80</v>
      </c>
      <c r="K1348" s="9">
        <f t="shared" si="84"/>
        <v>268.2</v>
      </c>
      <c r="L1348">
        <f t="shared" si="85"/>
        <v>160</v>
      </c>
      <c r="M1348" s="9">
        <f t="shared" si="86"/>
        <v>108.19999999999999</v>
      </c>
      <c r="N1348" t="str">
        <f t="shared" si="87"/>
        <v>Apr</v>
      </c>
    </row>
    <row r="1349" spans="1:14" x14ac:dyDescent="0.3">
      <c r="A1349" s="2" t="s">
        <v>1415</v>
      </c>
      <c r="B1349" s="6">
        <v>45774</v>
      </c>
      <c r="C1349" s="2" t="s">
        <v>28</v>
      </c>
      <c r="D1349" s="2" t="s">
        <v>95</v>
      </c>
      <c r="E1349" s="2">
        <v>1</v>
      </c>
      <c r="F1349" s="7">
        <v>259</v>
      </c>
      <c r="G1349" s="8">
        <v>0.2</v>
      </c>
      <c r="H1349" s="9" t="str">
        <f>INDEX(Products!$B$2:$B$37, MATCH(D1349, Products!$A$2:$A$37, 0))</f>
        <v>Bed Linen Set (King)</v>
      </c>
      <c r="I1349" t="str">
        <f>INDEX(Products!$C$2:$C$37, MATCH(D1349, Products!$A$2:$A$37, 0))</f>
        <v>Home &amp; Kitchen</v>
      </c>
      <c r="J1349">
        <f>INDEX(Products!$E$2:$E$37, MATCH(D1349, Products!$A$2:$A$37, 0))</f>
        <v>115</v>
      </c>
      <c r="K1349" s="9">
        <f t="shared" si="84"/>
        <v>207.20000000000002</v>
      </c>
      <c r="L1349">
        <f t="shared" si="85"/>
        <v>115</v>
      </c>
      <c r="M1349" s="9">
        <f t="shared" si="86"/>
        <v>92.200000000000017</v>
      </c>
      <c r="N1349" t="str">
        <f t="shared" si="87"/>
        <v>Apr</v>
      </c>
    </row>
    <row r="1350" spans="1:14" x14ac:dyDescent="0.3">
      <c r="A1350" s="2" t="s">
        <v>1416</v>
      </c>
      <c r="B1350" s="6">
        <v>45774</v>
      </c>
      <c r="C1350" s="2" t="s">
        <v>28</v>
      </c>
      <c r="D1350" s="2" t="s">
        <v>149</v>
      </c>
      <c r="E1350" s="2">
        <v>3</v>
      </c>
      <c r="F1350" s="7">
        <v>399</v>
      </c>
      <c r="G1350" s="8">
        <v>0</v>
      </c>
      <c r="H1350" s="9" t="str">
        <f>INDEX(Products!$B$2:$B$37, MATCH(D1350, Products!$A$2:$A$37, 0))</f>
        <v>Blender Pro 1200W</v>
      </c>
      <c r="I1350" t="str">
        <f>INDEX(Products!$C$2:$C$37, MATCH(D1350, Products!$A$2:$A$37, 0))</f>
        <v>Home &amp; Kitchen</v>
      </c>
      <c r="J1350">
        <f>INDEX(Products!$E$2:$E$37, MATCH(D1350, Products!$A$2:$A$37, 0))</f>
        <v>250</v>
      </c>
      <c r="K1350" s="9">
        <f t="shared" si="84"/>
        <v>1197</v>
      </c>
      <c r="L1350">
        <f t="shared" si="85"/>
        <v>750</v>
      </c>
      <c r="M1350" s="9">
        <f t="shared" si="86"/>
        <v>447</v>
      </c>
      <c r="N1350" t="str">
        <f t="shared" si="87"/>
        <v>Apr</v>
      </c>
    </row>
    <row r="1351" spans="1:14" x14ac:dyDescent="0.3">
      <c r="A1351" s="2" t="s">
        <v>1417</v>
      </c>
      <c r="B1351" s="6">
        <v>45774</v>
      </c>
      <c r="C1351" s="2" t="s">
        <v>28</v>
      </c>
      <c r="D1351" s="2" t="s">
        <v>29</v>
      </c>
      <c r="E1351" s="2">
        <v>2</v>
      </c>
      <c r="F1351" s="7">
        <v>229</v>
      </c>
      <c r="G1351" s="8">
        <v>0.15</v>
      </c>
      <c r="H1351" s="9" t="str">
        <f>INDEX(Products!$B$2:$B$37, MATCH(D1351, Products!$A$2:$A$37, 0))</f>
        <v>Women's Summer Dress</v>
      </c>
      <c r="I1351" t="str">
        <f>INDEX(Products!$C$2:$C$37, MATCH(D1351, Products!$A$2:$A$37, 0))</f>
        <v>Fashion</v>
      </c>
      <c r="J1351">
        <f>INDEX(Products!$E$2:$E$37, MATCH(D1351, Products!$A$2:$A$37, 0))</f>
        <v>120</v>
      </c>
      <c r="K1351" s="9">
        <f t="shared" si="84"/>
        <v>389.3</v>
      </c>
      <c r="L1351">
        <f t="shared" si="85"/>
        <v>240</v>
      </c>
      <c r="M1351" s="9">
        <f t="shared" si="86"/>
        <v>149.30000000000001</v>
      </c>
      <c r="N1351" t="str">
        <f t="shared" si="87"/>
        <v>Apr</v>
      </c>
    </row>
    <row r="1352" spans="1:14" x14ac:dyDescent="0.3">
      <c r="A1352" s="2" t="s">
        <v>1418</v>
      </c>
      <c r="B1352" s="6">
        <v>45774</v>
      </c>
      <c r="C1352" s="2" t="s">
        <v>31</v>
      </c>
      <c r="D1352" s="2" t="s">
        <v>42</v>
      </c>
      <c r="E1352" s="2">
        <v>1</v>
      </c>
      <c r="F1352" s="7">
        <v>399</v>
      </c>
      <c r="G1352" s="8">
        <v>0.15</v>
      </c>
      <c r="H1352" s="9" t="str">
        <f>INDEX(Products!$B$2:$B$37, MATCH(D1352, Products!$A$2:$A$37, 0))</f>
        <v>Wireless Earbuds Pro</v>
      </c>
      <c r="I1352" t="str">
        <f>INDEX(Products!$C$2:$C$37, MATCH(D1352, Products!$A$2:$A$37, 0))</f>
        <v>Electronics</v>
      </c>
      <c r="J1352">
        <f>INDEX(Products!$E$2:$E$37, MATCH(D1352, Products!$A$2:$A$37, 0))</f>
        <v>230</v>
      </c>
      <c r="K1352" s="9">
        <f t="shared" si="84"/>
        <v>339.15</v>
      </c>
      <c r="L1352">
        <f t="shared" si="85"/>
        <v>230</v>
      </c>
      <c r="M1352" s="9">
        <f t="shared" si="86"/>
        <v>109.14999999999998</v>
      </c>
      <c r="N1352" t="str">
        <f t="shared" si="87"/>
        <v>Apr</v>
      </c>
    </row>
    <row r="1353" spans="1:14" x14ac:dyDescent="0.3">
      <c r="A1353" s="2" t="s">
        <v>1419</v>
      </c>
      <c r="B1353" s="6">
        <v>45774</v>
      </c>
      <c r="C1353" s="2" t="s">
        <v>44</v>
      </c>
      <c r="D1353" s="2" t="s">
        <v>60</v>
      </c>
      <c r="E1353" s="2">
        <v>1</v>
      </c>
      <c r="F1353" s="7">
        <v>99</v>
      </c>
      <c r="G1353" s="8">
        <v>0</v>
      </c>
      <c r="H1353" s="9" t="str">
        <f>INDEX(Products!$B$2:$B$37, MATCH(D1353, Products!$A$2:$A$37, 0))</f>
        <v>Football Size 5</v>
      </c>
      <c r="I1353" t="str">
        <f>INDEX(Products!$C$2:$C$37, MATCH(D1353, Products!$A$2:$A$37, 0))</f>
        <v>Sports</v>
      </c>
      <c r="J1353">
        <f>INDEX(Products!$E$2:$E$37, MATCH(D1353, Products!$A$2:$A$37, 0))</f>
        <v>45</v>
      </c>
      <c r="K1353" s="9">
        <f t="shared" si="84"/>
        <v>99</v>
      </c>
      <c r="L1353">
        <f t="shared" si="85"/>
        <v>45</v>
      </c>
      <c r="M1353" s="9">
        <f t="shared" si="86"/>
        <v>54</v>
      </c>
      <c r="N1353" t="str">
        <f t="shared" si="87"/>
        <v>Apr</v>
      </c>
    </row>
    <row r="1354" spans="1:14" x14ac:dyDescent="0.3">
      <c r="A1354" s="2" t="s">
        <v>1420</v>
      </c>
      <c r="B1354" s="6">
        <v>45774</v>
      </c>
      <c r="C1354" s="2" t="s">
        <v>41</v>
      </c>
      <c r="D1354" s="2" t="s">
        <v>129</v>
      </c>
      <c r="E1354" s="2">
        <v>2</v>
      </c>
      <c r="F1354" s="7">
        <v>149</v>
      </c>
      <c r="G1354" s="8">
        <v>0</v>
      </c>
      <c r="H1354" s="9" t="str">
        <f>INDEX(Products!$B$2:$B$37, MATCH(D1354, Products!$A$2:$A$37, 0))</f>
        <v>Power Bank 20000mAh</v>
      </c>
      <c r="I1354" t="str">
        <f>INDEX(Products!$C$2:$C$37, MATCH(D1354, Products!$A$2:$A$37, 0))</f>
        <v>Electronics</v>
      </c>
      <c r="J1354">
        <f>INDEX(Products!$E$2:$E$37, MATCH(D1354, Products!$A$2:$A$37, 0))</f>
        <v>70</v>
      </c>
      <c r="K1354" s="9">
        <f t="shared" si="84"/>
        <v>298</v>
      </c>
      <c r="L1354">
        <f t="shared" si="85"/>
        <v>140</v>
      </c>
      <c r="M1354" s="9">
        <f t="shared" si="86"/>
        <v>158</v>
      </c>
      <c r="N1354" t="str">
        <f t="shared" si="87"/>
        <v>Apr</v>
      </c>
    </row>
    <row r="1355" spans="1:14" x14ac:dyDescent="0.3">
      <c r="A1355" s="2" t="s">
        <v>1421</v>
      </c>
      <c r="B1355" s="6">
        <v>45774</v>
      </c>
      <c r="C1355" s="2" t="s">
        <v>48</v>
      </c>
      <c r="D1355" s="2" t="s">
        <v>106</v>
      </c>
      <c r="E1355" s="2">
        <v>1</v>
      </c>
      <c r="F1355" s="7">
        <v>1299</v>
      </c>
      <c r="G1355" s="8">
        <v>0</v>
      </c>
      <c r="H1355" s="9" t="str">
        <f>INDEX(Products!$B$2:$B$37, MATCH(D1355, Products!$A$2:$A$37, 0))</f>
        <v>Smart Watch Series 5</v>
      </c>
      <c r="I1355" t="str">
        <f>INDEX(Products!$C$2:$C$37, MATCH(D1355, Products!$A$2:$A$37, 0))</f>
        <v>Electronics</v>
      </c>
      <c r="J1355">
        <f>INDEX(Products!$E$2:$E$37, MATCH(D1355, Products!$A$2:$A$37, 0))</f>
        <v>820</v>
      </c>
      <c r="K1355" s="9">
        <f t="shared" si="84"/>
        <v>1299</v>
      </c>
      <c r="L1355">
        <f t="shared" si="85"/>
        <v>820</v>
      </c>
      <c r="M1355" s="9">
        <f t="shared" si="86"/>
        <v>479</v>
      </c>
      <c r="N1355" t="str">
        <f t="shared" si="87"/>
        <v>Apr</v>
      </c>
    </row>
    <row r="1356" spans="1:14" x14ac:dyDescent="0.3">
      <c r="A1356" s="2" t="s">
        <v>1422</v>
      </c>
      <c r="B1356" s="6">
        <v>45774</v>
      </c>
      <c r="C1356" s="2" t="s">
        <v>41</v>
      </c>
      <c r="D1356" s="2" t="s">
        <v>49</v>
      </c>
      <c r="E1356" s="2">
        <v>4</v>
      </c>
      <c r="F1356" s="7">
        <v>149</v>
      </c>
      <c r="G1356" s="8">
        <v>0.1</v>
      </c>
      <c r="H1356" s="9" t="str">
        <f>INDEX(Products!$B$2:$B$37, MATCH(D1356, Products!$A$2:$A$37, 0))</f>
        <v>Kids' Sneakers</v>
      </c>
      <c r="I1356" t="str">
        <f>INDEX(Products!$C$2:$C$37, MATCH(D1356, Products!$A$2:$A$37, 0))</f>
        <v>Fashion</v>
      </c>
      <c r="J1356">
        <f>INDEX(Products!$E$2:$E$37, MATCH(D1356, Products!$A$2:$A$37, 0))</f>
        <v>80</v>
      </c>
      <c r="K1356" s="9">
        <f t="shared" si="84"/>
        <v>536.4</v>
      </c>
      <c r="L1356">
        <f t="shared" si="85"/>
        <v>320</v>
      </c>
      <c r="M1356" s="9">
        <f t="shared" si="86"/>
        <v>216.39999999999998</v>
      </c>
      <c r="N1356" t="str">
        <f t="shared" si="87"/>
        <v>Apr</v>
      </c>
    </row>
    <row r="1357" spans="1:14" x14ac:dyDescent="0.3">
      <c r="A1357" s="2" t="s">
        <v>1423</v>
      </c>
      <c r="B1357" s="6">
        <v>45774</v>
      </c>
      <c r="C1357" s="2" t="s">
        <v>41</v>
      </c>
      <c r="D1357" s="2" t="s">
        <v>29</v>
      </c>
      <c r="E1357" s="2">
        <v>1</v>
      </c>
      <c r="F1357" s="7">
        <v>229</v>
      </c>
      <c r="G1357" s="8">
        <v>0</v>
      </c>
      <c r="H1357" s="9" t="str">
        <f>INDEX(Products!$B$2:$B$37, MATCH(D1357, Products!$A$2:$A$37, 0))</f>
        <v>Women's Summer Dress</v>
      </c>
      <c r="I1357" t="str">
        <f>INDEX(Products!$C$2:$C$37, MATCH(D1357, Products!$A$2:$A$37, 0))</f>
        <v>Fashion</v>
      </c>
      <c r="J1357">
        <f>INDEX(Products!$E$2:$E$37, MATCH(D1357, Products!$A$2:$A$37, 0))</f>
        <v>120</v>
      </c>
      <c r="K1357" s="9">
        <f t="shared" si="84"/>
        <v>229</v>
      </c>
      <c r="L1357">
        <f t="shared" si="85"/>
        <v>120</v>
      </c>
      <c r="M1357" s="9">
        <f t="shared" si="86"/>
        <v>109</v>
      </c>
      <c r="N1357" t="str">
        <f t="shared" si="87"/>
        <v>Apr</v>
      </c>
    </row>
    <row r="1358" spans="1:14" x14ac:dyDescent="0.3">
      <c r="A1358" s="2" t="s">
        <v>1424</v>
      </c>
      <c r="B1358" s="6">
        <v>45775</v>
      </c>
      <c r="C1358" s="2" t="s">
        <v>44</v>
      </c>
      <c r="D1358" s="2" t="s">
        <v>163</v>
      </c>
      <c r="E1358" s="2">
        <v>2</v>
      </c>
      <c r="F1358" s="7">
        <v>2499</v>
      </c>
      <c r="G1358" s="8">
        <v>0.15</v>
      </c>
      <c r="H1358" s="9" t="str">
        <f>INDEX(Products!$B$2:$B$37, MATCH(D1358, Products!$A$2:$A$37, 0))</f>
        <v>Treadmill Compact</v>
      </c>
      <c r="I1358" t="str">
        <f>INDEX(Products!$C$2:$C$37, MATCH(D1358, Products!$A$2:$A$37, 0))</f>
        <v>Sports</v>
      </c>
      <c r="J1358">
        <f>INDEX(Products!$E$2:$E$37, MATCH(D1358, Products!$A$2:$A$37, 0))</f>
        <v>2150</v>
      </c>
      <c r="K1358" s="9">
        <f t="shared" si="84"/>
        <v>4248.3</v>
      </c>
      <c r="L1358">
        <f t="shared" si="85"/>
        <v>4300</v>
      </c>
      <c r="M1358" s="9">
        <f t="shared" si="86"/>
        <v>-51.699999999999818</v>
      </c>
      <c r="N1358" t="str">
        <f t="shared" si="87"/>
        <v>Apr</v>
      </c>
    </row>
    <row r="1359" spans="1:14" x14ac:dyDescent="0.3">
      <c r="A1359" s="2" t="s">
        <v>1425</v>
      </c>
      <c r="B1359" s="6">
        <v>45775</v>
      </c>
      <c r="C1359" s="2" t="s">
        <v>28</v>
      </c>
      <c r="D1359" s="2" t="s">
        <v>52</v>
      </c>
      <c r="E1359" s="2">
        <v>2</v>
      </c>
      <c r="F1359" s="7">
        <v>299</v>
      </c>
      <c r="G1359" s="8">
        <v>0.2</v>
      </c>
      <c r="H1359" s="9" t="str">
        <f>INDEX(Products!$B$2:$B$37, MATCH(D1359, Products!$A$2:$A$37, 0))</f>
        <v>Hair Dryer Ionic</v>
      </c>
      <c r="I1359" t="str">
        <f>INDEX(Products!$C$2:$C$37, MATCH(D1359, Products!$A$2:$A$37, 0))</f>
        <v>Beauty</v>
      </c>
      <c r="J1359">
        <f>INDEX(Products!$E$2:$E$37, MATCH(D1359, Products!$A$2:$A$37, 0))</f>
        <v>240</v>
      </c>
      <c r="K1359" s="9">
        <f t="shared" si="84"/>
        <v>478.40000000000003</v>
      </c>
      <c r="L1359">
        <f t="shared" si="85"/>
        <v>480</v>
      </c>
      <c r="M1359" s="9">
        <f t="shared" si="86"/>
        <v>-1.5999999999999659</v>
      </c>
      <c r="N1359" t="str">
        <f t="shared" si="87"/>
        <v>Apr</v>
      </c>
    </row>
    <row r="1360" spans="1:14" x14ac:dyDescent="0.3">
      <c r="A1360" s="2" t="s">
        <v>1426</v>
      </c>
      <c r="B1360" s="6">
        <v>45775</v>
      </c>
      <c r="C1360" s="2" t="s">
        <v>44</v>
      </c>
      <c r="D1360" s="2" t="s">
        <v>68</v>
      </c>
      <c r="E1360" s="2">
        <v>1</v>
      </c>
      <c r="F1360" s="7">
        <v>249</v>
      </c>
      <c r="G1360" s="8">
        <v>0.05</v>
      </c>
      <c r="H1360" s="9" t="str">
        <f>INDEX(Products!$B$2:$B$37, MATCH(D1360, Products!$A$2:$A$37, 0))</f>
        <v>Bluetooth Speaker Mini</v>
      </c>
      <c r="I1360" t="str">
        <f>INDEX(Products!$C$2:$C$37, MATCH(D1360, Products!$A$2:$A$37, 0))</f>
        <v>Electronics</v>
      </c>
      <c r="J1360">
        <f>INDEX(Products!$E$2:$E$37, MATCH(D1360, Products!$A$2:$A$37, 0))</f>
        <v>150</v>
      </c>
      <c r="K1360" s="9">
        <f t="shared" si="84"/>
        <v>236.54999999999998</v>
      </c>
      <c r="L1360">
        <f t="shared" si="85"/>
        <v>150</v>
      </c>
      <c r="M1360" s="9">
        <f t="shared" si="86"/>
        <v>86.549999999999983</v>
      </c>
      <c r="N1360" t="str">
        <f t="shared" si="87"/>
        <v>Apr</v>
      </c>
    </row>
    <row r="1361" spans="1:14" x14ac:dyDescent="0.3">
      <c r="A1361" s="2" t="s">
        <v>1427</v>
      </c>
      <c r="B1361" s="6">
        <v>45775</v>
      </c>
      <c r="C1361" s="2" t="s">
        <v>44</v>
      </c>
      <c r="D1361" s="2" t="s">
        <v>99</v>
      </c>
      <c r="E1361" s="2">
        <v>1</v>
      </c>
      <c r="F1361" s="7">
        <v>459</v>
      </c>
      <c r="G1361" s="8">
        <v>0.1</v>
      </c>
      <c r="H1361" s="9" t="str">
        <f>INDEX(Products!$B$2:$B$37, MATCH(D1361, Products!$A$2:$A$37, 0))</f>
        <v>Gaming Headset X</v>
      </c>
      <c r="I1361" t="str">
        <f>INDEX(Products!$C$2:$C$37, MATCH(D1361, Products!$A$2:$A$37, 0))</f>
        <v>Electronics</v>
      </c>
      <c r="J1361">
        <f>INDEX(Products!$E$2:$E$37, MATCH(D1361, Products!$A$2:$A$37, 0))</f>
        <v>300</v>
      </c>
      <c r="K1361" s="9">
        <f t="shared" si="84"/>
        <v>413.1</v>
      </c>
      <c r="L1361">
        <f t="shared" si="85"/>
        <v>300</v>
      </c>
      <c r="M1361" s="9">
        <f t="shared" si="86"/>
        <v>113.10000000000002</v>
      </c>
      <c r="N1361" t="str">
        <f t="shared" si="87"/>
        <v>Apr</v>
      </c>
    </row>
    <row r="1362" spans="1:14" x14ac:dyDescent="0.3">
      <c r="A1362" s="2" t="s">
        <v>1428</v>
      </c>
      <c r="B1362" s="6">
        <v>45775</v>
      </c>
      <c r="C1362" s="2" t="s">
        <v>48</v>
      </c>
      <c r="D1362" s="2" t="s">
        <v>42</v>
      </c>
      <c r="E1362" s="2">
        <v>4</v>
      </c>
      <c r="F1362" s="7">
        <v>399</v>
      </c>
      <c r="G1362" s="8">
        <v>0.05</v>
      </c>
      <c r="H1362" s="9" t="str">
        <f>INDEX(Products!$B$2:$B$37, MATCH(D1362, Products!$A$2:$A$37, 0))</f>
        <v>Wireless Earbuds Pro</v>
      </c>
      <c r="I1362" t="str">
        <f>INDEX(Products!$C$2:$C$37, MATCH(D1362, Products!$A$2:$A$37, 0))</f>
        <v>Electronics</v>
      </c>
      <c r="J1362">
        <f>INDEX(Products!$E$2:$E$37, MATCH(D1362, Products!$A$2:$A$37, 0))</f>
        <v>230</v>
      </c>
      <c r="K1362" s="9">
        <f t="shared" si="84"/>
        <v>1516.1999999999998</v>
      </c>
      <c r="L1362">
        <f t="shared" si="85"/>
        <v>920</v>
      </c>
      <c r="M1362" s="9">
        <f t="shared" si="86"/>
        <v>596.19999999999982</v>
      </c>
      <c r="N1362" t="str">
        <f t="shared" si="87"/>
        <v>Apr</v>
      </c>
    </row>
    <row r="1363" spans="1:14" x14ac:dyDescent="0.3">
      <c r="A1363" s="2" t="s">
        <v>1429</v>
      </c>
      <c r="B1363" s="6">
        <v>45775</v>
      </c>
      <c r="C1363" s="2" t="s">
        <v>28</v>
      </c>
      <c r="D1363" s="2" t="s">
        <v>75</v>
      </c>
      <c r="E1363" s="2">
        <v>1</v>
      </c>
      <c r="F1363" s="7">
        <v>549</v>
      </c>
      <c r="G1363" s="8">
        <v>0</v>
      </c>
      <c r="H1363" s="9" t="str">
        <f>INDEX(Products!$B$2:$B$37, MATCH(D1363, Products!$A$2:$A$37, 0))</f>
        <v>Oud Perfume 100ml</v>
      </c>
      <c r="I1363" t="str">
        <f>INDEX(Products!$C$2:$C$37, MATCH(D1363, Products!$A$2:$A$37, 0))</f>
        <v>Beauty</v>
      </c>
      <c r="J1363">
        <f>INDEX(Products!$E$2:$E$37, MATCH(D1363, Products!$A$2:$A$37, 0))</f>
        <v>250</v>
      </c>
      <c r="K1363" s="9">
        <f t="shared" si="84"/>
        <v>549</v>
      </c>
      <c r="L1363">
        <f t="shared" si="85"/>
        <v>250</v>
      </c>
      <c r="M1363" s="9">
        <f t="shared" si="86"/>
        <v>299</v>
      </c>
      <c r="N1363" t="str">
        <f t="shared" si="87"/>
        <v>Apr</v>
      </c>
    </row>
    <row r="1364" spans="1:14" x14ac:dyDescent="0.3">
      <c r="A1364" s="2" t="s">
        <v>1430</v>
      </c>
      <c r="B1364" s="6">
        <v>45776</v>
      </c>
      <c r="C1364" s="2" t="s">
        <v>28</v>
      </c>
      <c r="D1364" s="2" t="s">
        <v>95</v>
      </c>
      <c r="E1364" s="2">
        <v>1</v>
      </c>
      <c r="F1364" s="7">
        <v>259</v>
      </c>
      <c r="G1364" s="8">
        <v>0</v>
      </c>
      <c r="H1364" s="9" t="str">
        <f>INDEX(Products!$B$2:$B$37, MATCH(D1364, Products!$A$2:$A$37, 0))</f>
        <v>Bed Linen Set (King)</v>
      </c>
      <c r="I1364" t="str">
        <f>INDEX(Products!$C$2:$C$37, MATCH(D1364, Products!$A$2:$A$37, 0))</f>
        <v>Home &amp; Kitchen</v>
      </c>
      <c r="J1364">
        <f>INDEX(Products!$E$2:$E$37, MATCH(D1364, Products!$A$2:$A$37, 0))</f>
        <v>115</v>
      </c>
      <c r="K1364" s="9">
        <f t="shared" si="84"/>
        <v>259</v>
      </c>
      <c r="L1364">
        <f t="shared" si="85"/>
        <v>115</v>
      </c>
      <c r="M1364" s="9">
        <f t="shared" si="86"/>
        <v>144</v>
      </c>
      <c r="N1364" t="str">
        <f t="shared" si="87"/>
        <v>Apr</v>
      </c>
    </row>
    <row r="1365" spans="1:14" x14ac:dyDescent="0.3">
      <c r="A1365" s="2" t="s">
        <v>1431</v>
      </c>
      <c r="B1365" s="6">
        <v>45776</v>
      </c>
      <c r="C1365" s="2" t="s">
        <v>44</v>
      </c>
      <c r="D1365" s="2" t="s">
        <v>65</v>
      </c>
      <c r="E1365" s="2">
        <v>1</v>
      </c>
      <c r="F1365" s="7">
        <v>129</v>
      </c>
      <c r="G1365" s="8">
        <v>0.15</v>
      </c>
      <c r="H1365" s="9" t="str">
        <f>INDEX(Products!$B$2:$B$37, MATCH(D1365, Products!$A$2:$A$37, 0))</f>
        <v>Yoga Mat Premium</v>
      </c>
      <c r="I1365" t="str">
        <f>INDEX(Products!$C$2:$C$37, MATCH(D1365, Products!$A$2:$A$37, 0))</f>
        <v>Sports</v>
      </c>
      <c r="J1365">
        <f>INDEX(Products!$E$2:$E$37, MATCH(D1365, Products!$A$2:$A$37, 0))</f>
        <v>60</v>
      </c>
      <c r="K1365" s="9">
        <f t="shared" si="84"/>
        <v>109.64999999999999</v>
      </c>
      <c r="L1365">
        <f t="shared" si="85"/>
        <v>60</v>
      </c>
      <c r="M1365" s="9">
        <f t="shared" si="86"/>
        <v>49.649999999999991</v>
      </c>
      <c r="N1365" t="str">
        <f t="shared" si="87"/>
        <v>Apr</v>
      </c>
    </row>
    <row r="1366" spans="1:14" x14ac:dyDescent="0.3">
      <c r="A1366" s="2" t="s">
        <v>1432</v>
      </c>
      <c r="B1366" s="6">
        <v>45776</v>
      </c>
      <c r="C1366" s="2" t="s">
        <v>48</v>
      </c>
      <c r="D1366" s="2" t="s">
        <v>56</v>
      </c>
      <c r="E1366" s="2">
        <v>2</v>
      </c>
      <c r="F1366" s="7">
        <v>289</v>
      </c>
      <c r="G1366" s="8">
        <v>0.05</v>
      </c>
      <c r="H1366" s="9" t="str">
        <f>INDEX(Products!$B$2:$B$37, MATCH(D1366, Products!$A$2:$A$37, 0))</f>
        <v>Ceramic Dinner Set</v>
      </c>
      <c r="I1366" t="str">
        <f>INDEX(Products!$C$2:$C$37, MATCH(D1366, Products!$A$2:$A$37, 0))</f>
        <v>Home &amp; Kitchen</v>
      </c>
      <c r="J1366">
        <f>INDEX(Products!$E$2:$E$37, MATCH(D1366, Products!$A$2:$A$37, 0))</f>
        <v>140</v>
      </c>
      <c r="K1366" s="9">
        <f t="shared" si="84"/>
        <v>549.1</v>
      </c>
      <c r="L1366">
        <f t="shared" si="85"/>
        <v>280</v>
      </c>
      <c r="M1366" s="9">
        <f t="shared" si="86"/>
        <v>269.10000000000002</v>
      </c>
      <c r="N1366" t="str">
        <f t="shared" si="87"/>
        <v>Apr</v>
      </c>
    </row>
    <row r="1367" spans="1:14" x14ac:dyDescent="0.3">
      <c r="A1367" s="2" t="s">
        <v>1433</v>
      </c>
      <c r="B1367" s="6">
        <v>45776</v>
      </c>
      <c r="C1367" s="2" t="s">
        <v>28</v>
      </c>
      <c r="D1367" s="2" t="s">
        <v>68</v>
      </c>
      <c r="E1367" s="2">
        <v>2</v>
      </c>
      <c r="F1367" s="7">
        <v>249</v>
      </c>
      <c r="G1367" s="8">
        <v>0.2</v>
      </c>
      <c r="H1367" s="9" t="str">
        <f>INDEX(Products!$B$2:$B$37, MATCH(D1367, Products!$A$2:$A$37, 0))</f>
        <v>Bluetooth Speaker Mini</v>
      </c>
      <c r="I1367" t="str">
        <f>INDEX(Products!$C$2:$C$37, MATCH(D1367, Products!$A$2:$A$37, 0))</f>
        <v>Electronics</v>
      </c>
      <c r="J1367">
        <f>INDEX(Products!$E$2:$E$37, MATCH(D1367, Products!$A$2:$A$37, 0))</f>
        <v>150</v>
      </c>
      <c r="K1367" s="9">
        <f t="shared" si="84"/>
        <v>398.40000000000003</v>
      </c>
      <c r="L1367">
        <f t="shared" si="85"/>
        <v>300</v>
      </c>
      <c r="M1367" s="9">
        <f t="shared" si="86"/>
        <v>98.400000000000034</v>
      </c>
      <c r="N1367" t="str">
        <f t="shared" si="87"/>
        <v>Apr</v>
      </c>
    </row>
    <row r="1368" spans="1:14" x14ac:dyDescent="0.3">
      <c r="A1368" s="2" t="s">
        <v>1434</v>
      </c>
      <c r="B1368" s="6">
        <v>45776</v>
      </c>
      <c r="C1368" s="2" t="s">
        <v>31</v>
      </c>
      <c r="D1368" s="2" t="s">
        <v>163</v>
      </c>
      <c r="E1368" s="2">
        <v>1</v>
      </c>
      <c r="F1368" s="7">
        <v>2499</v>
      </c>
      <c r="G1368" s="8">
        <v>0.25</v>
      </c>
      <c r="H1368" s="9" t="str">
        <f>INDEX(Products!$B$2:$B$37, MATCH(D1368, Products!$A$2:$A$37, 0))</f>
        <v>Treadmill Compact</v>
      </c>
      <c r="I1368" t="str">
        <f>INDEX(Products!$C$2:$C$37, MATCH(D1368, Products!$A$2:$A$37, 0))</f>
        <v>Sports</v>
      </c>
      <c r="J1368">
        <f>INDEX(Products!$E$2:$E$37, MATCH(D1368, Products!$A$2:$A$37, 0))</f>
        <v>2150</v>
      </c>
      <c r="K1368" s="9">
        <f t="shared" si="84"/>
        <v>1874.25</v>
      </c>
      <c r="L1368">
        <f t="shared" si="85"/>
        <v>2150</v>
      </c>
      <c r="M1368" s="9">
        <f t="shared" si="86"/>
        <v>-275.75</v>
      </c>
      <c r="N1368" t="str">
        <f t="shared" si="87"/>
        <v>Apr</v>
      </c>
    </row>
    <row r="1369" spans="1:14" x14ac:dyDescent="0.3">
      <c r="A1369" s="2" t="s">
        <v>1435</v>
      </c>
      <c r="B1369" s="6">
        <v>45776</v>
      </c>
      <c r="C1369" s="2" t="s">
        <v>44</v>
      </c>
      <c r="D1369" s="2" t="s">
        <v>163</v>
      </c>
      <c r="E1369" s="2">
        <v>4</v>
      </c>
      <c r="F1369" s="7">
        <v>2499</v>
      </c>
      <c r="G1369" s="8">
        <v>0.15</v>
      </c>
      <c r="H1369" s="9" t="str">
        <f>INDEX(Products!$B$2:$B$37, MATCH(D1369, Products!$A$2:$A$37, 0))</f>
        <v>Treadmill Compact</v>
      </c>
      <c r="I1369" t="str">
        <f>INDEX(Products!$C$2:$C$37, MATCH(D1369, Products!$A$2:$A$37, 0))</f>
        <v>Sports</v>
      </c>
      <c r="J1369">
        <f>INDEX(Products!$E$2:$E$37, MATCH(D1369, Products!$A$2:$A$37, 0))</f>
        <v>2150</v>
      </c>
      <c r="K1369" s="9">
        <f t="shared" si="84"/>
        <v>8496.6</v>
      </c>
      <c r="L1369">
        <f t="shared" si="85"/>
        <v>8600</v>
      </c>
      <c r="M1369" s="9">
        <f t="shared" si="86"/>
        <v>-103.39999999999964</v>
      </c>
      <c r="N1369" t="str">
        <f t="shared" si="87"/>
        <v>Apr</v>
      </c>
    </row>
    <row r="1370" spans="1:14" x14ac:dyDescent="0.3">
      <c r="A1370" s="2" t="s">
        <v>1436</v>
      </c>
      <c r="B1370" s="6">
        <v>45776</v>
      </c>
      <c r="C1370" s="2" t="s">
        <v>44</v>
      </c>
      <c r="D1370" s="2" t="s">
        <v>89</v>
      </c>
      <c r="E1370" s="2">
        <v>2</v>
      </c>
      <c r="F1370" s="7">
        <v>399</v>
      </c>
      <c r="G1370" s="8">
        <v>0.15</v>
      </c>
      <c r="H1370" s="9" t="str">
        <f>INDEX(Products!$B$2:$B$37, MATCH(D1370, Products!$A$2:$A$37, 0))</f>
        <v>Men's Kandura Premium</v>
      </c>
      <c r="I1370" t="str">
        <f>INDEX(Products!$C$2:$C$37, MATCH(D1370, Products!$A$2:$A$37, 0))</f>
        <v>Fashion</v>
      </c>
      <c r="J1370">
        <f>INDEX(Products!$E$2:$E$37, MATCH(D1370, Products!$A$2:$A$37, 0))</f>
        <v>210</v>
      </c>
      <c r="K1370" s="9">
        <f t="shared" si="84"/>
        <v>678.3</v>
      </c>
      <c r="L1370">
        <f t="shared" si="85"/>
        <v>420</v>
      </c>
      <c r="M1370" s="9">
        <f t="shared" si="86"/>
        <v>258.29999999999995</v>
      </c>
      <c r="N1370" t="str">
        <f t="shared" si="87"/>
        <v>Apr</v>
      </c>
    </row>
    <row r="1371" spans="1:14" x14ac:dyDescent="0.3">
      <c r="A1371" s="2" t="s">
        <v>1437</v>
      </c>
      <c r="B1371" s="6">
        <v>45776</v>
      </c>
      <c r="C1371" s="2" t="s">
        <v>31</v>
      </c>
      <c r="D1371" s="2" t="s">
        <v>131</v>
      </c>
      <c r="E1371" s="2">
        <v>2</v>
      </c>
      <c r="F1371" s="7">
        <v>899</v>
      </c>
      <c r="G1371" s="8">
        <v>0</v>
      </c>
      <c r="H1371" s="9" t="str">
        <f>INDEX(Products!$B$2:$B$37, MATCH(D1371, Products!$A$2:$A$37, 0))</f>
        <v>4K Action Camera</v>
      </c>
      <c r="I1371" t="str">
        <f>INDEX(Products!$C$2:$C$37, MATCH(D1371, Products!$A$2:$A$37, 0))</f>
        <v>Electronics</v>
      </c>
      <c r="J1371">
        <f>INDEX(Products!$E$2:$E$37, MATCH(D1371, Products!$A$2:$A$37, 0))</f>
        <v>610</v>
      </c>
      <c r="K1371" s="9">
        <f t="shared" si="84"/>
        <v>1798</v>
      </c>
      <c r="L1371">
        <f t="shared" si="85"/>
        <v>1220</v>
      </c>
      <c r="M1371" s="9">
        <f t="shared" si="86"/>
        <v>578</v>
      </c>
      <c r="N1371" t="str">
        <f t="shared" si="87"/>
        <v>Apr</v>
      </c>
    </row>
    <row r="1372" spans="1:14" x14ac:dyDescent="0.3">
      <c r="A1372" s="2" t="s">
        <v>1438</v>
      </c>
      <c r="B1372" s="6">
        <v>45776</v>
      </c>
      <c r="C1372" s="2" t="s">
        <v>44</v>
      </c>
      <c r="D1372" s="2" t="s">
        <v>129</v>
      </c>
      <c r="E1372" s="2">
        <v>1</v>
      </c>
      <c r="F1372" s="7">
        <v>149</v>
      </c>
      <c r="G1372" s="8">
        <v>0</v>
      </c>
      <c r="H1372" s="9" t="str">
        <f>INDEX(Products!$B$2:$B$37, MATCH(D1372, Products!$A$2:$A$37, 0))</f>
        <v>Power Bank 20000mAh</v>
      </c>
      <c r="I1372" t="str">
        <f>INDEX(Products!$C$2:$C$37, MATCH(D1372, Products!$A$2:$A$37, 0))</f>
        <v>Electronics</v>
      </c>
      <c r="J1372">
        <f>INDEX(Products!$E$2:$E$37, MATCH(D1372, Products!$A$2:$A$37, 0))</f>
        <v>70</v>
      </c>
      <c r="K1372" s="9">
        <f t="shared" si="84"/>
        <v>149</v>
      </c>
      <c r="L1372">
        <f t="shared" si="85"/>
        <v>70</v>
      </c>
      <c r="M1372" s="9">
        <f t="shared" si="86"/>
        <v>79</v>
      </c>
      <c r="N1372" t="str">
        <f t="shared" si="87"/>
        <v>Apr</v>
      </c>
    </row>
    <row r="1373" spans="1:14" x14ac:dyDescent="0.3">
      <c r="A1373" s="2" t="s">
        <v>1439</v>
      </c>
      <c r="B1373" s="6">
        <v>45776</v>
      </c>
      <c r="C1373" s="2" t="s">
        <v>44</v>
      </c>
      <c r="D1373" s="2" t="s">
        <v>33</v>
      </c>
      <c r="E1373" s="2">
        <v>4</v>
      </c>
      <c r="F1373" s="7">
        <v>199</v>
      </c>
      <c r="G1373" s="8">
        <v>0.25</v>
      </c>
      <c r="H1373" s="9" t="str">
        <f>INDEX(Products!$B$2:$B$37, MATCH(D1373, Products!$A$2:$A$37, 0))</f>
        <v>Fitness Band Lite</v>
      </c>
      <c r="I1373" t="str">
        <f>INDEX(Products!$C$2:$C$37, MATCH(D1373, Products!$A$2:$A$37, 0))</f>
        <v>Electronics</v>
      </c>
      <c r="J1373">
        <f>INDEX(Products!$E$2:$E$37, MATCH(D1373, Products!$A$2:$A$37, 0))</f>
        <v>175</v>
      </c>
      <c r="K1373" s="9">
        <f t="shared" si="84"/>
        <v>597</v>
      </c>
      <c r="L1373">
        <f t="shared" si="85"/>
        <v>700</v>
      </c>
      <c r="M1373" s="9">
        <f t="shared" si="86"/>
        <v>-103</v>
      </c>
      <c r="N1373" t="str">
        <f t="shared" si="87"/>
        <v>Apr</v>
      </c>
    </row>
    <row r="1374" spans="1:14" x14ac:dyDescent="0.3">
      <c r="A1374" s="2" t="s">
        <v>1440</v>
      </c>
      <c r="B1374" s="6">
        <v>45776</v>
      </c>
      <c r="C1374" s="2" t="s">
        <v>28</v>
      </c>
      <c r="D1374" s="2" t="s">
        <v>103</v>
      </c>
      <c r="E1374" s="2">
        <v>4</v>
      </c>
      <c r="F1374" s="7">
        <v>89</v>
      </c>
      <c r="G1374" s="8">
        <v>0.15</v>
      </c>
      <c r="H1374" s="9" t="str">
        <f>INDEX(Products!$B$2:$B$37, MATCH(D1374, Products!$A$2:$A$37, 0))</f>
        <v>Sunscreen SPF50</v>
      </c>
      <c r="I1374" t="str">
        <f>INDEX(Products!$C$2:$C$37, MATCH(D1374, Products!$A$2:$A$37, 0))</f>
        <v>Beauty</v>
      </c>
      <c r="J1374">
        <f>INDEX(Products!$E$2:$E$37, MATCH(D1374, Products!$A$2:$A$37, 0))</f>
        <v>40</v>
      </c>
      <c r="K1374" s="9">
        <f t="shared" si="84"/>
        <v>302.59999999999997</v>
      </c>
      <c r="L1374">
        <f t="shared" si="85"/>
        <v>160</v>
      </c>
      <c r="M1374" s="9">
        <f t="shared" si="86"/>
        <v>142.59999999999997</v>
      </c>
      <c r="N1374" t="str">
        <f t="shared" si="87"/>
        <v>Apr</v>
      </c>
    </row>
    <row r="1375" spans="1:14" x14ac:dyDescent="0.3">
      <c r="A1375" s="2" t="s">
        <v>1441</v>
      </c>
      <c r="B1375" s="6">
        <v>45776</v>
      </c>
      <c r="C1375" s="2" t="s">
        <v>41</v>
      </c>
      <c r="D1375" s="2" t="s">
        <v>58</v>
      </c>
      <c r="E1375" s="2">
        <v>1</v>
      </c>
      <c r="F1375" s="7">
        <v>459</v>
      </c>
      <c r="G1375" s="8">
        <v>0</v>
      </c>
      <c r="H1375" s="9" t="str">
        <f>INDEX(Products!$B$2:$B$37, MATCH(D1375, Products!$A$2:$A$37, 0))</f>
        <v>Women's Abaya Classic</v>
      </c>
      <c r="I1375" t="str">
        <f>INDEX(Products!$C$2:$C$37, MATCH(D1375, Products!$A$2:$A$37, 0))</f>
        <v>Fashion</v>
      </c>
      <c r="J1375">
        <f>INDEX(Products!$E$2:$E$37, MATCH(D1375, Products!$A$2:$A$37, 0))</f>
        <v>190</v>
      </c>
      <c r="K1375" s="9">
        <f t="shared" si="84"/>
        <v>459</v>
      </c>
      <c r="L1375">
        <f t="shared" si="85"/>
        <v>190</v>
      </c>
      <c r="M1375" s="9">
        <f t="shared" si="86"/>
        <v>269</v>
      </c>
      <c r="N1375" t="str">
        <f t="shared" si="87"/>
        <v>Apr</v>
      </c>
    </row>
    <row r="1376" spans="1:14" x14ac:dyDescent="0.3">
      <c r="A1376" s="2" t="s">
        <v>1442</v>
      </c>
      <c r="B1376" s="6">
        <v>45776</v>
      </c>
      <c r="C1376" s="2" t="s">
        <v>44</v>
      </c>
      <c r="D1376" s="2" t="s">
        <v>95</v>
      </c>
      <c r="E1376" s="2">
        <v>2</v>
      </c>
      <c r="F1376" s="7">
        <v>259</v>
      </c>
      <c r="G1376" s="8">
        <v>0.1</v>
      </c>
      <c r="H1376" s="9" t="str">
        <f>INDEX(Products!$B$2:$B$37, MATCH(D1376, Products!$A$2:$A$37, 0))</f>
        <v>Bed Linen Set (King)</v>
      </c>
      <c r="I1376" t="str">
        <f>INDEX(Products!$C$2:$C$37, MATCH(D1376, Products!$A$2:$A$37, 0))</f>
        <v>Home &amp; Kitchen</v>
      </c>
      <c r="J1376">
        <f>INDEX(Products!$E$2:$E$37, MATCH(D1376, Products!$A$2:$A$37, 0))</f>
        <v>115</v>
      </c>
      <c r="K1376" s="9">
        <f t="shared" si="84"/>
        <v>466.2</v>
      </c>
      <c r="L1376">
        <f t="shared" si="85"/>
        <v>230</v>
      </c>
      <c r="M1376" s="9">
        <f t="shared" si="86"/>
        <v>236.2</v>
      </c>
      <c r="N1376" t="str">
        <f t="shared" si="87"/>
        <v>Apr</v>
      </c>
    </row>
    <row r="1377" spans="1:14" x14ac:dyDescent="0.3">
      <c r="A1377" s="2" t="s">
        <v>1443</v>
      </c>
      <c r="B1377" s="6">
        <v>45776</v>
      </c>
      <c r="C1377" s="2" t="s">
        <v>31</v>
      </c>
      <c r="D1377" s="2" t="s">
        <v>165</v>
      </c>
      <c r="E1377" s="2">
        <v>1</v>
      </c>
      <c r="F1377" s="7">
        <v>69</v>
      </c>
      <c r="G1377" s="8">
        <v>0.1</v>
      </c>
      <c r="H1377" s="9" t="str">
        <f>INDEX(Products!$B$2:$B$37, MATCH(D1377, Products!$A$2:$A$37, 0))</f>
        <v>Swim Goggles</v>
      </c>
      <c r="I1377" t="str">
        <f>INDEX(Products!$C$2:$C$37, MATCH(D1377, Products!$A$2:$A$37, 0))</f>
        <v>Sports</v>
      </c>
      <c r="J1377">
        <f>INDEX(Products!$E$2:$E$37, MATCH(D1377, Products!$A$2:$A$37, 0))</f>
        <v>25</v>
      </c>
      <c r="K1377" s="9">
        <f t="shared" si="84"/>
        <v>62.1</v>
      </c>
      <c r="L1377">
        <f t="shared" si="85"/>
        <v>25</v>
      </c>
      <c r="M1377" s="9">
        <f t="shared" si="86"/>
        <v>37.1</v>
      </c>
      <c r="N1377" t="str">
        <f t="shared" si="87"/>
        <v>Apr</v>
      </c>
    </row>
    <row r="1378" spans="1:14" x14ac:dyDescent="0.3">
      <c r="A1378" s="2" t="s">
        <v>1444</v>
      </c>
      <c r="B1378" s="6">
        <v>45776</v>
      </c>
      <c r="C1378" s="2" t="s">
        <v>44</v>
      </c>
      <c r="D1378" s="2" t="s">
        <v>89</v>
      </c>
      <c r="E1378" s="2">
        <v>1</v>
      </c>
      <c r="F1378" s="7">
        <v>399</v>
      </c>
      <c r="G1378" s="8">
        <v>0</v>
      </c>
      <c r="H1378" s="9" t="str">
        <f>INDEX(Products!$B$2:$B$37, MATCH(D1378, Products!$A$2:$A$37, 0))</f>
        <v>Men's Kandura Premium</v>
      </c>
      <c r="I1378" t="str">
        <f>INDEX(Products!$C$2:$C$37, MATCH(D1378, Products!$A$2:$A$37, 0))</f>
        <v>Fashion</v>
      </c>
      <c r="J1378">
        <f>INDEX(Products!$E$2:$E$37, MATCH(D1378, Products!$A$2:$A$37, 0))</f>
        <v>210</v>
      </c>
      <c r="K1378" s="9">
        <f t="shared" si="84"/>
        <v>399</v>
      </c>
      <c r="L1378">
        <f t="shared" si="85"/>
        <v>210</v>
      </c>
      <c r="M1378" s="9">
        <f t="shared" si="86"/>
        <v>189</v>
      </c>
      <c r="N1378" t="str">
        <f t="shared" si="87"/>
        <v>Apr</v>
      </c>
    </row>
    <row r="1379" spans="1:14" x14ac:dyDescent="0.3">
      <c r="A1379" s="2" t="s">
        <v>1445</v>
      </c>
      <c r="B1379" s="6">
        <v>45776</v>
      </c>
      <c r="C1379" s="2" t="s">
        <v>44</v>
      </c>
      <c r="D1379" s="2" t="s">
        <v>126</v>
      </c>
      <c r="E1379" s="2">
        <v>1</v>
      </c>
      <c r="F1379" s="7">
        <v>89</v>
      </c>
      <c r="G1379" s="8">
        <v>0.05</v>
      </c>
      <c r="H1379" s="9" t="str">
        <f>INDEX(Products!$B$2:$B$37, MATCH(D1379, Products!$A$2:$A$37, 0))</f>
        <v>USB-C Fast Charger</v>
      </c>
      <c r="I1379" t="str">
        <f>INDEX(Products!$C$2:$C$37, MATCH(D1379, Products!$A$2:$A$37, 0))</f>
        <v>Electronics</v>
      </c>
      <c r="J1379">
        <f>INDEX(Products!$E$2:$E$37, MATCH(D1379, Products!$A$2:$A$37, 0))</f>
        <v>35</v>
      </c>
      <c r="K1379" s="9">
        <f t="shared" si="84"/>
        <v>84.55</v>
      </c>
      <c r="L1379">
        <f t="shared" si="85"/>
        <v>35</v>
      </c>
      <c r="M1379" s="9">
        <f t="shared" si="86"/>
        <v>49.55</v>
      </c>
      <c r="N1379" t="str">
        <f t="shared" si="87"/>
        <v>Apr</v>
      </c>
    </row>
    <row r="1380" spans="1:14" x14ac:dyDescent="0.3">
      <c r="A1380" s="2" t="s">
        <v>1446</v>
      </c>
      <c r="B1380" s="6">
        <v>45776</v>
      </c>
      <c r="C1380" s="2" t="s">
        <v>41</v>
      </c>
      <c r="D1380" s="2" t="s">
        <v>129</v>
      </c>
      <c r="E1380" s="2">
        <v>2</v>
      </c>
      <c r="F1380" s="7">
        <v>149</v>
      </c>
      <c r="G1380" s="8">
        <v>0.15</v>
      </c>
      <c r="H1380" s="9" t="str">
        <f>INDEX(Products!$B$2:$B$37, MATCH(D1380, Products!$A$2:$A$37, 0))</f>
        <v>Power Bank 20000mAh</v>
      </c>
      <c r="I1380" t="str">
        <f>INDEX(Products!$C$2:$C$37, MATCH(D1380, Products!$A$2:$A$37, 0))</f>
        <v>Electronics</v>
      </c>
      <c r="J1380">
        <f>INDEX(Products!$E$2:$E$37, MATCH(D1380, Products!$A$2:$A$37, 0))</f>
        <v>70</v>
      </c>
      <c r="K1380" s="9">
        <f t="shared" si="84"/>
        <v>253.29999999999998</v>
      </c>
      <c r="L1380">
        <f t="shared" si="85"/>
        <v>140</v>
      </c>
      <c r="M1380" s="9">
        <f t="shared" si="86"/>
        <v>113.29999999999998</v>
      </c>
      <c r="N1380" t="str">
        <f t="shared" si="87"/>
        <v>Apr</v>
      </c>
    </row>
    <row r="1381" spans="1:14" x14ac:dyDescent="0.3">
      <c r="A1381" s="2" t="s">
        <v>1447</v>
      </c>
      <c r="B1381" s="6">
        <v>45776</v>
      </c>
      <c r="C1381" s="2" t="s">
        <v>31</v>
      </c>
      <c r="D1381" s="2" t="s">
        <v>126</v>
      </c>
      <c r="E1381" s="2">
        <v>1</v>
      </c>
      <c r="F1381" s="7">
        <v>89</v>
      </c>
      <c r="G1381" s="8">
        <v>0</v>
      </c>
      <c r="H1381" s="9" t="str">
        <f>INDEX(Products!$B$2:$B$37, MATCH(D1381, Products!$A$2:$A$37, 0))</f>
        <v>USB-C Fast Charger</v>
      </c>
      <c r="I1381" t="str">
        <f>INDEX(Products!$C$2:$C$37, MATCH(D1381, Products!$A$2:$A$37, 0))</f>
        <v>Electronics</v>
      </c>
      <c r="J1381">
        <f>INDEX(Products!$E$2:$E$37, MATCH(D1381, Products!$A$2:$A$37, 0))</f>
        <v>35</v>
      </c>
      <c r="K1381" s="9">
        <f t="shared" si="84"/>
        <v>89</v>
      </c>
      <c r="L1381">
        <f t="shared" si="85"/>
        <v>35</v>
      </c>
      <c r="M1381" s="9">
        <f t="shared" si="86"/>
        <v>54</v>
      </c>
      <c r="N1381" t="str">
        <f t="shared" si="87"/>
        <v>Apr</v>
      </c>
    </row>
    <row r="1382" spans="1:14" x14ac:dyDescent="0.3">
      <c r="A1382" s="2" t="s">
        <v>1448</v>
      </c>
      <c r="B1382" s="6">
        <v>45776</v>
      </c>
      <c r="C1382" s="2" t="s">
        <v>28</v>
      </c>
      <c r="D1382" s="2" t="s">
        <v>99</v>
      </c>
      <c r="E1382" s="2">
        <v>1</v>
      </c>
      <c r="F1382" s="7">
        <v>459</v>
      </c>
      <c r="G1382" s="8">
        <v>0.1</v>
      </c>
      <c r="H1382" s="9" t="str">
        <f>INDEX(Products!$B$2:$B$37, MATCH(D1382, Products!$A$2:$A$37, 0))</f>
        <v>Gaming Headset X</v>
      </c>
      <c r="I1382" t="str">
        <f>INDEX(Products!$C$2:$C$37, MATCH(D1382, Products!$A$2:$A$37, 0))</f>
        <v>Electronics</v>
      </c>
      <c r="J1382">
        <f>INDEX(Products!$E$2:$E$37, MATCH(D1382, Products!$A$2:$A$37, 0))</f>
        <v>300</v>
      </c>
      <c r="K1382" s="9">
        <f t="shared" si="84"/>
        <v>413.1</v>
      </c>
      <c r="L1382">
        <f t="shared" si="85"/>
        <v>300</v>
      </c>
      <c r="M1382" s="9">
        <f t="shared" si="86"/>
        <v>113.10000000000002</v>
      </c>
      <c r="N1382" t="str">
        <f t="shared" si="87"/>
        <v>Apr</v>
      </c>
    </row>
    <row r="1383" spans="1:14" x14ac:dyDescent="0.3">
      <c r="A1383" s="2" t="s">
        <v>1449</v>
      </c>
      <c r="B1383" s="6">
        <v>45776</v>
      </c>
      <c r="C1383" s="2" t="s">
        <v>44</v>
      </c>
      <c r="D1383" s="2" t="s">
        <v>131</v>
      </c>
      <c r="E1383" s="2">
        <v>1</v>
      </c>
      <c r="F1383" s="7">
        <v>899</v>
      </c>
      <c r="G1383" s="8">
        <v>0.05</v>
      </c>
      <c r="H1383" s="9" t="str">
        <f>INDEX(Products!$B$2:$B$37, MATCH(D1383, Products!$A$2:$A$37, 0))</f>
        <v>4K Action Camera</v>
      </c>
      <c r="I1383" t="str">
        <f>INDEX(Products!$C$2:$C$37, MATCH(D1383, Products!$A$2:$A$37, 0))</f>
        <v>Electronics</v>
      </c>
      <c r="J1383">
        <f>INDEX(Products!$E$2:$E$37, MATCH(D1383, Products!$A$2:$A$37, 0))</f>
        <v>610</v>
      </c>
      <c r="K1383" s="9">
        <f t="shared" si="84"/>
        <v>854.05</v>
      </c>
      <c r="L1383">
        <f t="shared" si="85"/>
        <v>610</v>
      </c>
      <c r="M1383" s="9">
        <f t="shared" si="86"/>
        <v>244.04999999999995</v>
      </c>
      <c r="N1383" t="str">
        <f t="shared" si="87"/>
        <v>Apr</v>
      </c>
    </row>
    <row r="1384" spans="1:14" x14ac:dyDescent="0.3">
      <c r="A1384" s="2" t="s">
        <v>1450</v>
      </c>
      <c r="B1384" s="6">
        <v>45777</v>
      </c>
      <c r="C1384" s="2" t="s">
        <v>31</v>
      </c>
      <c r="D1384" s="2" t="s">
        <v>65</v>
      </c>
      <c r="E1384" s="2">
        <v>1</v>
      </c>
      <c r="F1384" s="7">
        <v>129</v>
      </c>
      <c r="G1384" s="8">
        <v>0</v>
      </c>
      <c r="H1384" s="9" t="str">
        <f>INDEX(Products!$B$2:$B$37, MATCH(D1384, Products!$A$2:$A$37, 0))</f>
        <v>Yoga Mat Premium</v>
      </c>
      <c r="I1384" t="str">
        <f>INDEX(Products!$C$2:$C$37, MATCH(D1384, Products!$A$2:$A$37, 0))</f>
        <v>Sports</v>
      </c>
      <c r="J1384">
        <f>INDEX(Products!$E$2:$E$37, MATCH(D1384, Products!$A$2:$A$37, 0))</f>
        <v>60</v>
      </c>
      <c r="K1384" s="9">
        <f t="shared" si="84"/>
        <v>129</v>
      </c>
      <c r="L1384">
        <f t="shared" si="85"/>
        <v>60</v>
      </c>
      <c r="M1384" s="9">
        <f t="shared" si="86"/>
        <v>69</v>
      </c>
      <c r="N1384" t="str">
        <f t="shared" si="87"/>
        <v>Apr</v>
      </c>
    </row>
    <row r="1385" spans="1:14" x14ac:dyDescent="0.3">
      <c r="A1385" s="2" t="s">
        <v>1451</v>
      </c>
      <c r="B1385" s="6">
        <v>45777</v>
      </c>
      <c r="C1385" s="2" t="s">
        <v>31</v>
      </c>
      <c r="D1385" s="2" t="s">
        <v>58</v>
      </c>
      <c r="E1385" s="2">
        <v>1</v>
      </c>
      <c r="F1385" s="7">
        <v>459</v>
      </c>
      <c r="G1385" s="8">
        <v>0</v>
      </c>
      <c r="H1385" s="9" t="str">
        <f>INDEX(Products!$B$2:$B$37, MATCH(D1385, Products!$A$2:$A$37, 0))</f>
        <v>Women's Abaya Classic</v>
      </c>
      <c r="I1385" t="str">
        <f>INDEX(Products!$C$2:$C$37, MATCH(D1385, Products!$A$2:$A$37, 0))</f>
        <v>Fashion</v>
      </c>
      <c r="J1385">
        <f>INDEX(Products!$E$2:$E$37, MATCH(D1385, Products!$A$2:$A$37, 0))</f>
        <v>190</v>
      </c>
      <c r="K1385" s="9">
        <f t="shared" si="84"/>
        <v>459</v>
      </c>
      <c r="L1385">
        <f t="shared" si="85"/>
        <v>190</v>
      </c>
      <c r="M1385" s="9">
        <f t="shared" si="86"/>
        <v>269</v>
      </c>
      <c r="N1385" t="str">
        <f t="shared" si="87"/>
        <v>Apr</v>
      </c>
    </row>
    <row r="1386" spans="1:14" x14ac:dyDescent="0.3">
      <c r="A1386" s="2" t="s">
        <v>1452</v>
      </c>
      <c r="B1386" s="6">
        <v>45777</v>
      </c>
      <c r="C1386" s="2" t="s">
        <v>41</v>
      </c>
      <c r="D1386" s="2" t="s">
        <v>56</v>
      </c>
      <c r="E1386" s="2">
        <v>1</v>
      </c>
      <c r="F1386" s="7">
        <v>289</v>
      </c>
      <c r="G1386" s="8">
        <v>0</v>
      </c>
      <c r="H1386" s="9" t="str">
        <f>INDEX(Products!$B$2:$B$37, MATCH(D1386, Products!$A$2:$A$37, 0))</f>
        <v>Ceramic Dinner Set</v>
      </c>
      <c r="I1386" t="str">
        <f>INDEX(Products!$C$2:$C$37, MATCH(D1386, Products!$A$2:$A$37, 0))</f>
        <v>Home &amp; Kitchen</v>
      </c>
      <c r="J1386">
        <f>INDEX(Products!$E$2:$E$37, MATCH(D1386, Products!$A$2:$A$37, 0))</f>
        <v>140</v>
      </c>
      <c r="K1386" s="9">
        <f t="shared" si="84"/>
        <v>289</v>
      </c>
      <c r="L1386">
        <f t="shared" si="85"/>
        <v>140</v>
      </c>
      <c r="M1386" s="9">
        <f t="shared" si="86"/>
        <v>149</v>
      </c>
      <c r="N1386" t="str">
        <f t="shared" si="87"/>
        <v>Apr</v>
      </c>
    </row>
    <row r="1387" spans="1:14" x14ac:dyDescent="0.3">
      <c r="A1387" s="2" t="s">
        <v>1453</v>
      </c>
      <c r="B1387" s="6">
        <v>45777</v>
      </c>
      <c r="C1387" s="2" t="s">
        <v>48</v>
      </c>
      <c r="D1387" s="2" t="s">
        <v>42</v>
      </c>
      <c r="E1387" s="2">
        <v>2</v>
      </c>
      <c r="F1387" s="7">
        <v>399</v>
      </c>
      <c r="G1387" s="8">
        <v>0.05</v>
      </c>
      <c r="H1387" s="9" t="str">
        <f>INDEX(Products!$B$2:$B$37, MATCH(D1387, Products!$A$2:$A$37, 0))</f>
        <v>Wireless Earbuds Pro</v>
      </c>
      <c r="I1387" t="str">
        <f>INDEX(Products!$C$2:$C$37, MATCH(D1387, Products!$A$2:$A$37, 0))</f>
        <v>Electronics</v>
      </c>
      <c r="J1387">
        <f>INDEX(Products!$E$2:$E$37, MATCH(D1387, Products!$A$2:$A$37, 0))</f>
        <v>230</v>
      </c>
      <c r="K1387" s="9">
        <f t="shared" si="84"/>
        <v>758.09999999999991</v>
      </c>
      <c r="L1387">
        <f t="shared" si="85"/>
        <v>460</v>
      </c>
      <c r="M1387" s="9">
        <f t="shared" si="86"/>
        <v>298.09999999999991</v>
      </c>
      <c r="N1387" t="str">
        <f t="shared" si="87"/>
        <v>Apr</v>
      </c>
    </row>
    <row r="1388" spans="1:14" x14ac:dyDescent="0.3">
      <c r="A1388" s="2" t="s">
        <v>1454</v>
      </c>
      <c r="B1388" s="6">
        <v>45777</v>
      </c>
      <c r="C1388" s="2" t="s">
        <v>48</v>
      </c>
      <c r="D1388" s="2" t="s">
        <v>194</v>
      </c>
      <c r="E1388" s="2">
        <v>1</v>
      </c>
      <c r="F1388" s="7">
        <v>699</v>
      </c>
      <c r="G1388" s="8">
        <v>0</v>
      </c>
      <c r="H1388" s="9" t="str">
        <f>INDEX(Products!$B$2:$B$37, MATCH(D1388, Products!$A$2:$A$37, 0))</f>
        <v>Leather Handbag</v>
      </c>
      <c r="I1388" t="str">
        <f>INDEX(Products!$C$2:$C$37, MATCH(D1388, Products!$A$2:$A$37, 0))</f>
        <v>Fashion</v>
      </c>
      <c r="J1388">
        <f>INDEX(Products!$E$2:$E$37, MATCH(D1388, Products!$A$2:$A$37, 0))</f>
        <v>380</v>
      </c>
      <c r="K1388" s="9">
        <f t="shared" si="84"/>
        <v>699</v>
      </c>
      <c r="L1388">
        <f t="shared" si="85"/>
        <v>380</v>
      </c>
      <c r="M1388" s="9">
        <f t="shared" si="86"/>
        <v>319</v>
      </c>
      <c r="N1388" t="str">
        <f t="shared" si="87"/>
        <v>Apr</v>
      </c>
    </row>
    <row r="1389" spans="1:14" x14ac:dyDescent="0.3">
      <c r="A1389" s="2" t="s">
        <v>1455</v>
      </c>
      <c r="B1389" s="6">
        <v>45777</v>
      </c>
      <c r="C1389" s="2" t="s">
        <v>48</v>
      </c>
      <c r="D1389" s="2" t="s">
        <v>95</v>
      </c>
      <c r="E1389" s="2">
        <v>1</v>
      </c>
      <c r="F1389" s="7">
        <v>259</v>
      </c>
      <c r="G1389" s="8">
        <v>0</v>
      </c>
      <c r="H1389" s="9" t="str">
        <f>INDEX(Products!$B$2:$B$37, MATCH(D1389, Products!$A$2:$A$37, 0))</f>
        <v>Bed Linen Set (King)</v>
      </c>
      <c r="I1389" t="str">
        <f>INDEX(Products!$C$2:$C$37, MATCH(D1389, Products!$A$2:$A$37, 0))</f>
        <v>Home &amp; Kitchen</v>
      </c>
      <c r="J1389">
        <f>INDEX(Products!$E$2:$E$37, MATCH(D1389, Products!$A$2:$A$37, 0))</f>
        <v>115</v>
      </c>
      <c r="K1389" s="9">
        <f t="shared" si="84"/>
        <v>259</v>
      </c>
      <c r="L1389">
        <f t="shared" si="85"/>
        <v>115</v>
      </c>
      <c r="M1389" s="9">
        <f t="shared" si="86"/>
        <v>144</v>
      </c>
      <c r="N1389" t="str">
        <f t="shared" si="87"/>
        <v>Apr</v>
      </c>
    </row>
    <row r="1390" spans="1:14" x14ac:dyDescent="0.3">
      <c r="A1390" s="2" t="s">
        <v>1456</v>
      </c>
      <c r="B1390" s="6">
        <v>45777</v>
      </c>
      <c r="C1390" s="2" t="s">
        <v>41</v>
      </c>
      <c r="D1390" s="2" t="s">
        <v>68</v>
      </c>
      <c r="E1390" s="2">
        <v>2</v>
      </c>
      <c r="F1390" s="7">
        <v>249</v>
      </c>
      <c r="G1390" s="8">
        <v>0</v>
      </c>
      <c r="H1390" s="9" t="str">
        <f>INDEX(Products!$B$2:$B$37, MATCH(D1390, Products!$A$2:$A$37, 0))</f>
        <v>Bluetooth Speaker Mini</v>
      </c>
      <c r="I1390" t="str">
        <f>INDEX(Products!$C$2:$C$37, MATCH(D1390, Products!$A$2:$A$37, 0))</f>
        <v>Electronics</v>
      </c>
      <c r="J1390">
        <f>INDEX(Products!$E$2:$E$37, MATCH(D1390, Products!$A$2:$A$37, 0))</f>
        <v>150</v>
      </c>
      <c r="K1390" s="9">
        <f t="shared" si="84"/>
        <v>498</v>
      </c>
      <c r="L1390">
        <f t="shared" si="85"/>
        <v>300</v>
      </c>
      <c r="M1390" s="9">
        <f t="shared" si="86"/>
        <v>198</v>
      </c>
      <c r="N1390" t="str">
        <f t="shared" si="87"/>
        <v>Apr</v>
      </c>
    </row>
    <row r="1391" spans="1:14" x14ac:dyDescent="0.3">
      <c r="A1391" s="2" t="s">
        <v>1457</v>
      </c>
      <c r="B1391" s="6">
        <v>45777</v>
      </c>
      <c r="C1391" s="2" t="s">
        <v>41</v>
      </c>
      <c r="D1391" s="2" t="s">
        <v>129</v>
      </c>
      <c r="E1391" s="2">
        <v>3</v>
      </c>
      <c r="F1391" s="7">
        <v>149</v>
      </c>
      <c r="G1391" s="8">
        <v>0</v>
      </c>
      <c r="H1391" s="9" t="str">
        <f>INDEX(Products!$B$2:$B$37, MATCH(D1391, Products!$A$2:$A$37, 0))</f>
        <v>Power Bank 20000mAh</v>
      </c>
      <c r="I1391" t="str">
        <f>INDEX(Products!$C$2:$C$37, MATCH(D1391, Products!$A$2:$A$37, 0))</f>
        <v>Electronics</v>
      </c>
      <c r="J1391">
        <f>INDEX(Products!$E$2:$E$37, MATCH(D1391, Products!$A$2:$A$37, 0))</f>
        <v>70</v>
      </c>
      <c r="K1391" s="9">
        <f t="shared" si="84"/>
        <v>447</v>
      </c>
      <c r="L1391">
        <f t="shared" si="85"/>
        <v>210</v>
      </c>
      <c r="M1391" s="9">
        <f t="shared" si="86"/>
        <v>237</v>
      </c>
      <c r="N1391" t="str">
        <f t="shared" si="87"/>
        <v>Apr</v>
      </c>
    </row>
    <row r="1392" spans="1:14" x14ac:dyDescent="0.3">
      <c r="A1392" s="2" t="s">
        <v>1458</v>
      </c>
      <c r="B1392" s="6">
        <v>45777</v>
      </c>
      <c r="C1392" s="2" t="s">
        <v>41</v>
      </c>
      <c r="D1392" s="2" t="s">
        <v>33</v>
      </c>
      <c r="E1392" s="2">
        <v>1</v>
      </c>
      <c r="F1392" s="7">
        <v>199</v>
      </c>
      <c r="G1392" s="8">
        <v>0.1</v>
      </c>
      <c r="H1392" s="9" t="str">
        <f>INDEX(Products!$B$2:$B$37, MATCH(D1392, Products!$A$2:$A$37, 0))</f>
        <v>Fitness Band Lite</v>
      </c>
      <c r="I1392" t="str">
        <f>INDEX(Products!$C$2:$C$37, MATCH(D1392, Products!$A$2:$A$37, 0))</f>
        <v>Electronics</v>
      </c>
      <c r="J1392">
        <f>INDEX(Products!$E$2:$E$37, MATCH(D1392, Products!$A$2:$A$37, 0))</f>
        <v>175</v>
      </c>
      <c r="K1392" s="9">
        <f t="shared" si="84"/>
        <v>179.1</v>
      </c>
      <c r="L1392">
        <f t="shared" si="85"/>
        <v>175</v>
      </c>
      <c r="M1392" s="9">
        <f t="shared" si="86"/>
        <v>4.0999999999999943</v>
      </c>
      <c r="N1392" t="str">
        <f t="shared" si="87"/>
        <v>Apr</v>
      </c>
    </row>
    <row r="1393" spans="1:14" x14ac:dyDescent="0.3">
      <c r="A1393" s="2" t="s">
        <v>1459</v>
      </c>
      <c r="B1393" s="6">
        <v>45777</v>
      </c>
      <c r="C1393" s="2" t="s">
        <v>41</v>
      </c>
      <c r="D1393" s="2" t="s">
        <v>35</v>
      </c>
      <c r="E1393" s="2">
        <v>2</v>
      </c>
      <c r="F1393" s="7">
        <v>179</v>
      </c>
      <c r="G1393" s="8">
        <v>0.1</v>
      </c>
      <c r="H1393" s="9" t="str">
        <f>INDEX(Products!$B$2:$B$37, MATCH(D1393, Products!$A$2:$A$37, 0))</f>
        <v>Men's Linen Shirt</v>
      </c>
      <c r="I1393" t="str">
        <f>INDEX(Products!$C$2:$C$37, MATCH(D1393, Products!$A$2:$A$37, 0))</f>
        <v>Fashion</v>
      </c>
      <c r="J1393">
        <f>INDEX(Products!$E$2:$E$37, MATCH(D1393, Products!$A$2:$A$37, 0))</f>
        <v>70</v>
      </c>
      <c r="K1393" s="9">
        <f t="shared" si="84"/>
        <v>322.2</v>
      </c>
      <c r="L1393">
        <f t="shared" si="85"/>
        <v>140</v>
      </c>
      <c r="M1393" s="9">
        <f t="shared" si="86"/>
        <v>182.2</v>
      </c>
      <c r="N1393" t="str">
        <f t="shared" si="87"/>
        <v>Apr</v>
      </c>
    </row>
    <row r="1394" spans="1:14" x14ac:dyDescent="0.3">
      <c r="A1394" s="2" t="s">
        <v>1460</v>
      </c>
      <c r="B1394" s="6">
        <v>45777</v>
      </c>
      <c r="C1394" s="2" t="s">
        <v>28</v>
      </c>
      <c r="D1394" s="2" t="s">
        <v>126</v>
      </c>
      <c r="E1394" s="2">
        <v>1</v>
      </c>
      <c r="F1394" s="7">
        <v>89</v>
      </c>
      <c r="G1394" s="8">
        <v>0.05</v>
      </c>
      <c r="H1394" s="9" t="str">
        <f>INDEX(Products!$B$2:$B$37, MATCH(D1394, Products!$A$2:$A$37, 0))</f>
        <v>USB-C Fast Charger</v>
      </c>
      <c r="I1394" t="str">
        <f>INDEX(Products!$C$2:$C$37, MATCH(D1394, Products!$A$2:$A$37, 0))</f>
        <v>Electronics</v>
      </c>
      <c r="J1394">
        <f>INDEX(Products!$E$2:$E$37, MATCH(D1394, Products!$A$2:$A$37, 0))</f>
        <v>35</v>
      </c>
      <c r="K1394" s="9">
        <f t="shared" si="84"/>
        <v>84.55</v>
      </c>
      <c r="L1394">
        <f t="shared" si="85"/>
        <v>35</v>
      </c>
      <c r="M1394" s="9">
        <f t="shared" si="86"/>
        <v>49.55</v>
      </c>
      <c r="N1394" t="str">
        <f t="shared" si="87"/>
        <v>Apr</v>
      </c>
    </row>
    <row r="1395" spans="1:14" x14ac:dyDescent="0.3">
      <c r="A1395" s="2" t="s">
        <v>1461</v>
      </c>
      <c r="B1395" s="6">
        <v>45777</v>
      </c>
      <c r="C1395" s="2" t="s">
        <v>44</v>
      </c>
      <c r="D1395" s="2" t="s">
        <v>163</v>
      </c>
      <c r="E1395" s="2">
        <v>1</v>
      </c>
      <c r="F1395" s="7">
        <v>2499</v>
      </c>
      <c r="G1395" s="8">
        <v>0.25</v>
      </c>
      <c r="H1395" s="9" t="str">
        <f>INDEX(Products!$B$2:$B$37, MATCH(D1395, Products!$A$2:$A$37, 0))</f>
        <v>Treadmill Compact</v>
      </c>
      <c r="I1395" t="str">
        <f>INDEX(Products!$C$2:$C$37, MATCH(D1395, Products!$A$2:$A$37, 0))</f>
        <v>Sports</v>
      </c>
      <c r="J1395">
        <f>INDEX(Products!$E$2:$E$37, MATCH(D1395, Products!$A$2:$A$37, 0))</f>
        <v>2150</v>
      </c>
      <c r="K1395" s="9">
        <f t="shared" si="84"/>
        <v>1874.25</v>
      </c>
      <c r="L1395">
        <f t="shared" si="85"/>
        <v>2150</v>
      </c>
      <c r="M1395" s="9">
        <f t="shared" si="86"/>
        <v>-275.75</v>
      </c>
      <c r="N1395" t="str">
        <f t="shared" si="87"/>
        <v>Apr</v>
      </c>
    </row>
    <row r="1396" spans="1:14" x14ac:dyDescent="0.3">
      <c r="A1396" s="2" t="s">
        <v>1462</v>
      </c>
      <c r="B1396" s="6">
        <v>45778</v>
      </c>
      <c r="C1396" s="2" t="s">
        <v>28</v>
      </c>
      <c r="D1396" s="2" t="s">
        <v>37</v>
      </c>
      <c r="E1396" s="2">
        <v>1</v>
      </c>
      <c r="F1396" s="7">
        <v>249</v>
      </c>
      <c r="G1396" s="8">
        <v>0</v>
      </c>
      <c r="H1396" s="9" t="str">
        <f>INDEX(Products!$B$2:$B$37, MATCH(D1396, Products!$A$2:$A$37, 0))</f>
        <v>Sunglasses Polarised</v>
      </c>
      <c r="I1396" t="str">
        <f>INDEX(Products!$C$2:$C$37, MATCH(D1396, Products!$A$2:$A$37, 0))</f>
        <v>Fashion</v>
      </c>
      <c r="J1396">
        <f>INDEX(Products!$E$2:$E$37, MATCH(D1396, Products!$A$2:$A$37, 0))</f>
        <v>95</v>
      </c>
      <c r="K1396" s="9">
        <f t="shared" si="84"/>
        <v>249</v>
      </c>
      <c r="L1396">
        <f t="shared" si="85"/>
        <v>95</v>
      </c>
      <c r="M1396" s="9">
        <f t="shared" si="86"/>
        <v>154</v>
      </c>
      <c r="N1396" t="str">
        <f t="shared" si="87"/>
        <v>May</v>
      </c>
    </row>
    <row r="1397" spans="1:14" x14ac:dyDescent="0.3">
      <c r="A1397" s="2" t="s">
        <v>1463</v>
      </c>
      <c r="B1397" s="6">
        <v>45778</v>
      </c>
      <c r="C1397" s="2" t="s">
        <v>41</v>
      </c>
      <c r="D1397" s="2" t="s">
        <v>126</v>
      </c>
      <c r="E1397" s="2">
        <v>1</v>
      </c>
      <c r="F1397" s="7">
        <v>89</v>
      </c>
      <c r="G1397" s="8">
        <v>0</v>
      </c>
      <c r="H1397" s="9" t="str">
        <f>INDEX(Products!$B$2:$B$37, MATCH(D1397, Products!$A$2:$A$37, 0))</f>
        <v>USB-C Fast Charger</v>
      </c>
      <c r="I1397" t="str">
        <f>INDEX(Products!$C$2:$C$37, MATCH(D1397, Products!$A$2:$A$37, 0))</f>
        <v>Electronics</v>
      </c>
      <c r="J1397">
        <f>INDEX(Products!$E$2:$E$37, MATCH(D1397, Products!$A$2:$A$37, 0))</f>
        <v>35</v>
      </c>
      <c r="K1397" s="9">
        <f t="shared" si="84"/>
        <v>89</v>
      </c>
      <c r="L1397">
        <f t="shared" si="85"/>
        <v>35</v>
      </c>
      <c r="M1397" s="9">
        <f t="shared" si="86"/>
        <v>54</v>
      </c>
      <c r="N1397" t="str">
        <f t="shared" si="87"/>
        <v>May</v>
      </c>
    </row>
    <row r="1398" spans="1:14" x14ac:dyDescent="0.3">
      <c r="A1398" s="2" t="s">
        <v>1464</v>
      </c>
      <c r="B1398" s="6">
        <v>45778</v>
      </c>
      <c r="C1398" s="2" t="s">
        <v>28</v>
      </c>
      <c r="D1398" s="2" t="s">
        <v>49</v>
      </c>
      <c r="E1398" s="2">
        <v>1</v>
      </c>
      <c r="F1398" s="7">
        <v>149</v>
      </c>
      <c r="G1398" s="8">
        <v>0.15</v>
      </c>
      <c r="H1398" s="9" t="str">
        <f>INDEX(Products!$B$2:$B$37, MATCH(D1398, Products!$A$2:$A$37, 0))</f>
        <v>Kids' Sneakers</v>
      </c>
      <c r="I1398" t="str">
        <f>INDEX(Products!$C$2:$C$37, MATCH(D1398, Products!$A$2:$A$37, 0))</f>
        <v>Fashion</v>
      </c>
      <c r="J1398">
        <f>INDEX(Products!$E$2:$E$37, MATCH(D1398, Products!$A$2:$A$37, 0))</f>
        <v>80</v>
      </c>
      <c r="K1398" s="9">
        <f t="shared" si="84"/>
        <v>126.64999999999999</v>
      </c>
      <c r="L1398">
        <f t="shared" si="85"/>
        <v>80</v>
      </c>
      <c r="M1398" s="9">
        <f t="shared" si="86"/>
        <v>46.649999999999991</v>
      </c>
      <c r="N1398" t="str">
        <f t="shared" si="87"/>
        <v>May</v>
      </c>
    </row>
    <row r="1399" spans="1:14" x14ac:dyDescent="0.3">
      <c r="A1399" s="2" t="s">
        <v>1465</v>
      </c>
      <c r="B1399" s="6">
        <v>45778</v>
      </c>
      <c r="C1399" s="2" t="s">
        <v>48</v>
      </c>
      <c r="D1399" s="2" t="s">
        <v>78</v>
      </c>
      <c r="E1399" s="2">
        <v>3</v>
      </c>
      <c r="F1399" s="7">
        <v>499</v>
      </c>
      <c r="G1399" s="8">
        <v>0.1</v>
      </c>
      <c r="H1399" s="9" t="str">
        <f>INDEX(Products!$B$2:$B$37, MATCH(D1399, Products!$A$2:$A$37, 0))</f>
        <v>Air Fryer 5L</v>
      </c>
      <c r="I1399" t="str">
        <f>INDEX(Products!$C$2:$C$37, MATCH(D1399, Products!$A$2:$A$37, 0))</f>
        <v>Home &amp; Kitchen</v>
      </c>
      <c r="J1399">
        <f>INDEX(Products!$E$2:$E$37, MATCH(D1399, Products!$A$2:$A$37, 0))</f>
        <v>290</v>
      </c>
      <c r="K1399" s="9">
        <f t="shared" si="84"/>
        <v>1347.3</v>
      </c>
      <c r="L1399">
        <f t="shared" si="85"/>
        <v>870</v>
      </c>
      <c r="M1399" s="9">
        <f t="shared" si="86"/>
        <v>477.29999999999995</v>
      </c>
      <c r="N1399" t="str">
        <f t="shared" si="87"/>
        <v>May</v>
      </c>
    </row>
    <row r="1400" spans="1:14" x14ac:dyDescent="0.3">
      <c r="A1400" s="2" t="s">
        <v>1466</v>
      </c>
      <c r="B1400" s="6">
        <v>45778</v>
      </c>
      <c r="C1400" s="2" t="s">
        <v>44</v>
      </c>
      <c r="D1400" s="2" t="s">
        <v>56</v>
      </c>
      <c r="E1400" s="2">
        <v>2</v>
      </c>
      <c r="F1400" s="7">
        <v>289</v>
      </c>
      <c r="G1400" s="8">
        <v>0.2</v>
      </c>
      <c r="H1400" s="9" t="str">
        <f>INDEX(Products!$B$2:$B$37, MATCH(D1400, Products!$A$2:$A$37, 0))</f>
        <v>Ceramic Dinner Set</v>
      </c>
      <c r="I1400" t="str">
        <f>INDEX(Products!$C$2:$C$37, MATCH(D1400, Products!$A$2:$A$37, 0))</f>
        <v>Home &amp; Kitchen</v>
      </c>
      <c r="J1400">
        <f>INDEX(Products!$E$2:$E$37, MATCH(D1400, Products!$A$2:$A$37, 0))</f>
        <v>140</v>
      </c>
      <c r="K1400" s="9">
        <f t="shared" si="84"/>
        <v>462.40000000000003</v>
      </c>
      <c r="L1400">
        <f t="shared" si="85"/>
        <v>280</v>
      </c>
      <c r="M1400" s="9">
        <f t="shared" si="86"/>
        <v>182.40000000000003</v>
      </c>
      <c r="N1400" t="str">
        <f t="shared" si="87"/>
        <v>May</v>
      </c>
    </row>
    <row r="1401" spans="1:14" x14ac:dyDescent="0.3">
      <c r="A1401" s="2" t="s">
        <v>1467</v>
      </c>
      <c r="B1401" s="6">
        <v>45778</v>
      </c>
      <c r="C1401" s="2" t="s">
        <v>28</v>
      </c>
      <c r="D1401" s="2" t="s">
        <v>87</v>
      </c>
      <c r="E1401" s="2">
        <v>1</v>
      </c>
      <c r="F1401" s="7">
        <v>799</v>
      </c>
      <c r="G1401" s="8">
        <v>0.25</v>
      </c>
      <c r="H1401" s="9" t="str">
        <f>INDEX(Products!$B$2:$B$37, MATCH(D1401, Products!$A$2:$A$37, 0))</f>
        <v>Adjustable Dumbbells</v>
      </c>
      <c r="I1401" t="str">
        <f>INDEX(Products!$C$2:$C$37, MATCH(D1401, Products!$A$2:$A$37, 0))</f>
        <v>Sports</v>
      </c>
      <c r="J1401">
        <f>INDEX(Products!$E$2:$E$37, MATCH(D1401, Products!$A$2:$A$37, 0))</f>
        <v>700</v>
      </c>
      <c r="K1401" s="9">
        <f t="shared" si="84"/>
        <v>599.25</v>
      </c>
      <c r="L1401">
        <f t="shared" si="85"/>
        <v>700</v>
      </c>
      <c r="M1401" s="9">
        <f t="shared" si="86"/>
        <v>-100.75</v>
      </c>
      <c r="N1401" t="str">
        <f t="shared" si="87"/>
        <v>May</v>
      </c>
    </row>
    <row r="1402" spans="1:14" x14ac:dyDescent="0.3">
      <c r="A1402" s="2" t="s">
        <v>1468</v>
      </c>
      <c r="B1402" s="6">
        <v>45778</v>
      </c>
      <c r="C1402" s="2" t="s">
        <v>31</v>
      </c>
      <c r="D1402" s="2" t="s">
        <v>46</v>
      </c>
      <c r="E1402" s="2">
        <v>1</v>
      </c>
      <c r="F1402" s="7">
        <v>189</v>
      </c>
      <c r="G1402" s="8">
        <v>0.05</v>
      </c>
      <c r="H1402" s="9" t="str">
        <f>INDEX(Products!$B$2:$B$37, MATCH(D1402, Products!$A$2:$A$37, 0))</f>
        <v>Makeup Palette</v>
      </c>
      <c r="I1402" t="str">
        <f>INDEX(Products!$C$2:$C$37, MATCH(D1402, Products!$A$2:$A$37, 0))</f>
        <v>Beauty</v>
      </c>
      <c r="J1402">
        <f>INDEX(Products!$E$2:$E$37, MATCH(D1402, Products!$A$2:$A$37, 0))</f>
        <v>85</v>
      </c>
      <c r="K1402" s="9">
        <f t="shared" si="84"/>
        <v>179.54999999999998</v>
      </c>
      <c r="L1402">
        <f t="shared" si="85"/>
        <v>85</v>
      </c>
      <c r="M1402" s="9">
        <f t="shared" si="86"/>
        <v>94.549999999999983</v>
      </c>
      <c r="N1402" t="str">
        <f t="shared" si="87"/>
        <v>May</v>
      </c>
    </row>
    <row r="1403" spans="1:14" x14ac:dyDescent="0.3">
      <c r="A1403" s="2" t="s">
        <v>1469</v>
      </c>
      <c r="B1403" s="6">
        <v>45778</v>
      </c>
      <c r="C1403" s="2" t="s">
        <v>44</v>
      </c>
      <c r="D1403" s="2" t="s">
        <v>92</v>
      </c>
      <c r="E1403" s="2">
        <v>2</v>
      </c>
      <c r="F1403" s="7">
        <v>349</v>
      </c>
      <c r="G1403" s="8">
        <v>0</v>
      </c>
      <c r="H1403" s="9" t="str">
        <f>INDEX(Products!$B$2:$B$37, MATCH(D1403, Products!$A$2:$A$37, 0))</f>
        <v>Non-stick Cookware Set</v>
      </c>
      <c r="I1403" t="str">
        <f>INDEX(Products!$C$2:$C$37, MATCH(D1403, Products!$A$2:$A$37, 0))</f>
        <v>Home &amp; Kitchen</v>
      </c>
      <c r="J1403">
        <f>INDEX(Products!$E$2:$E$37, MATCH(D1403, Products!$A$2:$A$37, 0))</f>
        <v>170</v>
      </c>
      <c r="K1403" s="9">
        <f t="shared" si="84"/>
        <v>698</v>
      </c>
      <c r="L1403">
        <f t="shared" si="85"/>
        <v>340</v>
      </c>
      <c r="M1403" s="9">
        <f t="shared" si="86"/>
        <v>358</v>
      </c>
      <c r="N1403" t="str">
        <f t="shared" si="87"/>
        <v>May</v>
      </c>
    </row>
    <row r="1404" spans="1:14" x14ac:dyDescent="0.3">
      <c r="A1404" s="2" t="s">
        <v>1470</v>
      </c>
      <c r="B1404" s="6">
        <v>45778</v>
      </c>
      <c r="C1404" s="2" t="s">
        <v>44</v>
      </c>
      <c r="D1404" s="2" t="s">
        <v>39</v>
      </c>
      <c r="E1404" s="2">
        <v>4</v>
      </c>
      <c r="F1404" s="7">
        <v>199</v>
      </c>
      <c r="G1404" s="8">
        <v>0.05</v>
      </c>
      <c r="H1404" s="9" t="str">
        <f>INDEX(Products!$B$2:$B$37, MATCH(D1404, Products!$A$2:$A$37, 0))</f>
        <v>Bakhoor Gift Set</v>
      </c>
      <c r="I1404" t="str">
        <f>INDEX(Products!$C$2:$C$37, MATCH(D1404, Products!$A$2:$A$37, 0))</f>
        <v>Beauty</v>
      </c>
      <c r="J1404">
        <f>INDEX(Products!$E$2:$E$37, MATCH(D1404, Products!$A$2:$A$37, 0))</f>
        <v>90</v>
      </c>
      <c r="K1404" s="9">
        <f t="shared" si="84"/>
        <v>756.19999999999993</v>
      </c>
      <c r="L1404">
        <f t="shared" si="85"/>
        <v>360</v>
      </c>
      <c r="M1404" s="9">
        <f t="shared" si="86"/>
        <v>396.19999999999993</v>
      </c>
      <c r="N1404" t="str">
        <f t="shared" si="87"/>
        <v>May</v>
      </c>
    </row>
    <row r="1405" spans="1:14" x14ac:dyDescent="0.3">
      <c r="A1405" s="2" t="s">
        <v>1471</v>
      </c>
      <c r="B1405" s="6">
        <v>45778</v>
      </c>
      <c r="C1405" s="2" t="s">
        <v>44</v>
      </c>
      <c r="D1405" s="2" t="s">
        <v>39</v>
      </c>
      <c r="E1405" s="2">
        <v>1</v>
      </c>
      <c r="F1405" s="7">
        <v>199</v>
      </c>
      <c r="G1405" s="8">
        <v>0</v>
      </c>
      <c r="H1405" s="9" t="str">
        <f>INDEX(Products!$B$2:$B$37, MATCH(D1405, Products!$A$2:$A$37, 0))</f>
        <v>Bakhoor Gift Set</v>
      </c>
      <c r="I1405" t="str">
        <f>INDEX(Products!$C$2:$C$37, MATCH(D1405, Products!$A$2:$A$37, 0))</f>
        <v>Beauty</v>
      </c>
      <c r="J1405">
        <f>INDEX(Products!$E$2:$E$37, MATCH(D1405, Products!$A$2:$A$37, 0))</f>
        <v>90</v>
      </c>
      <c r="K1405" s="9">
        <f t="shared" si="84"/>
        <v>199</v>
      </c>
      <c r="L1405">
        <f t="shared" si="85"/>
        <v>90</v>
      </c>
      <c r="M1405" s="9">
        <f t="shared" si="86"/>
        <v>109</v>
      </c>
      <c r="N1405" t="str">
        <f t="shared" si="87"/>
        <v>May</v>
      </c>
    </row>
    <row r="1406" spans="1:14" x14ac:dyDescent="0.3">
      <c r="A1406" s="2" t="s">
        <v>1472</v>
      </c>
      <c r="B1406" s="6">
        <v>45778</v>
      </c>
      <c r="C1406" s="2" t="s">
        <v>28</v>
      </c>
      <c r="D1406" s="2" t="s">
        <v>68</v>
      </c>
      <c r="E1406" s="2">
        <v>1</v>
      </c>
      <c r="F1406" s="7">
        <v>249</v>
      </c>
      <c r="G1406" s="8">
        <v>0</v>
      </c>
      <c r="H1406" s="9" t="str">
        <f>INDEX(Products!$B$2:$B$37, MATCH(D1406, Products!$A$2:$A$37, 0))</f>
        <v>Bluetooth Speaker Mini</v>
      </c>
      <c r="I1406" t="str">
        <f>INDEX(Products!$C$2:$C$37, MATCH(D1406, Products!$A$2:$A$37, 0))</f>
        <v>Electronics</v>
      </c>
      <c r="J1406">
        <f>INDEX(Products!$E$2:$E$37, MATCH(D1406, Products!$A$2:$A$37, 0))</f>
        <v>150</v>
      </c>
      <c r="K1406" s="9">
        <f t="shared" si="84"/>
        <v>249</v>
      </c>
      <c r="L1406">
        <f t="shared" si="85"/>
        <v>150</v>
      </c>
      <c r="M1406" s="9">
        <f t="shared" si="86"/>
        <v>99</v>
      </c>
      <c r="N1406" t="str">
        <f t="shared" si="87"/>
        <v>May</v>
      </c>
    </row>
    <row r="1407" spans="1:14" x14ac:dyDescent="0.3">
      <c r="A1407" s="2" t="s">
        <v>1473</v>
      </c>
      <c r="B1407" s="6">
        <v>45778</v>
      </c>
      <c r="C1407" s="2" t="s">
        <v>28</v>
      </c>
      <c r="D1407" s="2" t="s">
        <v>49</v>
      </c>
      <c r="E1407" s="2">
        <v>3</v>
      </c>
      <c r="F1407" s="7">
        <v>149</v>
      </c>
      <c r="G1407" s="8">
        <v>0</v>
      </c>
      <c r="H1407" s="9" t="str">
        <f>INDEX(Products!$B$2:$B$37, MATCH(D1407, Products!$A$2:$A$37, 0))</f>
        <v>Kids' Sneakers</v>
      </c>
      <c r="I1407" t="str">
        <f>INDEX(Products!$C$2:$C$37, MATCH(D1407, Products!$A$2:$A$37, 0))</f>
        <v>Fashion</v>
      </c>
      <c r="J1407">
        <f>INDEX(Products!$E$2:$E$37, MATCH(D1407, Products!$A$2:$A$37, 0))</f>
        <v>80</v>
      </c>
      <c r="K1407" s="9">
        <f t="shared" si="84"/>
        <v>447</v>
      </c>
      <c r="L1407">
        <f t="shared" si="85"/>
        <v>240</v>
      </c>
      <c r="M1407" s="9">
        <f t="shared" si="86"/>
        <v>207</v>
      </c>
      <c r="N1407" t="str">
        <f t="shared" si="87"/>
        <v>May</v>
      </c>
    </row>
    <row r="1408" spans="1:14" x14ac:dyDescent="0.3">
      <c r="A1408" s="2" t="s">
        <v>1474</v>
      </c>
      <c r="B1408" s="6">
        <v>45778</v>
      </c>
      <c r="C1408" s="2" t="s">
        <v>44</v>
      </c>
      <c r="D1408" s="2" t="s">
        <v>70</v>
      </c>
      <c r="E1408" s="2">
        <v>2</v>
      </c>
      <c r="F1408" s="7">
        <v>429</v>
      </c>
      <c r="G1408" s="8">
        <v>0.05</v>
      </c>
      <c r="H1408" s="9" t="str">
        <f>INDEX(Products!$B$2:$B$37, MATCH(D1408, Products!$A$2:$A$37, 0))</f>
        <v>Running Shoes Elite</v>
      </c>
      <c r="I1408" t="str">
        <f>INDEX(Products!$C$2:$C$37, MATCH(D1408, Products!$A$2:$A$37, 0))</f>
        <v>Fashion</v>
      </c>
      <c r="J1408">
        <f>INDEX(Products!$E$2:$E$37, MATCH(D1408, Products!$A$2:$A$37, 0))</f>
        <v>300</v>
      </c>
      <c r="K1408" s="9">
        <f t="shared" si="84"/>
        <v>815.09999999999991</v>
      </c>
      <c r="L1408">
        <f t="shared" si="85"/>
        <v>600</v>
      </c>
      <c r="M1408" s="9">
        <f t="shared" si="86"/>
        <v>215.09999999999991</v>
      </c>
      <c r="N1408" t="str">
        <f t="shared" si="87"/>
        <v>May</v>
      </c>
    </row>
    <row r="1409" spans="1:14" x14ac:dyDescent="0.3">
      <c r="A1409" s="2" t="s">
        <v>1475</v>
      </c>
      <c r="B1409" s="6">
        <v>45778</v>
      </c>
      <c r="C1409" s="2" t="s">
        <v>41</v>
      </c>
      <c r="D1409" s="2" t="s">
        <v>29</v>
      </c>
      <c r="E1409" s="2">
        <v>3</v>
      </c>
      <c r="F1409" s="7">
        <v>229</v>
      </c>
      <c r="G1409" s="8">
        <v>0.05</v>
      </c>
      <c r="H1409" s="9" t="str">
        <f>INDEX(Products!$B$2:$B$37, MATCH(D1409, Products!$A$2:$A$37, 0))</f>
        <v>Women's Summer Dress</v>
      </c>
      <c r="I1409" t="str">
        <f>INDEX(Products!$C$2:$C$37, MATCH(D1409, Products!$A$2:$A$37, 0))</f>
        <v>Fashion</v>
      </c>
      <c r="J1409">
        <f>INDEX(Products!$E$2:$E$37, MATCH(D1409, Products!$A$2:$A$37, 0))</f>
        <v>120</v>
      </c>
      <c r="K1409" s="9">
        <f t="shared" si="84"/>
        <v>652.65</v>
      </c>
      <c r="L1409">
        <f t="shared" si="85"/>
        <v>360</v>
      </c>
      <c r="M1409" s="9">
        <f t="shared" si="86"/>
        <v>292.64999999999998</v>
      </c>
      <c r="N1409" t="str">
        <f t="shared" si="87"/>
        <v>May</v>
      </c>
    </row>
    <row r="1410" spans="1:14" x14ac:dyDescent="0.3">
      <c r="A1410" s="2" t="s">
        <v>1476</v>
      </c>
      <c r="B1410" s="6">
        <v>45779</v>
      </c>
      <c r="C1410" s="2" t="s">
        <v>41</v>
      </c>
      <c r="D1410" s="2" t="s">
        <v>39</v>
      </c>
      <c r="E1410" s="2">
        <v>3</v>
      </c>
      <c r="F1410" s="7">
        <v>199</v>
      </c>
      <c r="G1410" s="8">
        <v>0.05</v>
      </c>
      <c r="H1410" s="9" t="str">
        <f>INDEX(Products!$B$2:$B$37, MATCH(D1410, Products!$A$2:$A$37, 0))</f>
        <v>Bakhoor Gift Set</v>
      </c>
      <c r="I1410" t="str">
        <f>INDEX(Products!$C$2:$C$37, MATCH(D1410, Products!$A$2:$A$37, 0))</f>
        <v>Beauty</v>
      </c>
      <c r="J1410">
        <f>INDEX(Products!$E$2:$E$37, MATCH(D1410, Products!$A$2:$A$37, 0))</f>
        <v>90</v>
      </c>
      <c r="K1410" s="9">
        <f t="shared" ref="K1410:K1473" si="88">E1410*F1410*(1-G1410)</f>
        <v>567.15</v>
      </c>
      <c r="L1410">
        <f t="shared" ref="L1410:L1473" si="89">E1410*J1410</f>
        <v>270</v>
      </c>
      <c r="M1410" s="9">
        <f t="shared" ref="M1410:M1473" si="90">K1410-L1410</f>
        <v>297.14999999999998</v>
      </c>
      <c r="N1410" t="str">
        <f t="shared" ref="N1410:N1473" si="91">TEXT(B1410,"mmm")</f>
        <v>May</v>
      </c>
    </row>
    <row r="1411" spans="1:14" x14ac:dyDescent="0.3">
      <c r="A1411" s="2" t="s">
        <v>1477</v>
      </c>
      <c r="B1411" s="6">
        <v>45779</v>
      </c>
      <c r="C1411" s="2" t="s">
        <v>31</v>
      </c>
      <c r="D1411" s="2" t="s">
        <v>29</v>
      </c>
      <c r="E1411" s="2">
        <v>1</v>
      </c>
      <c r="F1411" s="7">
        <v>229</v>
      </c>
      <c r="G1411" s="8">
        <v>0.05</v>
      </c>
      <c r="H1411" s="9" t="str">
        <f>INDEX(Products!$B$2:$B$37, MATCH(D1411, Products!$A$2:$A$37, 0))</f>
        <v>Women's Summer Dress</v>
      </c>
      <c r="I1411" t="str">
        <f>INDEX(Products!$C$2:$C$37, MATCH(D1411, Products!$A$2:$A$37, 0))</f>
        <v>Fashion</v>
      </c>
      <c r="J1411">
        <f>INDEX(Products!$E$2:$E$37, MATCH(D1411, Products!$A$2:$A$37, 0))</f>
        <v>120</v>
      </c>
      <c r="K1411" s="9">
        <f t="shared" si="88"/>
        <v>217.54999999999998</v>
      </c>
      <c r="L1411">
        <f t="shared" si="89"/>
        <v>120</v>
      </c>
      <c r="M1411" s="9">
        <f t="shared" si="90"/>
        <v>97.549999999999983</v>
      </c>
      <c r="N1411" t="str">
        <f t="shared" si="91"/>
        <v>May</v>
      </c>
    </row>
    <row r="1412" spans="1:14" x14ac:dyDescent="0.3">
      <c r="A1412" s="2" t="s">
        <v>1478</v>
      </c>
      <c r="B1412" s="6">
        <v>45779</v>
      </c>
      <c r="C1412" s="2" t="s">
        <v>48</v>
      </c>
      <c r="D1412" s="2" t="s">
        <v>68</v>
      </c>
      <c r="E1412" s="2">
        <v>1</v>
      </c>
      <c r="F1412" s="7">
        <v>249</v>
      </c>
      <c r="G1412" s="8">
        <v>0.2</v>
      </c>
      <c r="H1412" s="9" t="str">
        <f>INDEX(Products!$B$2:$B$37, MATCH(D1412, Products!$A$2:$A$37, 0))</f>
        <v>Bluetooth Speaker Mini</v>
      </c>
      <c r="I1412" t="str">
        <f>INDEX(Products!$C$2:$C$37, MATCH(D1412, Products!$A$2:$A$37, 0))</f>
        <v>Electronics</v>
      </c>
      <c r="J1412">
        <f>INDEX(Products!$E$2:$E$37, MATCH(D1412, Products!$A$2:$A$37, 0))</f>
        <v>150</v>
      </c>
      <c r="K1412" s="9">
        <f t="shared" si="88"/>
        <v>199.20000000000002</v>
      </c>
      <c r="L1412">
        <f t="shared" si="89"/>
        <v>150</v>
      </c>
      <c r="M1412" s="9">
        <f t="shared" si="90"/>
        <v>49.200000000000017</v>
      </c>
      <c r="N1412" t="str">
        <f t="shared" si="91"/>
        <v>May</v>
      </c>
    </row>
    <row r="1413" spans="1:14" x14ac:dyDescent="0.3">
      <c r="A1413" s="2" t="s">
        <v>1479</v>
      </c>
      <c r="B1413" s="6">
        <v>45779</v>
      </c>
      <c r="C1413" s="2" t="s">
        <v>41</v>
      </c>
      <c r="D1413" s="2" t="s">
        <v>83</v>
      </c>
      <c r="E1413" s="2">
        <v>1</v>
      </c>
      <c r="F1413" s="7">
        <v>229</v>
      </c>
      <c r="G1413" s="8">
        <v>0</v>
      </c>
      <c r="H1413" s="9" t="str">
        <f>INDEX(Products!$B$2:$B$37, MATCH(D1413, Products!$A$2:$A$37, 0))</f>
        <v>Cycling Helmet</v>
      </c>
      <c r="I1413" t="str">
        <f>INDEX(Products!$C$2:$C$37, MATCH(D1413, Products!$A$2:$A$37, 0))</f>
        <v>Sports</v>
      </c>
      <c r="J1413">
        <f>INDEX(Products!$E$2:$E$37, MATCH(D1413, Products!$A$2:$A$37, 0))</f>
        <v>120</v>
      </c>
      <c r="K1413" s="9">
        <f t="shared" si="88"/>
        <v>229</v>
      </c>
      <c r="L1413">
        <f t="shared" si="89"/>
        <v>120</v>
      </c>
      <c r="M1413" s="9">
        <f t="shared" si="90"/>
        <v>109</v>
      </c>
      <c r="N1413" t="str">
        <f t="shared" si="91"/>
        <v>May</v>
      </c>
    </row>
    <row r="1414" spans="1:14" x14ac:dyDescent="0.3">
      <c r="A1414" s="2" t="s">
        <v>1480</v>
      </c>
      <c r="B1414" s="6">
        <v>45779</v>
      </c>
      <c r="C1414" s="2" t="s">
        <v>41</v>
      </c>
      <c r="D1414" s="2" t="s">
        <v>131</v>
      </c>
      <c r="E1414" s="2">
        <v>1</v>
      </c>
      <c r="F1414" s="7">
        <v>899</v>
      </c>
      <c r="G1414" s="8">
        <v>0</v>
      </c>
      <c r="H1414" s="9" t="str">
        <f>INDEX(Products!$B$2:$B$37, MATCH(D1414, Products!$A$2:$A$37, 0))</f>
        <v>4K Action Camera</v>
      </c>
      <c r="I1414" t="str">
        <f>INDEX(Products!$C$2:$C$37, MATCH(D1414, Products!$A$2:$A$37, 0))</f>
        <v>Electronics</v>
      </c>
      <c r="J1414">
        <f>INDEX(Products!$E$2:$E$37, MATCH(D1414, Products!$A$2:$A$37, 0))</f>
        <v>610</v>
      </c>
      <c r="K1414" s="9">
        <f t="shared" si="88"/>
        <v>899</v>
      </c>
      <c r="L1414">
        <f t="shared" si="89"/>
        <v>610</v>
      </c>
      <c r="M1414" s="9">
        <f t="shared" si="90"/>
        <v>289</v>
      </c>
      <c r="N1414" t="str">
        <f t="shared" si="91"/>
        <v>May</v>
      </c>
    </row>
    <row r="1415" spans="1:14" x14ac:dyDescent="0.3">
      <c r="A1415" s="2" t="s">
        <v>1481</v>
      </c>
      <c r="B1415" s="6">
        <v>45779</v>
      </c>
      <c r="C1415" s="2" t="s">
        <v>48</v>
      </c>
      <c r="D1415" s="2" t="s">
        <v>131</v>
      </c>
      <c r="E1415" s="2">
        <v>1</v>
      </c>
      <c r="F1415" s="7">
        <v>899</v>
      </c>
      <c r="G1415" s="8">
        <v>0</v>
      </c>
      <c r="H1415" s="9" t="str">
        <f>INDEX(Products!$B$2:$B$37, MATCH(D1415, Products!$A$2:$A$37, 0))</f>
        <v>4K Action Camera</v>
      </c>
      <c r="I1415" t="str">
        <f>INDEX(Products!$C$2:$C$37, MATCH(D1415, Products!$A$2:$A$37, 0))</f>
        <v>Electronics</v>
      </c>
      <c r="J1415">
        <f>INDEX(Products!$E$2:$E$37, MATCH(D1415, Products!$A$2:$A$37, 0))</f>
        <v>610</v>
      </c>
      <c r="K1415" s="9">
        <f t="shared" si="88"/>
        <v>899</v>
      </c>
      <c r="L1415">
        <f t="shared" si="89"/>
        <v>610</v>
      </c>
      <c r="M1415" s="9">
        <f t="shared" si="90"/>
        <v>289</v>
      </c>
      <c r="N1415" t="str">
        <f t="shared" si="91"/>
        <v>May</v>
      </c>
    </row>
    <row r="1416" spans="1:14" x14ac:dyDescent="0.3">
      <c r="A1416" s="2" t="s">
        <v>1482</v>
      </c>
      <c r="B1416" s="6">
        <v>45779</v>
      </c>
      <c r="C1416" s="2" t="s">
        <v>48</v>
      </c>
      <c r="D1416" s="2" t="s">
        <v>194</v>
      </c>
      <c r="E1416" s="2">
        <v>1</v>
      </c>
      <c r="F1416" s="7">
        <v>699</v>
      </c>
      <c r="G1416" s="8">
        <v>0</v>
      </c>
      <c r="H1416" s="9" t="str">
        <f>INDEX(Products!$B$2:$B$37, MATCH(D1416, Products!$A$2:$A$37, 0))</f>
        <v>Leather Handbag</v>
      </c>
      <c r="I1416" t="str">
        <f>INDEX(Products!$C$2:$C$37, MATCH(D1416, Products!$A$2:$A$37, 0))</f>
        <v>Fashion</v>
      </c>
      <c r="J1416">
        <f>INDEX(Products!$E$2:$E$37, MATCH(D1416, Products!$A$2:$A$37, 0))</f>
        <v>380</v>
      </c>
      <c r="K1416" s="9">
        <f t="shared" si="88"/>
        <v>699</v>
      </c>
      <c r="L1416">
        <f t="shared" si="89"/>
        <v>380</v>
      </c>
      <c r="M1416" s="9">
        <f t="shared" si="90"/>
        <v>319</v>
      </c>
      <c r="N1416" t="str">
        <f t="shared" si="91"/>
        <v>May</v>
      </c>
    </row>
    <row r="1417" spans="1:14" x14ac:dyDescent="0.3">
      <c r="A1417" s="2" t="s">
        <v>1483</v>
      </c>
      <c r="B1417" s="6">
        <v>45779</v>
      </c>
      <c r="C1417" s="2" t="s">
        <v>41</v>
      </c>
      <c r="D1417" s="2" t="s">
        <v>33</v>
      </c>
      <c r="E1417" s="2">
        <v>1</v>
      </c>
      <c r="F1417" s="7">
        <v>199</v>
      </c>
      <c r="G1417" s="8">
        <v>0.25</v>
      </c>
      <c r="H1417" s="9" t="str">
        <f>INDEX(Products!$B$2:$B$37, MATCH(D1417, Products!$A$2:$A$37, 0))</f>
        <v>Fitness Band Lite</v>
      </c>
      <c r="I1417" t="str">
        <f>INDEX(Products!$C$2:$C$37, MATCH(D1417, Products!$A$2:$A$37, 0))</f>
        <v>Electronics</v>
      </c>
      <c r="J1417">
        <f>INDEX(Products!$E$2:$E$37, MATCH(D1417, Products!$A$2:$A$37, 0))</f>
        <v>175</v>
      </c>
      <c r="K1417" s="9">
        <f t="shared" si="88"/>
        <v>149.25</v>
      </c>
      <c r="L1417">
        <f t="shared" si="89"/>
        <v>175</v>
      </c>
      <c r="M1417" s="9">
        <f t="shared" si="90"/>
        <v>-25.75</v>
      </c>
      <c r="N1417" t="str">
        <f t="shared" si="91"/>
        <v>May</v>
      </c>
    </row>
    <row r="1418" spans="1:14" x14ac:dyDescent="0.3">
      <c r="A1418" s="2" t="s">
        <v>1484</v>
      </c>
      <c r="B1418" s="6">
        <v>45779</v>
      </c>
      <c r="C1418" s="2" t="s">
        <v>28</v>
      </c>
      <c r="D1418" s="2" t="s">
        <v>70</v>
      </c>
      <c r="E1418" s="2">
        <v>1</v>
      </c>
      <c r="F1418" s="7">
        <v>429</v>
      </c>
      <c r="G1418" s="8">
        <v>0</v>
      </c>
      <c r="H1418" s="9" t="str">
        <f>INDEX(Products!$B$2:$B$37, MATCH(D1418, Products!$A$2:$A$37, 0))</f>
        <v>Running Shoes Elite</v>
      </c>
      <c r="I1418" t="str">
        <f>INDEX(Products!$C$2:$C$37, MATCH(D1418, Products!$A$2:$A$37, 0))</f>
        <v>Fashion</v>
      </c>
      <c r="J1418">
        <f>INDEX(Products!$E$2:$E$37, MATCH(D1418, Products!$A$2:$A$37, 0))</f>
        <v>300</v>
      </c>
      <c r="K1418" s="9">
        <f t="shared" si="88"/>
        <v>429</v>
      </c>
      <c r="L1418">
        <f t="shared" si="89"/>
        <v>300</v>
      </c>
      <c r="M1418" s="9">
        <f t="shared" si="90"/>
        <v>129</v>
      </c>
      <c r="N1418" t="str">
        <f t="shared" si="91"/>
        <v>May</v>
      </c>
    </row>
    <row r="1419" spans="1:14" x14ac:dyDescent="0.3">
      <c r="A1419" s="2" t="s">
        <v>1485</v>
      </c>
      <c r="B1419" s="6">
        <v>45779</v>
      </c>
      <c r="C1419" s="2" t="s">
        <v>41</v>
      </c>
      <c r="D1419" s="2" t="s">
        <v>29</v>
      </c>
      <c r="E1419" s="2">
        <v>1</v>
      </c>
      <c r="F1419" s="7">
        <v>229</v>
      </c>
      <c r="G1419" s="8">
        <v>0</v>
      </c>
      <c r="H1419" s="9" t="str">
        <f>INDEX(Products!$B$2:$B$37, MATCH(D1419, Products!$A$2:$A$37, 0))</f>
        <v>Women's Summer Dress</v>
      </c>
      <c r="I1419" t="str">
        <f>INDEX(Products!$C$2:$C$37, MATCH(D1419, Products!$A$2:$A$37, 0))</f>
        <v>Fashion</v>
      </c>
      <c r="J1419">
        <f>INDEX(Products!$E$2:$E$37, MATCH(D1419, Products!$A$2:$A$37, 0))</f>
        <v>120</v>
      </c>
      <c r="K1419" s="9">
        <f t="shared" si="88"/>
        <v>229</v>
      </c>
      <c r="L1419">
        <f t="shared" si="89"/>
        <v>120</v>
      </c>
      <c r="M1419" s="9">
        <f t="shared" si="90"/>
        <v>109</v>
      </c>
      <c r="N1419" t="str">
        <f t="shared" si="91"/>
        <v>May</v>
      </c>
    </row>
    <row r="1420" spans="1:14" x14ac:dyDescent="0.3">
      <c r="A1420" s="2" t="s">
        <v>1486</v>
      </c>
      <c r="B1420" s="6">
        <v>45779</v>
      </c>
      <c r="C1420" s="2" t="s">
        <v>41</v>
      </c>
      <c r="D1420" s="2" t="s">
        <v>87</v>
      </c>
      <c r="E1420" s="2">
        <v>1</v>
      </c>
      <c r="F1420" s="7">
        <v>799</v>
      </c>
      <c r="G1420" s="8">
        <v>0.2</v>
      </c>
      <c r="H1420" s="9" t="str">
        <f>INDEX(Products!$B$2:$B$37, MATCH(D1420, Products!$A$2:$A$37, 0))</f>
        <v>Adjustable Dumbbells</v>
      </c>
      <c r="I1420" t="str">
        <f>INDEX(Products!$C$2:$C$37, MATCH(D1420, Products!$A$2:$A$37, 0))</f>
        <v>Sports</v>
      </c>
      <c r="J1420">
        <f>INDEX(Products!$E$2:$E$37, MATCH(D1420, Products!$A$2:$A$37, 0))</f>
        <v>700</v>
      </c>
      <c r="K1420" s="9">
        <f t="shared" si="88"/>
        <v>639.20000000000005</v>
      </c>
      <c r="L1420">
        <f t="shared" si="89"/>
        <v>700</v>
      </c>
      <c r="M1420" s="9">
        <f t="shared" si="90"/>
        <v>-60.799999999999955</v>
      </c>
      <c r="N1420" t="str">
        <f t="shared" si="91"/>
        <v>May</v>
      </c>
    </row>
    <row r="1421" spans="1:14" x14ac:dyDescent="0.3">
      <c r="A1421" s="2" t="s">
        <v>1487</v>
      </c>
      <c r="B1421" s="6">
        <v>45779</v>
      </c>
      <c r="C1421" s="2" t="s">
        <v>41</v>
      </c>
      <c r="D1421" s="2" t="s">
        <v>52</v>
      </c>
      <c r="E1421" s="2">
        <v>3</v>
      </c>
      <c r="F1421" s="7">
        <v>299</v>
      </c>
      <c r="G1421" s="8">
        <v>0.15</v>
      </c>
      <c r="H1421" s="9" t="str">
        <f>INDEX(Products!$B$2:$B$37, MATCH(D1421, Products!$A$2:$A$37, 0))</f>
        <v>Hair Dryer Ionic</v>
      </c>
      <c r="I1421" t="str">
        <f>INDEX(Products!$C$2:$C$37, MATCH(D1421, Products!$A$2:$A$37, 0))</f>
        <v>Beauty</v>
      </c>
      <c r="J1421">
        <f>INDEX(Products!$E$2:$E$37, MATCH(D1421, Products!$A$2:$A$37, 0))</f>
        <v>240</v>
      </c>
      <c r="K1421" s="9">
        <f t="shared" si="88"/>
        <v>762.44999999999993</v>
      </c>
      <c r="L1421">
        <f t="shared" si="89"/>
        <v>720</v>
      </c>
      <c r="M1421" s="9">
        <f t="shared" si="90"/>
        <v>42.449999999999932</v>
      </c>
      <c r="N1421" t="str">
        <f t="shared" si="91"/>
        <v>May</v>
      </c>
    </row>
    <row r="1422" spans="1:14" x14ac:dyDescent="0.3">
      <c r="A1422" s="2" t="s">
        <v>1488</v>
      </c>
      <c r="B1422" s="6">
        <v>45779</v>
      </c>
      <c r="C1422" s="2" t="s">
        <v>48</v>
      </c>
      <c r="D1422" s="2" t="s">
        <v>33</v>
      </c>
      <c r="E1422" s="2">
        <v>2</v>
      </c>
      <c r="F1422" s="7">
        <v>199</v>
      </c>
      <c r="G1422" s="8">
        <v>0.2</v>
      </c>
      <c r="H1422" s="9" t="str">
        <f>INDEX(Products!$B$2:$B$37, MATCH(D1422, Products!$A$2:$A$37, 0))</f>
        <v>Fitness Band Lite</v>
      </c>
      <c r="I1422" t="str">
        <f>INDEX(Products!$C$2:$C$37, MATCH(D1422, Products!$A$2:$A$37, 0))</f>
        <v>Electronics</v>
      </c>
      <c r="J1422">
        <f>INDEX(Products!$E$2:$E$37, MATCH(D1422, Products!$A$2:$A$37, 0))</f>
        <v>175</v>
      </c>
      <c r="K1422" s="9">
        <f t="shared" si="88"/>
        <v>318.40000000000003</v>
      </c>
      <c r="L1422">
        <f t="shared" si="89"/>
        <v>350</v>
      </c>
      <c r="M1422" s="9">
        <f t="shared" si="90"/>
        <v>-31.599999999999966</v>
      </c>
      <c r="N1422" t="str">
        <f t="shared" si="91"/>
        <v>May</v>
      </c>
    </row>
    <row r="1423" spans="1:14" x14ac:dyDescent="0.3">
      <c r="A1423" s="2" t="s">
        <v>1489</v>
      </c>
      <c r="B1423" s="6">
        <v>45779</v>
      </c>
      <c r="C1423" s="2" t="s">
        <v>48</v>
      </c>
      <c r="D1423" s="2" t="s">
        <v>80</v>
      </c>
      <c r="E1423" s="2">
        <v>4</v>
      </c>
      <c r="F1423" s="7">
        <v>149</v>
      </c>
      <c r="G1423" s="8">
        <v>0.1</v>
      </c>
      <c r="H1423" s="9" t="str">
        <f>INDEX(Products!$B$2:$B$37, MATCH(D1423, Products!$A$2:$A$37, 0))</f>
        <v>Vitamin C Serum</v>
      </c>
      <c r="I1423" t="str">
        <f>INDEX(Products!$C$2:$C$37, MATCH(D1423, Products!$A$2:$A$37, 0))</f>
        <v>Beauty</v>
      </c>
      <c r="J1423">
        <f>INDEX(Products!$E$2:$E$37, MATCH(D1423, Products!$A$2:$A$37, 0))</f>
        <v>55</v>
      </c>
      <c r="K1423" s="9">
        <f t="shared" si="88"/>
        <v>536.4</v>
      </c>
      <c r="L1423">
        <f t="shared" si="89"/>
        <v>220</v>
      </c>
      <c r="M1423" s="9">
        <f t="shared" si="90"/>
        <v>316.39999999999998</v>
      </c>
      <c r="N1423" t="str">
        <f t="shared" si="91"/>
        <v>May</v>
      </c>
    </row>
    <row r="1424" spans="1:14" x14ac:dyDescent="0.3">
      <c r="A1424" s="2" t="s">
        <v>1490</v>
      </c>
      <c r="B1424" s="6">
        <v>45780</v>
      </c>
      <c r="C1424" s="2" t="s">
        <v>48</v>
      </c>
      <c r="D1424" s="2" t="s">
        <v>106</v>
      </c>
      <c r="E1424" s="2">
        <v>2</v>
      </c>
      <c r="F1424" s="7">
        <v>1299</v>
      </c>
      <c r="G1424" s="8">
        <v>0.05</v>
      </c>
      <c r="H1424" s="9" t="str">
        <f>INDEX(Products!$B$2:$B$37, MATCH(D1424, Products!$A$2:$A$37, 0))</f>
        <v>Smart Watch Series 5</v>
      </c>
      <c r="I1424" t="str">
        <f>INDEX(Products!$C$2:$C$37, MATCH(D1424, Products!$A$2:$A$37, 0))</f>
        <v>Electronics</v>
      </c>
      <c r="J1424">
        <f>INDEX(Products!$E$2:$E$37, MATCH(D1424, Products!$A$2:$A$37, 0))</f>
        <v>820</v>
      </c>
      <c r="K1424" s="9">
        <f t="shared" si="88"/>
        <v>2468.1</v>
      </c>
      <c r="L1424">
        <f t="shared" si="89"/>
        <v>1640</v>
      </c>
      <c r="M1424" s="9">
        <f t="shared" si="90"/>
        <v>828.09999999999991</v>
      </c>
      <c r="N1424" t="str">
        <f t="shared" si="91"/>
        <v>May</v>
      </c>
    </row>
    <row r="1425" spans="1:14" x14ac:dyDescent="0.3">
      <c r="A1425" s="2" t="s">
        <v>1491</v>
      </c>
      <c r="B1425" s="6">
        <v>45780</v>
      </c>
      <c r="C1425" s="2" t="s">
        <v>28</v>
      </c>
      <c r="D1425" s="2" t="s">
        <v>58</v>
      </c>
      <c r="E1425" s="2">
        <v>2</v>
      </c>
      <c r="F1425" s="7">
        <v>459</v>
      </c>
      <c r="G1425" s="8">
        <v>0</v>
      </c>
      <c r="H1425" s="9" t="str">
        <f>INDEX(Products!$B$2:$B$37, MATCH(D1425, Products!$A$2:$A$37, 0))</f>
        <v>Women's Abaya Classic</v>
      </c>
      <c r="I1425" t="str">
        <f>INDEX(Products!$C$2:$C$37, MATCH(D1425, Products!$A$2:$A$37, 0))</f>
        <v>Fashion</v>
      </c>
      <c r="J1425">
        <f>INDEX(Products!$E$2:$E$37, MATCH(D1425, Products!$A$2:$A$37, 0))</f>
        <v>190</v>
      </c>
      <c r="K1425" s="9">
        <f t="shared" si="88"/>
        <v>918</v>
      </c>
      <c r="L1425">
        <f t="shared" si="89"/>
        <v>380</v>
      </c>
      <c r="M1425" s="9">
        <f t="shared" si="90"/>
        <v>538</v>
      </c>
      <c r="N1425" t="str">
        <f t="shared" si="91"/>
        <v>May</v>
      </c>
    </row>
    <row r="1426" spans="1:14" x14ac:dyDescent="0.3">
      <c r="A1426" s="2" t="s">
        <v>1492</v>
      </c>
      <c r="B1426" s="6">
        <v>45780</v>
      </c>
      <c r="C1426" s="2" t="s">
        <v>31</v>
      </c>
      <c r="D1426" s="2" t="s">
        <v>70</v>
      </c>
      <c r="E1426" s="2">
        <v>1</v>
      </c>
      <c r="F1426" s="7">
        <v>429</v>
      </c>
      <c r="G1426" s="8">
        <v>0</v>
      </c>
      <c r="H1426" s="9" t="str">
        <f>INDEX(Products!$B$2:$B$37, MATCH(D1426, Products!$A$2:$A$37, 0))</f>
        <v>Running Shoes Elite</v>
      </c>
      <c r="I1426" t="str">
        <f>INDEX(Products!$C$2:$C$37, MATCH(D1426, Products!$A$2:$A$37, 0))</f>
        <v>Fashion</v>
      </c>
      <c r="J1426">
        <f>INDEX(Products!$E$2:$E$37, MATCH(D1426, Products!$A$2:$A$37, 0))</f>
        <v>300</v>
      </c>
      <c r="K1426" s="9">
        <f t="shared" si="88"/>
        <v>429</v>
      </c>
      <c r="L1426">
        <f t="shared" si="89"/>
        <v>300</v>
      </c>
      <c r="M1426" s="9">
        <f t="shared" si="90"/>
        <v>129</v>
      </c>
      <c r="N1426" t="str">
        <f t="shared" si="91"/>
        <v>May</v>
      </c>
    </row>
    <row r="1427" spans="1:14" x14ac:dyDescent="0.3">
      <c r="A1427" s="2" t="s">
        <v>1493</v>
      </c>
      <c r="B1427" s="6">
        <v>45780</v>
      </c>
      <c r="C1427" s="2" t="s">
        <v>28</v>
      </c>
      <c r="D1427" s="2" t="s">
        <v>194</v>
      </c>
      <c r="E1427" s="2">
        <v>1</v>
      </c>
      <c r="F1427" s="7">
        <v>699</v>
      </c>
      <c r="G1427" s="8">
        <v>0.1</v>
      </c>
      <c r="H1427" s="9" t="str">
        <f>INDEX(Products!$B$2:$B$37, MATCH(D1427, Products!$A$2:$A$37, 0))</f>
        <v>Leather Handbag</v>
      </c>
      <c r="I1427" t="str">
        <f>INDEX(Products!$C$2:$C$37, MATCH(D1427, Products!$A$2:$A$37, 0))</f>
        <v>Fashion</v>
      </c>
      <c r="J1427">
        <f>INDEX(Products!$E$2:$E$37, MATCH(D1427, Products!$A$2:$A$37, 0))</f>
        <v>380</v>
      </c>
      <c r="K1427" s="9">
        <f t="shared" si="88"/>
        <v>629.1</v>
      </c>
      <c r="L1427">
        <f t="shared" si="89"/>
        <v>380</v>
      </c>
      <c r="M1427" s="9">
        <f t="shared" si="90"/>
        <v>249.10000000000002</v>
      </c>
      <c r="N1427" t="str">
        <f t="shared" si="91"/>
        <v>May</v>
      </c>
    </row>
    <row r="1428" spans="1:14" x14ac:dyDescent="0.3">
      <c r="A1428" s="2" t="s">
        <v>1494</v>
      </c>
      <c r="B1428" s="6">
        <v>45780</v>
      </c>
      <c r="C1428" s="2" t="s">
        <v>44</v>
      </c>
      <c r="D1428" s="2" t="s">
        <v>42</v>
      </c>
      <c r="E1428" s="2">
        <v>1</v>
      </c>
      <c r="F1428" s="7">
        <v>399</v>
      </c>
      <c r="G1428" s="8">
        <v>0.05</v>
      </c>
      <c r="H1428" s="9" t="str">
        <f>INDEX(Products!$B$2:$B$37, MATCH(D1428, Products!$A$2:$A$37, 0))</f>
        <v>Wireless Earbuds Pro</v>
      </c>
      <c r="I1428" t="str">
        <f>INDEX(Products!$C$2:$C$37, MATCH(D1428, Products!$A$2:$A$37, 0))</f>
        <v>Electronics</v>
      </c>
      <c r="J1428">
        <f>INDEX(Products!$E$2:$E$37, MATCH(D1428, Products!$A$2:$A$37, 0))</f>
        <v>230</v>
      </c>
      <c r="K1428" s="9">
        <f t="shared" si="88"/>
        <v>379.04999999999995</v>
      </c>
      <c r="L1428">
        <f t="shared" si="89"/>
        <v>230</v>
      </c>
      <c r="M1428" s="9">
        <f t="shared" si="90"/>
        <v>149.04999999999995</v>
      </c>
      <c r="N1428" t="str">
        <f t="shared" si="91"/>
        <v>May</v>
      </c>
    </row>
    <row r="1429" spans="1:14" x14ac:dyDescent="0.3">
      <c r="A1429" s="2" t="s">
        <v>1495</v>
      </c>
      <c r="B1429" s="6">
        <v>45780</v>
      </c>
      <c r="C1429" s="2" t="s">
        <v>44</v>
      </c>
      <c r="D1429" s="2" t="s">
        <v>37</v>
      </c>
      <c r="E1429" s="2">
        <v>2</v>
      </c>
      <c r="F1429" s="7">
        <v>249</v>
      </c>
      <c r="G1429" s="8">
        <v>0.05</v>
      </c>
      <c r="H1429" s="9" t="str">
        <f>INDEX(Products!$B$2:$B$37, MATCH(D1429, Products!$A$2:$A$37, 0))</f>
        <v>Sunglasses Polarised</v>
      </c>
      <c r="I1429" t="str">
        <f>INDEX(Products!$C$2:$C$37, MATCH(D1429, Products!$A$2:$A$37, 0))</f>
        <v>Fashion</v>
      </c>
      <c r="J1429">
        <f>INDEX(Products!$E$2:$E$37, MATCH(D1429, Products!$A$2:$A$37, 0))</f>
        <v>95</v>
      </c>
      <c r="K1429" s="9">
        <f t="shared" si="88"/>
        <v>473.09999999999997</v>
      </c>
      <c r="L1429">
        <f t="shared" si="89"/>
        <v>190</v>
      </c>
      <c r="M1429" s="9">
        <f t="shared" si="90"/>
        <v>283.09999999999997</v>
      </c>
      <c r="N1429" t="str">
        <f t="shared" si="91"/>
        <v>May</v>
      </c>
    </row>
    <row r="1430" spans="1:14" x14ac:dyDescent="0.3">
      <c r="A1430" s="2" t="s">
        <v>1496</v>
      </c>
      <c r="B1430" s="6">
        <v>45780</v>
      </c>
      <c r="C1430" s="2" t="s">
        <v>31</v>
      </c>
      <c r="D1430" s="2" t="s">
        <v>49</v>
      </c>
      <c r="E1430" s="2">
        <v>3</v>
      </c>
      <c r="F1430" s="7">
        <v>149</v>
      </c>
      <c r="G1430" s="8">
        <v>0.05</v>
      </c>
      <c r="H1430" s="9" t="str">
        <f>INDEX(Products!$B$2:$B$37, MATCH(D1430, Products!$A$2:$A$37, 0))</f>
        <v>Kids' Sneakers</v>
      </c>
      <c r="I1430" t="str">
        <f>INDEX(Products!$C$2:$C$37, MATCH(D1430, Products!$A$2:$A$37, 0))</f>
        <v>Fashion</v>
      </c>
      <c r="J1430">
        <f>INDEX(Products!$E$2:$E$37, MATCH(D1430, Products!$A$2:$A$37, 0))</f>
        <v>80</v>
      </c>
      <c r="K1430" s="9">
        <f t="shared" si="88"/>
        <v>424.65</v>
      </c>
      <c r="L1430">
        <f t="shared" si="89"/>
        <v>240</v>
      </c>
      <c r="M1430" s="9">
        <f t="shared" si="90"/>
        <v>184.64999999999998</v>
      </c>
      <c r="N1430" t="str">
        <f t="shared" si="91"/>
        <v>May</v>
      </c>
    </row>
    <row r="1431" spans="1:14" x14ac:dyDescent="0.3">
      <c r="A1431" s="2" t="s">
        <v>1497</v>
      </c>
      <c r="B1431" s="6">
        <v>45780</v>
      </c>
      <c r="C1431" s="2" t="s">
        <v>44</v>
      </c>
      <c r="D1431" s="2" t="s">
        <v>115</v>
      </c>
      <c r="E1431" s="2">
        <v>1</v>
      </c>
      <c r="F1431" s="7">
        <v>129</v>
      </c>
      <c r="G1431" s="8">
        <v>0.1</v>
      </c>
      <c r="H1431" s="9" t="str">
        <f>INDEX(Products!$B$2:$B$37, MATCH(D1431, Products!$A$2:$A$37, 0))</f>
        <v>Electric Kettle</v>
      </c>
      <c r="I1431" t="str">
        <f>INDEX(Products!$C$2:$C$37, MATCH(D1431, Products!$A$2:$A$37, 0))</f>
        <v>Home &amp; Kitchen</v>
      </c>
      <c r="J1431">
        <f>INDEX(Products!$E$2:$E$37, MATCH(D1431, Products!$A$2:$A$37, 0))</f>
        <v>60</v>
      </c>
      <c r="K1431" s="9">
        <f t="shared" si="88"/>
        <v>116.10000000000001</v>
      </c>
      <c r="L1431">
        <f t="shared" si="89"/>
        <v>60</v>
      </c>
      <c r="M1431" s="9">
        <f t="shared" si="90"/>
        <v>56.100000000000009</v>
      </c>
      <c r="N1431" t="str">
        <f t="shared" si="91"/>
        <v>May</v>
      </c>
    </row>
    <row r="1432" spans="1:14" x14ac:dyDescent="0.3">
      <c r="A1432" s="2" t="s">
        <v>1498</v>
      </c>
      <c r="B1432" s="6">
        <v>45780</v>
      </c>
      <c r="C1432" s="2" t="s">
        <v>28</v>
      </c>
      <c r="D1432" s="2" t="s">
        <v>126</v>
      </c>
      <c r="E1432" s="2">
        <v>4</v>
      </c>
      <c r="F1432" s="7">
        <v>89</v>
      </c>
      <c r="G1432" s="8">
        <v>0</v>
      </c>
      <c r="H1432" s="9" t="str">
        <f>INDEX(Products!$B$2:$B$37, MATCH(D1432, Products!$A$2:$A$37, 0))</f>
        <v>USB-C Fast Charger</v>
      </c>
      <c r="I1432" t="str">
        <f>INDEX(Products!$C$2:$C$37, MATCH(D1432, Products!$A$2:$A$37, 0))</f>
        <v>Electronics</v>
      </c>
      <c r="J1432">
        <f>INDEX(Products!$E$2:$E$37, MATCH(D1432, Products!$A$2:$A$37, 0))</f>
        <v>35</v>
      </c>
      <c r="K1432" s="9">
        <f t="shared" si="88"/>
        <v>356</v>
      </c>
      <c r="L1432">
        <f t="shared" si="89"/>
        <v>140</v>
      </c>
      <c r="M1432" s="9">
        <f t="shared" si="90"/>
        <v>216</v>
      </c>
      <c r="N1432" t="str">
        <f t="shared" si="91"/>
        <v>May</v>
      </c>
    </row>
    <row r="1433" spans="1:14" x14ac:dyDescent="0.3">
      <c r="A1433" s="2" t="s">
        <v>1499</v>
      </c>
      <c r="B1433" s="6">
        <v>45780</v>
      </c>
      <c r="C1433" s="2" t="s">
        <v>44</v>
      </c>
      <c r="D1433" s="2" t="s">
        <v>68</v>
      </c>
      <c r="E1433" s="2">
        <v>1</v>
      </c>
      <c r="F1433" s="7">
        <v>249</v>
      </c>
      <c r="G1433" s="8">
        <v>0</v>
      </c>
      <c r="H1433" s="9" t="str">
        <f>INDEX(Products!$B$2:$B$37, MATCH(D1433, Products!$A$2:$A$37, 0))</f>
        <v>Bluetooth Speaker Mini</v>
      </c>
      <c r="I1433" t="str">
        <f>INDEX(Products!$C$2:$C$37, MATCH(D1433, Products!$A$2:$A$37, 0))</f>
        <v>Electronics</v>
      </c>
      <c r="J1433">
        <f>INDEX(Products!$E$2:$E$37, MATCH(D1433, Products!$A$2:$A$37, 0))</f>
        <v>150</v>
      </c>
      <c r="K1433" s="9">
        <f t="shared" si="88"/>
        <v>249</v>
      </c>
      <c r="L1433">
        <f t="shared" si="89"/>
        <v>150</v>
      </c>
      <c r="M1433" s="9">
        <f t="shared" si="90"/>
        <v>99</v>
      </c>
      <c r="N1433" t="str">
        <f t="shared" si="91"/>
        <v>May</v>
      </c>
    </row>
    <row r="1434" spans="1:14" x14ac:dyDescent="0.3">
      <c r="A1434" s="2" t="s">
        <v>1500</v>
      </c>
      <c r="B1434" s="6">
        <v>45780</v>
      </c>
      <c r="C1434" s="2" t="s">
        <v>28</v>
      </c>
      <c r="D1434" s="2" t="s">
        <v>39</v>
      </c>
      <c r="E1434" s="2">
        <v>2</v>
      </c>
      <c r="F1434" s="7">
        <v>199</v>
      </c>
      <c r="G1434" s="8">
        <v>0.15</v>
      </c>
      <c r="H1434" s="9" t="str">
        <f>INDEX(Products!$B$2:$B$37, MATCH(D1434, Products!$A$2:$A$37, 0))</f>
        <v>Bakhoor Gift Set</v>
      </c>
      <c r="I1434" t="str">
        <f>INDEX(Products!$C$2:$C$37, MATCH(D1434, Products!$A$2:$A$37, 0))</f>
        <v>Beauty</v>
      </c>
      <c r="J1434">
        <f>INDEX(Products!$E$2:$E$37, MATCH(D1434, Products!$A$2:$A$37, 0))</f>
        <v>90</v>
      </c>
      <c r="K1434" s="9">
        <f t="shared" si="88"/>
        <v>338.3</v>
      </c>
      <c r="L1434">
        <f t="shared" si="89"/>
        <v>180</v>
      </c>
      <c r="M1434" s="9">
        <f t="shared" si="90"/>
        <v>158.30000000000001</v>
      </c>
      <c r="N1434" t="str">
        <f t="shared" si="91"/>
        <v>May</v>
      </c>
    </row>
    <row r="1435" spans="1:14" x14ac:dyDescent="0.3">
      <c r="A1435" s="2" t="s">
        <v>1501</v>
      </c>
      <c r="B1435" s="6">
        <v>45781</v>
      </c>
      <c r="C1435" s="2" t="s">
        <v>41</v>
      </c>
      <c r="D1435" s="2" t="s">
        <v>37</v>
      </c>
      <c r="E1435" s="2">
        <v>1</v>
      </c>
      <c r="F1435" s="7">
        <v>249</v>
      </c>
      <c r="G1435" s="8">
        <v>0.05</v>
      </c>
      <c r="H1435" s="9" t="str">
        <f>INDEX(Products!$B$2:$B$37, MATCH(D1435, Products!$A$2:$A$37, 0))</f>
        <v>Sunglasses Polarised</v>
      </c>
      <c r="I1435" t="str">
        <f>INDEX(Products!$C$2:$C$37, MATCH(D1435, Products!$A$2:$A$37, 0))</f>
        <v>Fashion</v>
      </c>
      <c r="J1435">
        <f>INDEX(Products!$E$2:$E$37, MATCH(D1435, Products!$A$2:$A$37, 0))</f>
        <v>95</v>
      </c>
      <c r="K1435" s="9">
        <f t="shared" si="88"/>
        <v>236.54999999999998</v>
      </c>
      <c r="L1435">
        <f t="shared" si="89"/>
        <v>95</v>
      </c>
      <c r="M1435" s="9">
        <f t="shared" si="90"/>
        <v>141.54999999999998</v>
      </c>
      <c r="N1435" t="str">
        <f t="shared" si="91"/>
        <v>May</v>
      </c>
    </row>
    <row r="1436" spans="1:14" x14ac:dyDescent="0.3">
      <c r="A1436" s="2" t="s">
        <v>1502</v>
      </c>
      <c r="B1436" s="6">
        <v>45781</v>
      </c>
      <c r="C1436" s="2" t="s">
        <v>28</v>
      </c>
      <c r="D1436" s="2" t="s">
        <v>80</v>
      </c>
      <c r="E1436" s="2">
        <v>1</v>
      </c>
      <c r="F1436" s="7">
        <v>149</v>
      </c>
      <c r="G1436" s="8">
        <v>0.05</v>
      </c>
      <c r="H1436" s="9" t="str">
        <f>INDEX(Products!$B$2:$B$37, MATCH(D1436, Products!$A$2:$A$37, 0))</f>
        <v>Vitamin C Serum</v>
      </c>
      <c r="I1436" t="str">
        <f>INDEX(Products!$C$2:$C$37, MATCH(D1436, Products!$A$2:$A$37, 0))</f>
        <v>Beauty</v>
      </c>
      <c r="J1436">
        <f>INDEX(Products!$E$2:$E$37, MATCH(D1436, Products!$A$2:$A$37, 0))</f>
        <v>55</v>
      </c>
      <c r="K1436" s="9">
        <f t="shared" si="88"/>
        <v>141.54999999999998</v>
      </c>
      <c r="L1436">
        <f t="shared" si="89"/>
        <v>55</v>
      </c>
      <c r="M1436" s="9">
        <f t="shared" si="90"/>
        <v>86.549999999999983</v>
      </c>
      <c r="N1436" t="str">
        <f t="shared" si="91"/>
        <v>May</v>
      </c>
    </row>
    <row r="1437" spans="1:14" x14ac:dyDescent="0.3">
      <c r="A1437" s="2" t="s">
        <v>1503</v>
      </c>
      <c r="B1437" s="6">
        <v>45781</v>
      </c>
      <c r="C1437" s="2" t="s">
        <v>48</v>
      </c>
      <c r="D1437" s="2" t="s">
        <v>106</v>
      </c>
      <c r="E1437" s="2">
        <v>1</v>
      </c>
      <c r="F1437" s="7">
        <v>1299</v>
      </c>
      <c r="G1437" s="8">
        <v>0.2</v>
      </c>
      <c r="H1437" s="9" t="str">
        <f>INDEX(Products!$B$2:$B$37, MATCH(D1437, Products!$A$2:$A$37, 0))</f>
        <v>Smart Watch Series 5</v>
      </c>
      <c r="I1437" t="str">
        <f>INDEX(Products!$C$2:$C$37, MATCH(D1437, Products!$A$2:$A$37, 0))</f>
        <v>Electronics</v>
      </c>
      <c r="J1437">
        <f>INDEX(Products!$E$2:$E$37, MATCH(D1437, Products!$A$2:$A$37, 0))</f>
        <v>820</v>
      </c>
      <c r="K1437" s="9">
        <f t="shared" si="88"/>
        <v>1039.2</v>
      </c>
      <c r="L1437">
        <f t="shared" si="89"/>
        <v>820</v>
      </c>
      <c r="M1437" s="9">
        <f t="shared" si="90"/>
        <v>219.20000000000005</v>
      </c>
      <c r="N1437" t="str">
        <f t="shared" si="91"/>
        <v>May</v>
      </c>
    </row>
    <row r="1438" spans="1:14" x14ac:dyDescent="0.3">
      <c r="A1438" s="2" t="s">
        <v>1504</v>
      </c>
      <c r="B1438" s="6">
        <v>45781</v>
      </c>
      <c r="C1438" s="2" t="s">
        <v>48</v>
      </c>
      <c r="D1438" s="2" t="s">
        <v>78</v>
      </c>
      <c r="E1438" s="2">
        <v>1</v>
      </c>
      <c r="F1438" s="7">
        <v>499</v>
      </c>
      <c r="G1438" s="8">
        <v>0</v>
      </c>
      <c r="H1438" s="9" t="str">
        <f>INDEX(Products!$B$2:$B$37, MATCH(D1438, Products!$A$2:$A$37, 0))</f>
        <v>Air Fryer 5L</v>
      </c>
      <c r="I1438" t="str">
        <f>INDEX(Products!$C$2:$C$37, MATCH(D1438, Products!$A$2:$A$37, 0))</f>
        <v>Home &amp; Kitchen</v>
      </c>
      <c r="J1438">
        <f>INDEX(Products!$E$2:$E$37, MATCH(D1438, Products!$A$2:$A$37, 0))</f>
        <v>290</v>
      </c>
      <c r="K1438" s="9">
        <f t="shared" si="88"/>
        <v>499</v>
      </c>
      <c r="L1438">
        <f t="shared" si="89"/>
        <v>290</v>
      </c>
      <c r="M1438" s="9">
        <f t="shared" si="90"/>
        <v>209</v>
      </c>
      <c r="N1438" t="str">
        <f t="shared" si="91"/>
        <v>May</v>
      </c>
    </row>
    <row r="1439" spans="1:14" x14ac:dyDescent="0.3">
      <c r="A1439" s="2" t="s">
        <v>1505</v>
      </c>
      <c r="B1439" s="6">
        <v>45781</v>
      </c>
      <c r="C1439" s="2" t="s">
        <v>41</v>
      </c>
      <c r="D1439" s="2" t="s">
        <v>115</v>
      </c>
      <c r="E1439" s="2">
        <v>1</v>
      </c>
      <c r="F1439" s="7">
        <v>129</v>
      </c>
      <c r="G1439" s="8">
        <v>0.1</v>
      </c>
      <c r="H1439" s="9" t="str">
        <f>INDEX(Products!$B$2:$B$37, MATCH(D1439, Products!$A$2:$A$37, 0))</f>
        <v>Electric Kettle</v>
      </c>
      <c r="I1439" t="str">
        <f>INDEX(Products!$C$2:$C$37, MATCH(D1439, Products!$A$2:$A$37, 0))</f>
        <v>Home &amp; Kitchen</v>
      </c>
      <c r="J1439">
        <f>INDEX(Products!$E$2:$E$37, MATCH(D1439, Products!$A$2:$A$37, 0))</f>
        <v>60</v>
      </c>
      <c r="K1439" s="9">
        <f t="shared" si="88"/>
        <v>116.10000000000001</v>
      </c>
      <c r="L1439">
        <f t="shared" si="89"/>
        <v>60</v>
      </c>
      <c r="M1439" s="9">
        <f t="shared" si="90"/>
        <v>56.100000000000009</v>
      </c>
      <c r="N1439" t="str">
        <f t="shared" si="91"/>
        <v>May</v>
      </c>
    </row>
    <row r="1440" spans="1:14" x14ac:dyDescent="0.3">
      <c r="A1440" s="2" t="s">
        <v>1506</v>
      </c>
      <c r="B1440" s="6">
        <v>45781</v>
      </c>
      <c r="C1440" s="2" t="s">
        <v>28</v>
      </c>
      <c r="D1440" s="2" t="s">
        <v>49</v>
      </c>
      <c r="E1440" s="2">
        <v>2</v>
      </c>
      <c r="F1440" s="7">
        <v>149</v>
      </c>
      <c r="G1440" s="8">
        <v>0</v>
      </c>
      <c r="H1440" s="9" t="str">
        <f>INDEX(Products!$B$2:$B$37, MATCH(D1440, Products!$A$2:$A$37, 0))</f>
        <v>Kids' Sneakers</v>
      </c>
      <c r="I1440" t="str">
        <f>INDEX(Products!$C$2:$C$37, MATCH(D1440, Products!$A$2:$A$37, 0))</f>
        <v>Fashion</v>
      </c>
      <c r="J1440">
        <f>INDEX(Products!$E$2:$E$37, MATCH(D1440, Products!$A$2:$A$37, 0))</f>
        <v>80</v>
      </c>
      <c r="K1440" s="9">
        <f t="shared" si="88"/>
        <v>298</v>
      </c>
      <c r="L1440">
        <f t="shared" si="89"/>
        <v>160</v>
      </c>
      <c r="M1440" s="9">
        <f t="shared" si="90"/>
        <v>138</v>
      </c>
      <c r="N1440" t="str">
        <f t="shared" si="91"/>
        <v>May</v>
      </c>
    </row>
    <row r="1441" spans="1:14" x14ac:dyDescent="0.3">
      <c r="A1441" s="2" t="s">
        <v>1507</v>
      </c>
      <c r="B1441" s="6">
        <v>45781</v>
      </c>
      <c r="C1441" s="2" t="s">
        <v>44</v>
      </c>
      <c r="D1441" s="2" t="s">
        <v>39</v>
      </c>
      <c r="E1441" s="2">
        <v>1</v>
      </c>
      <c r="F1441" s="7">
        <v>199</v>
      </c>
      <c r="G1441" s="8">
        <v>0.05</v>
      </c>
      <c r="H1441" s="9" t="str">
        <f>INDEX(Products!$B$2:$B$37, MATCH(D1441, Products!$A$2:$A$37, 0))</f>
        <v>Bakhoor Gift Set</v>
      </c>
      <c r="I1441" t="str">
        <f>INDEX(Products!$C$2:$C$37, MATCH(D1441, Products!$A$2:$A$37, 0))</f>
        <v>Beauty</v>
      </c>
      <c r="J1441">
        <f>INDEX(Products!$E$2:$E$37, MATCH(D1441, Products!$A$2:$A$37, 0))</f>
        <v>90</v>
      </c>
      <c r="K1441" s="9">
        <f t="shared" si="88"/>
        <v>189.04999999999998</v>
      </c>
      <c r="L1441">
        <f t="shared" si="89"/>
        <v>90</v>
      </c>
      <c r="M1441" s="9">
        <f t="shared" si="90"/>
        <v>99.049999999999983</v>
      </c>
      <c r="N1441" t="str">
        <f t="shared" si="91"/>
        <v>May</v>
      </c>
    </row>
    <row r="1442" spans="1:14" x14ac:dyDescent="0.3">
      <c r="A1442" s="2" t="s">
        <v>1508</v>
      </c>
      <c r="B1442" s="6">
        <v>45781</v>
      </c>
      <c r="C1442" s="2" t="s">
        <v>41</v>
      </c>
      <c r="D1442" s="2" t="s">
        <v>80</v>
      </c>
      <c r="E1442" s="2">
        <v>1</v>
      </c>
      <c r="F1442" s="7">
        <v>149</v>
      </c>
      <c r="G1442" s="8">
        <v>0.15</v>
      </c>
      <c r="H1442" s="9" t="str">
        <f>INDEX(Products!$B$2:$B$37, MATCH(D1442, Products!$A$2:$A$37, 0))</f>
        <v>Vitamin C Serum</v>
      </c>
      <c r="I1442" t="str">
        <f>INDEX(Products!$C$2:$C$37, MATCH(D1442, Products!$A$2:$A$37, 0))</f>
        <v>Beauty</v>
      </c>
      <c r="J1442">
        <f>INDEX(Products!$E$2:$E$37, MATCH(D1442, Products!$A$2:$A$37, 0))</f>
        <v>55</v>
      </c>
      <c r="K1442" s="9">
        <f t="shared" si="88"/>
        <v>126.64999999999999</v>
      </c>
      <c r="L1442">
        <f t="shared" si="89"/>
        <v>55</v>
      </c>
      <c r="M1442" s="9">
        <f t="shared" si="90"/>
        <v>71.649999999999991</v>
      </c>
      <c r="N1442" t="str">
        <f t="shared" si="91"/>
        <v>May</v>
      </c>
    </row>
    <row r="1443" spans="1:14" x14ac:dyDescent="0.3">
      <c r="A1443" s="2" t="s">
        <v>1509</v>
      </c>
      <c r="B1443" s="6">
        <v>45781</v>
      </c>
      <c r="C1443" s="2" t="s">
        <v>41</v>
      </c>
      <c r="D1443" s="2" t="s">
        <v>95</v>
      </c>
      <c r="E1443" s="2">
        <v>3</v>
      </c>
      <c r="F1443" s="7">
        <v>259</v>
      </c>
      <c r="G1443" s="8">
        <v>0.05</v>
      </c>
      <c r="H1443" s="9" t="str">
        <f>INDEX(Products!$B$2:$B$37, MATCH(D1443, Products!$A$2:$A$37, 0))</f>
        <v>Bed Linen Set (King)</v>
      </c>
      <c r="I1443" t="str">
        <f>INDEX(Products!$C$2:$C$37, MATCH(D1443, Products!$A$2:$A$37, 0))</f>
        <v>Home &amp; Kitchen</v>
      </c>
      <c r="J1443">
        <f>INDEX(Products!$E$2:$E$37, MATCH(D1443, Products!$A$2:$A$37, 0))</f>
        <v>115</v>
      </c>
      <c r="K1443" s="9">
        <f t="shared" si="88"/>
        <v>738.15</v>
      </c>
      <c r="L1443">
        <f t="shared" si="89"/>
        <v>345</v>
      </c>
      <c r="M1443" s="9">
        <f t="shared" si="90"/>
        <v>393.15</v>
      </c>
      <c r="N1443" t="str">
        <f t="shared" si="91"/>
        <v>May</v>
      </c>
    </row>
    <row r="1444" spans="1:14" x14ac:dyDescent="0.3">
      <c r="A1444" s="2" t="s">
        <v>1510</v>
      </c>
      <c r="B1444" s="6">
        <v>45781</v>
      </c>
      <c r="C1444" s="2" t="s">
        <v>41</v>
      </c>
      <c r="D1444" s="2" t="s">
        <v>95</v>
      </c>
      <c r="E1444" s="2">
        <v>2</v>
      </c>
      <c r="F1444" s="7">
        <v>259</v>
      </c>
      <c r="G1444" s="8">
        <v>0.05</v>
      </c>
      <c r="H1444" s="9" t="str">
        <f>INDEX(Products!$B$2:$B$37, MATCH(D1444, Products!$A$2:$A$37, 0))</f>
        <v>Bed Linen Set (King)</v>
      </c>
      <c r="I1444" t="str">
        <f>INDEX(Products!$C$2:$C$37, MATCH(D1444, Products!$A$2:$A$37, 0))</f>
        <v>Home &amp; Kitchen</v>
      </c>
      <c r="J1444">
        <f>INDEX(Products!$E$2:$E$37, MATCH(D1444, Products!$A$2:$A$37, 0))</f>
        <v>115</v>
      </c>
      <c r="K1444" s="9">
        <f t="shared" si="88"/>
        <v>492.09999999999997</v>
      </c>
      <c r="L1444">
        <f t="shared" si="89"/>
        <v>230</v>
      </c>
      <c r="M1444" s="9">
        <f t="shared" si="90"/>
        <v>262.09999999999997</v>
      </c>
      <c r="N1444" t="str">
        <f t="shared" si="91"/>
        <v>May</v>
      </c>
    </row>
    <row r="1445" spans="1:14" x14ac:dyDescent="0.3">
      <c r="A1445" s="2" t="s">
        <v>1511</v>
      </c>
      <c r="B1445" s="6">
        <v>45781</v>
      </c>
      <c r="C1445" s="2" t="s">
        <v>41</v>
      </c>
      <c r="D1445" s="2" t="s">
        <v>35</v>
      </c>
      <c r="E1445" s="2">
        <v>2</v>
      </c>
      <c r="F1445" s="7">
        <v>179</v>
      </c>
      <c r="G1445" s="8">
        <v>0.05</v>
      </c>
      <c r="H1445" s="9" t="str">
        <f>INDEX(Products!$B$2:$B$37, MATCH(D1445, Products!$A$2:$A$37, 0))</f>
        <v>Men's Linen Shirt</v>
      </c>
      <c r="I1445" t="str">
        <f>INDEX(Products!$C$2:$C$37, MATCH(D1445, Products!$A$2:$A$37, 0))</f>
        <v>Fashion</v>
      </c>
      <c r="J1445">
        <f>INDEX(Products!$E$2:$E$37, MATCH(D1445, Products!$A$2:$A$37, 0))</f>
        <v>70</v>
      </c>
      <c r="K1445" s="9">
        <f t="shared" si="88"/>
        <v>340.09999999999997</v>
      </c>
      <c r="L1445">
        <f t="shared" si="89"/>
        <v>140</v>
      </c>
      <c r="M1445" s="9">
        <f t="shared" si="90"/>
        <v>200.09999999999997</v>
      </c>
      <c r="N1445" t="str">
        <f t="shared" si="91"/>
        <v>May</v>
      </c>
    </row>
    <row r="1446" spans="1:14" x14ac:dyDescent="0.3">
      <c r="A1446" s="2" t="s">
        <v>1512</v>
      </c>
      <c r="B1446" s="6">
        <v>45781</v>
      </c>
      <c r="C1446" s="2" t="s">
        <v>44</v>
      </c>
      <c r="D1446" s="2" t="s">
        <v>89</v>
      </c>
      <c r="E1446" s="2">
        <v>1</v>
      </c>
      <c r="F1446" s="7">
        <v>399</v>
      </c>
      <c r="G1446" s="8">
        <v>0.1</v>
      </c>
      <c r="H1446" s="9" t="str">
        <f>INDEX(Products!$B$2:$B$37, MATCH(D1446, Products!$A$2:$A$37, 0))</f>
        <v>Men's Kandura Premium</v>
      </c>
      <c r="I1446" t="str">
        <f>INDEX(Products!$C$2:$C$37, MATCH(D1446, Products!$A$2:$A$37, 0))</f>
        <v>Fashion</v>
      </c>
      <c r="J1446">
        <f>INDEX(Products!$E$2:$E$37, MATCH(D1446, Products!$A$2:$A$37, 0))</f>
        <v>210</v>
      </c>
      <c r="K1446" s="9">
        <f t="shared" si="88"/>
        <v>359.1</v>
      </c>
      <c r="L1446">
        <f t="shared" si="89"/>
        <v>210</v>
      </c>
      <c r="M1446" s="9">
        <f t="shared" si="90"/>
        <v>149.10000000000002</v>
      </c>
      <c r="N1446" t="str">
        <f t="shared" si="91"/>
        <v>May</v>
      </c>
    </row>
    <row r="1447" spans="1:14" x14ac:dyDescent="0.3">
      <c r="A1447" s="2" t="s">
        <v>1513</v>
      </c>
      <c r="B1447" s="6">
        <v>45781</v>
      </c>
      <c r="C1447" s="2" t="s">
        <v>41</v>
      </c>
      <c r="D1447" s="2" t="s">
        <v>65</v>
      </c>
      <c r="E1447" s="2">
        <v>1</v>
      </c>
      <c r="F1447" s="7">
        <v>129</v>
      </c>
      <c r="G1447" s="8">
        <v>0.1</v>
      </c>
      <c r="H1447" s="9" t="str">
        <f>INDEX(Products!$B$2:$B$37, MATCH(D1447, Products!$A$2:$A$37, 0))</f>
        <v>Yoga Mat Premium</v>
      </c>
      <c r="I1447" t="str">
        <f>INDEX(Products!$C$2:$C$37, MATCH(D1447, Products!$A$2:$A$37, 0))</f>
        <v>Sports</v>
      </c>
      <c r="J1447">
        <f>INDEX(Products!$E$2:$E$37, MATCH(D1447, Products!$A$2:$A$37, 0))</f>
        <v>60</v>
      </c>
      <c r="K1447" s="9">
        <f t="shared" si="88"/>
        <v>116.10000000000001</v>
      </c>
      <c r="L1447">
        <f t="shared" si="89"/>
        <v>60</v>
      </c>
      <c r="M1447" s="9">
        <f t="shared" si="90"/>
        <v>56.100000000000009</v>
      </c>
      <c r="N1447" t="str">
        <f t="shared" si="91"/>
        <v>May</v>
      </c>
    </row>
    <row r="1448" spans="1:14" x14ac:dyDescent="0.3">
      <c r="A1448" s="2" t="s">
        <v>1514</v>
      </c>
      <c r="B1448" s="6">
        <v>45781</v>
      </c>
      <c r="C1448" s="2" t="s">
        <v>44</v>
      </c>
      <c r="D1448" s="2" t="s">
        <v>56</v>
      </c>
      <c r="E1448" s="2">
        <v>1</v>
      </c>
      <c r="F1448" s="7">
        <v>289</v>
      </c>
      <c r="G1448" s="8">
        <v>0</v>
      </c>
      <c r="H1448" s="9" t="str">
        <f>INDEX(Products!$B$2:$B$37, MATCH(D1448, Products!$A$2:$A$37, 0))</f>
        <v>Ceramic Dinner Set</v>
      </c>
      <c r="I1448" t="str">
        <f>INDEX(Products!$C$2:$C$37, MATCH(D1448, Products!$A$2:$A$37, 0))</f>
        <v>Home &amp; Kitchen</v>
      </c>
      <c r="J1448">
        <f>INDEX(Products!$E$2:$E$37, MATCH(D1448, Products!$A$2:$A$37, 0))</f>
        <v>140</v>
      </c>
      <c r="K1448" s="9">
        <f t="shared" si="88"/>
        <v>289</v>
      </c>
      <c r="L1448">
        <f t="shared" si="89"/>
        <v>140</v>
      </c>
      <c r="M1448" s="9">
        <f t="shared" si="90"/>
        <v>149</v>
      </c>
      <c r="N1448" t="str">
        <f t="shared" si="91"/>
        <v>May</v>
      </c>
    </row>
    <row r="1449" spans="1:14" x14ac:dyDescent="0.3">
      <c r="A1449" s="2" t="s">
        <v>1515</v>
      </c>
      <c r="B1449" s="6">
        <v>45781</v>
      </c>
      <c r="C1449" s="2" t="s">
        <v>48</v>
      </c>
      <c r="D1449" s="2" t="s">
        <v>149</v>
      </c>
      <c r="E1449" s="2">
        <v>1</v>
      </c>
      <c r="F1449" s="7">
        <v>399</v>
      </c>
      <c r="G1449" s="8">
        <v>0.15</v>
      </c>
      <c r="H1449" s="9" t="str">
        <f>INDEX(Products!$B$2:$B$37, MATCH(D1449, Products!$A$2:$A$37, 0))</f>
        <v>Blender Pro 1200W</v>
      </c>
      <c r="I1449" t="str">
        <f>INDEX(Products!$C$2:$C$37, MATCH(D1449, Products!$A$2:$A$37, 0))</f>
        <v>Home &amp; Kitchen</v>
      </c>
      <c r="J1449">
        <f>INDEX(Products!$E$2:$E$37, MATCH(D1449, Products!$A$2:$A$37, 0))</f>
        <v>250</v>
      </c>
      <c r="K1449" s="9">
        <f t="shared" si="88"/>
        <v>339.15</v>
      </c>
      <c r="L1449">
        <f t="shared" si="89"/>
        <v>250</v>
      </c>
      <c r="M1449" s="9">
        <f t="shared" si="90"/>
        <v>89.149999999999977</v>
      </c>
      <c r="N1449" t="str">
        <f t="shared" si="91"/>
        <v>May</v>
      </c>
    </row>
    <row r="1450" spans="1:14" x14ac:dyDescent="0.3">
      <c r="A1450" s="2" t="s">
        <v>1516</v>
      </c>
      <c r="B1450" s="6">
        <v>45782</v>
      </c>
      <c r="C1450" s="2" t="s">
        <v>28</v>
      </c>
      <c r="D1450" s="2" t="s">
        <v>42</v>
      </c>
      <c r="E1450" s="2">
        <v>2</v>
      </c>
      <c r="F1450" s="7">
        <v>399</v>
      </c>
      <c r="G1450" s="8">
        <v>0</v>
      </c>
      <c r="H1450" s="9" t="str">
        <f>INDEX(Products!$B$2:$B$37, MATCH(D1450, Products!$A$2:$A$37, 0))</f>
        <v>Wireless Earbuds Pro</v>
      </c>
      <c r="I1450" t="str">
        <f>INDEX(Products!$C$2:$C$37, MATCH(D1450, Products!$A$2:$A$37, 0))</f>
        <v>Electronics</v>
      </c>
      <c r="J1450">
        <f>INDEX(Products!$E$2:$E$37, MATCH(D1450, Products!$A$2:$A$37, 0))</f>
        <v>230</v>
      </c>
      <c r="K1450" s="9">
        <f t="shared" si="88"/>
        <v>798</v>
      </c>
      <c r="L1450">
        <f t="shared" si="89"/>
        <v>460</v>
      </c>
      <c r="M1450" s="9">
        <f t="shared" si="90"/>
        <v>338</v>
      </c>
      <c r="N1450" t="str">
        <f t="shared" si="91"/>
        <v>May</v>
      </c>
    </row>
    <row r="1451" spans="1:14" x14ac:dyDescent="0.3">
      <c r="A1451" s="2" t="s">
        <v>1517</v>
      </c>
      <c r="B1451" s="6">
        <v>45782</v>
      </c>
      <c r="C1451" s="2" t="s">
        <v>41</v>
      </c>
      <c r="D1451" s="2" t="s">
        <v>65</v>
      </c>
      <c r="E1451" s="2">
        <v>4</v>
      </c>
      <c r="F1451" s="7">
        <v>129</v>
      </c>
      <c r="G1451" s="8">
        <v>0.05</v>
      </c>
      <c r="H1451" s="9" t="str">
        <f>INDEX(Products!$B$2:$B$37, MATCH(D1451, Products!$A$2:$A$37, 0))</f>
        <v>Yoga Mat Premium</v>
      </c>
      <c r="I1451" t="str">
        <f>INDEX(Products!$C$2:$C$37, MATCH(D1451, Products!$A$2:$A$37, 0))</f>
        <v>Sports</v>
      </c>
      <c r="J1451">
        <f>INDEX(Products!$E$2:$E$37, MATCH(D1451, Products!$A$2:$A$37, 0))</f>
        <v>60</v>
      </c>
      <c r="K1451" s="9">
        <f t="shared" si="88"/>
        <v>490.2</v>
      </c>
      <c r="L1451">
        <f t="shared" si="89"/>
        <v>240</v>
      </c>
      <c r="M1451" s="9">
        <f t="shared" si="90"/>
        <v>250.2</v>
      </c>
      <c r="N1451" t="str">
        <f t="shared" si="91"/>
        <v>May</v>
      </c>
    </row>
    <row r="1452" spans="1:14" x14ac:dyDescent="0.3">
      <c r="A1452" s="2" t="s">
        <v>1518</v>
      </c>
      <c r="B1452" s="6">
        <v>45782</v>
      </c>
      <c r="C1452" s="2" t="s">
        <v>44</v>
      </c>
      <c r="D1452" s="2" t="s">
        <v>29</v>
      </c>
      <c r="E1452" s="2">
        <v>1</v>
      </c>
      <c r="F1452" s="7">
        <v>229</v>
      </c>
      <c r="G1452" s="8">
        <v>0.05</v>
      </c>
      <c r="H1452" s="9" t="str">
        <f>INDEX(Products!$B$2:$B$37, MATCH(D1452, Products!$A$2:$A$37, 0))</f>
        <v>Women's Summer Dress</v>
      </c>
      <c r="I1452" t="str">
        <f>INDEX(Products!$C$2:$C$37, MATCH(D1452, Products!$A$2:$A$37, 0))</f>
        <v>Fashion</v>
      </c>
      <c r="J1452">
        <f>INDEX(Products!$E$2:$E$37, MATCH(D1452, Products!$A$2:$A$37, 0))</f>
        <v>120</v>
      </c>
      <c r="K1452" s="9">
        <f t="shared" si="88"/>
        <v>217.54999999999998</v>
      </c>
      <c r="L1452">
        <f t="shared" si="89"/>
        <v>120</v>
      </c>
      <c r="M1452" s="9">
        <f t="shared" si="90"/>
        <v>97.549999999999983</v>
      </c>
      <c r="N1452" t="str">
        <f t="shared" si="91"/>
        <v>May</v>
      </c>
    </row>
    <row r="1453" spans="1:14" x14ac:dyDescent="0.3">
      <c r="A1453" s="2" t="s">
        <v>1519</v>
      </c>
      <c r="B1453" s="6">
        <v>45782</v>
      </c>
      <c r="C1453" s="2" t="s">
        <v>48</v>
      </c>
      <c r="D1453" s="2" t="s">
        <v>46</v>
      </c>
      <c r="E1453" s="2">
        <v>2</v>
      </c>
      <c r="F1453" s="7">
        <v>189</v>
      </c>
      <c r="G1453" s="8">
        <v>0</v>
      </c>
      <c r="H1453" s="9" t="str">
        <f>INDEX(Products!$B$2:$B$37, MATCH(D1453, Products!$A$2:$A$37, 0))</f>
        <v>Makeup Palette</v>
      </c>
      <c r="I1453" t="str">
        <f>INDEX(Products!$C$2:$C$37, MATCH(D1453, Products!$A$2:$A$37, 0))</f>
        <v>Beauty</v>
      </c>
      <c r="J1453">
        <f>INDEX(Products!$E$2:$E$37, MATCH(D1453, Products!$A$2:$A$37, 0))</f>
        <v>85</v>
      </c>
      <c r="K1453" s="9">
        <f t="shared" si="88"/>
        <v>378</v>
      </c>
      <c r="L1453">
        <f t="shared" si="89"/>
        <v>170</v>
      </c>
      <c r="M1453" s="9">
        <f t="shared" si="90"/>
        <v>208</v>
      </c>
      <c r="N1453" t="str">
        <f t="shared" si="91"/>
        <v>May</v>
      </c>
    </row>
    <row r="1454" spans="1:14" x14ac:dyDescent="0.3">
      <c r="A1454" s="2" t="s">
        <v>1520</v>
      </c>
      <c r="B1454" s="6">
        <v>45782</v>
      </c>
      <c r="C1454" s="2" t="s">
        <v>44</v>
      </c>
      <c r="D1454" s="2" t="s">
        <v>58</v>
      </c>
      <c r="E1454" s="2">
        <v>2</v>
      </c>
      <c r="F1454" s="7">
        <v>459</v>
      </c>
      <c r="G1454" s="8">
        <v>0</v>
      </c>
      <c r="H1454" s="9" t="str">
        <f>INDEX(Products!$B$2:$B$37, MATCH(D1454, Products!$A$2:$A$37, 0))</f>
        <v>Women's Abaya Classic</v>
      </c>
      <c r="I1454" t="str">
        <f>INDEX(Products!$C$2:$C$37, MATCH(D1454, Products!$A$2:$A$37, 0))</f>
        <v>Fashion</v>
      </c>
      <c r="J1454">
        <f>INDEX(Products!$E$2:$E$37, MATCH(D1454, Products!$A$2:$A$37, 0))</f>
        <v>190</v>
      </c>
      <c r="K1454" s="9">
        <f t="shared" si="88"/>
        <v>918</v>
      </c>
      <c r="L1454">
        <f t="shared" si="89"/>
        <v>380</v>
      </c>
      <c r="M1454" s="9">
        <f t="shared" si="90"/>
        <v>538</v>
      </c>
      <c r="N1454" t="str">
        <f t="shared" si="91"/>
        <v>May</v>
      </c>
    </row>
    <row r="1455" spans="1:14" x14ac:dyDescent="0.3">
      <c r="A1455" s="2" t="s">
        <v>1521</v>
      </c>
      <c r="B1455" s="6">
        <v>45782</v>
      </c>
      <c r="C1455" s="2" t="s">
        <v>28</v>
      </c>
      <c r="D1455" s="2" t="s">
        <v>78</v>
      </c>
      <c r="E1455" s="2">
        <v>1</v>
      </c>
      <c r="F1455" s="7">
        <v>499</v>
      </c>
      <c r="G1455" s="8">
        <v>0.15</v>
      </c>
      <c r="H1455" s="9" t="str">
        <f>INDEX(Products!$B$2:$B$37, MATCH(D1455, Products!$A$2:$A$37, 0))</f>
        <v>Air Fryer 5L</v>
      </c>
      <c r="I1455" t="str">
        <f>INDEX(Products!$C$2:$C$37, MATCH(D1455, Products!$A$2:$A$37, 0))</f>
        <v>Home &amp; Kitchen</v>
      </c>
      <c r="J1455">
        <f>INDEX(Products!$E$2:$E$37, MATCH(D1455, Products!$A$2:$A$37, 0))</f>
        <v>290</v>
      </c>
      <c r="K1455" s="9">
        <f t="shared" si="88"/>
        <v>424.15</v>
      </c>
      <c r="L1455">
        <f t="shared" si="89"/>
        <v>290</v>
      </c>
      <c r="M1455" s="9">
        <f t="shared" si="90"/>
        <v>134.14999999999998</v>
      </c>
      <c r="N1455" t="str">
        <f t="shared" si="91"/>
        <v>May</v>
      </c>
    </row>
    <row r="1456" spans="1:14" x14ac:dyDescent="0.3">
      <c r="A1456" s="2" t="s">
        <v>1522</v>
      </c>
      <c r="B1456" s="6">
        <v>45782</v>
      </c>
      <c r="C1456" s="2" t="s">
        <v>44</v>
      </c>
      <c r="D1456" s="2" t="s">
        <v>58</v>
      </c>
      <c r="E1456" s="2">
        <v>3</v>
      </c>
      <c r="F1456" s="7">
        <v>459</v>
      </c>
      <c r="G1456" s="8">
        <v>0</v>
      </c>
      <c r="H1456" s="9" t="str">
        <f>INDEX(Products!$B$2:$B$37, MATCH(D1456, Products!$A$2:$A$37, 0))</f>
        <v>Women's Abaya Classic</v>
      </c>
      <c r="I1456" t="str">
        <f>INDEX(Products!$C$2:$C$37, MATCH(D1456, Products!$A$2:$A$37, 0))</f>
        <v>Fashion</v>
      </c>
      <c r="J1456">
        <f>INDEX(Products!$E$2:$E$37, MATCH(D1456, Products!$A$2:$A$37, 0))</f>
        <v>190</v>
      </c>
      <c r="K1456" s="9">
        <f t="shared" si="88"/>
        <v>1377</v>
      </c>
      <c r="L1456">
        <f t="shared" si="89"/>
        <v>570</v>
      </c>
      <c r="M1456" s="9">
        <f t="shared" si="90"/>
        <v>807</v>
      </c>
      <c r="N1456" t="str">
        <f t="shared" si="91"/>
        <v>May</v>
      </c>
    </row>
    <row r="1457" spans="1:14" x14ac:dyDescent="0.3">
      <c r="A1457" s="2" t="s">
        <v>1523</v>
      </c>
      <c r="B1457" s="6">
        <v>45782</v>
      </c>
      <c r="C1457" s="2" t="s">
        <v>31</v>
      </c>
      <c r="D1457" s="2" t="s">
        <v>92</v>
      </c>
      <c r="E1457" s="2">
        <v>1</v>
      </c>
      <c r="F1457" s="7">
        <v>349</v>
      </c>
      <c r="G1457" s="8">
        <v>0.1</v>
      </c>
      <c r="H1457" s="9" t="str">
        <f>INDEX(Products!$B$2:$B$37, MATCH(D1457, Products!$A$2:$A$37, 0))</f>
        <v>Non-stick Cookware Set</v>
      </c>
      <c r="I1457" t="str">
        <f>INDEX(Products!$C$2:$C$37, MATCH(D1457, Products!$A$2:$A$37, 0))</f>
        <v>Home &amp; Kitchen</v>
      </c>
      <c r="J1457">
        <f>INDEX(Products!$E$2:$E$37, MATCH(D1457, Products!$A$2:$A$37, 0))</f>
        <v>170</v>
      </c>
      <c r="K1457" s="9">
        <f t="shared" si="88"/>
        <v>314.10000000000002</v>
      </c>
      <c r="L1457">
        <f t="shared" si="89"/>
        <v>170</v>
      </c>
      <c r="M1457" s="9">
        <f t="shared" si="90"/>
        <v>144.10000000000002</v>
      </c>
      <c r="N1457" t="str">
        <f t="shared" si="91"/>
        <v>May</v>
      </c>
    </row>
    <row r="1458" spans="1:14" x14ac:dyDescent="0.3">
      <c r="A1458" s="2" t="s">
        <v>1524</v>
      </c>
      <c r="B1458" s="6">
        <v>45782</v>
      </c>
      <c r="C1458" s="2" t="s">
        <v>28</v>
      </c>
      <c r="D1458" s="2" t="s">
        <v>87</v>
      </c>
      <c r="E1458" s="2">
        <v>1</v>
      </c>
      <c r="F1458" s="7">
        <v>799</v>
      </c>
      <c r="G1458" s="8">
        <v>0.2</v>
      </c>
      <c r="H1458" s="9" t="str">
        <f>INDEX(Products!$B$2:$B$37, MATCH(D1458, Products!$A$2:$A$37, 0))</f>
        <v>Adjustable Dumbbells</v>
      </c>
      <c r="I1458" t="str">
        <f>INDEX(Products!$C$2:$C$37, MATCH(D1458, Products!$A$2:$A$37, 0))</f>
        <v>Sports</v>
      </c>
      <c r="J1458">
        <f>INDEX(Products!$E$2:$E$37, MATCH(D1458, Products!$A$2:$A$37, 0))</f>
        <v>700</v>
      </c>
      <c r="K1458" s="9">
        <f t="shared" si="88"/>
        <v>639.20000000000005</v>
      </c>
      <c r="L1458">
        <f t="shared" si="89"/>
        <v>700</v>
      </c>
      <c r="M1458" s="9">
        <f t="shared" si="90"/>
        <v>-60.799999999999955</v>
      </c>
      <c r="N1458" t="str">
        <f t="shared" si="91"/>
        <v>May</v>
      </c>
    </row>
    <row r="1459" spans="1:14" x14ac:dyDescent="0.3">
      <c r="A1459" s="2" t="s">
        <v>1525</v>
      </c>
      <c r="B1459" s="6">
        <v>45782</v>
      </c>
      <c r="C1459" s="2" t="s">
        <v>48</v>
      </c>
      <c r="D1459" s="2" t="s">
        <v>109</v>
      </c>
      <c r="E1459" s="2">
        <v>1</v>
      </c>
      <c r="F1459" s="7">
        <v>1499</v>
      </c>
      <c r="G1459" s="8">
        <v>0</v>
      </c>
      <c r="H1459" s="9" t="str">
        <f>INDEX(Products!$B$2:$B$37, MATCH(D1459, Products!$A$2:$A$37, 0))</f>
        <v>Espresso Machine</v>
      </c>
      <c r="I1459" t="str">
        <f>INDEX(Products!$C$2:$C$37, MATCH(D1459, Products!$A$2:$A$37, 0))</f>
        <v>Home &amp; Kitchen</v>
      </c>
      <c r="J1459">
        <f>INDEX(Products!$E$2:$E$37, MATCH(D1459, Products!$A$2:$A$37, 0))</f>
        <v>1050</v>
      </c>
      <c r="K1459" s="9">
        <f t="shared" si="88"/>
        <v>1499</v>
      </c>
      <c r="L1459">
        <f t="shared" si="89"/>
        <v>1050</v>
      </c>
      <c r="M1459" s="9">
        <f t="shared" si="90"/>
        <v>449</v>
      </c>
      <c r="N1459" t="str">
        <f t="shared" si="91"/>
        <v>May</v>
      </c>
    </row>
    <row r="1460" spans="1:14" x14ac:dyDescent="0.3">
      <c r="A1460" s="2" t="s">
        <v>1526</v>
      </c>
      <c r="B1460" s="6">
        <v>45782</v>
      </c>
      <c r="C1460" s="2" t="s">
        <v>44</v>
      </c>
      <c r="D1460" s="2" t="s">
        <v>113</v>
      </c>
      <c r="E1460" s="2">
        <v>1</v>
      </c>
      <c r="F1460" s="7">
        <v>1199</v>
      </c>
      <c r="G1460" s="8">
        <v>0.2</v>
      </c>
      <c r="H1460" s="9" t="str">
        <f>INDEX(Products!$B$2:$B$37, MATCH(D1460, Products!$A$2:$A$37, 0))</f>
        <v>Robot Vacuum S3</v>
      </c>
      <c r="I1460" t="str">
        <f>INDEX(Products!$C$2:$C$37, MATCH(D1460, Products!$A$2:$A$37, 0))</f>
        <v>Home &amp; Kitchen</v>
      </c>
      <c r="J1460">
        <f>INDEX(Products!$E$2:$E$37, MATCH(D1460, Products!$A$2:$A$37, 0))</f>
        <v>1080</v>
      </c>
      <c r="K1460" s="9">
        <f t="shared" si="88"/>
        <v>959.2</v>
      </c>
      <c r="L1460">
        <f t="shared" si="89"/>
        <v>1080</v>
      </c>
      <c r="M1460" s="9">
        <f t="shared" si="90"/>
        <v>-120.79999999999995</v>
      </c>
      <c r="N1460" t="str">
        <f t="shared" si="91"/>
        <v>May</v>
      </c>
    </row>
    <row r="1461" spans="1:14" x14ac:dyDescent="0.3">
      <c r="A1461" s="2" t="s">
        <v>1527</v>
      </c>
      <c r="B1461" s="6">
        <v>45782</v>
      </c>
      <c r="C1461" s="2" t="s">
        <v>44</v>
      </c>
      <c r="D1461" s="2" t="s">
        <v>115</v>
      </c>
      <c r="E1461" s="2">
        <v>1</v>
      </c>
      <c r="F1461" s="7">
        <v>129</v>
      </c>
      <c r="G1461" s="8">
        <v>0</v>
      </c>
      <c r="H1461" s="9" t="str">
        <f>INDEX(Products!$B$2:$B$37, MATCH(D1461, Products!$A$2:$A$37, 0))</f>
        <v>Electric Kettle</v>
      </c>
      <c r="I1461" t="str">
        <f>INDEX(Products!$C$2:$C$37, MATCH(D1461, Products!$A$2:$A$37, 0))</f>
        <v>Home &amp; Kitchen</v>
      </c>
      <c r="J1461">
        <f>INDEX(Products!$E$2:$E$37, MATCH(D1461, Products!$A$2:$A$37, 0))</f>
        <v>60</v>
      </c>
      <c r="K1461" s="9">
        <f t="shared" si="88"/>
        <v>129</v>
      </c>
      <c r="L1461">
        <f t="shared" si="89"/>
        <v>60</v>
      </c>
      <c r="M1461" s="9">
        <f t="shared" si="90"/>
        <v>69</v>
      </c>
      <c r="N1461" t="str">
        <f t="shared" si="91"/>
        <v>May</v>
      </c>
    </row>
    <row r="1462" spans="1:14" x14ac:dyDescent="0.3">
      <c r="A1462" s="2" t="s">
        <v>1528</v>
      </c>
      <c r="B1462" s="6">
        <v>45783</v>
      </c>
      <c r="C1462" s="2" t="s">
        <v>44</v>
      </c>
      <c r="D1462" s="2" t="s">
        <v>37</v>
      </c>
      <c r="E1462" s="2">
        <v>2</v>
      </c>
      <c r="F1462" s="7">
        <v>249</v>
      </c>
      <c r="G1462" s="8">
        <v>0.05</v>
      </c>
      <c r="H1462" s="9" t="str">
        <f>INDEX(Products!$B$2:$B$37, MATCH(D1462, Products!$A$2:$A$37, 0))</f>
        <v>Sunglasses Polarised</v>
      </c>
      <c r="I1462" t="str">
        <f>INDEX(Products!$C$2:$C$37, MATCH(D1462, Products!$A$2:$A$37, 0))</f>
        <v>Fashion</v>
      </c>
      <c r="J1462">
        <f>INDEX(Products!$E$2:$E$37, MATCH(D1462, Products!$A$2:$A$37, 0))</f>
        <v>95</v>
      </c>
      <c r="K1462" s="9">
        <f t="shared" si="88"/>
        <v>473.09999999999997</v>
      </c>
      <c r="L1462">
        <f t="shared" si="89"/>
        <v>190</v>
      </c>
      <c r="M1462" s="9">
        <f t="shared" si="90"/>
        <v>283.09999999999997</v>
      </c>
      <c r="N1462" t="str">
        <f t="shared" si="91"/>
        <v>May</v>
      </c>
    </row>
    <row r="1463" spans="1:14" x14ac:dyDescent="0.3">
      <c r="A1463" s="2" t="s">
        <v>1529</v>
      </c>
      <c r="B1463" s="6">
        <v>45783</v>
      </c>
      <c r="C1463" s="2" t="s">
        <v>31</v>
      </c>
      <c r="D1463" s="2" t="s">
        <v>95</v>
      </c>
      <c r="E1463" s="2">
        <v>2</v>
      </c>
      <c r="F1463" s="7">
        <v>259</v>
      </c>
      <c r="G1463" s="8">
        <v>0.1</v>
      </c>
      <c r="H1463" s="9" t="str">
        <f>INDEX(Products!$B$2:$B$37, MATCH(D1463, Products!$A$2:$A$37, 0))</f>
        <v>Bed Linen Set (King)</v>
      </c>
      <c r="I1463" t="str">
        <f>INDEX(Products!$C$2:$C$37, MATCH(D1463, Products!$A$2:$A$37, 0))</f>
        <v>Home &amp; Kitchen</v>
      </c>
      <c r="J1463">
        <f>INDEX(Products!$E$2:$E$37, MATCH(D1463, Products!$A$2:$A$37, 0))</f>
        <v>115</v>
      </c>
      <c r="K1463" s="9">
        <f t="shared" si="88"/>
        <v>466.2</v>
      </c>
      <c r="L1463">
        <f t="shared" si="89"/>
        <v>230</v>
      </c>
      <c r="M1463" s="9">
        <f t="shared" si="90"/>
        <v>236.2</v>
      </c>
      <c r="N1463" t="str">
        <f t="shared" si="91"/>
        <v>May</v>
      </c>
    </row>
    <row r="1464" spans="1:14" x14ac:dyDescent="0.3">
      <c r="A1464" s="2" t="s">
        <v>1530</v>
      </c>
      <c r="B1464" s="6">
        <v>45783</v>
      </c>
      <c r="C1464" s="2" t="s">
        <v>48</v>
      </c>
      <c r="D1464" s="2" t="s">
        <v>103</v>
      </c>
      <c r="E1464" s="2">
        <v>1</v>
      </c>
      <c r="F1464" s="7">
        <v>89</v>
      </c>
      <c r="G1464" s="8">
        <v>0</v>
      </c>
      <c r="H1464" s="9" t="str">
        <f>INDEX(Products!$B$2:$B$37, MATCH(D1464, Products!$A$2:$A$37, 0))</f>
        <v>Sunscreen SPF50</v>
      </c>
      <c r="I1464" t="str">
        <f>INDEX(Products!$C$2:$C$37, MATCH(D1464, Products!$A$2:$A$37, 0))</f>
        <v>Beauty</v>
      </c>
      <c r="J1464">
        <f>INDEX(Products!$E$2:$E$37, MATCH(D1464, Products!$A$2:$A$37, 0))</f>
        <v>40</v>
      </c>
      <c r="K1464" s="9">
        <f t="shared" si="88"/>
        <v>89</v>
      </c>
      <c r="L1464">
        <f t="shared" si="89"/>
        <v>40</v>
      </c>
      <c r="M1464" s="9">
        <f t="shared" si="90"/>
        <v>49</v>
      </c>
      <c r="N1464" t="str">
        <f t="shared" si="91"/>
        <v>May</v>
      </c>
    </row>
    <row r="1465" spans="1:14" x14ac:dyDescent="0.3">
      <c r="A1465" s="2" t="s">
        <v>1531</v>
      </c>
      <c r="B1465" s="6">
        <v>45783</v>
      </c>
      <c r="C1465" s="2" t="s">
        <v>44</v>
      </c>
      <c r="D1465" s="2" t="s">
        <v>70</v>
      </c>
      <c r="E1465" s="2">
        <v>1</v>
      </c>
      <c r="F1465" s="7">
        <v>429</v>
      </c>
      <c r="G1465" s="8">
        <v>0.15</v>
      </c>
      <c r="H1465" s="9" t="str">
        <f>INDEX(Products!$B$2:$B$37, MATCH(D1465, Products!$A$2:$A$37, 0))</f>
        <v>Running Shoes Elite</v>
      </c>
      <c r="I1465" t="str">
        <f>INDEX(Products!$C$2:$C$37, MATCH(D1465, Products!$A$2:$A$37, 0))</f>
        <v>Fashion</v>
      </c>
      <c r="J1465">
        <f>INDEX(Products!$E$2:$E$37, MATCH(D1465, Products!$A$2:$A$37, 0))</f>
        <v>300</v>
      </c>
      <c r="K1465" s="9">
        <f t="shared" si="88"/>
        <v>364.65</v>
      </c>
      <c r="L1465">
        <f t="shared" si="89"/>
        <v>300</v>
      </c>
      <c r="M1465" s="9">
        <f t="shared" si="90"/>
        <v>64.649999999999977</v>
      </c>
      <c r="N1465" t="str">
        <f t="shared" si="91"/>
        <v>May</v>
      </c>
    </row>
    <row r="1466" spans="1:14" x14ac:dyDescent="0.3">
      <c r="A1466" s="2" t="s">
        <v>1532</v>
      </c>
      <c r="B1466" s="6">
        <v>45783</v>
      </c>
      <c r="C1466" s="2" t="s">
        <v>44</v>
      </c>
      <c r="D1466" s="2" t="s">
        <v>29</v>
      </c>
      <c r="E1466" s="2">
        <v>3</v>
      </c>
      <c r="F1466" s="7">
        <v>229</v>
      </c>
      <c r="G1466" s="8">
        <v>0</v>
      </c>
      <c r="H1466" s="9" t="str">
        <f>INDEX(Products!$B$2:$B$37, MATCH(D1466, Products!$A$2:$A$37, 0))</f>
        <v>Women's Summer Dress</v>
      </c>
      <c r="I1466" t="str">
        <f>INDEX(Products!$C$2:$C$37, MATCH(D1466, Products!$A$2:$A$37, 0))</f>
        <v>Fashion</v>
      </c>
      <c r="J1466">
        <f>INDEX(Products!$E$2:$E$37, MATCH(D1466, Products!$A$2:$A$37, 0))</f>
        <v>120</v>
      </c>
      <c r="K1466" s="9">
        <f t="shared" si="88"/>
        <v>687</v>
      </c>
      <c r="L1466">
        <f t="shared" si="89"/>
        <v>360</v>
      </c>
      <c r="M1466" s="9">
        <f t="shared" si="90"/>
        <v>327</v>
      </c>
      <c r="N1466" t="str">
        <f t="shared" si="91"/>
        <v>May</v>
      </c>
    </row>
    <row r="1467" spans="1:14" x14ac:dyDescent="0.3">
      <c r="A1467" s="2" t="s">
        <v>1533</v>
      </c>
      <c r="B1467" s="6">
        <v>45783</v>
      </c>
      <c r="C1467" s="2" t="s">
        <v>31</v>
      </c>
      <c r="D1467" s="2" t="s">
        <v>194</v>
      </c>
      <c r="E1467" s="2">
        <v>1</v>
      </c>
      <c r="F1467" s="7">
        <v>699</v>
      </c>
      <c r="G1467" s="8">
        <v>0.15</v>
      </c>
      <c r="H1467" s="9" t="str">
        <f>INDEX(Products!$B$2:$B$37, MATCH(D1467, Products!$A$2:$A$37, 0))</f>
        <v>Leather Handbag</v>
      </c>
      <c r="I1467" t="str">
        <f>INDEX(Products!$C$2:$C$37, MATCH(D1467, Products!$A$2:$A$37, 0))</f>
        <v>Fashion</v>
      </c>
      <c r="J1467">
        <f>INDEX(Products!$E$2:$E$37, MATCH(D1467, Products!$A$2:$A$37, 0))</f>
        <v>380</v>
      </c>
      <c r="K1467" s="9">
        <f t="shared" si="88"/>
        <v>594.15</v>
      </c>
      <c r="L1467">
        <f t="shared" si="89"/>
        <v>380</v>
      </c>
      <c r="M1467" s="9">
        <f t="shared" si="90"/>
        <v>214.14999999999998</v>
      </c>
      <c r="N1467" t="str">
        <f t="shared" si="91"/>
        <v>May</v>
      </c>
    </row>
    <row r="1468" spans="1:14" x14ac:dyDescent="0.3">
      <c r="A1468" s="2" t="s">
        <v>1534</v>
      </c>
      <c r="B1468" s="6">
        <v>45783</v>
      </c>
      <c r="C1468" s="2" t="s">
        <v>31</v>
      </c>
      <c r="D1468" s="2" t="s">
        <v>115</v>
      </c>
      <c r="E1468" s="2">
        <v>3</v>
      </c>
      <c r="F1468" s="7">
        <v>129</v>
      </c>
      <c r="G1468" s="8">
        <v>0.1</v>
      </c>
      <c r="H1468" s="9" t="str">
        <f>INDEX(Products!$B$2:$B$37, MATCH(D1468, Products!$A$2:$A$37, 0))</f>
        <v>Electric Kettle</v>
      </c>
      <c r="I1468" t="str">
        <f>INDEX(Products!$C$2:$C$37, MATCH(D1468, Products!$A$2:$A$37, 0))</f>
        <v>Home &amp; Kitchen</v>
      </c>
      <c r="J1468">
        <f>INDEX(Products!$E$2:$E$37, MATCH(D1468, Products!$A$2:$A$37, 0))</f>
        <v>60</v>
      </c>
      <c r="K1468" s="9">
        <f t="shared" si="88"/>
        <v>348.3</v>
      </c>
      <c r="L1468">
        <f t="shared" si="89"/>
        <v>180</v>
      </c>
      <c r="M1468" s="9">
        <f t="shared" si="90"/>
        <v>168.3</v>
      </c>
      <c r="N1468" t="str">
        <f t="shared" si="91"/>
        <v>May</v>
      </c>
    </row>
    <row r="1469" spans="1:14" x14ac:dyDescent="0.3">
      <c r="A1469" s="2" t="s">
        <v>1535</v>
      </c>
      <c r="B1469" s="6">
        <v>45783</v>
      </c>
      <c r="C1469" s="2" t="s">
        <v>31</v>
      </c>
      <c r="D1469" s="2" t="s">
        <v>115</v>
      </c>
      <c r="E1469" s="2">
        <v>1</v>
      </c>
      <c r="F1469" s="7">
        <v>129</v>
      </c>
      <c r="G1469" s="8">
        <v>0</v>
      </c>
      <c r="H1469" s="9" t="str">
        <f>INDEX(Products!$B$2:$B$37, MATCH(D1469, Products!$A$2:$A$37, 0))</f>
        <v>Electric Kettle</v>
      </c>
      <c r="I1469" t="str">
        <f>INDEX(Products!$C$2:$C$37, MATCH(D1469, Products!$A$2:$A$37, 0))</f>
        <v>Home &amp; Kitchen</v>
      </c>
      <c r="J1469">
        <f>INDEX(Products!$E$2:$E$37, MATCH(D1469, Products!$A$2:$A$37, 0))</f>
        <v>60</v>
      </c>
      <c r="K1469" s="9">
        <f t="shared" si="88"/>
        <v>129</v>
      </c>
      <c r="L1469">
        <f t="shared" si="89"/>
        <v>60</v>
      </c>
      <c r="M1469" s="9">
        <f t="shared" si="90"/>
        <v>69</v>
      </c>
      <c r="N1469" t="str">
        <f t="shared" si="91"/>
        <v>May</v>
      </c>
    </row>
    <row r="1470" spans="1:14" x14ac:dyDescent="0.3">
      <c r="A1470" s="2" t="s">
        <v>1536</v>
      </c>
      <c r="B1470" s="6">
        <v>45783</v>
      </c>
      <c r="C1470" s="2" t="s">
        <v>41</v>
      </c>
      <c r="D1470" s="2" t="s">
        <v>99</v>
      </c>
      <c r="E1470" s="2">
        <v>1</v>
      </c>
      <c r="F1470" s="7">
        <v>459</v>
      </c>
      <c r="G1470" s="8">
        <v>0</v>
      </c>
      <c r="H1470" s="9" t="str">
        <f>INDEX(Products!$B$2:$B$37, MATCH(D1470, Products!$A$2:$A$37, 0))</f>
        <v>Gaming Headset X</v>
      </c>
      <c r="I1470" t="str">
        <f>INDEX(Products!$C$2:$C$37, MATCH(D1470, Products!$A$2:$A$37, 0))</f>
        <v>Electronics</v>
      </c>
      <c r="J1470">
        <f>INDEX(Products!$E$2:$E$37, MATCH(D1470, Products!$A$2:$A$37, 0))</f>
        <v>300</v>
      </c>
      <c r="K1470" s="9">
        <f t="shared" si="88"/>
        <v>459</v>
      </c>
      <c r="L1470">
        <f t="shared" si="89"/>
        <v>300</v>
      </c>
      <c r="M1470" s="9">
        <f t="shared" si="90"/>
        <v>159</v>
      </c>
      <c r="N1470" t="str">
        <f t="shared" si="91"/>
        <v>May</v>
      </c>
    </row>
    <row r="1471" spans="1:14" x14ac:dyDescent="0.3">
      <c r="A1471" s="2" t="s">
        <v>1537</v>
      </c>
      <c r="B1471" s="6">
        <v>45783</v>
      </c>
      <c r="C1471" s="2" t="s">
        <v>28</v>
      </c>
      <c r="D1471" s="2" t="s">
        <v>56</v>
      </c>
      <c r="E1471" s="2">
        <v>3</v>
      </c>
      <c r="F1471" s="7">
        <v>289</v>
      </c>
      <c r="G1471" s="8">
        <v>0</v>
      </c>
      <c r="H1471" s="9" t="str">
        <f>INDEX(Products!$B$2:$B$37, MATCH(D1471, Products!$A$2:$A$37, 0))</f>
        <v>Ceramic Dinner Set</v>
      </c>
      <c r="I1471" t="str">
        <f>INDEX(Products!$C$2:$C$37, MATCH(D1471, Products!$A$2:$A$37, 0))</f>
        <v>Home &amp; Kitchen</v>
      </c>
      <c r="J1471">
        <f>INDEX(Products!$E$2:$E$37, MATCH(D1471, Products!$A$2:$A$37, 0))</f>
        <v>140</v>
      </c>
      <c r="K1471" s="9">
        <f t="shared" si="88"/>
        <v>867</v>
      </c>
      <c r="L1471">
        <f t="shared" si="89"/>
        <v>420</v>
      </c>
      <c r="M1471" s="9">
        <f t="shared" si="90"/>
        <v>447</v>
      </c>
      <c r="N1471" t="str">
        <f t="shared" si="91"/>
        <v>May</v>
      </c>
    </row>
    <row r="1472" spans="1:14" x14ac:dyDescent="0.3">
      <c r="A1472" s="2" t="s">
        <v>1538</v>
      </c>
      <c r="B1472" s="6">
        <v>45783</v>
      </c>
      <c r="C1472" s="2" t="s">
        <v>31</v>
      </c>
      <c r="D1472" s="2" t="s">
        <v>52</v>
      </c>
      <c r="E1472" s="2">
        <v>1</v>
      </c>
      <c r="F1472" s="7">
        <v>299</v>
      </c>
      <c r="G1472" s="8">
        <v>0.25</v>
      </c>
      <c r="H1472" s="9" t="str">
        <f>INDEX(Products!$B$2:$B$37, MATCH(D1472, Products!$A$2:$A$37, 0))</f>
        <v>Hair Dryer Ionic</v>
      </c>
      <c r="I1472" t="str">
        <f>INDEX(Products!$C$2:$C$37, MATCH(D1472, Products!$A$2:$A$37, 0))</f>
        <v>Beauty</v>
      </c>
      <c r="J1472">
        <f>INDEX(Products!$E$2:$E$37, MATCH(D1472, Products!$A$2:$A$37, 0))</f>
        <v>240</v>
      </c>
      <c r="K1472" s="9">
        <f t="shared" si="88"/>
        <v>224.25</v>
      </c>
      <c r="L1472">
        <f t="shared" si="89"/>
        <v>240</v>
      </c>
      <c r="M1472" s="9">
        <f t="shared" si="90"/>
        <v>-15.75</v>
      </c>
      <c r="N1472" t="str">
        <f t="shared" si="91"/>
        <v>May</v>
      </c>
    </row>
    <row r="1473" spans="1:14" x14ac:dyDescent="0.3">
      <c r="A1473" s="2" t="s">
        <v>1539</v>
      </c>
      <c r="B1473" s="6">
        <v>45783</v>
      </c>
      <c r="C1473" s="2" t="s">
        <v>31</v>
      </c>
      <c r="D1473" s="2" t="s">
        <v>126</v>
      </c>
      <c r="E1473" s="2">
        <v>1</v>
      </c>
      <c r="F1473" s="7">
        <v>89</v>
      </c>
      <c r="G1473" s="8">
        <v>0</v>
      </c>
      <c r="H1473" s="9" t="str">
        <f>INDEX(Products!$B$2:$B$37, MATCH(D1473, Products!$A$2:$A$37, 0))</f>
        <v>USB-C Fast Charger</v>
      </c>
      <c r="I1473" t="str">
        <f>INDEX(Products!$C$2:$C$37, MATCH(D1473, Products!$A$2:$A$37, 0))</f>
        <v>Electronics</v>
      </c>
      <c r="J1473">
        <f>INDEX(Products!$E$2:$E$37, MATCH(D1473, Products!$A$2:$A$37, 0))</f>
        <v>35</v>
      </c>
      <c r="K1473" s="9">
        <f t="shared" si="88"/>
        <v>89</v>
      </c>
      <c r="L1473">
        <f t="shared" si="89"/>
        <v>35</v>
      </c>
      <c r="M1473" s="9">
        <f t="shared" si="90"/>
        <v>54</v>
      </c>
      <c r="N1473" t="str">
        <f t="shared" si="91"/>
        <v>May</v>
      </c>
    </row>
    <row r="1474" spans="1:14" x14ac:dyDescent="0.3">
      <c r="A1474" s="2" t="s">
        <v>1540</v>
      </c>
      <c r="B1474" s="6">
        <v>45784</v>
      </c>
      <c r="C1474" s="2" t="s">
        <v>31</v>
      </c>
      <c r="D1474" s="2" t="s">
        <v>75</v>
      </c>
      <c r="E1474" s="2">
        <v>1</v>
      </c>
      <c r="F1474" s="7">
        <v>549</v>
      </c>
      <c r="G1474" s="8">
        <v>0</v>
      </c>
      <c r="H1474" s="9" t="str">
        <f>INDEX(Products!$B$2:$B$37, MATCH(D1474, Products!$A$2:$A$37, 0))</f>
        <v>Oud Perfume 100ml</v>
      </c>
      <c r="I1474" t="str">
        <f>INDEX(Products!$C$2:$C$37, MATCH(D1474, Products!$A$2:$A$37, 0))</f>
        <v>Beauty</v>
      </c>
      <c r="J1474">
        <f>INDEX(Products!$E$2:$E$37, MATCH(D1474, Products!$A$2:$A$37, 0))</f>
        <v>250</v>
      </c>
      <c r="K1474" s="9">
        <f t="shared" ref="K1474:K1537" si="92">E1474*F1474*(1-G1474)</f>
        <v>549</v>
      </c>
      <c r="L1474">
        <f t="shared" ref="L1474:L1537" si="93">E1474*J1474</f>
        <v>250</v>
      </c>
      <c r="M1474" s="9">
        <f t="shared" ref="M1474:M1537" si="94">K1474-L1474</f>
        <v>299</v>
      </c>
      <c r="N1474" t="str">
        <f t="shared" ref="N1474:N1537" si="95">TEXT(B1474,"mmm")</f>
        <v>May</v>
      </c>
    </row>
    <row r="1475" spans="1:14" x14ac:dyDescent="0.3">
      <c r="A1475" s="2" t="s">
        <v>1541</v>
      </c>
      <c r="B1475" s="6">
        <v>45784</v>
      </c>
      <c r="C1475" s="2" t="s">
        <v>41</v>
      </c>
      <c r="D1475" s="2" t="s">
        <v>80</v>
      </c>
      <c r="E1475" s="2">
        <v>4</v>
      </c>
      <c r="F1475" s="7">
        <v>149</v>
      </c>
      <c r="G1475" s="8">
        <v>0.15</v>
      </c>
      <c r="H1475" s="9" t="str">
        <f>INDEX(Products!$B$2:$B$37, MATCH(D1475, Products!$A$2:$A$37, 0))</f>
        <v>Vitamin C Serum</v>
      </c>
      <c r="I1475" t="str">
        <f>INDEX(Products!$C$2:$C$37, MATCH(D1475, Products!$A$2:$A$37, 0))</f>
        <v>Beauty</v>
      </c>
      <c r="J1475">
        <f>INDEX(Products!$E$2:$E$37, MATCH(D1475, Products!$A$2:$A$37, 0))</f>
        <v>55</v>
      </c>
      <c r="K1475" s="9">
        <f t="shared" si="92"/>
        <v>506.59999999999997</v>
      </c>
      <c r="L1475">
        <f t="shared" si="93"/>
        <v>220</v>
      </c>
      <c r="M1475" s="9">
        <f t="shared" si="94"/>
        <v>286.59999999999997</v>
      </c>
      <c r="N1475" t="str">
        <f t="shared" si="95"/>
        <v>May</v>
      </c>
    </row>
    <row r="1476" spans="1:14" x14ac:dyDescent="0.3">
      <c r="A1476" s="2" t="s">
        <v>1542</v>
      </c>
      <c r="B1476" s="6">
        <v>45784</v>
      </c>
      <c r="C1476" s="2" t="s">
        <v>44</v>
      </c>
      <c r="D1476" s="2" t="s">
        <v>58</v>
      </c>
      <c r="E1476" s="2">
        <v>2</v>
      </c>
      <c r="F1476" s="7">
        <v>459</v>
      </c>
      <c r="G1476" s="8">
        <v>0</v>
      </c>
      <c r="H1476" s="9" t="str">
        <f>INDEX(Products!$B$2:$B$37, MATCH(D1476, Products!$A$2:$A$37, 0))</f>
        <v>Women's Abaya Classic</v>
      </c>
      <c r="I1476" t="str">
        <f>INDEX(Products!$C$2:$C$37, MATCH(D1476, Products!$A$2:$A$37, 0))</f>
        <v>Fashion</v>
      </c>
      <c r="J1476">
        <f>INDEX(Products!$E$2:$E$37, MATCH(D1476, Products!$A$2:$A$37, 0))</f>
        <v>190</v>
      </c>
      <c r="K1476" s="9">
        <f t="shared" si="92"/>
        <v>918</v>
      </c>
      <c r="L1476">
        <f t="shared" si="93"/>
        <v>380</v>
      </c>
      <c r="M1476" s="9">
        <f t="shared" si="94"/>
        <v>538</v>
      </c>
      <c r="N1476" t="str">
        <f t="shared" si="95"/>
        <v>May</v>
      </c>
    </row>
    <row r="1477" spans="1:14" x14ac:dyDescent="0.3">
      <c r="A1477" s="2" t="s">
        <v>1543</v>
      </c>
      <c r="B1477" s="6">
        <v>45784</v>
      </c>
      <c r="C1477" s="2" t="s">
        <v>44</v>
      </c>
      <c r="D1477" s="2" t="s">
        <v>68</v>
      </c>
      <c r="E1477" s="2">
        <v>1</v>
      </c>
      <c r="F1477" s="7">
        <v>249</v>
      </c>
      <c r="G1477" s="8">
        <v>0.15</v>
      </c>
      <c r="H1477" s="9" t="str">
        <f>INDEX(Products!$B$2:$B$37, MATCH(D1477, Products!$A$2:$A$37, 0))</f>
        <v>Bluetooth Speaker Mini</v>
      </c>
      <c r="I1477" t="str">
        <f>INDEX(Products!$C$2:$C$37, MATCH(D1477, Products!$A$2:$A$37, 0))</f>
        <v>Electronics</v>
      </c>
      <c r="J1477">
        <f>INDEX(Products!$E$2:$E$37, MATCH(D1477, Products!$A$2:$A$37, 0))</f>
        <v>150</v>
      </c>
      <c r="K1477" s="9">
        <f t="shared" si="92"/>
        <v>211.65</v>
      </c>
      <c r="L1477">
        <f t="shared" si="93"/>
        <v>150</v>
      </c>
      <c r="M1477" s="9">
        <f t="shared" si="94"/>
        <v>61.650000000000006</v>
      </c>
      <c r="N1477" t="str">
        <f t="shared" si="95"/>
        <v>May</v>
      </c>
    </row>
    <row r="1478" spans="1:14" x14ac:dyDescent="0.3">
      <c r="A1478" s="2" t="s">
        <v>1544</v>
      </c>
      <c r="B1478" s="6">
        <v>45784</v>
      </c>
      <c r="C1478" s="2" t="s">
        <v>48</v>
      </c>
      <c r="D1478" s="2" t="s">
        <v>58</v>
      </c>
      <c r="E1478" s="2">
        <v>1</v>
      </c>
      <c r="F1478" s="7">
        <v>459</v>
      </c>
      <c r="G1478" s="8">
        <v>0.05</v>
      </c>
      <c r="H1478" s="9" t="str">
        <f>INDEX(Products!$B$2:$B$37, MATCH(D1478, Products!$A$2:$A$37, 0))</f>
        <v>Women's Abaya Classic</v>
      </c>
      <c r="I1478" t="str">
        <f>INDEX(Products!$C$2:$C$37, MATCH(D1478, Products!$A$2:$A$37, 0))</f>
        <v>Fashion</v>
      </c>
      <c r="J1478">
        <f>INDEX(Products!$E$2:$E$37, MATCH(D1478, Products!$A$2:$A$37, 0))</f>
        <v>190</v>
      </c>
      <c r="K1478" s="9">
        <f t="shared" si="92"/>
        <v>436.04999999999995</v>
      </c>
      <c r="L1478">
        <f t="shared" si="93"/>
        <v>190</v>
      </c>
      <c r="M1478" s="9">
        <f t="shared" si="94"/>
        <v>246.04999999999995</v>
      </c>
      <c r="N1478" t="str">
        <f t="shared" si="95"/>
        <v>May</v>
      </c>
    </row>
    <row r="1479" spans="1:14" x14ac:dyDescent="0.3">
      <c r="A1479" s="2" t="s">
        <v>1545</v>
      </c>
      <c r="B1479" s="6">
        <v>45784</v>
      </c>
      <c r="C1479" s="2" t="s">
        <v>41</v>
      </c>
      <c r="D1479" s="2" t="s">
        <v>49</v>
      </c>
      <c r="E1479" s="2">
        <v>1</v>
      </c>
      <c r="F1479" s="7">
        <v>149</v>
      </c>
      <c r="G1479" s="8">
        <v>0.05</v>
      </c>
      <c r="H1479" s="9" t="str">
        <f>INDEX(Products!$B$2:$B$37, MATCH(D1479, Products!$A$2:$A$37, 0))</f>
        <v>Kids' Sneakers</v>
      </c>
      <c r="I1479" t="str">
        <f>INDEX(Products!$C$2:$C$37, MATCH(D1479, Products!$A$2:$A$37, 0))</f>
        <v>Fashion</v>
      </c>
      <c r="J1479">
        <f>INDEX(Products!$E$2:$E$37, MATCH(D1479, Products!$A$2:$A$37, 0))</f>
        <v>80</v>
      </c>
      <c r="K1479" s="9">
        <f t="shared" si="92"/>
        <v>141.54999999999998</v>
      </c>
      <c r="L1479">
        <f t="shared" si="93"/>
        <v>80</v>
      </c>
      <c r="M1479" s="9">
        <f t="shared" si="94"/>
        <v>61.549999999999983</v>
      </c>
      <c r="N1479" t="str">
        <f t="shared" si="95"/>
        <v>May</v>
      </c>
    </row>
    <row r="1480" spans="1:14" x14ac:dyDescent="0.3">
      <c r="A1480" s="2" t="s">
        <v>1546</v>
      </c>
      <c r="B1480" s="6">
        <v>45784</v>
      </c>
      <c r="C1480" s="2" t="s">
        <v>31</v>
      </c>
      <c r="D1480" s="2" t="s">
        <v>99</v>
      </c>
      <c r="E1480" s="2">
        <v>1</v>
      </c>
      <c r="F1480" s="7">
        <v>459</v>
      </c>
      <c r="G1480" s="8">
        <v>0.15</v>
      </c>
      <c r="H1480" s="9" t="str">
        <f>INDEX(Products!$B$2:$B$37, MATCH(D1480, Products!$A$2:$A$37, 0))</f>
        <v>Gaming Headset X</v>
      </c>
      <c r="I1480" t="str">
        <f>INDEX(Products!$C$2:$C$37, MATCH(D1480, Products!$A$2:$A$37, 0))</f>
        <v>Electronics</v>
      </c>
      <c r="J1480">
        <f>INDEX(Products!$E$2:$E$37, MATCH(D1480, Products!$A$2:$A$37, 0))</f>
        <v>300</v>
      </c>
      <c r="K1480" s="9">
        <f t="shared" si="92"/>
        <v>390.15</v>
      </c>
      <c r="L1480">
        <f t="shared" si="93"/>
        <v>300</v>
      </c>
      <c r="M1480" s="9">
        <f t="shared" si="94"/>
        <v>90.149999999999977</v>
      </c>
      <c r="N1480" t="str">
        <f t="shared" si="95"/>
        <v>May</v>
      </c>
    </row>
    <row r="1481" spans="1:14" x14ac:dyDescent="0.3">
      <c r="A1481" s="2" t="s">
        <v>1547</v>
      </c>
      <c r="B1481" s="6">
        <v>45784</v>
      </c>
      <c r="C1481" s="2" t="s">
        <v>44</v>
      </c>
      <c r="D1481" s="2" t="s">
        <v>52</v>
      </c>
      <c r="E1481" s="2">
        <v>1</v>
      </c>
      <c r="F1481" s="7">
        <v>299</v>
      </c>
      <c r="G1481" s="8">
        <v>0.25</v>
      </c>
      <c r="H1481" s="9" t="str">
        <f>INDEX(Products!$B$2:$B$37, MATCH(D1481, Products!$A$2:$A$37, 0))</f>
        <v>Hair Dryer Ionic</v>
      </c>
      <c r="I1481" t="str">
        <f>INDEX(Products!$C$2:$C$37, MATCH(D1481, Products!$A$2:$A$37, 0))</f>
        <v>Beauty</v>
      </c>
      <c r="J1481">
        <f>INDEX(Products!$E$2:$E$37, MATCH(D1481, Products!$A$2:$A$37, 0))</f>
        <v>240</v>
      </c>
      <c r="K1481" s="9">
        <f t="shared" si="92"/>
        <v>224.25</v>
      </c>
      <c r="L1481">
        <f t="shared" si="93"/>
        <v>240</v>
      </c>
      <c r="M1481" s="9">
        <f t="shared" si="94"/>
        <v>-15.75</v>
      </c>
      <c r="N1481" t="str">
        <f t="shared" si="95"/>
        <v>May</v>
      </c>
    </row>
    <row r="1482" spans="1:14" x14ac:dyDescent="0.3">
      <c r="A1482" s="2" t="s">
        <v>1548</v>
      </c>
      <c r="B1482" s="6">
        <v>45784</v>
      </c>
      <c r="C1482" s="2" t="s">
        <v>31</v>
      </c>
      <c r="D1482" s="2" t="s">
        <v>149</v>
      </c>
      <c r="E1482" s="2">
        <v>1</v>
      </c>
      <c r="F1482" s="7">
        <v>399</v>
      </c>
      <c r="G1482" s="8">
        <v>0</v>
      </c>
      <c r="H1482" s="9" t="str">
        <f>INDEX(Products!$B$2:$B$37, MATCH(D1482, Products!$A$2:$A$37, 0))</f>
        <v>Blender Pro 1200W</v>
      </c>
      <c r="I1482" t="str">
        <f>INDEX(Products!$C$2:$C$37, MATCH(D1482, Products!$A$2:$A$37, 0))</f>
        <v>Home &amp; Kitchen</v>
      </c>
      <c r="J1482">
        <f>INDEX(Products!$E$2:$E$37, MATCH(D1482, Products!$A$2:$A$37, 0))</f>
        <v>250</v>
      </c>
      <c r="K1482" s="9">
        <f t="shared" si="92"/>
        <v>399</v>
      </c>
      <c r="L1482">
        <f t="shared" si="93"/>
        <v>250</v>
      </c>
      <c r="M1482" s="9">
        <f t="shared" si="94"/>
        <v>149</v>
      </c>
      <c r="N1482" t="str">
        <f t="shared" si="95"/>
        <v>May</v>
      </c>
    </row>
    <row r="1483" spans="1:14" x14ac:dyDescent="0.3">
      <c r="A1483" s="2" t="s">
        <v>1549</v>
      </c>
      <c r="B1483" s="6">
        <v>45784</v>
      </c>
      <c r="C1483" s="2" t="s">
        <v>48</v>
      </c>
      <c r="D1483" s="2" t="s">
        <v>106</v>
      </c>
      <c r="E1483" s="2">
        <v>1</v>
      </c>
      <c r="F1483" s="7">
        <v>1299</v>
      </c>
      <c r="G1483" s="8">
        <v>0</v>
      </c>
      <c r="H1483" s="9" t="str">
        <f>INDEX(Products!$B$2:$B$37, MATCH(D1483, Products!$A$2:$A$37, 0))</f>
        <v>Smart Watch Series 5</v>
      </c>
      <c r="I1483" t="str">
        <f>INDEX(Products!$C$2:$C$37, MATCH(D1483, Products!$A$2:$A$37, 0))</f>
        <v>Electronics</v>
      </c>
      <c r="J1483">
        <f>INDEX(Products!$E$2:$E$37, MATCH(D1483, Products!$A$2:$A$37, 0))</f>
        <v>820</v>
      </c>
      <c r="K1483" s="9">
        <f t="shared" si="92"/>
        <v>1299</v>
      </c>
      <c r="L1483">
        <f t="shared" si="93"/>
        <v>820</v>
      </c>
      <c r="M1483" s="9">
        <f t="shared" si="94"/>
        <v>479</v>
      </c>
      <c r="N1483" t="str">
        <f t="shared" si="95"/>
        <v>May</v>
      </c>
    </row>
    <row r="1484" spans="1:14" x14ac:dyDescent="0.3">
      <c r="A1484" s="2" t="s">
        <v>1550</v>
      </c>
      <c r="B1484" s="6">
        <v>45785</v>
      </c>
      <c r="C1484" s="2" t="s">
        <v>31</v>
      </c>
      <c r="D1484" s="2" t="s">
        <v>49</v>
      </c>
      <c r="E1484" s="2">
        <v>1</v>
      </c>
      <c r="F1484" s="7">
        <v>149</v>
      </c>
      <c r="G1484" s="8">
        <v>0.1</v>
      </c>
      <c r="H1484" s="9" t="str">
        <f>INDEX(Products!$B$2:$B$37, MATCH(D1484, Products!$A$2:$A$37, 0))</f>
        <v>Kids' Sneakers</v>
      </c>
      <c r="I1484" t="str">
        <f>INDEX(Products!$C$2:$C$37, MATCH(D1484, Products!$A$2:$A$37, 0))</f>
        <v>Fashion</v>
      </c>
      <c r="J1484">
        <f>INDEX(Products!$E$2:$E$37, MATCH(D1484, Products!$A$2:$A$37, 0))</f>
        <v>80</v>
      </c>
      <c r="K1484" s="9">
        <f t="shared" si="92"/>
        <v>134.1</v>
      </c>
      <c r="L1484">
        <f t="shared" si="93"/>
        <v>80</v>
      </c>
      <c r="M1484" s="9">
        <f t="shared" si="94"/>
        <v>54.099999999999994</v>
      </c>
      <c r="N1484" t="str">
        <f t="shared" si="95"/>
        <v>May</v>
      </c>
    </row>
    <row r="1485" spans="1:14" x14ac:dyDescent="0.3">
      <c r="A1485" s="2" t="s">
        <v>1551</v>
      </c>
      <c r="B1485" s="6">
        <v>45785</v>
      </c>
      <c r="C1485" s="2" t="s">
        <v>31</v>
      </c>
      <c r="D1485" s="2" t="s">
        <v>115</v>
      </c>
      <c r="E1485" s="2">
        <v>3</v>
      </c>
      <c r="F1485" s="7">
        <v>129</v>
      </c>
      <c r="G1485" s="8">
        <v>0.1</v>
      </c>
      <c r="H1485" s="9" t="str">
        <f>INDEX(Products!$B$2:$B$37, MATCH(D1485, Products!$A$2:$A$37, 0))</f>
        <v>Electric Kettle</v>
      </c>
      <c r="I1485" t="str">
        <f>INDEX(Products!$C$2:$C$37, MATCH(D1485, Products!$A$2:$A$37, 0))</f>
        <v>Home &amp; Kitchen</v>
      </c>
      <c r="J1485">
        <f>INDEX(Products!$E$2:$E$37, MATCH(D1485, Products!$A$2:$A$37, 0))</f>
        <v>60</v>
      </c>
      <c r="K1485" s="9">
        <f t="shared" si="92"/>
        <v>348.3</v>
      </c>
      <c r="L1485">
        <f t="shared" si="93"/>
        <v>180</v>
      </c>
      <c r="M1485" s="9">
        <f t="shared" si="94"/>
        <v>168.3</v>
      </c>
      <c r="N1485" t="str">
        <f t="shared" si="95"/>
        <v>May</v>
      </c>
    </row>
    <row r="1486" spans="1:14" x14ac:dyDescent="0.3">
      <c r="A1486" s="2" t="s">
        <v>1552</v>
      </c>
      <c r="B1486" s="6">
        <v>45785</v>
      </c>
      <c r="C1486" s="2" t="s">
        <v>28</v>
      </c>
      <c r="D1486" s="2" t="s">
        <v>129</v>
      </c>
      <c r="E1486" s="2">
        <v>1</v>
      </c>
      <c r="F1486" s="7">
        <v>149</v>
      </c>
      <c r="G1486" s="8">
        <v>0</v>
      </c>
      <c r="H1486" s="9" t="str">
        <f>INDEX(Products!$B$2:$B$37, MATCH(D1486, Products!$A$2:$A$37, 0))</f>
        <v>Power Bank 20000mAh</v>
      </c>
      <c r="I1486" t="str">
        <f>INDEX(Products!$C$2:$C$37, MATCH(D1486, Products!$A$2:$A$37, 0))</f>
        <v>Electronics</v>
      </c>
      <c r="J1486">
        <f>INDEX(Products!$E$2:$E$37, MATCH(D1486, Products!$A$2:$A$37, 0))</f>
        <v>70</v>
      </c>
      <c r="K1486" s="9">
        <f t="shared" si="92"/>
        <v>149</v>
      </c>
      <c r="L1486">
        <f t="shared" si="93"/>
        <v>70</v>
      </c>
      <c r="M1486" s="9">
        <f t="shared" si="94"/>
        <v>79</v>
      </c>
      <c r="N1486" t="str">
        <f t="shared" si="95"/>
        <v>May</v>
      </c>
    </row>
    <row r="1487" spans="1:14" x14ac:dyDescent="0.3">
      <c r="A1487" s="2" t="s">
        <v>1553</v>
      </c>
      <c r="B1487" s="6">
        <v>45785</v>
      </c>
      <c r="C1487" s="2" t="s">
        <v>41</v>
      </c>
      <c r="D1487" s="2" t="s">
        <v>58</v>
      </c>
      <c r="E1487" s="2">
        <v>2</v>
      </c>
      <c r="F1487" s="7">
        <v>459</v>
      </c>
      <c r="G1487" s="8">
        <v>0.05</v>
      </c>
      <c r="H1487" s="9" t="str">
        <f>INDEX(Products!$B$2:$B$37, MATCH(D1487, Products!$A$2:$A$37, 0))</f>
        <v>Women's Abaya Classic</v>
      </c>
      <c r="I1487" t="str">
        <f>INDEX(Products!$C$2:$C$37, MATCH(D1487, Products!$A$2:$A$37, 0))</f>
        <v>Fashion</v>
      </c>
      <c r="J1487">
        <f>INDEX(Products!$E$2:$E$37, MATCH(D1487, Products!$A$2:$A$37, 0))</f>
        <v>190</v>
      </c>
      <c r="K1487" s="9">
        <f t="shared" si="92"/>
        <v>872.09999999999991</v>
      </c>
      <c r="L1487">
        <f t="shared" si="93"/>
        <v>380</v>
      </c>
      <c r="M1487" s="9">
        <f t="shared" si="94"/>
        <v>492.09999999999991</v>
      </c>
      <c r="N1487" t="str">
        <f t="shared" si="95"/>
        <v>May</v>
      </c>
    </row>
    <row r="1488" spans="1:14" x14ac:dyDescent="0.3">
      <c r="A1488" s="2" t="s">
        <v>1554</v>
      </c>
      <c r="B1488" s="6">
        <v>45785</v>
      </c>
      <c r="C1488" s="2" t="s">
        <v>28</v>
      </c>
      <c r="D1488" s="2" t="s">
        <v>58</v>
      </c>
      <c r="E1488" s="2">
        <v>1</v>
      </c>
      <c r="F1488" s="7">
        <v>459</v>
      </c>
      <c r="G1488" s="8">
        <v>0</v>
      </c>
      <c r="H1488" s="9" t="str">
        <f>INDEX(Products!$B$2:$B$37, MATCH(D1488, Products!$A$2:$A$37, 0))</f>
        <v>Women's Abaya Classic</v>
      </c>
      <c r="I1488" t="str">
        <f>INDEX(Products!$C$2:$C$37, MATCH(D1488, Products!$A$2:$A$37, 0))</f>
        <v>Fashion</v>
      </c>
      <c r="J1488">
        <f>INDEX(Products!$E$2:$E$37, MATCH(D1488, Products!$A$2:$A$37, 0))</f>
        <v>190</v>
      </c>
      <c r="K1488" s="9">
        <f t="shared" si="92"/>
        <v>459</v>
      </c>
      <c r="L1488">
        <f t="shared" si="93"/>
        <v>190</v>
      </c>
      <c r="M1488" s="9">
        <f t="shared" si="94"/>
        <v>269</v>
      </c>
      <c r="N1488" t="str">
        <f t="shared" si="95"/>
        <v>May</v>
      </c>
    </row>
    <row r="1489" spans="1:14" x14ac:dyDescent="0.3">
      <c r="A1489" s="2" t="s">
        <v>1555</v>
      </c>
      <c r="B1489" s="6">
        <v>45785</v>
      </c>
      <c r="C1489" s="2" t="s">
        <v>41</v>
      </c>
      <c r="D1489" s="2" t="s">
        <v>33</v>
      </c>
      <c r="E1489" s="2">
        <v>1</v>
      </c>
      <c r="F1489" s="7">
        <v>199</v>
      </c>
      <c r="G1489" s="8">
        <v>0.15</v>
      </c>
      <c r="H1489" s="9" t="str">
        <f>INDEX(Products!$B$2:$B$37, MATCH(D1489, Products!$A$2:$A$37, 0))</f>
        <v>Fitness Band Lite</v>
      </c>
      <c r="I1489" t="str">
        <f>INDEX(Products!$C$2:$C$37, MATCH(D1489, Products!$A$2:$A$37, 0))</f>
        <v>Electronics</v>
      </c>
      <c r="J1489">
        <f>INDEX(Products!$E$2:$E$37, MATCH(D1489, Products!$A$2:$A$37, 0))</f>
        <v>175</v>
      </c>
      <c r="K1489" s="9">
        <f t="shared" si="92"/>
        <v>169.15</v>
      </c>
      <c r="L1489">
        <f t="shared" si="93"/>
        <v>175</v>
      </c>
      <c r="M1489" s="9">
        <f t="shared" si="94"/>
        <v>-5.8499999999999943</v>
      </c>
      <c r="N1489" t="str">
        <f t="shared" si="95"/>
        <v>May</v>
      </c>
    </row>
    <row r="1490" spans="1:14" x14ac:dyDescent="0.3">
      <c r="A1490" s="2" t="s">
        <v>1556</v>
      </c>
      <c r="B1490" s="6">
        <v>45785</v>
      </c>
      <c r="C1490" s="2" t="s">
        <v>48</v>
      </c>
      <c r="D1490" s="2" t="s">
        <v>58</v>
      </c>
      <c r="E1490" s="2">
        <v>2</v>
      </c>
      <c r="F1490" s="7">
        <v>459</v>
      </c>
      <c r="G1490" s="8">
        <v>0</v>
      </c>
      <c r="H1490" s="9" t="str">
        <f>INDEX(Products!$B$2:$B$37, MATCH(D1490, Products!$A$2:$A$37, 0))</f>
        <v>Women's Abaya Classic</v>
      </c>
      <c r="I1490" t="str">
        <f>INDEX(Products!$C$2:$C$37, MATCH(D1490, Products!$A$2:$A$37, 0))</f>
        <v>Fashion</v>
      </c>
      <c r="J1490">
        <f>INDEX(Products!$E$2:$E$37, MATCH(D1490, Products!$A$2:$A$37, 0))</f>
        <v>190</v>
      </c>
      <c r="K1490" s="9">
        <f t="shared" si="92"/>
        <v>918</v>
      </c>
      <c r="L1490">
        <f t="shared" si="93"/>
        <v>380</v>
      </c>
      <c r="M1490" s="9">
        <f t="shared" si="94"/>
        <v>538</v>
      </c>
      <c r="N1490" t="str">
        <f t="shared" si="95"/>
        <v>May</v>
      </c>
    </row>
    <row r="1491" spans="1:14" x14ac:dyDescent="0.3">
      <c r="A1491" s="2" t="s">
        <v>1557</v>
      </c>
      <c r="B1491" s="6">
        <v>45785</v>
      </c>
      <c r="C1491" s="2" t="s">
        <v>41</v>
      </c>
      <c r="D1491" s="2" t="s">
        <v>65</v>
      </c>
      <c r="E1491" s="2">
        <v>1</v>
      </c>
      <c r="F1491" s="7">
        <v>129</v>
      </c>
      <c r="G1491" s="8">
        <v>0</v>
      </c>
      <c r="H1491" s="9" t="str">
        <f>INDEX(Products!$B$2:$B$37, MATCH(D1491, Products!$A$2:$A$37, 0))</f>
        <v>Yoga Mat Premium</v>
      </c>
      <c r="I1491" t="str">
        <f>INDEX(Products!$C$2:$C$37, MATCH(D1491, Products!$A$2:$A$37, 0))</f>
        <v>Sports</v>
      </c>
      <c r="J1491">
        <f>INDEX(Products!$E$2:$E$37, MATCH(D1491, Products!$A$2:$A$37, 0))</f>
        <v>60</v>
      </c>
      <c r="K1491" s="9">
        <f t="shared" si="92"/>
        <v>129</v>
      </c>
      <c r="L1491">
        <f t="shared" si="93"/>
        <v>60</v>
      </c>
      <c r="M1491" s="9">
        <f t="shared" si="94"/>
        <v>69</v>
      </c>
      <c r="N1491" t="str">
        <f t="shared" si="95"/>
        <v>May</v>
      </c>
    </row>
    <row r="1492" spans="1:14" x14ac:dyDescent="0.3">
      <c r="A1492" s="2" t="s">
        <v>1558</v>
      </c>
      <c r="B1492" s="6">
        <v>45785</v>
      </c>
      <c r="C1492" s="2" t="s">
        <v>28</v>
      </c>
      <c r="D1492" s="2" t="s">
        <v>68</v>
      </c>
      <c r="E1492" s="2">
        <v>2</v>
      </c>
      <c r="F1492" s="7">
        <v>249</v>
      </c>
      <c r="G1492" s="8">
        <v>0</v>
      </c>
      <c r="H1492" s="9" t="str">
        <f>INDEX(Products!$B$2:$B$37, MATCH(D1492, Products!$A$2:$A$37, 0))</f>
        <v>Bluetooth Speaker Mini</v>
      </c>
      <c r="I1492" t="str">
        <f>INDEX(Products!$C$2:$C$37, MATCH(D1492, Products!$A$2:$A$37, 0))</f>
        <v>Electronics</v>
      </c>
      <c r="J1492">
        <f>INDEX(Products!$E$2:$E$37, MATCH(D1492, Products!$A$2:$A$37, 0))</f>
        <v>150</v>
      </c>
      <c r="K1492" s="9">
        <f t="shared" si="92"/>
        <v>498</v>
      </c>
      <c r="L1492">
        <f t="shared" si="93"/>
        <v>300</v>
      </c>
      <c r="M1492" s="9">
        <f t="shared" si="94"/>
        <v>198</v>
      </c>
      <c r="N1492" t="str">
        <f t="shared" si="95"/>
        <v>May</v>
      </c>
    </row>
    <row r="1493" spans="1:14" x14ac:dyDescent="0.3">
      <c r="A1493" s="2" t="s">
        <v>1559</v>
      </c>
      <c r="B1493" s="6">
        <v>45785</v>
      </c>
      <c r="C1493" s="2" t="s">
        <v>48</v>
      </c>
      <c r="D1493" s="2" t="s">
        <v>33</v>
      </c>
      <c r="E1493" s="2">
        <v>1</v>
      </c>
      <c r="F1493" s="7">
        <v>199</v>
      </c>
      <c r="G1493" s="8">
        <v>0.25</v>
      </c>
      <c r="H1493" s="9" t="str">
        <f>INDEX(Products!$B$2:$B$37, MATCH(D1493, Products!$A$2:$A$37, 0))</f>
        <v>Fitness Band Lite</v>
      </c>
      <c r="I1493" t="str">
        <f>INDEX(Products!$C$2:$C$37, MATCH(D1493, Products!$A$2:$A$37, 0))</f>
        <v>Electronics</v>
      </c>
      <c r="J1493">
        <f>INDEX(Products!$E$2:$E$37, MATCH(D1493, Products!$A$2:$A$37, 0))</f>
        <v>175</v>
      </c>
      <c r="K1493" s="9">
        <f t="shared" si="92"/>
        <v>149.25</v>
      </c>
      <c r="L1493">
        <f t="shared" si="93"/>
        <v>175</v>
      </c>
      <c r="M1493" s="9">
        <f t="shared" si="94"/>
        <v>-25.75</v>
      </c>
      <c r="N1493" t="str">
        <f t="shared" si="95"/>
        <v>May</v>
      </c>
    </row>
    <row r="1494" spans="1:14" x14ac:dyDescent="0.3">
      <c r="A1494" s="2" t="s">
        <v>1560</v>
      </c>
      <c r="B1494" s="6">
        <v>45785</v>
      </c>
      <c r="C1494" s="2" t="s">
        <v>28</v>
      </c>
      <c r="D1494" s="2" t="s">
        <v>87</v>
      </c>
      <c r="E1494" s="2">
        <v>1</v>
      </c>
      <c r="F1494" s="7">
        <v>799</v>
      </c>
      <c r="G1494" s="8">
        <v>0.15</v>
      </c>
      <c r="H1494" s="9" t="str">
        <f>INDEX(Products!$B$2:$B$37, MATCH(D1494, Products!$A$2:$A$37, 0))</f>
        <v>Adjustable Dumbbells</v>
      </c>
      <c r="I1494" t="str">
        <f>INDEX(Products!$C$2:$C$37, MATCH(D1494, Products!$A$2:$A$37, 0))</f>
        <v>Sports</v>
      </c>
      <c r="J1494">
        <f>INDEX(Products!$E$2:$E$37, MATCH(D1494, Products!$A$2:$A$37, 0))</f>
        <v>700</v>
      </c>
      <c r="K1494" s="9">
        <f t="shared" si="92"/>
        <v>679.15</v>
      </c>
      <c r="L1494">
        <f t="shared" si="93"/>
        <v>700</v>
      </c>
      <c r="M1494" s="9">
        <f t="shared" si="94"/>
        <v>-20.850000000000023</v>
      </c>
      <c r="N1494" t="str">
        <f t="shared" si="95"/>
        <v>May</v>
      </c>
    </row>
    <row r="1495" spans="1:14" x14ac:dyDescent="0.3">
      <c r="A1495" s="2" t="s">
        <v>1561</v>
      </c>
      <c r="B1495" s="6">
        <v>45785</v>
      </c>
      <c r="C1495" s="2" t="s">
        <v>31</v>
      </c>
      <c r="D1495" s="2" t="s">
        <v>56</v>
      </c>
      <c r="E1495" s="2">
        <v>2</v>
      </c>
      <c r="F1495" s="7">
        <v>289</v>
      </c>
      <c r="G1495" s="8">
        <v>0.1</v>
      </c>
      <c r="H1495" s="9" t="str">
        <f>INDEX(Products!$B$2:$B$37, MATCH(D1495, Products!$A$2:$A$37, 0))</f>
        <v>Ceramic Dinner Set</v>
      </c>
      <c r="I1495" t="str">
        <f>INDEX(Products!$C$2:$C$37, MATCH(D1495, Products!$A$2:$A$37, 0))</f>
        <v>Home &amp; Kitchen</v>
      </c>
      <c r="J1495">
        <f>INDEX(Products!$E$2:$E$37, MATCH(D1495, Products!$A$2:$A$37, 0))</f>
        <v>140</v>
      </c>
      <c r="K1495" s="9">
        <f t="shared" si="92"/>
        <v>520.20000000000005</v>
      </c>
      <c r="L1495">
        <f t="shared" si="93"/>
        <v>280</v>
      </c>
      <c r="M1495" s="9">
        <f t="shared" si="94"/>
        <v>240.20000000000005</v>
      </c>
      <c r="N1495" t="str">
        <f t="shared" si="95"/>
        <v>May</v>
      </c>
    </row>
    <row r="1496" spans="1:14" x14ac:dyDescent="0.3">
      <c r="A1496" s="2" t="s">
        <v>1562</v>
      </c>
      <c r="B1496" s="6">
        <v>45785</v>
      </c>
      <c r="C1496" s="2" t="s">
        <v>28</v>
      </c>
      <c r="D1496" s="2" t="s">
        <v>39</v>
      </c>
      <c r="E1496" s="2">
        <v>2</v>
      </c>
      <c r="F1496" s="7">
        <v>199</v>
      </c>
      <c r="G1496" s="8">
        <v>0.1</v>
      </c>
      <c r="H1496" s="9" t="str">
        <f>INDEX(Products!$B$2:$B$37, MATCH(D1496, Products!$A$2:$A$37, 0))</f>
        <v>Bakhoor Gift Set</v>
      </c>
      <c r="I1496" t="str">
        <f>INDEX(Products!$C$2:$C$37, MATCH(D1496, Products!$A$2:$A$37, 0))</f>
        <v>Beauty</v>
      </c>
      <c r="J1496">
        <f>INDEX(Products!$E$2:$E$37, MATCH(D1496, Products!$A$2:$A$37, 0))</f>
        <v>90</v>
      </c>
      <c r="K1496" s="9">
        <f t="shared" si="92"/>
        <v>358.2</v>
      </c>
      <c r="L1496">
        <f t="shared" si="93"/>
        <v>180</v>
      </c>
      <c r="M1496" s="9">
        <f t="shared" si="94"/>
        <v>178.2</v>
      </c>
      <c r="N1496" t="str">
        <f t="shared" si="95"/>
        <v>May</v>
      </c>
    </row>
    <row r="1497" spans="1:14" x14ac:dyDescent="0.3">
      <c r="A1497" s="2" t="s">
        <v>1563</v>
      </c>
      <c r="B1497" s="6">
        <v>45786</v>
      </c>
      <c r="C1497" s="2" t="s">
        <v>28</v>
      </c>
      <c r="D1497" s="2" t="s">
        <v>149</v>
      </c>
      <c r="E1497" s="2">
        <v>1</v>
      </c>
      <c r="F1497" s="7">
        <v>399</v>
      </c>
      <c r="G1497" s="8">
        <v>0.2</v>
      </c>
      <c r="H1497" s="9" t="str">
        <f>INDEX(Products!$B$2:$B$37, MATCH(D1497, Products!$A$2:$A$37, 0))</f>
        <v>Blender Pro 1200W</v>
      </c>
      <c r="I1497" t="str">
        <f>INDEX(Products!$C$2:$C$37, MATCH(D1497, Products!$A$2:$A$37, 0))</f>
        <v>Home &amp; Kitchen</v>
      </c>
      <c r="J1497">
        <f>INDEX(Products!$E$2:$E$37, MATCH(D1497, Products!$A$2:$A$37, 0))</f>
        <v>250</v>
      </c>
      <c r="K1497" s="9">
        <f t="shared" si="92"/>
        <v>319.20000000000005</v>
      </c>
      <c r="L1497">
        <f t="shared" si="93"/>
        <v>250</v>
      </c>
      <c r="M1497" s="9">
        <f t="shared" si="94"/>
        <v>69.200000000000045</v>
      </c>
      <c r="N1497" t="str">
        <f t="shared" si="95"/>
        <v>May</v>
      </c>
    </row>
    <row r="1498" spans="1:14" x14ac:dyDescent="0.3">
      <c r="A1498" s="2" t="s">
        <v>1564</v>
      </c>
      <c r="B1498" s="6">
        <v>45786</v>
      </c>
      <c r="C1498" s="2" t="s">
        <v>28</v>
      </c>
      <c r="D1498" s="2" t="s">
        <v>37</v>
      </c>
      <c r="E1498" s="2">
        <v>1</v>
      </c>
      <c r="F1498" s="7">
        <v>249</v>
      </c>
      <c r="G1498" s="8">
        <v>0.2</v>
      </c>
      <c r="H1498" s="9" t="str">
        <f>INDEX(Products!$B$2:$B$37, MATCH(D1498, Products!$A$2:$A$37, 0))</f>
        <v>Sunglasses Polarised</v>
      </c>
      <c r="I1498" t="str">
        <f>INDEX(Products!$C$2:$C$37, MATCH(D1498, Products!$A$2:$A$37, 0))</f>
        <v>Fashion</v>
      </c>
      <c r="J1498">
        <f>INDEX(Products!$E$2:$E$37, MATCH(D1498, Products!$A$2:$A$37, 0))</f>
        <v>95</v>
      </c>
      <c r="K1498" s="9">
        <f t="shared" si="92"/>
        <v>199.20000000000002</v>
      </c>
      <c r="L1498">
        <f t="shared" si="93"/>
        <v>95</v>
      </c>
      <c r="M1498" s="9">
        <f t="shared" si="94"/>
        <v>104.20000000000002</v>
      </c>
      <c r="N1498" t="str">
        <f t="shared" si="95"/>
        <v>May</v>
      </c>
    </row>
    <row r="1499" spans="1:14" x14ac:dyDescent="0.3">
      <c r="A1499" s="2" t="s">
        <v>1565</v>
      </c>
      <c r="B1499" s="6">
        <v>45786</v>
      </c>
      <c r="C1499" s="2" t="s">
        <v>44</v>
      </c>
      <c r="D1499" s="2" t="s">
        <v>37</v>
      </c>
      <c r="E1499" s="2">
        <v>1</v>
      </c>
      <c r="F1499" s="7">
        <v>249</v>
      </c>
      <c r="G1499" s="8">
        <v>0</v>
      </c>
      <c r="H1499" s="9" t="str">
        <f>INDEX(Products!$B$2:$B$37, MATCH(D1499, Products!$A$2:$A$37, 0))</f>
        <v>Sunglasses Polarised</v>
      </c>
      <c r="I1499" t="str">
        <f>INDEX(Products!$C$2:$C$37, MATCH(D1499, Products!$A$2:$A$37, 0))</f>
        <v>Fashion</v>
      </c>
      <c r="J1499">
        <f>INDEX(Products!$E$2:$E$37, MATCH(D1499, Products!$A$2:$A$37, 0))</f>
        <v>95</v>
      </c>
      <c r="K1499" s="9">
        <f t="shared" si="92"/>
        <v>249</v>
      </c>
      <c r="L1499">
        <f t="shared" si="93"/>
        <v>95</v>
      </c>
      <c r="M1499" s="9">
        <f t="shared" si="94"/>
        <v>154</v>
      </c>
      <c r="N1499" t="str">
        <f t="shared" si="95"/>
        <v>May</v>
      </c>
    </row>
    <row r="1500" spans="1:14" x14ac:dyDescent="0.3">
      <c r="A1500" s="2" t="s">
        <v>1566</v>
      </c>
      <c r="B1500" s="6">
        <v>45786</v>
      </c>
      <c r="C1500" s="2" t="s">
        <v>48</v>
      </c>
      <c r="D1500" s="2" t="s">
        <v>46</v>
      </c>
      <c r="E1500" s="2">
        <v>1</v>
      </c>
      <c r="F1500" s="7">
        <v>189</v>
      </c>
      <c r="G1500" s="8">
        <v>0.05</v>
      </c>
      <c r="H1500" s="9" t="str">
        <f>INDEX(Products!$B$2:$B$37, MATCH(D1500, Products!$A$2:$A$37, 0))</f>
        <v>Makeup Palette</v>
      </c>
      <c r="I1500" t="str">
        <f>INDEX(Products!$C$2:$C$37, MATCH(D1500, Products!$A$2:$A$37, 0))</f>
        <v>Beauty</v>
      </c>
      <c r="J1500">
        <f>INDEX(Products!$E$2:$E$37, MATCH(D1500, Products!$A$2:$A$37, 0))</f>
        <v>85</v>
      </c>
      <c r="K1500" s="9">
        <f t="shared" si="92"/>
        <v>179.54999999999998</v>
      </c>
      <c r="L1500">
        <f t="shared" si="93"/>
        <v>85</v>
      </c>
      <c r="M1500" s="9">
        <f t="shared" si="94"/>
        <v>94.549999999999983</v>
      </c>
      <c r="N1500" t="str">
        <f t="shared" si="95"/>
        <v>May</v>
      </c>
    </row>
    <row r="1501" spans="1:14" x14ac:dyDescent="0.3">
      <c r="A1501" s="2" t="s">
        <v>1567</v>
      </c>
      <c r="B1501" s="6">
        <v>45786</v>
      </c>
      <c r="C1501" s="2" t="s">
        <v>28</v>
      </c>
      <c r="D1501" s="2" t="s">
        <v>126</v>
      </c>
      <c r="E1501" s="2">
        <v>2</v>
      </c>
      <c r="F1501" s="7">
        <v>89</v>
      </c>
      <c r="G1501" s="8">
        <v>0</v>
      </c>
      <c r="H1501" s="9" t="str">
        <f>INDEX(Products!$B$2:$B$37, MATCH(D1501, Products!$A$2:$A$37, 0))</f>
        <v>USB-C Fast Charger</v>
      </c>
      <c r="I1501" t="str">
        <f>INDEX(Products!$C$2:$C$37, MATCH(D1501, Products!$A$2:$A$37, 0))</f>
        <v>Electronics</v>
      </c>
      <c r="J1501">
        <f>INDEX(Products!$E$2:$E$37, MATCH(D1501, Products!$A$2:$A$37, 0))</f>
        <v>35</v>
      </c>
      <c r="K1501" s="9">
        <f t="shared" si="92"/>
        <v>178</v>
      </c>
      <c r="L1501">
        <f t="shared" si="93"/>
        <v>70</v>
      </c>
      <c r="M1501" s="9">
        <f t="shared" si="94"/>
        <v>108</v>
      </c>
      <c r="N1501" t="str">
        <f t="shared" si="95"/>
        <v>May</v>
      </c>
    </row>
    <row r="1502" spans="1:14" x14ac:dyDescent="0.3">
      <c r="A1502" s="2" t="s">
        <v>1568</v>
      </c>
      <c r="B1502" s="6">
        <v>45786</v>
      </c>
      <c r="C1502" s="2" t="s">
        <v>41</v>
      </c>
      <c r="D1502" s="2" t="s">
        <v>78</v>
      </c>
      <c r="E1502" s="2">
        <v>2</v>
      </c>
      <c r="F1502" s="7">
        <v>499</v>
      </c>
      <c r="G1502" s="8">
        <v>0</v>
      </c>
      <c r="H1502" s="9" t="str">
        <f>INDEX(Products!$B$2:$B$37, MATCH(D1502, Products!$A$2:$A$37, 0))</f>
        <v>Air Fryer 5L</v>
      </c>
      <c r="I1502" t="str">
        <f>INDEX(Products!$C$2:$C$37, MATCH(D1502, Products!$A$2:$A$37, 0))</f>
        <v>Home &amp; Kitchen</v>
      </c>
      <c r="J1502">
        <f>INDEX(Products!$E$2:$E$37, MATCH(D1502, Products!$A$2:$A$37, 0))</f>
        <v>290</v>
      </c>
      <c r="K1502" s="9">
        <f t="shared" si="92"/>
        <v>998</v>
      </c>
      <c r="L1502">
        <f t="shared" si="93"/>
        <v>580</v>
      </c>
      <c r="M1502" s="9">
        <f t="shared" si="94"/>
        <v>418</v>
      </c>
      <c r="N1502" t="str">
        <f t="shared" si="95"/>
        <v>May</v>
      </c>
    </row>
    <row r="1503" spans="1:14" x14ac:dyDescent="0.3">
      <c r="A1503" s="2" t="s">
        <v>1569</v>
      </c>
      <c r="B1503" s="6">
        <v>45786</v>
      </c>
      <c r="C1503" s="2" t="s">
        <v>41</v>
      </c>
      <c r="D1503" s="2" t="s">
        <v>52</v>
      </c>
      <c r="E1503" s="2">
        <v>1</v>
      </c>
      <c r="F1503" s="7">
        <v>299</v>
      </c>
      <c r="G1503" s="8">
        <v>0.2</v>
      </c>
      <c r="H1503" s="9" t="str">
        <f>INDEX(Products!$B$2:$B$37, MATCH(D1503, Products!$A$2:$A$37, 0))</f>
        <v>Hair Dryer Ionic</v>
      </c>
      <c r="I1503" t="str">
        <f>INDEX(Products!$C$2:$C$37, MATCH(D1503, Products!$A$2:$A$37, 0))</f>
        <v>Beauty</v>
      </c>
      <c r="J1503">
        <f>INDEX(Products!$E$2:$E$37, MATCH(D1503, Products!$A$2:$A$37, 0))</f>
        <v>240</v>
      </c>
      <c r="K1503" s="9">
        <f t="shared" si="92"/>
        <v>239.20000000000002</v>
      </c>
      <c r="L1503">
        <f t="shared" si="93"/>
        <v>240</v>
      </c>
      <c r="M1503" s="9">
        <f t="shared" si="94"/>
        <v>-0.79999999999998295</v>
      </c>
      <c r="N1503" t="str">
        <f t="shared" si="95"/>
        <v>May</v>
      </c>
    </row>
    <row r="1504" spans="1:14" x14ac:dyDescent="0.3">
      <c r="A1504" s="2" t="s">
        <v>1570</v>
      </c>
      <c r="B1504" s="6">
        <v>45786</v>
      </c>
      <c r="C1504" s="2" t="s">
        <v>31</v>
      </c>
      <c r="D1504" s="2" t="s">
        <v>46</v>
      </c>
      <c r="E1504" s="2">
        <v>3</v>
      </c>
      <c r="F1504" s="7">
        <v>189</v>
      </c>
      <c r="G1504" s="8">
        <v>0</v>
      </c>
      <c r="H1504" s="9" t="str">
        <f>INDEX(Products!$B$2:$B$37, MATCH(D1504, Products!$A$2:$A$37, 0))</f>
        <v>Makeup Palette</v>
      </c>
      <c r="I1504" t="str">
        <f>INDEX(Products!$C$2:$C$37, MATCH(D1504, Products!$A$2:$A$37, 0))</f>
        <v>Beauty</v>
      </c>
      <c r="J1504">
        <f>INDEX(Products!$E$2:$E$37, MATCH(D1504, Products!$A$2:$A$37, 0))</f>
        <v>85</v>
      </c>
      <c r="K1504" s="9">
        <f t="shared" si="92"/>
        <v>567</v>
      </c>
      <c r="L1504">
        <f t="shared" si="93"/>
        <v>255</v>
      </c>
      <c r="M1504" s="9">
        <f t="shared" si="94"/>
        <v>312</v>
      </c>
      <c r="N1504" t="str">
        <f t="shared" si="95"/>
        <v>May</v>
      </c>
    </row>
    <row r="1505" spans="1:14" x14ac:dyDescent="0.3">
      <c r="A1505" s="2" t="s">
        <v>1571</v>
      </c>
      <c r="B1505" s="6">
        <v>45786</v>
      </c>
      <c r="C1505" s="2" t="s">
        <v>41</v>
      </c>
      <c r="D1505" s="2" t="s">
        <v>35</v>
      </c>
      <c r="E1505" s="2">
        <v>1</v>
      </c>
      <c r="F1505" s="7">
        <v>179</v>
      </c>
      <c r="G1505" s="8">
        <v>0.1</v>
      </c>
      <c r="H1505" s="9" t="str">
        <f>INDEX(Products!$B$2:$B$37, MATCH(D1505, Products!$A$2:$A$37, 0))</f>
        <v>Men's Linen Shirt</v>
      </c>
      <c r="I1505" t="str">
        <f>INDEX(Products!$C$2:$C$37, MATCH(D1505, Products!$A$2:$A$37, 0))</f>
        <v>Fashion</v>
      </c>
      <c r="J1505">
        <f>INDEX(Products!$E$2:$E$37, MATCH(D1505, Products!$A$2:$A$37, 0))</f>
        <v>70</v>
      </c>
      <c r="K1505" s="9">
        <f t="shared" si="92"/>
        <v>161.1</v>
      </c>
      <c r="L1505">
        <f t="shared" si="93"/>
        <v>70</v>
      </c>
      <c r="M1505" s="9">
        <f t="shared" si="94"/>
        <v>91.1</v>
      </c>
      <c r="N1505" t="str">
        <f t="shared" si="95"/>
        <v>May</v>
      </c>
    </row>
    <row r="1506" spans="1:14" x14ac:dyDescent="0.3">
      <c r="A1506" s="2" t="s">
        <v>1572</v>
      </c>
      <c r="B1506" s="6">
        <v>45786</v>
      </c>
      <c r="C1506" s="2" t="s">
        <v>31</v>
      </c>
      <c r="D1506" s="2" t="s">
        <v>68</v>
      </c>
      <c r="E1506" s="2">
        <v>2</v>
      </c>
      <c r="F1506" s="7">
        <v>249</v>
      </c>
      <c r="G1506" s="8">
        <v>0.1</v>
      </c>
      <c r="H1506" s="9" t="str">
        <f>INDEX(Products!$B$2:$B$37, MATCH(D1506, Products!$A$2:$A$37, 0))</f>
        <v>Bluetooth Speaker Mini</v>
      </c>
      <c r="I1506" t="str">
        <f>INDEX(Products!$C$2:$C$37, MATCH(D1506, Products!$A$2:$A$37, 0))</f>
        <v>Electronics</v>
      </c>
      <c r="J1506">
        <f>INDEX(Products!$E$2:$E$37, MATCH(D1506, Products!$A$2:$A$37, 0))</f>
        <v>150</v>
      </c>
      <c r="K1506" s="9">
        <f t="shared" si="92"/>
        <v>448.2</v>
      </c>
      <c r="L1506">
        <f t="shared" si="93"/>
        <v>300</v>
      </c>
      <c r="M1506" s="9">
        <f t="shared" si="94"/>
        <v>148.19999999999999</v>
      </c>
      <c r="N1506" t="str">
        <f t="shared" si="95"/>
        <v>May</v>
      </c>
    </row>
    <row r="1507" spans="1:14" x14ac:dyDescent="0.3">
      <c r="A1507" s="2" t="s">
        <v>1573</v>
      </c>
      <c r="B1507" s="6">
        <v>45786</v>
      </c>
      <c r="C1507" s="2" t="s">
        <v>41</v>
      </c>
      <c r="D1507" s="2" t="s">
        <v>149</v>
      </c>
      <c r="E1507" s="2">
        <v>2</v>
      </c>
      <c r="F1507" s="7">
        <v>399</v>
      </c>
      <c r="G1507" s="8">
        <v>0.1</v>
      </c>
      <c r="H1507" s="9" t="str">
        <f>INDEX(Products!$B$2:$B$37, MATCH(D1507, Products!$A$2:$A$37, 0))</f>
        <v>Blender Pro 1200W</v>
      </c>
      <c r="I1507" t="str">
        <f>INDEX(Products!$C$2:$C$37, MATCH(D1507, Products!$A$2:$A$37, 0))</f>
        <v>Home &amp; Kitchen</v>
      </c>
      <c r="J1507">
        <f>INDEX(Products!$E$2:$E$37, MATCH(D1507, Products!$A$2:$A$37, 0))</f>
        <v>250</v>
      </c>
      <c r="K1507" s="9">
        <f t="shared" si="92"/>
        <v>718.2</v>
      </c>
      <c r="L1507">
        <f t="shared" si="93"/>
        <v>500</v>
      </c>
      <c r="M1507" s="9">
        <f t="shared" si="94"/>
        <v>218.20000000000005</v>
      </c>
      <c r="N1507" t="str">
        <f t="shared" si="95"/>
        <v>May</v>
      </c>
    </row>
    <row r="1508" spans="1:14" x14ac:dyDescent="0.3">
      <c r="A1508" s="2" t="s">
        <v>1574</v>
      </c>
      <c r="B1508" s="6">
        <v>45786</v>
      </c>
      <c r="C1508" s="2" t="s">
        <v>44</v>
      </c>
      <c r="D1508" s="2" t="s">
        <v>65</v>
      </c>
      <c r="E1508" s="2">
        <v>2</v>
      </c>
      <c r="F1508" s="7">
        <v>129</v>
      </c>
      <c r="G1508" s="8">
        <v>0.1</v>
      </c>
      <c r="H1508" s="9" t="str">
        <f>INDEX(Products!$B$2:$B$37, MATCH(D1508, Products!$A$2:$A$37, 0))</f>
        <v>Yoga Mat Premium</v>
      </c>
      <c r="I1508" t="str">
        <f>INDEX(Products!$C$2:$C$37, MATCH(D1508, Products!$A$2:$A$37, 0))</f>
        <v>Sports</v>
      </c>
      <c r="J1508">
        <f>INDEX(Products!$E$2:$E$37, MATCH(D1508, Products!$A$2:$A$37, 0))</f>
        <v>60</v>
      </c>
      <c r="K1508" s="9">
        <f t="shared" si="92"/>
        <v>232.20000000000002</v>
      </c>
      <c r="L1508">
        <f t="shared" si="93"/>
        <v>120</v>
      </c>
      <c r="M1508" s="9">
        <f t="shared" si="94"/>
        <v>112.20000000000002</v>
      </c>
      <c r="N1508" t="str">
        <f t="shared" si="95"/>
        <v>May</v>
      </c>
    </row>
    <row r="1509" spans="1:14" x14ac:dyDescent="0.3">
      <c r="A1509" s="2" t="s">
        <v>1575</v>
      </c>
      <c r="B1509" s="6">
        <v>45786</v>
      </c>
      <c r="C1509" s="2" t="s">
        <v>41</v>
      </c>
      <c r="D1509" s="2" t="s">
        <v>37</v>
      </c>
      <c r="E1509" s="2">
        <v>1</v>
      </c>
      <c r="F1509" s="7">
        <v>249</v>
      </c>
      <c r="G1509" s="8">
        <v>0</v>
      </c>
      <c r="H1509" s="9" t="str">
        <f>INDEX(Products!$B$2:$B$37, MATCH(D1509, Products!$A$2:$A$37, 0))</f>
        <v>Sunglasses Polarised</v>
      </c>
      <c r="I1509" t="str">
        <f>INDEX(Products!$C$2:$C$37, MATCH(D1509, Products!$A$2:$A$37, 0))</f>
        <v>Fashion</v>
      </c>
      <c r="J1509">
        <f>INDEX(Products!$E$2:$E$37, MATCH(D1509, Products!$A$2:$A$37, 0))</f>
        <v>95</v>
      </c>
      <c r="K1509" s="9">
        <f t="shared" si="92"/>
        <v>249</v>
      </c>
      <c r="L1509">
        <f t="shared" si="93"/>
        <v>95</v>
      </c>
      <c r="M1509" s="9">
        <f t="shared" si="94"/>
        <v>154</v>
      </c>
      <c r="N1509" t="str">
        <f t="shared" si="95"/>
        <v>May</v>
      </c>
    </row>
    <row r="1510" spans="1:14" x14ac:dyDescent="0.3">
      <c r="A1510" s="2" t="s">
        <v>1576</v>
      </c>
      <c r="B1510" s="6">
        <v>45786</v>
      </c>
      <c r="C1510" s="2" t="s">
        <v>41</v>
      </c>
      <c r="D1510" s="2" t="s">
        <v>115</v>
      </c>
      <c r="E1510" s="2">
        <v>2</v>
      </c>
      <c r="F1510" s="7">
        <v>129</v>
      </c>
      <c r="G1510" s="8">
        <v>0.2</v>
      </c>
      <c r="H1510" s="9" t="str">
        <f>INDEX(Products!$B$2:$B$37, MATCH(D1510, Products!$A$2:$A$37, 0))</f>
        <v>Electric Kettle</v>
      </c>
      <c r="I1510" t="str">
        <f>INDEX(Products!$C$2:$C$37, MATCH(D1510, Products!$A$2:$A$37, 0))</f>
        <v>Home &amp; Kitchen</v>
      </c>
      <c r="J1510">
        <f>INDEX(Products!$E$2:$E$37, MATCH(D1510, Products!$A$2:$A$37, 0))</f>
        <v>60</v>
      </c>
      <c r="K1510" s="9">
        <f t="shared" si="92"/>
        <v>206.4</v>
      </c>
      <c r="L1510">
        <f t="shared" si="93"/>
        <v>120</v>
      </c>
      <c r="M1510" s="9">
        <f t="shared" si="94"/>
        <v>86.4</v>
      </c>
      <c r="N1510" t="str">
        <f t="shared" si="95"/>
        <v>May</v>
      </c>
    </row>
    <row r="1511" spans="1:14" x14ac:dyDescent="0.3">
      <c r="A1511" s="2" t="s">
        <v>1577</v>
      </c>
      <c r="B1511" s="6">
        <v>45787</v>
      </c>
      <c r="C1511" s="2" t="s">
        <v>44</v>
      </c>
      <c r="D1511" s="2" t="s">
        <v>106</v>
      </c>
      <c r="E1511" s="2">
        <v>1</v>
      </c>
      <c r="F1511" s="7">
        <v>1299</v>
      </c>
      <c r="G1511" s="8">
        <v>0</v>
      </c>
      <c r="H1511" s="9" t="str">
        <f>INDEX(Products!$B$2:$B$37, MATCH(D1511, Products!$A$2:$A$37, 0))</f>
        <v>Smart Watch Series 5</v>
      </c>
      <c r="I1511" t="str">
        <f>INDEX(Products!$C$2:$C$37, MATCH(D1511, Products!$A$2:$A$37, 0))</f>
        <v>Electronics</v>
      </c>
      <c r="J1511">
        <f>INDEX(Products!$E$2:$E$37, MATCH(D1511, Products!$A$2:$A$37, 0))</f>
        <v>820</v>
      </c>
      <c r="K1511" s="9">
        <f t="shared" si="92"/>
        <v>1299</v>
      </c>
      <c r="L1511">
        <f t="shared" si="93"/>
        <v>820</v>
      </c>
      <c r="M1511" s="9">
        <f t="shared" si="94"/>
        <v>479</v>
      </c>
      <c r="N1511" t="str">
        <f t="shared" si="95"/>
        <v>May</v>
      </c>
    </row>
    <row r="1512" spans="1:14" x14ac:dyDescent="0.3">
      <c r="A1512" s="2" t="s">
        <v>1578</v>
      </c>
      <c r="B1512" s="6">
        <v>45787</v>
      </c>
      <c r="C1512" s="2" t="s">
        <v>41</v>
      </c>
      <c r="D1512" s="2" t="s">
        <v>29</v>
      </c>
      <c r="E1512" s="2">
        <v>1</v>
      </c>
      <c r="F1512" s="7">
        <v>229</v>
      </c>
      <c r="G1512" s="8">
        <v>0.2</v>
      </c>
      <c r="H1512" s="9" t="str">
        <f>INDEX(Products!$B$2:$B$37, MATCH(D1512, Products!$A$2:$A$37, 0))</f>
        <v>Women's Summer Dress</v>
      </c>
      <c r="I1512" t="str">
        <f>INDEX(Products!$C$2:$C$37, MATCH(D1512, Products!$A$2:$A$37, 0))</f>
        <v>Fashion</v>
      </c>
      <c r="J1512">
        <f>INDEX(Products!$E$2:$E$37, MATCH(D1512, Products!$A$2:$A$37, 0))</f>
        <v>120</v>
      </c>
      <c r="K1512" s="9">
        <f t="shared" si="92"/>
        <v>183.20000000000002</v>
      </c>
      <c r="L1512">
        <f t="shared" si="93"/>
        <v>120</v>
      </c>
      <c r="M1512" s="9">
        <f t="shared" si="94"/>
        <v>63.200000000000017</v>
      </c>
      <c r="N1512" t="str">
        <f t="shared" si="95"/>
        <v>May</v>
      </c>
    </row>
    <row r="1513" spans="1:14" x14ac:dyDescent="0.3">
      <c r="A1513" s="2" t="s">
        <v>1579</v>
      </c>
      <c r="B1513" s="6">
        <v>45787</v>
      </c>
      <c r="C1513" s="2" t="s">
        <v>28</v>
      </c>
      <c r="D1513" s="2" t="s">
        <v>194</v>
      </c>
      <c r="E1513" s="2">
        <v>1</v>
      </c>
      <c r="F1513" s="7">
        <v>699</v>
      </c>
      <c r="G1513" s="8">
        <v>0</v>
      </c>
      <c r="H1513" s="9" t="str">
        <f>INDEX(Products!$B$2:$B$37, MATCH(D1513, Products!$A$2:$A$37, 0))</f>
        <v>Leather Handbag</v>
      </c>
      <c r="I1513" t="str">
        <f>INDEX(Products!$C$2:$C$37, MATCH(D1513, Products!$A$2:$A$37, 0))</f>
        <v>Fashion</v>
      </c>
      <c r="J1513">
        <f>INDEX(Products!$E$2:$E$37, MATCH(D1513, Products!$A$2:$A$37, 0))</f>
        <v>380</v>
      </c>
      <c r="K1513" s="9">
        <f t="shared" si="92"/>
        <v>699</v>
      </c>
      <c r="L1513">
        <f t="shared" si="93"/>
        <v>380</v>
      </c>
      <c r="M1513" s="9">
        <f t="shared" si="94"/>
        <v>319</v>
      </c>
      <c r="N1513" t="str">
        <f t="shared" si="95"/>
        <v>May</v>
      </c>
    </row>
    <row r="1514" spans="1:14" x14ac:dyDescent="0.3">
      <c r="A1514" s="2" t="s">
        <v>1580</v>
      </c>
      <c r="B1514" s="6">
        <v>45787</v>
      </c>
      <c r="C1514" s="2" t="s">
        <v>44</v>
      </c>
      <c r="D1514" s="2" t="s">
        <v>39</v>
      </c>
      <c r="E1514" s="2">
        <v>1</v>
      </c>
      <c r="F1514" s="7">
        <v>199</v>
      </c>
      <c r="G1514" s="8">
        <v>0</v>
      </c>
      <c r="H1514" s="9" t="str">
        <f>INDEX(Products!$B$2:$B$37, MATCH(D1514, Products!$A$2:$A$37, 0))</f>
        <v>Bakhoor Gift Set</v>
      </c>
      <c r="I1514" t="str">
        <f>INDEX(Products!$C$2:$C$37, MATCH(D1514, Products!$A$2:$A$37, 0))</f>
        <v>Beauty</v>
      </c>
      <c r="J1514">
        <f>INDEX(Products!$E$2:$E$37, MATCH(D1514, Products!$A$2:$A$37, 0))</f>
        <v>90</v>
      </c>
      <c r="K1514" s="9">
        <f t="shared" si="92"/>
        <v>199</v>
      </c>
      <c r="L1514">
        <f t="shared" si="93"/>
        <v>90</v>
      </c>
      <c r="M1514" s="9">
        <f t="shared" si="94"/>
        <v>109</v>
      </c>
      <c r="N1514" t="str">
        <f t="shared" si="95"/>
        <v>May</v>
      </c>
    </row>
    <row r="1515" spans="1:14" x14ac:dyDescent="0.3">
      <c r="A1515" s="2" t="s">
        <v>1581</v>
      </c>
      <c r="B1515" s="6">
        <v>45787</v>
      </c>
      <c r="C1515" s="2" t="s">
        <v>31</v>
      </c>
      <c r="D1515" s="2" t="s">
        <v>129</v>
      </c>
      <c r="E1515" s="2">
        <v>3</v>
      </c>
      <c r="F1515" s="7">
        <v>149</v>
      </c>
      <c r="G1515" s="8">
        <v>0.1</v>
      </c>
      <c r="H1515" s="9" t="str">
        <f>INDEX(Products!$B$2:$B$37, MATCH(D1515, Products!$A$2:$A$37, 0))</f>
        <v>Power Bank 20000mAh</v>
      </c>
      <c r="I1515" t="str">
        <f>INDEX(Products!$C$2:$C$37, MATCH(D1515, Products!$A$2:$A$37, 0))</f>
        <v>Electronics</v>
      </c>
      <c r="J1515">
        <f>INDEX(Products!$E$2:$E$37, MATCH(D1515, Products!$A$2:$A$37, 0))</f>
        <v>70</v>
      </c>
      <c r="K1515" s="9">
        <f t="shared" si="92"/>
        <v>402.3</v>
      </c>
      <c r="L1515">
        <f t="shared" si="93"/>
        <v>210</v>
      </c>
      <c r="M1515" s="9">
        <f t="shared" si="94"/>
        <v>192.3</v>
      </c>
      <c r="N1515" t="str">
        <f t="shared" si="95"/>
        <v>May</v>
      </c>
    </row>
    <row r="1516" spans="1:14" x14ac:dyDescent="0.3">
      <c r="A1516" s="2" t="s">
        <v>1582</v>
      </c>
      <c r="B1516" s="6">
        <v>45787</v>
      </c>
      <c r="C1516" s="2" t="s">
        <v>31</v>
      </c>
      <c r="D1516" s="2" t="s">
        <v>56</v>
      </c>
      <c r="E1516" s="2">
        <v>1</v>
      </c>
      <c r="F1516" s="7">
        <v>289</v>
      </c>
      <c r="G1516" s="8">
        <v>0.15</v>
      </c>
      <c r="H1516" s="9" t="str">
        <f>INDEX(Products!$B$2:$B$37, MATCH(D1516, Products!$A$2:$A$37, 0))</f>
        <v>Ceramic Dinner Set</v>
      </c>
      <c r="I1516" t="str">
        <f>INDEX(Products!$C$2:$C$37, MATCH(D1516, Products!$A$2:$A$37, 0))</f>
        <v>Home &amp; Kitchen</v>
      </c>
      <c r="J1516">
        <f>INDEX(Products!$E$2:$E$37, MATCH(D1516, Products!$A$2:$A$37, 0))</f>
        <v>140</v>
      </c>
      <c r="K1516" s="9">
        <f t="shared" si="92"/>
        <v>245.65</v>
      </c>
      <c r="L1516">
        <f t="shared" si="93"/>
        <v>140</v>
      </c>
      <c r="M1516" s="9">
        <f t="shared" si="94"/>
        <v>105.65</v>
      </c>
      <c r="N1516" t="str">
        <f t="shared" si="95"/>
        <v>May</v>
      </c>
    </row>
    <row r="1517" spans="1:14" x14ac:dyDescent="0.3">
      <c r="A1517" s="2" t="s">
        <v>1583</v>
      </c>
      <c r="B1517" s="6">
        <v>45787</v>
      </c>
      <c r="C1517" s="2" t="s">
        <v>44</v>
      </c>
      <c r="D1517" s="2" t="s">
        <v>131</v>
      </c>
      <c r="E1517" s="2">
        <v>1</v>
      </c>
      <c r="F1517" s="7">
        <v>899</v>
      </c>
      <c r="G1517" s="8">
        <v>0.1</v>
      </c>
      <c r="H1517" s="9" t="str">
        <f>INDEX(Products!$B$2:$B$37, MATCH(D1517, Products!$A$2:$A$37, 0))</f>
        <v>4K Action Camera</v>
      </c>
      <c r="I1517" t="str">
        <f>INDEX(Products!$C$2:$C$37, MATCH(D1517, Products!$A$2:$A$37, 0))</f>
        <v>Electronics</v>
      </c>
      <c r="J1517">
        <f>INDEX(Products!$E$2:$E$37, MATCH(D1517, Products!$A$2:$A$37, 0))</f>
        <v>610</v>
      </c>
      <c r="K1517" s="9">
        <f t="shared" si="92"/>
        <v>809.1</v>
      </c>
      <c r="L1517">
        <f t="shared" si="93"/>
        <v>610</v>
      </c>
      <c r="M1517" s="9">
        <f t="shared" si="94"/>
        <v>199.10000000000002</v>
      </c>
      <c r="N1517" t="str">
        <f t="shared" si="95"/>
        <v>May</v>
      </c>
    </row>
    <row r="1518" spans="1:14" x14ac:dyDescent="0.3">
      <c r="A1518" s="2" t="s">
        <v>1584</v>
      </c>
      <c r="B1518" s="6">
        <v>45787</v>
      </c>
      <c r="C1518" s="2" t="s">
        <v>41</v>
      </c>
      <c r="D1518" s="2" t="s">
        <v>149</v>
      </c>
      <c r="E1518" s="2">
        <v>1</v>
      </c>
      <c r="F1518" s="7">
        <v>399</v>
      </c>
      <c r="G1518" s="8">
        <v>0</v>
      </c>
      <c r="H1518" s="9" t="str">
        <f>INDEX(Products!$B$2:$B$37, MATCH(D1518, Products!$A$2:$A$37, 0))</f>
        <v>Blender Pro 1200W</v>
      </c>
      <c r="I1518" t="str">
        <f>INDEX(Products!$C$2:$C$37, MATCH(D1518, Products!$A$2:$A$37, 0))</f>
        <v>Home &amp; Kitchen</v>
      </c>
      <c r="J1518">
        <f>INDEX(Products!$E$2:$E$37, MATCH(D1518, Products!$A$2:$A$37, 0))</f>
        <v>250</v>
      </c>
      <c r="K1518" s="9">
        <f t="shared" si="92"/>
        <v>399</v>
      </c>
      <c r="L1518">
        <f t="shared" si="93"/>
        <v>250</v>
      </c>
      <c r="M1518" s="9">
        <f t="shared" si="94"/>
        <v>149</v>
      </c>
      <c r="N1518" t="str">
        <f t="shared" si="95"/>
        <v>May</v>
      </c>
    </row>
    <row r="1519" spans="1:14" x14ac:dyDescent="0.3">
      <c r="A1519" s="2" t="s">
        <v>1585</v>
      </c>
      <c r="B1519" s="6">
        <v>45787</v>
      </c>
      <c r="C1519" s="2" t="s">
        <v>41</v>
      </c>
      <c r="D1519" s="2" t="s">
        <v>126</v>
      </c>
      <c r="E1519" s="2">
        <v>2</v>
      </c>
      <c r="F1519" s="7">
        <v>89</v>
      </c>
      <c r="G1519" s="8">
        <v>0.2</v>
      </c>
      <c r="H1519" s="9" t="str">
        <f>INDEX(Products!$B$2:$B$37, MATCH(D1519, Products!$A$2:$A$37, 0))</f>
        <v>USB-C Fast Charger</v>
      </c>
      <c r="I1519" t="str">
        <f>INDEX(Products!$C$2:$C$37, MATCH(D1519, Products!$A$2:$A$37, 0))</f>
        <v>Electronics</v>
      </c>
      <c r="J1519">
        <f>INDEX(Products!$E$2:$E$37, MATCH(D1519, Products!$A$2:$A$37, 0))</f>
        <v>35</v>
      </c>
      <c r="K1519" s="9">
        <f t="shared" si="92"/>
        <v>142.4</v>
      </c>
      <c r="L1519">
        <f t="shared" si="93"/>
        <v>70</v>
      </c>
      <c r="M1519" s="9">
        <f t="shared" si="94"/>
        <v>72.400000000000006</v>
      </c>
      <c r="N1519" t="str">
        <f t="shared" si="95"/>
        <v>May</v>
      </c>
    </row>
    <row r="1520" spans="1:14" x14ac:dyDescent="0.3">
      <c r="A1520" s="2" t="s">
        <v>1586</v>
      </c>
      <c r="B1520" s="6">
        <v>45787</v>
      </c>
      <c r="C1520" s="2" t="s">
        <v>44</v>
      </c>
      <c r="D1520" s="2" t="s">
        <v>70</v>
      </c>
      <c r="E1520" s="2">
        <v>1</v>
      </c>
      <c r="F1520" s="7">
        <v>429</v>
      </c>
      <c r="G1520" s="8">
        <v>0.15</v>
      </c>
      <c r="H1520" s="9" t="str">
        <f>INDEX(Products!$B$2:$B$37, MATCH(D1520, Products!$A$2:$A$37, 0))</f>
        <v>Running Shoes Elite</v>
      </c>
      <c r="I1520" t="str">
        <f>INDEX(Products!$C$2:$C$37, MATCH(D1520, Products!$A$2:$A$37, 0))</f>
        <v>Fashion</v>
      </c>
      <c r="J1520">
        <f>INDEX(Products!$E$2:$E$37, MATCH(D1520, Products!$A$2:$A$37, 0))</f>
        <v>300</v>
      </c>
      <c r="K1520" s="9">
        <f t="shared" si="92"/>
        <v>364.65</v>
      </c>
      <c r="L1520">
        <f t="shared" si="93"/>
        <v>300</v>
      </c>
      <c r="M1520" s="9">
        <f t="shared" si="94"/>
        <v>64.649999999999977</v>
      </c>
      <c r="N1520" t="str">
        <f t="shared" si="95"/>
        <v>May</v>
      </c>
    </row>
    <row r="1521" spans="1:14" x14ac:dyDescent="0.3">
      <c r="A1521" s="2" t="s">
        <v>1587</v>
      </c>
      <c r="B1521" s="6">
        <v>45787</v>
      </c>
      <c r="C1521" s="2" t="s">
        <v>48</v>
      </c>
      <c r="D1521" s="2" t="s">
        <v>46</v>
      </c>
      <c r="E1521" s="2">
        <v>1</v>
      </c>
      <c r="F1521" s="7">
        <v>189</v>
      </c>
      <c r="G1521" s="8">
        <v>0</v>
      </c>
      <c r="H1521" s="9" t="str">
        <f>INDEX(Products!$B$2:$B$37, MATCH(D1521, Products!$A$2:$A$37, 0))</f>
        <v>Makeup Palette</v>
      </c>
      <c r="I1521" t="str">
        <f>INDEX(Products!$C$2:$C$37, MATCH(D1521, Products!$A$2:$A$37, 0))</f>
        <v>Beauty</v>
      </c>
      <c r="J1521">
        <f>INDEX(Products!$E$2:$E$37, MATCH(D1521, Products!$A$2:$A$37, 0))</f>
        <v>85</v>
      </c>
      <c r="K1521" s="9">
        <f t="shared" si="92"/>
        <v>189</v>
      </c>
      <c r="L1521">
        <f t="shared" si="93"/>
        <v>85</v>
      </c>
      <c r="M1521" s="9">
        <f t="shared" si="94"/>
        <v>104</v>
      </c>
      <c r="N1521" t="str">
        <f t="shared" si="95"/>
        <v>May</v>
      </c>
    </row>
    <row r="1522" spans="1:14" x14ac:dyDescent="0.3">
      <c r="A1522" s="2" t="s">
        <v>1588</v>
      </c>
      <c r="B1522" s="6">
        <v>45787</v>
      </c>
      <c r="C1522" s="2" t="s">
        <v>44</v>
      </c>
      <c r="D1522" s="2" t="s">
        <v>103</v>
      </c>
      <c r="E1522" s="2">
        <v>1</v>
      </c>
      <c r="F1522" s="7">
        <v>89</v>
      </c>
      <c r="G1522" s="8">
        <v>0.1</v>
      </c>
      <c r="H1522" s="9" t="str">
        <f>INDEX(Products!$B$2:$B$37, MATCH(D1522, Products!$A$2:$A$37, 0))</f>
        <v>Sunscreen SPF50</v>
      </c>
      <c r="I1522" t="str">
        <f>INDEX(Products!$C$2:$C$37, MATCH(D1522, Products!$A$2:$A$37, 0))</f>
        <v>Beauty</v>
      </c>
      <c r="J1522">
        <f>INDEX(Products!$E$2:$E$37, MATCH(D1522, Products!$A$2:$A$37, 0))</f>
        <v>40</v>
      </c>
      <c r="K1522" s="9">
        <f t="shared" si="92"/>
        <v>80.100000000000009</v>
      </c>
      <c r="L1522">
        <f t="shared" si="93"/>
        <v>40</v>
      </c>
      <c r="M1522" s="9">
        <f t="shared" si="94"/>
        <v>40.100000000000009</v>
      </c>
      <c r="N1522" t="str">
        <f t="shared" si="95"/>
        <v>May</v>
      </c>
    </row>
    <row r="1523" spans="1:14" x14ac:dyDescent="0.3">
      <c r="A1523" s="2" t="s">
        <v>1589</v>
      </c>
      <c r="B1523" s="6">
        <v>45787</v>
      </c>
      <c r="C1523" s="2" t="s">
        <v>31</v>
      </c>
      <c r="D1523" s="2" t="s">
        <v>37</v>
      </c>
      <c r="E1523" s="2">
        <v>2</v>
      </c>
      <c r="F1523" s="7">
        <v>249</v>
      </c>
      <c r="G1523" s="8">
        <v>0</v>
      </c>
      <c r="H1523" s="9" t="str">
        <f>INDEX(Products!$B$2:$B$37, MATCH(D1523, Products!$A$2:$A$37, 0))</f>
        <v>Sunglasses Polarised</v>
      </c>
      <c r="I1523" t="str">
        <f>INDEX(Products!$C$2:$C$37, MATCH(D1523, Products!$A$2:$A$37, 0))</f>
        <v>Fashion</v>
      </c>
      <c r="J1523">
        <f>INDEX(Products!$E$2:$E$37, MATCH(D1523, Products!$A$2:$A$37, 0))</f>
        <v>95</v>
      </c>
      <c r="K1523" s="9">
        <f t="shared" si="92"/>
        <v>498</v>
      </c>
      <c r="L1523">
        <f t="shared" si="93"/>
        <v>190</v>
      </c>
      <c r="M1523" s="9">
        <f t="shared" si="94"/>
        <v>308</v>
      </c>
      <c r="N1523" t="str">
        <f t="shared" si="95"/>
        <v>May</v>
      </c>
    </row>
    <row r="1524" spans="1:14" x14ac:dyDescent="0.3">
      <c r="A1524" s="2" t="s">
        <v>1590</v>
      </c>
      <c r="B1524" s="6">
        <v>45787</v>
      </c>
      <c r="C1524" s="2" t="s">
        <v>41</v>
      </c>
      <c r="D1524" s="2" t="s">
        <v>165</v>
      </c>
      <c r="E1524" s="2">
        <v>1</v>
      </c>
      <c r="F1524" s="7">
        <v>69</v>
      </c>
      <c r="G1524" s="8">
        <v>0</v>
      </c>
      <c r="H1524" s="9" t="str">
        <f>INDEX(Products!$B$2:$B$37, MATCH(D1524, Products!$A$2:$A$37, 0))</f>
        <v>Swim Goggles</v>
      </c>
      <c r="I1524" t="str">
        <f>INDEX(Products!$C$2:$C$37, MATCH(D1524, Products!$A$2:$A$37, 0))</f>
        <v>Sports</v>
      </c>
      <c r="J1524">
        <f>INDEX(Products!$E$2:$E$37, MATCH(D1524, Products!$A$2:$A$37, 0))</f>
        <v>25</v>
      </c>
      <c r="K1524" s="9">
        <f t="shared" si="92"/>
        <v>69</v>
      </c>
      <c r="L1524">
        <f t="shared" si="93"/>
        <v>25</v>
      </c>
      <c r="M1524" s="9">
        <f t="shared" si="94"/>
        <v>44</v>
      </c>
      <c r="N1524" t="str">
        <f t="shared" si="95"/>
        <v>May</v>
      </c>
    </row>
    <row r="1525" spans="1:14" x14ac:dyDescent="0.3">
      <c r="A1525" s="2" t="s">
        <v>1591</v>
      </c>
      <c r="B1525" s="6">
        <v>45787</v>
      </c>
      <c r="C1525" s="2" t="s">
        <v>28</v>
      </c>
      <c r="D1525" s="2" t="s">
        <v>37</v>
      </c>
      <c r="E1525" s="2">
        <v>2</v>
      </c>
      <c r="F1525" s="7">
        <v>249</v>
      </c>
      <c r="G1525" s="8">
        <v>0.2</v>
      </c>
      <c r="H1525" s="9" t="str">
        <f>INDEX(Products!$B$2:$B$37, MATCH(D1525, Products!$A$2:$A$37, 0))</f>
        <v>Sunglasses Polarised</v>
      </c>
      <c r="I1525" t="str">
        <f>INDEX(Products!$C$2:$C$37, MATCH(D1525, Products!$A$2:$A$37, 0))</f>
        <v>Fashion</v>
      </c>
      <c r="J1525">
        <f>INDEX(Products!$E$2:$E$37, MATCH(D1525, Products!$A$2:$A$37, 0))</f>
        <v>95</v>
      </c>
      <c r="K1525" s="9">
        <f t="shared" si="92"/>
        <v>398.40000000000003</v>
      </c>
      <c r="L1525">
        <f t="shared" si="93"/>
        <v>190</v>
      </c>
      <c r="M1525" s="9">
        <f t="shared" si="94"/>
        <v>208.40000000000003</v>
      </c>
      <c r="N1525" t="str">
        <f t="shared" si="95"/>
        <v>May</v>
      </c>
    </row>
    <row r="1526" spans="1:14" x14ac:dyDescent="0.3">
      <c r="A1526" s="2" t="s">
        <v>1592</v>
      </c>
      <c r="B1526" s="6">
        <v>45787</v>
      </c>
      <c r="C1526" s="2" t="s">
        <v>44</v>
      </c>
      <c r="D1526" s="2" t="s">
        <v>149</v>
      </c>
      <c r="E1526" s="2">
        <v>2</v>
      </c>
      <c r="F1526" s="7">
        <v>399</v>
      </c>
      <c r="G1526" s="8">
        <v>0.15</v>
      </c>
      <c r="H1526" s="9" t="str">
        <f>INDEX(Products!$B$2:$B$37, MATCH(D1526, Products!$A$2:$A$37, 0))</f>
        <v>Blender Pro 1200W</v>
      </c>
      <c r="I1526" t="str">
        <f>INDEX(Products!$C$2:$C$37, MATCH(D1526, Products!$A$2:$A$37, 0))</f>
        <v>Home &amp; Kitchen</v>
      </c>
      <c r="J1526">
        <f>INDEX(Products!$E$2:$E$37, MATCH(D1526, Products!$A$2:$A$37, 0))</f>
        <v>250</v>
      </c>
      <c r="K1526" s="9">
        <f t="shared" si="92"/>
        <v>678.3</v>
      </c>
      <c r="L1526">
        <f t="shared" si="93"/>
        <v>500</v>
      </c>
      <c r="M1526" s="9">
        <f t="shared" si="94"/>
        <v>178.29999999999995</v>
      </c>
      <c r="N1526" t="str">
        <f t="shared" si="95"/>
        <v>May</v>
      </c>
    </row>
    <row r="1527" spans="1:14" x14ac:dyDescent="0.3">
      <c r="A1527" s="2" t="s">
        <v>1593</v>
      </c>
      <c r="B1527" s="6">
        <v>45788</v>
      </c>
      <c r="C1527" s="2" t="s">
        <v>31</v>
      </c>
      <c r="D1527" s="2" t="s">
        <v>99</v>
      </c>
      <c r="E1527" s="2">
        <v>1</v>
      </c>
      <c r="F1527" s="7">
        <v>459</v>
      </c>
      <c r="G1527" s="8">
        <v>0.15</v>
      </c>
      <c r="H1527" s="9" t="str">
        <f>INDEX(Products!$B$2:$B$37, MATCH(D1527, Products!$A$2:$A$37, 0))</f>
        <v>Gaming Headset X</v>
      </c>
      <c r="I1527" t="str">
        <f>INDEX(Products!$C$2:$C$37, MATCH(D1527, Products!$A$2:$A$37, 0))</f>
        <v>Electronics</v>
      </c>
      <c r="J1527">
        <f>INDEX(Products!$E$2:$E$37, MATCH(D1527, Products!$A$2:$A$37, 0))</f>
        <v>300</v>
      </c>
      <c r="K1527" s="9">
        <f t="shared" si="92"/>
        <v>390.15</v>
      </c>
      <c r="L1527">
        <f t="shared" si="93"/>
        <v>300</v>
      </c>
      <c r="M1527" s="9">
        <f t="shared" si="94"/>
        <v>90.149999999999977</v>
      </c>
      <c r="N1527" t="str">
        <f t="shared" si="95"/>
        <v>May</v>
      </c>
    </row>
    <row r="1528" spans="1:14" x14ac:dyDescent="0.3">
      <c r="A1528" s="2" t="s">
        <v>1594</v>
      </c>
      <c r="B1528" s="6">
        <v>45788</v>
      </c>
      <c r="C1528" s="2" t="s">
        <v>31</v>
      </c>
      <c r="D1528" s="2" t="s">
        <v>149</v>
      </c>
      <c r="E1528" s="2">
        <v>1</v>
      </c>
      <c r="F1528" s="7">
        <v>399</v>
      </c>
      <c r="G1528" s="8">
        <v>0.1</v>
      </c>
      <c r="H1528" s="9" t="str">
        <f>INDEX(Products!$B$2:$B$37, MATCH(D1528, Products!$A$2:$A$37, 0))</f>
        <v>Blender Pro 1200W</v>
      </c>
      <c r="I1528" t="str">
        <f>INDEX(Products!$C$2:$C$37, MATCH(D1528, Products!$A$2:$A$37, 0))</f>
        <v>Home &amp; Kitchen</v>
      </c>
      <c r="J1528">
        <f>INDEX(Products!$E$2:$E$37, MATCH(D1528, Products!$A$2:$A$37, 0))</f>
        <v>250</v>
      </c>
      <c r="K1528" s="9">
        <f t="shared" si="92"/>
        <v>359.1</v>
      </c>
      <c r="L1528">
        <f t="shared" si="93"/>
        <v>250</v>
      </c>
      <c r="M1528" s="9">
        <f t="shared" si="94"/>
        <v>109.10000000000002</v>
      </c>
      <c r="N1528" t="str">
        <f t="shared" si="95"/>
        <v>May</v>
      </c>
    </row>
    <row r="1529" spans="1:14" x14ac:dyDescent="0.3">
      <c r="A1529" s="2" t="s">
        <v>1595</v>
      </c>
      <c r="B1529" s="6">
        <v>45788</v>
      </c>
      <c r="C1529" s="2" t="s">
        <v>31</v>
      </c>
      <c r="D1529" s="2" t="s">
        <v>165</v>
      </c>
      <c r="E1529" s="2">
        <v>1</v>
      </c>
      <c r="F1529" s="7">
        <v>69</v>
      </c>
      <c r="G1529" s="8">
        <v>0.1</v>
      </c>
      <c r="H1529" s="9" t="str">
        <f>INDEX(Products!$B$2:$B$37, MATCH(D1529, Products!$A$2:$A$37, 0))</f>
        <v>Swim Goggles</v>
      </c>
      <c r="I1529" t="str">
        <f>INDEX(Products!$C$2:$C$37, MATCH(D1529, Products!$A$2:$A$37, 0))</f>
        <v>Sports</v>
      </c>
      <c r="J1529">
        <f>INDEX(Products!$E$2:$E$37, MATCH(D1529, Products!$A$2:$A$37, 0))</f>
        <v>25</v>
      </c>
      <c r="K1529" s="9">
        <f t="shared" si="92"/>
        <v>62.1</v>
      </c>
      <c r="L1529">
        <f t="shared" si="93"/>
        <v>25</v>
      </c>
      <c r="M1529" s="9">
        <f t="shared" si="94"/>
        <v>37.1</v>
      </c>
      <c r="N1529" t="str">
        <f t="shared" si="95"/>
        <v>May</v>
      </c>
    </row>
    <row r="1530" spans="1:14" x14ac:dyDescent="0.3">
      <c r="A1530" s="2" t="s">
        <v>1596</v>
      </c>
      <c r="B1530" s="6">
        <v>45788</v>
      </c>
      <c r="C1530" s="2" t="s">
        <v>31</v>
      </c>
      <c r="D1530" s="2" t="s">
        <v>42</v>
      </c>
      <c r="E1530" s="2">
        <v>2</v>
      </c>
      <c r="F1530" s="7">
        <v>399</v>
      </c>
      <c r="G1530" s="8">
        <v>0.15</v>
      </c>
      <c r="H1530" s="9" t="str">
        <f>INDEX(Products!$B$2:$B$37, MATCH(D1530, Products!$A$2:$A$37, 0))</f>
        <v>Wireless Earbuds Pro</v>
      </c>
      <c r="I1530" t="str">
        <f>INDEX(Products!$C$2:$C$37, MATCH(D1530, Products!$A$2:$A$37, 0))</f>
        <v>Electronics</v>
      </c>
      <c r="J1530">
        <f>INDEX(Products!$E$2:$E$37, MATCH(D1530, Products!$A$2:$A$37, 0))</f>
        <v>230</v>
      </c>
      <c r="K1530" s="9">
        <f t="shared" si="92"/>
        <v>678.3</v>
      </c>
      <c r="L1530">
        <f t="shared" si="93"/>
        <v>460</v>
      </c>
      <c r="M1530" s="9">
        <f t="shared" si="94"/>
        <v>218.29999999999995</v>
      </c>
      <c r="N1530" t="str">
        <f t="shared" si="95"/>
        <v>May</v>
      </c>
    </row>
    <row r="1531" spans="1:14" x14ac:dyDescent="0.3">
      <c r="A1531" s="2" t="s">
        <v>1597</v>
      </c>
      <c r="B1531" s="6">
        <v>45788</v>
      </c>
      <c r="C1531" s="2" t="s">
        <v>28</v>
      </c>
      <c r="D1531" s="2" t="s">
        <v>83</v>
      </c>
      <c r="E1531" s="2">
        <v>1</v>
      </c>
      <c r="F1531" s="7">
        <v>229</v>
      </c>
      <c r="G1531" s="8">
        <v>0</v>
      </c>
      <c r="H1531" s="9" t="str">
        <f>INDEX(Products!$B$2:$B$37, MATCH(D1531, Products!$A$2:$A$37, 0))</f>
        <v>Cycling Helmet</v>
      </c>
      <c r="I1531" t="str">
        <f>INDEX(Products!$C$2:$C$37, MATCH(D1531, Products!$A$2:$A$37, 0))</f>
        <v>Sports</v>
      </c>
      <c r="J1531">
        <f>INDEX(Products!$E$2:$E$37, MATCH(D1531, Products!$A$2:$A$37, 0))</f>
        <v>120</v>
      </c>
      <c r="K1531" s="9">
        <f t="shared" si="92"/>
        <v>229</v>
      </c>
      <c r="L1531">
        <f t="shared" si="93"/>
        <v>120</v>
      </c>
      <c r="M1531" s="9">
        <f t="shared" si="94"/>
        <v>109</v>
      </c>
      <c r="N1531" t="str">
        <f t="shared" si="95"/>
        <v>May</v>
      </c>
    </row>
    <row r="1532" spans="1:14" x14ac:dyDescent="0.3">
      <c r="A1532" s="2" t="s">
        <v>1598</v>
      </c>
      <c r="B1532" s="6">
        <v>45788</v>
      </c>
      <c r="C1532" s="2" t="s">
        <v>48</v>
      </c>
      <c r="D1532" s="2" t="s">
        <v>129</v>
      </c>
      <c r="E1532" s="2">
        <v>2</v>
      </c>
      <c r="F1532" s="7">
        <v>149</v>
      </c>
      <c r="G1532" s="8">
        <v>0</v>
      </c>
      <c r="H1532" s="9" t="str">
        <f>INDEX(Products!$B$2:$B$37, MATCH(D1532, Products!$A$2:$A$37, 0))</f>
        <v>Power Bank 20000mAh</v>
      </c>
      <c r="I1532" t="str">
        <f>INDEX(Products!$C$2:$C$37, MATCH(D1532, Products!$A$2:$A$37, 0))</f>
        <v>Electronics</v>
      </c>
      <c r="J1532">
        <f>INDEX(Products!$E$2:$E$37, MATCH(D1532, Products!$A$2:$A$37, 0))</f>
        <v>70</v>
      </c>
      <c r="K1532" s="9">
        <f t="shared" si="92"/>
        <v>298</v>
      </c>
      <c r="L1532">
        <f t="shared" si="93"/>
        <v>140</v>
      </c>
      <c r="M1532" s="9">
        <f t="shared" si="94"/>
        <v>158</v>
      </c>
      <c r="N1532" t="str">
        <f t="shared" si="95"/>
        <v>May</v>
      </c>
    </row>
    <row r="1533" spans="1:14" x14ac:dyDescent="0.3">
      <c r="A1533" s="2" t="s">
        <v>1599</v>
      </c>
      <c r="B1533" s="6">
        <v>45788</v>
      </c>
      <c r="C1533" s="2" t="s">
        <v>41</v>
      </c>
      <c r="D1533" s="2" t="s">
        <v>165</v>
      </c>
      <c r="E1533" s="2">
        <v>2</v>
      </c>
      <c r="F1533" s="7">
        <v>69</v>
      </c>
      <c r="G1533" s="8">
        <v>0</v>
      </c>
      <c r="H1533" s="9" t="str">
        <f>INDEX(Products!$B$2:$B$37, MATCH(D1533, Products!$A$2:$A$37, 0))</f>
        <v>Swim Goggles</v>
      </c>
      <c r="I1533" t="str">
        <f>INDEX(Products!$C$2:$C$37, MATCH(D1533, Products!$A$2:$A$37, 0))</f>
        <v>Sports</v>
      </c>
      <c r="J1533">
        <f>INDEX(Products!$E$2:$E$37, MATCH(D1533, Products!$A$2:$A$37, 0))</f>
        <v>25</v>
      </c>
      <c r="K1533" s="9">
        <f t="shared" si="92"/>
        <v>138</v>
      </c>
      <c r="L1533">
        <f t="shared" si="93"/>
        <v>50</v>
      </c>
      <c r="M1533" s="9">
        <f t="shared" si="94"/>
        <v>88</v>
      </c>
      <c r="N1533" t="str">
        <f t="shared" si="95"/>
        <v>May</v>
      </c>
    </row>
    <row r="1534" spans="1:14" x14ac:dyDescent="0.3">
      <c r="A1534" s="2" t="s">
        <v>1600</v>
      </c>
      <c r="B1534" s="6">
        <v>45788</v>
      </c>
      <c r="C1534" s="2" t="s">
        <v>44</v>
      </c>
      <c r="D1534" s="2" t="s">
        <v>65</v>
      </c>
      <c r="E1534" s="2">
        <v>4</v>
      </c>
      <c r="F1534" s="7">
        <v>129</v>
      </c>
      <c r="G1534" s="8">
        <v>0.2</v>
      </c>
      <c r="H1534" s="9" t="str">
        <f>INDEX(Products!$B$2:$B$37, MATCH(D1534, Products!$A$2:$A$37, 0))</f>
        <v>Yoga Mat Premium</v>
      </c>
      <c r="I1534" t="str">
        <f>INDEX(Products!$C$2:$C$37, MATCH(D1534, Products!$A$2:$A$37, 0))</f>
        <v>Sports</v>
      </c>
      <c r="J1534">
        <f>INDEX(Products!$E$2:$E$37, MATCH(D1534, Products!$A$2:$A$37, 0))</f>
        <v>60</v>
      </c>
      <c r="K1534" s="9">
        <f t="shared" si="92"/>
        <v>412.8</v>
      </c>
      <c r="L1534">
        <f t="shared" si="93"/>
        <v>240</v>
      </c>
      <c r="M1534" s="9">
        <f t="shared" si="94"/>
        <v>172.8</v>
      </c>
      <c r="N1534" t="str">
        <f t="shared" si="95"/>
        <v>May</v>
      </c>
    </row>
    <row r="1535" spans="1:14" x14ac:dyDescent="0.3">
      <c r="A1535" s="2" t="s">
        <v>1601</v>
      </c>
      <c r="B1535" s="6">
        <v>45788</v>
      </c>
      <c r="C1535" s="2" t="s">
        <v>41</v>
      </c>
      <c r="D1535" s="2" t="s">
        <v>46</v>
      </c>
      <c r="E1535" s="2">
        <v>2</v>
      </c>
      <c r="F1535" s="7">
        <v>189</v>
      </c>
      <c r="G1535" s="8">
        <v>0.15</v>
      </c>
      <c r="H1535" s="9" t="str">
        <f>INDEX(Products!$B$2:$B$37, MATCH(D1535, Products!$A$2:$A$37, 0))</f>
        <v>Makeup Palette</v>
      </c>
      <c r="I1535" t="str">
        <f>INDEX(Products!$C$2:$C$37, MATCH(D1535, Products!$A$2:$A$37, 0))</f>
        <v>Beauty</v>
      </c>
      <c r="J1535">
        <f>INDEX(Products!$E$2:$E$37, MATCH(D1535, Products!$A$2:$A$37, 0))</f>
        <v>85</v>
      </c>
      <c r="K1535" s="9">
        <f t="shared" si="92"/>
        <v>321.3</v>
      </c>
      <c r="L1535">
        <f t="shared" si="93"/>
        <v>170</v>
      </c>
      <c r="M1535" s="9">
        <f t="shared" si="94"/>
        <v>151.30000000000001</v>
      </c>
      <c r="N1535" t="str">
        <f t="shared" si="95"/>
        <v>May</v>
      </c>
    </row>
    <row r="1536" spans="1:14" x14ac:dyDescent="0.3">
      <c r="A1536" s="2" t="s">
        <v>1602</v>
      </c>
      <c r="B1536" s="6">
        <v>45788</v>
      </c>
      <c r="C1536" s="2" t="s">
        <v>44</v>
      </c>
      <c r="D1536" s="2" t="s">
        <v>49</v>
      </c>
      <c r="E1536" s="2">
        <v>3</v>
      </c>
      <c r="F1536" s="7">
        <v>149</v>
      </c>
      <c r="G1536" s="8">
        <v>0</v>
      </c>
      <c r="H1536" s="9" t="str">
        <f>INDEX(Products!$B$2:$B$37, MATCH(D1536, Products!$A$2:$A$37, 0))</f>
        <v>Kids' Sneakers</v>
      </c>
      <c r="I1536" t="str">
        <f>INDEX(Products!$C$2:$C$37, MATCH(D1536, Products!$A$2:$A$37, 0))</f>
        <v>Fashion</v>
      </c>
      <c r="J1536">
        <f>INDEX(Products!$E$2:$E$37, MATCH(D1536, Products!$A$2:$A$37, 0))</f>
        <v>80</v>
      </c>
      <c r="K1536" s="9">
        <f t="shared" si="92"/>
        <v>447</v>
      </c>
      <c r="L1536">
        <f t="shared" si="93"/>
        <v>240</v>
      </c>
      <c r="M1536" s="9">
        <f t="shared" si="94"/>
        <v>207</v>
      </c>
      <c r="N1536" t="str">
        <f t="shared" si="95"/>
        <v>May</v>
      </c>
    </row>
    <row r="1537" spans="1:14" x14ac:dyDescent="0.3">
      <c r="A1537" s="2" t="s">
        <v>1603</v>
      </c>
      <c r="B1537" s="6">
        <v>45788</v>
      </c>
      <c r="C1537" s="2" t="s">
        <v>31</v>
      </c>
      <c r="D1537" s="2" t="s">
        <v>80</v>
      </c>
      <c r="E1537" s="2">
        <v>3</v>
      </c>
      <c r="F1537" s="7">
        <v>149</v>
      </c>
      <c r="G1537" s="8">
        <v>0.15</v>
      </c>
      <c r="H1537" s="9" t="str">
        <f>INDEX(Products!$B$2:$B$37, MATCH(D1537, Products!$A$2:$A$37, 0))</f>
        <v>Vitamin C Serum</v>
      </c>
      <c r="I1537" t="str">
        <f>INDEX(Products!$C$2:$C$37, MATCH(D1537, Products!$A$2:$A$37, 0))</f>
        <v>Beauty</v>
      </c>
      <c r="J1537">
        <f>INDEX(Products!$E$2:$E$37, MATCH(D1537, Products!$A$2:$A$37, 0))</f>
        <v>55</v>
      </c>
      <c r="K1537" s="9">
        <f t="shared" si="92"/>
        <v>379.95</v>
      </c>
      <c r="L1537">
        <f t="shared" si="93"/>
        <v>165</v>
      </c>
      <c r="M1537" s="9">
        <f t="shared" si="94"/>
        <v>214.95</v>
      </c>
      <c r="N1537" t="str">
        <f t="shared" si="95"/>
        <v>May</v>
      </c>
    </row>
    <row r="1538" spans="1:14" x14ac:dyDescent="0.3">
      <c r="A1538" s="2" t="s">
        <v>1604</v>
      </c>
      <c r="B1538" s="6">
        <v>45789</v>
      </c>
      <c r="C1538" s="2" t="s">
        <v>48</v>
      </c>
      <c r="D1538" s="2" t="s">
        <v>52</v>
      </c>
      <c r="E1538" s="2">
        <v>1</v>
      </c>
      <c r="F1538" s="7">
        <v>299</v>
      </c>
      <c r="G1538" s="8">
        <v>0.1</v>
      </c>
      <c r="H1538" s="9" t="str">
        <f>INDEX(Products!$B$2:$B$37, MATCH(D1538, Products!$A$2:$A$37, 0))</f>
        <v>Hair Dryer Ionic</v>
      </c>
      <c r="I1538" t="str">
        <f>INDEX(Products!$C$2:$C$37, MATCH(D1538, Products!$A$2:$A$37, 0))</f>
        <v>Beauty</v>
      </c>
      <c r="J1538">
        <f>INDEX(Products!$E$2:$E$37, MATCH(D1538, Products!$A$2:$A$37, 0))</f>
        <v>240</v>
      </c>
      <c r="K1538" s="9">
        <f t="shared" ref="K1538:K1601" si="96">E1538*F1538*(1-G1538)</f>
        <v>269.10000000000002</v>
      </c>
      <c r="L1538">
        <f t="shared" ref="L1538:L1601" si="97">E1538*J1538</f>
        <v>240</v>
      </c>
      <c r="M1538" s="9">
        <f t="shared" ref="M1538:M1601" si="98">K1538-L1538</f>
        <v>29.100000000000023</v>
      </c>
      <c r="N1538" t="str">
        <f t="shared" ref="N1538:N1601" si="99">TEXT(B1538,"mmm")</f>
        <v>May</v>
      </c>
    </row>
    <row r="1539" spans="1:14" x14ac:dyDescent="0.3">
      <c r="A1539" s="2" t="s">
        <v>1605</v>
      </c>
      <c r="B1539" s="6">
        <v>45789</v>
      </c>
      <c r="C1539" s="2" t="s">
        <v>48</v>
      </c>
      <c r="D1539" s="2" t="s">
        <v>29</v>
      </c>
      <c r="E1539" s="2">
        <v>2</v>
      </c>
      <c r="F1539" s="7">
        <v>229</v>
      </c>
      <c r="G1539" s="8">
        <v>0</v>
      </c>
      <c r="H1539" s="9" t="str">
        <f>INDEX(Products!$B$2:$B$37, MATCH(D1539, Products!$A$2:$A$37, 0))</f>
        <v>Women's Summer Dress</v>
      </c>
      <c r="I1539" t="str">
        <f>INDEX(Products!$C$2:$C$37, MATCH(D1539, Products!$A$2:$A$37, 0))</f>
        <v>Fashion</v>
      </c>
      <c r="J1539">
        <f>INDEX(Products!$E$2:$E$37, MATCH(D1539, Products!$A$2:$A$37, 0))</f>
        <v>120</v>
      </c>
      <c r="K1539" s="9">
        <f t="shared" si="96"/>
        <v>458</v>
      </c>
      <c r="L1539">
        <f t="shared" si="97"/>
        <v>240</v>
      </c>
      <c r="M1539" s="9">
        <f t="shared" si="98"/>
        <v>218</v>
      </c>
      <c r="N1539" t="str">
        <f t="shared" si="99"/>
        <v>May</v>
      </c>
    </row>
    <row r="1540" spans="1:14" x14ac:dyDescent="0.3">
      <c r="A1540" s="2" t="s">
        <v>1606</v>
      </c>
      <c r="B1540" s="6">
        <v>45789</v>
      </c>
      <c r="C1540" s="2" t="s">
        <v>44</v>
      </c>
      <c r="D1540" s="2" t="s">
        <v>60</v>
      </c>
      <c r="E1540" s="2">
        <v>1</v>
      </c>
      <c r="F1540" s="7">
        <v>99</v>
      </c>
      <c r="G1540" s="8">
        <v>0.3</v>
      </c>
      <c r="H1540" s="9" t="str">
        <f>INDEX(Products!$B$2:$B$37, MATCH(D1540, Products!$A$2:$A$37, 0))</f>
        <v>Football Size 5</v>
      </c>
      <c r="I1540" t="str">
        <f>INDEX(Products!$C$2:$C$37, MATCH(D1540, Products!$A$2:$A$37, 0))</f>
        <v>Sports</v>
      </c>
      <c r="J1540">
        <f>INDEX(Products!$E$2:$E$37, MATCH(D1540, Products!$A$2:$A$37, 0))</f>
        <v>45</v>
      </c>
      <c r="K1540" s="9">
        <f t="shared" si="96"/>
        <v>69.3</v>
      </c>
      <c r="L1540">
        <f t="shared" si="97"/>
        <v>45</v>
      </c>
      <c r="M1540" s="9">
        <f t="shared" si="98"/>
        <v>24.299999999999997</v>
      </c>
      <c r="N1540" t="str">
        <f t="shared" si="99"/>
        <v>May</v>
      </c>
    </row>
    <row r="1541" spans="1:14" x14ac:dyDescent="0.3">
      <c r="A1541" s="2" t="s">
        <v>1607</v>
      </c>
      <c r="B1541" s="6">
        <v>45789</v>
      </c>
      <c r="C1541" s="2" t="s">
        <v>41</v>
      </c>
      <c r="D1541" s="2" t="s">
        <v>52</v>
      </c>
      <c r="E1541" s="2">
        <v>2</v>
      </c>
      <c r="F1541" s="7">
        <v>299</v>
      </c>
      <c r="G1541" s="8">
        <v>0.2</v>
      </c>
      <c r="H1541" s="9" t="str">
        <f>INDEX(Products!$B$2:$B$37, MATCH(D1541, Products!$A$2:$A$37, 0))</f>
        <v>Hair Dryer Ionic</v>
      </c>
      <c r="I1541" t="str">
        <f>INDEX(Products!$C$2:$C$37, MATCH(D1541, Products!$A$2:$A$37, 0))</f>
        <v>Beauty</v>
      </c>
      <c r="J1541">
        <f>INDEX(Products!$E$2:$E$37, MATCH(D1541, Products!$A$2:$A$37, 0))</f>
        <v>240</v>
      </c>
      <c r="K1541" s="9">
        <f t="shared" si="96"/>
        <v>478.40000000000003</v>
      </c>
      <c r="L1541">
        <f t="shared" si="97"/>
        <v>480</v>
      </c>
      <c r="M1541" s="9">
        <f t="shared" si="98"/>
        <v>-1.5999999999999659</v>
      </c>
      <c r="N1541" t="str">
        <f t="shared" si="99"/>
        <v>May</v>
      </c>
    </row>
    <row r="1542" spans="1:14" x14ac:dyDescent="0.3">
      <c r="A1542" s="2" t="s">
        <v>1608</v>
      </c>
      <c r="B1542" s="6">
        <v>45789</v>
      </c>
      <c r="C1542" s="2" t="s">
        <v>28</v>
      </c>
      <c r="D1542" s="2" t="s">
        <v>58</v>
      </c>
      <c r="E1542" s="2">
        <v>2</v>
      </c>
      <c r="F1542" s="7">
        <v>459</v>
      </c>
      <c r="G1542" s="8">
        <v>0.1</v>
      </c>
      <c r="H1542" s="9" t="str">
        <f>INDEX(Products!$B$2:$B$37, MATCH(D1542, Products!$A$2:$A$37, 0))</f>
        <v>Women's Abaya Classic</v>
      </c>
      <c r="I1542" t="str">
        <f>INDEX(Products!$C$2:$C$37, MATCH(D1542, Products!$A$2:$A$37, 0))</f>
        <v>Fashion</v>
      </c>
      <c r="J1542">
        <f>INDEX(Products!$E$2:$E$37, MATCH(D1542, Products!$A$2:$A$37, 0))</f>
        <v>190</v>
      </c>
      <c r="K1542" s="9">
        <f t="shared" si="96"/>
        <v>826.2</v>
      </c>
      <c r="L1542">
        <f t="shared" si="97"/>
        <v>380</v>
      </c>
      <c r="M1542" s="9">
        <f t="shared" si="98"/>
        <v>446.20000000000005</v>
      </c>
      <c r="N1542" t="str">
        <f t="shared" si="99"/>
        <v>May</v>
      </c>
    </row>
    <row r="1543" spans="1:14" x14ac:dyDescent="0.3">
      <c r="A1543" s="2" t="s">
        <v>1609</v>
      </c>
      <c r="B1543" s="6">
        <v>45789</v>
      </c>
      <c r="C1543" s="2" t="s">
        <v>48</v>
      </c>
      <c r="D1543" s="2" t="s">
        <v>75</v>
      </c>
      <c r="E1543" s="2">
        <v>1</v>
      </c>
      <c r="F1543" s="7">
        <v>549</v>
      </c>
      <c r="G1543" s="8">
        <v>0</v>
      </c>
      <c r="H1543" s="9" t="str">
        <f>INDEX(Products!$B$2:$B$37, MATCH(D1543, Products!$A$2:$A$37, 0))</f>
        <v>Oud Perfume 100ml</v>
      </c>
      <c r="I1543" t="str">
        <f>INDEX(Products!$C$2:$C$37, MATCH(D1543, Products!$A$2:$A$37, 0))</f>
        <v>Beauty</v>
      </c>
      <c r="J1543">
        <f>INDEX(Products!$E$2:$E$37, MATCH(D1543, Products!$A$2:$A$37, 0))</f>
        <v>250</v>
      </c>
      <c r="K1543" s="9">
        <f t="shared" si="96"/>
        <v>549</v>
      </c>
      <c r="L1543">
        <f t="shared" si="97"/>
        <v>250</v>
      </c>
      <c r="M1543" s="9">
        <f t="shared" si="98"/>
        <v>299</v>
      </c>
      <c r="N1543" t="str">
        <f t="shared" si="99"/>
        <v>May</v>
      </c>
    </row>
    <row r="1544" spans="1:14" x14ac:dyDescent="0.3">
      <c r="A1544" s="2" t="s">
        <v>1610</v>
      </c>
      <c r="B1544" s="6">
        <v>45789</v>
      </c>
      <c r="C1544" s="2" t="s">
        <v>28</v>
      </c>
      <c r="D1544" s="2" t="s">
        <v>131</v>
      </c>
      <c r="E1544" s="2">
        <v>2</v>
      </c>
      <c r="F1544" s="7">
        <v>899</v>
      </c>
      <c r="G1544" s="8">
        <v>0.1</v>
      </c>
      <c r="H1544" s="9" t="str">
        <f>INDEX(Products!$B$2:$B$37, MATCH(D1544, Products!$A$2:$A$37, 0))</f>
        <v>4K Action Camera</v>
      </c>
      <c r="I1544" t="str">
        <f>INDEX(Products!$C$2:$C$37, MATCH(D1544, Products!$A$2:$A$37, 0))</f>
        <v>Electronics</v>
      </c>
      <c r="J1544">
        <f>INDEX(Products!$E$2:$E$37, MATCH(D1544, Products!$A$2:$A$37, 0))</f>
        <v>610</v>
      </c>
      <c r="K1544" s="9">
        <f t="shared" si="96"/>
        <v>1618.2</v>
      </c>
      <c r="L1544">
        <f t="shared" si="97"/>
        <v>1220</v>
      </c>
      <c r="M1544" s="9">
        <f t="shared" si="98"/>
        <v>398.20000000000005</v>
      </c>
      <c r="N1544" t="str">
        <f t="shared" si="99"/>
        <v>May</v>
      </c>
    </row>
    <row r="1545" spans="1:14" x14ac:dyDescent="0.3">
      <c r="A1545" s="2" t="s">
        <v>1611</v>
      </c>
      <c r="B1545" s="6">
        <v>45789</v>
      </c>
      <c r="C1545" s="2" t="s">
        <v>48</v>
      </c>
      <c r="D1545" s="2" t="s">
        <v>39</v>
      </c>
      <c r="E1545" s="2">
        <v>2</v>
      </c>
      <c r="F1545" s="7">
        <v>199</v>
      </c>
      <c r="G1545" s="8">
        <v>0.1</v>
      </c>
      <c r="H1545" s="9" t="str">
        <f>INDEX(Products!$B$2:$B$37, MATCH(D1545, Products!$A$2:$A$37, 0))</f>
        <v>Bakhoor Gift Set</v>
      </c>
      <c r="I1545" t="str">
        <f>INDEX(Products!$C$2:$C$37, MATCH(D1545, Products!$A$2:$A$37, 0))</f>
        <v>Beauty</v>
      </c>
      <c r="J1545">
        <f>INDEX(Products!$E$2:$E$37, MATCH(D1545, Products!$A$2:$A$37, 0))</f>
        <v>90</v>
      </c>
      <c r="K1545" s="9">
        <f t="shared" si="96"/>
        <v>358.2</v>
      </c>
      <c r="L1545">
        <f t="shared" si="97"/>
        <v>180</v>
      </c>
      <c r="M1545" s="9">
        <f t="shared" si="98"/>
        <v>178.2</v>
      </c>
      <c r="N1545" t="str">
        <f t="shared" si="99"/>
        <v>May</v>
      </c>
    </row>
    <row r="1546" spans="1:14" x14ac:dyDescent="0.3">
      <c r="A1546" s="2" t="s">
        <v>1612</v>
      </c>
      <c r="B1546" s="6">
        <v>45789</v>
      </c>
      <c r="C1546" s="2" t="s">
        <v>44</v>
      </c>
      <c r="D1546" s="2" t="s">
        <v>39</v>
      </c>
      <c r="E1546" s="2">
        <v>1</v>
      </c>
      <c r="F1546" s="7">
        <v>199</v>
      </c>
      <c r="G1546" s="8">
        <v>0.1</v>
      </c>
      <c r="H1546" s="9" t="str">
        <f>INDEX(Products!$B$2:$B$37, MATCH(D1546, Products!$A$2:$A$37, 0))</f>
        <v>Bakhoor Gift Set</v>
      </c>
      <c r="I1546" t="str">
        <f>INDEX(Products!$C$2:$C$37, MATCH(D1546, Products!$A$2:$A$37, 0))</f>
        <v>Beauty</v>
      </c>
      <c r="J1546">
        <f>INDEX(Products!$E$2:$E$37, MATCH(D1546, Products!$A$2:$A$37, 0))</f>
        <v>90</v>
      </c>
      <c r="K1546" s="9">
        <f t="shared" si="96"/>
        <v>179.1</v>
      </c>
      <c r="L1546">
        <f t="shared" si="97"/>
        <v>90</v>
      </c>
      <c r="M1546" s="9">
        <f t="shared" si="98"/>
        <v>89.1</v>
      </c>
      <c r="N1546" t="str">
        <f t="shared" si="99"/>
        <v>May</v>
      </c>
    </row>
    <row r="1547" spans="1:14" x14ac:dyDescent="0.3">
      <c r="A1547" s="2" t="s">
        <v>1613</v>
      </c>
      <c r="B1547" s="6">
        <v>45789</v>
      </c>
      <c r="C1547" s="2" t="s">
        <v>44</v>
      </c>
      <c r="D1547" s="2" t="s">
        <v>115</v>
      </c>
      <c r="E1547" s="2">
        <v>1</v>
      </c>
      <c r="F1547" s="7">
        <v>129</v>
      </c>
      <c r="G1547" s="8">
        <v>0</v>
      </c>
      <c r="H1547" s="9" t="str">
        <f>INDEX(Products!$B$2:$B$37, MATCH(D1547, Products!$A$2:$A$37, 0))</f>
        <v>Electric Kettle</v>
      </c>
      <c r="I1547" t="str">
        <f>INDEX(Products!$C$2:$C$37, MATCH(D1547, Products!$A$2:$A$37, 0))</f>
        <v>Home &amp; Kitchen</v>
      </c>
      <c r="J1547">
        <f>INDEX(Products!$E$2:$E$37, MATCH(D1547, Products!$A$2:$A$37, 0))</f>
        <v>60</v>
      </c>
      <c r="K1547" s="9">
        <f t="shared" si="96"/>
        <v>129</v>
      </c>
      <c r="L1547">
        <f t="shared" si="97"/>
        <v>60</v>
      </c>
      <c r="M1547" s="9">
        <f t="shared" si="98"/>
        <v>69</v>
      </c>
      <c r="N1547" t="str">
        <f t="shared" si="99"/>
        <v>May</v>
      </c>
    </row>
    <row r="1548" spans="1:14" x14ac:dyDescent="0.3">
      <c r="A1548" s="2" t="s">
        <v>1614</v>
      </c>
      <c r="B1548" s="6">
        <v>45789</v>
      </c>
      <c r="C1548" s="2" t="s">
        <v>41</v>
      </c>
      <c r="D1548" s="2" t="s">
        <v>60</v>
      </c>
      <c r="E1548" s="2">
        <v>2</v>
      </c>
      <c r="F1548" s="7">
        <v>99</v>
      </c>
      <c r="G1548" s="8">
        <v>0.2</v>
      </c>
      <c r="H1548" s="9" t="str">
        <f>INDEX(Products!$B$2:$B$37, MATCH(D1548, Products!$A$2:$A$37, 0))</f>
        <v>Football Size 5</v>
      </c>
      <c r="I1548" t="str">
        <f>INDEX(Products!$C$2:$C$37, MATCH(D1548, Products!$A$2:$A$37, 0))</f>
        <v>Sports</v>
      </c>
      <c r="J1548">
        <f>INDEX(Products!$E$2:$E$37, MATCH(D1548, Products!$A$2:$A$37, 0))</f>
        <v>45</v>
      </c>
      <c r="K1548" s="9">
        <f t="shared" si="96"/>
        <v>158.4</v>
      </c>
      <c r="L1548">
        <f t="shared" si="97"/>
        <v>90</v>
      </c>
      <c r="M1548" s="9">
        <f t="shared" si="98"/>
        <v>68.400000000000006</v>
      </c>
      <c r="N1548" t="str">
        <f t="shared" si="99"/>
        <v>May</v>
      </c>
    </row>
    <row r="1549" spans="1:14" x14ac:dyDescent="0.3">
      <c r="A1549" s="2" t="s">
        <v>1615</v>
      </c>
      <c r="B1549" s="6">
        <v>45789</v>
      </c>
      <c r="C1549" s="2" t="s">
        <v>44</v>
      </c>
      <c r="D1549" s="2" t="s">
        <v>126</v>
      </c>
      <c r="E1549" s="2">
        <v>1</v>
      </c>
      <c r="F1549" s="7">
        <v>89</v>
      </c>
      <c r="G1549" s="8">
        <v>0.2</v>
      </c>
      <c r="H1549" s="9" t="str">
        <f>INDEX(Products!$B$2:$B$37, MATCH(D1549, Products!$A$2:$A$37, 0))</f>
        <v>USB-C Fast Charger</v>
      </c>
      <c r="I1549" t="str">
        <f>INDEX(Products!$C$2:$C$37, MATCH(D1549, Products!$A$2:$A$37, 0))</f>
        <v>Electronics</v>
      </c>
      <c r="J1549">
        <f>INDEX(Products!$E$2:$E$37, MATCH(D1549, Products!$A$2:$A$37, 0))</f>
        <v>35</v>
      </c>
      <c r="K1549" s="9">
        <f t="shared" si="96"/>
        <v>71.2</v>
      </c>
      <c r="L1549">
        <f t="shared" si="97"/>
        <v>35</v>
      </c>
      <c r="M1549" s="9">
        <f t="shared" si="98"/>
        <v>36.200000000000003</v>
      </c>
      <c r="N1549" t="str">
        <f t="shared" si="99"/>
        <v>May</v>
      </c>
    </row>
    <row r="1550" spans="1:14" x14ac:dyDescent="0.3">
      <c r="A1550" s="2" t="s">
        <v>1616</v>
      </c>
      <c r="B1550" s="6">
        <v>45789</v>
      </c>
      <c r="C1550" s="2" t="s">
        <v>48</v>
      </c>
      <c r="D1550" s="2" t="s">
        <v>35</v>
      </c>
      <c r="E1550" s="2">
        <v>2</v>
      </c>
      <c r="F1550" s="7">
        <v>179</v>
      </c>
      <c r="G1550" s="8">
        <v>0</v>
      </c>
      <c r="H1550" s="9" t="str">
        <f>INDEX(Products!$B$2:$B$37, MATCH(D1550, Products!$A$2:$A$37, 0))</f>
        <v>Men's Linen Shirt</v>
      </c>
      <c r="I1550" t="str">
        <f>INDEX(Products!$C$2:$C$37, MATCH(D1550, Products!$A$2:$A$37, 0))</f>
        <v>Fashion</v>
      </c>
      <c r="J1550">
        <f>INDEX(Products!$E$2:$E$37, MATCH(D1550, Products!$A$2:$A$37, 0))</f>
        <v>70</v>
      </c>
      <c r="K1550" s="9">
        <f t="shared" si="96"/>
        <v>358</v>
      </c>
      <c r="L1550">
        <f t="shared" si="97"/>
        <v>140</v>
      </c>
      <c r="M1550" s="9">
        <f t="shared" si="98"/>
        <v>218</v>
      </c>
      <c r="N1550" t="str">
        <f t="shared" si="99"/>
        <v>May</v>
      </c>
    </row>
    <row r="1551" spans="1:14" x14ac:dyDescent="0.3">
      <c r="A1551" s="2" t="s">
        <v>1617</v>
      </c>
      <c r="B1551" s="6">
        <v>45789</v>
      </c>
      <c r="C1551" s="2" t="s">
        <v>44</v>
      </c>
      <c r="D1551" s="2" t="s">
        <v>126</v>
      </c>
      <c r="E1551" s="2">
        <v>1</v>
      </c>
      <c r="F1551" s="7">
        <v>89</v>
      </c>
      <c r="G1551" s="8">
        <v>0</v>
      </c>
      <c r="H1551" s="9" t="str">
        <f>INDEX(Products!$B$2:$B$37, MATCH(D1551, Products!$A$2:$A$37, 0))</f>
        <v>USB-C Fast Charger</v>
      </c>
      <c r="I1551" t="str">
        <f>INDEX(Products!$C$2:$C$37, MATCH(D1551, Products!$A$2:$A$37, 0))</f>
        <v>Electronics</v>
      </c>
      <c r="J1551">
        <f>INDEX(Products!$E$2:$E$37, MATCH(D1551, Products!$A$2:$A$37, 0))</f>
        <v>35</v>
      </c>
      <c r="K1551" s="9">
        <f t="shared" si="96"/>
        <v>89</v>
      </c>
      <c r="L1551">
        <f t="shared" si="97"/>
        <v>35</v>
      </c>
      <c r="M1551" s="9">
        <f t="shared" si="98"/>
        <v>54</v>
      </c>
      <c r="N1551" t="str">
        <f t="shared" si="99"/>
        <v>May</v>
      </c>
    </row>
    <row r="1552" spans="1:14" x14ac:dyDescent="0.3">
      <c r="A1552" s="2" t="s">
        <v>1618</v>
      </c>
      <c r="B1552" s="6">
        <v>45789</v>
      </c>
      <c r="C1552" s="2" t="s">
        <v>44</v>
      </c>
      <c r="D1552" s="2" t="s">
        <v>165</v>
      </c>
      <c r="E1552" s="2">
        <v>1</v>
      </c>
      <c r="F1552" s="7">
        <v>69</v>
      </c>
      <c r="G1552" s="8">
        <v>0</v>
      </c>
      <c r="H1552" s="9" t="str">
        <f>INDEX(Products!$B$2:$B$37, MATCH(D1552, Products!$A$2:$A$37, 0))</f>
        <v>Swim Goggles</v>
      </c>
      <c r="I1552" t="str">
        <f>INDEX(Products!$C$2:$C$37, MATCH(D1552, Products!$A$2:$A$37, 0))</f>
        <v>Sports</v>
      </c>
      <c r="J1552">
        <f>INDEX(Products!$E$2:$E$37, MATCH(D1552, Products!$A$2:$A$37, 0))</f>
        <v>25</v>
      </c>
      <c r="K1552" s="9">
        <f t="shared" si="96"/>
        <v>69</v>
      </c>
      <c r="L1552">
        <f t="shared" si="97"/>
        <v>25</v>
      </c>
      <c r="M1552" s="9">
        <f t="shared" si="98"/>
        <v>44</v>
      </c>
      <c r="N1552" t="str">
        <f t="shared" si="99"/>
        <v>May</v>
      </c>
    </row>
    <row r="1553" spans="1:14" x14ac:dyDescent="0.3">
      <c r="A1553" s="2" t="s">
        <v>1619</v>
      </c>
      <c r="B1553" s="6">
        <v>45789</v>
      </c>
      <c r="C1553" s="2" t="s">
        <v>28</v>
      </c>
      <c r="D1553" s="2" t="s">
        <v>115</v>
      </c>
      <c r="E1553" s="2">
        <v>2</v>
      </c>
      <c r="F1553" s="7">
        <v>129</v>
      </c>
      <c r="G1553" s="8">
        <v>0</v>
      </c>
      <c r="H1553" s="9" t="str">
        <f>INDEX(Products!$B$2:$B$37, MATCH(D1553, Products!$A$2:$A$37, 0))</f>
        <v>Electric Kettle</v>
      </c>
      <c r="I1553" t="str">
        <f>INDEX(Products!$C$2:$C$37, MATCH(D1553, Products!$A$2:$A$37, 0))</f>
        <v>Home &amp; Kitchen</v>
      </c>
      <c r="J1553">
        <f>INDEX(Products!$E$2:$E$37, MATCH(D1553, Products!$A$2:$A$37, 0))</f>
        <v>60</v>
      </c>
      <c r="K1553" s="9">
        <f t="shared" si="96"/>
        <v>258</v>
      </c>
      <c r="L1553">
        <f t="shared" si="97"/>
        <v>120</v>
      </c>
      <c r="M1553" s="9">
        <f t="shared" si="98"/>
        <v>138</v>
      </c>
      <c r="N1553" t="str">
        <f t="shared" si="99"/>
        <v>May</v>
      </c>
    </row>
    <row r="1554" spans="1:14" x14ac:dyDescent="0.3">
      <c r="A1554" s="2" t="s">
        <v>1620</v>
      </c>
      <c r="B1554" s="6">
        <v>45790</v>
      </c>
      <c r="C1554" s="2" t="s">
        <v>44</v>
      </c>
      <c r="D1554" s="2" t="s">
        <v>109</v>
      </c>
      <c r="E1554" s="2">
        <v>2</v>
      </c>
      <c r="F1554" s="7">
        <v>1499</v>
      </c>
      <c r="G1554" s="8">
        <v>0</v>
      </c>
      <c r="H1554" s="9" t="str">
        <f>INDEX(Products!$B$2:$B$37, MATCH(D1554, Products!$A$2:$A$37, 0))</f>
        <v>Espresso Machine</v>
      </c>
      <c r="I1554" t="str">
        <f>INDEX(Products!$C$2:$C$37, MATCH(D1554, Products!$A$2:$A$37, 0))</f>
        <v>Home &amp; Kitchen</v>
      </c>
      <c r="J1554">
        <f>INDEX(Products!$E$2:$E$37, MATCH(D1554, Products!$A$2:$A$37, 0))</f>
        <v>1050</v>
      </c>
      <c r="K1554" s="9">
        <f t="shared" si="96"/>
        <v>2998</v>
      </c>
      <c r="L1554">
        <f t="shared" si="97"/>
        <v>2100</v>
      </c>
      <c r="M1554" s="9">
        <f t="shared" si="98"/>
        <v>898</v>
      </c>
      <c r="N1554" t="str">
        <f t="shared" si="99"/>
        <v>May</v>
      </c>
    </row>
    <row r="1555" spans="1:14" x14ac:dyDescent="0.3">
      <c r="A1555" s="2" t="s">
        <v>1621</v>
      </c>
      <c r="B1555" s="6">
        <v>45790</v>
      </c>
      <c r="C1555" s="2" t="s">
        <v>44</v>
      </c>
      <c r="D1555" s="2" t="s">
        <v>29</v>
      </c>
      <c r="E1555" s="2">
        <v>1</v>
      </c>
      <c r="F1555" s="7">
        <v>229</v>
      </c>
      <c r="G1555" s="8">
        <v>0.05</v>
      </c>
      <c r="H1555" s="9" t="str">
        <f>INDEX(Products!$B$2:$B$37, MATCH(D1555, Products!$A$2:$A$37, 0))</f>
        <v>Women's Summer Dress</v>
      </c>
      <c r="I1555" t="str">
        <f>INDEX(Products!$C$2:$C$37, MATCH(D1555, Products!$A$2:$A$37, 0))</f>
        <v>Fashion</v>
      </c>
      <c r="J1555">
        <f>INDEX(Products!$E$2:$E$37, MATCH(D1555, Products!$A$2:$A$37, 0))</f>
        <v>120</v>
      </c>
      <c r="K1555" s="9">
        <f t="shared" si="96"/>
        <v>217.54999999999998</v>
      </c>
      <c r="L1555">
        <f t="shared" si="97"/>
        <v>120</v>
      </c>
      <c r="M1555" s="9">
        <f t="shared" si="98"/>
        <v>97.549999999999983</v>
      </c>
      <c r="N1555" t="str">
        <f t="shared" si="99"/>
        <v>May</v>
      </c>
    </row>
    <row r="1556" spans="1:14" x14ac:dyDescent="0.3">
      <c r="A1556" s="2" t="s">
        <v>1622</v>
      </c>
      <c r="B1556" s="6">
        <v>45790</v>
      </c>
      <c r="C1556" s="2" t="s">
        <v>44</v>
      </c>
      <c r="D1556" s="2" t="s">
        <v>129</v>
      </c>
      <c r="E1556" s="2">
        <v>1</v>
      </c>
      <c r="F1556" s="7">
        <v>149</v>
      </c>
      <c r="G1556" s="8">
        <v>0.15</v>
      </c>
      <c r="H1556" s="9" t="str">
        <f>INDEX(Products!$B$2:$B$37, MATCH(D1556, Products!$A$2:$A$37, 0))</f>
        <v>Power Bank 20000mAh</v>
      </c>
      <c r="I1556" t="str">
        <f>INDEX(Products!$C$2:$C$37, MATCH(D1556, Products!$A$2:$A$37, 0))</f>
        <v>Electronics</v>
      </c>
      <c r="J1556">
        <f>INDEX(Products!$E$2:$E$37, MATCH(D1556, Products!$A$2:$A$37, 0))</f>
        <v>70</v>
      </c>
      <c r="K1556" s="9">
        <f t="shared" si="96"/>
        <v>126.64999999999999</v>
      </c>
      <c r="L1556">
        <f t="shared" si="97"/>
        <v>70</v>
      </c>
      <c r="M1556" s="9">
        <f t="shared" si="98"/>
        <v>56.649999999999991</v>
      </c>
      <c r="N1556" t="str">
        <f t="shared" si="99"/>
        <v>May</v>
      </c>
    </row>
    <row r="1557" spans="1:14" x14ac:dyDescent="0.3">
      <c r="A1557" s="2" t="s">
        <v>1623</v>
      </c>
      <c r="B1557" s="6">
        <v>45790</v>
      </c>
      <c r="C1557" s="2" t="s">
        <v>41</v>
      </c>
      <c r="D1557" s="2" t="s">
        <v>149</v>
      </c>
      <c r="E1557" s="2">
        <v>3</v>
      </c>
      <c r="F1557" s="7">
        <v>399</v>
      </c>
      <c r="G1557" s="8">
        <v>0.05</v>
      </c>
      <c r="H1557" s="9" t="str">
        <f>INDEX(Products!$B$2:$B$37, MATCH(D1557, Products!$A$2:$A$37, 0))</f>
        <v>Blender Pro 1200W</v>
      </c>
      <c r="I1557" t="str">
        <f>INDEX(Products!$C$2:$C$37, MATCH(D1557, Products!$A$2:$A$37, 0))</f>
        <v>Home &amp; Kitchen</v>
      </c>
      <c r="J1557">
        <f>INDEX(Products!$E$2:$E$37, MATCH(D1557, Products!$A$2:$A$37, 0))</f>
        <v>250</v>
      </c>
      <c r="K1557" s="9">
        <f t="shared" si="96"/>
        <v>1137.1499999999999</v>
      </c>
      <c r="L1557">
        <f t="shared" si="97"/>
        <v>750</v>
      </c>
      <c r="M1557" s="9">
        <f t="shared" si="98"/>
        <v>387.14999999999986</v>
      </c>
      <c r="N1557" t="str">
        <f t="shared" si="99"/>
        <v>May</v>
      </c>
    </row>
    <row r="1558" spans="1:14" x14ac:dyDescent="0.3">
      <c r="A1558" s="2" t="s">
        <v>1624</v>
      </c>
      <c r="B1558" s="6">
        <v>45790</v>
      </c>
      <c r="C1558" s="2" t="s">
        <v>48</v>
      </c>
      <c r="D1558" s="2" t="s">
        <v>29</v>
      </c>
      <c r="E1558" s="2">
        <v>1</v>
      </c>
      <c r="F1558" s="7">
        <v>229</v>
      </c>
      <c r="G1558" s="8">
        <v>0.1</v>
      </c>
      <c r="H1558" s="9" t="str">
        <f>INDEX(Products!$B$2:$B$37, MATCH(D1558, Products!$A$2:$A$37, 0))</f>
        <v>Women's Summer Dress</v>
      </c>
      <c r="I1558" t="str">
        <f>INDEX(Products!$C$2:$C$37, MATCH(D1558, Products!$A$2:$A$37, 0))</f>
        <v>Fashion</v>
      </c>
      <c r="J1558">
        <f>INDEX(Products!$E$2:$E$37, MATCH(D1558, Products!$A$2:$A$37, 0))</f>
        <v>120</v>
      </c>
      <c r="K1558" s="9">
        <f t="shared" si="96"/>
        <v>206.1</v>
      </c>
      <c r="L1558">
        <f t="shared" si="97"/>
        <v>120</v>
      </c>
      <c r="M1558" s="9">
        <f t="shared" si="98"/>
        <v>86.1</v>
      </c>
      <c r="N1558" t="str">
        <f t="shared" si="99"/>
        <v>May</v>
      </c>
    </row>
    <row r="1559" spans="1:14" x14ac:dyDescent="0.3">
      <c r="A1559" s="2" t="s">
        <v>1625</v>
      </c>
      <c r="B1559" s="6">
        <v>45790</v>
      </c>
      <c r="C1559" s="2" t="s">
        <v>48</v>
      </c>
      <c r="D1559" s="2" t="s">
        <v>99</v>
      </c>
      <c r="E1559" s="2">
        <v>3</v>
      </c>
      <c r="F1559" s="7">
        <v>459</v>
      </c>
      <c r="G1559" s="8">
        <v>0</v>
      </c>
      <c r="H1559" s="9" t="str">
        <f>INDEX(Products!$B$2:$B$37, MATCH(D1559, Products!$A$2:$A$37, 0))</f>
        <v>Gaming Headset X</v>
      </c>
      <c r="I1559" t="str">
        <f>INDEX(Products!$C$2:$C$37, MATCH(D1559, Products!$A$2:$A$37, 0))</f>
        <v>Electronics</v>
      </c>
      <c r="J1559">
        <f>INDEX(Products!$E$2:$E$37, MATCH(D1559, Products!$A$2:$A$37, 0))</f>
        <v>300</v>
      </c>
      <c r="K1559" s="9">
        <f t="shared" si="96"/>
        <v>1377</v>
      </c>
      <c r="L1559">
        <f t="shared" si="97"/>
        <v>900</v>
      </c>
      <c r="M1559" s="9">
        <f t="shared" si="98"/>
        <v>477</v>
      </c>
      <c r="N1559" t="str">
        <f t="shared" si="99"/>
        <v>May</v>
      </c>
    </row>
    <row r="1560" spans="1:14" x14ac:dyDescent="0.3">
      <c r="A1560" s="2" t="s">
        <v>1626</v>
      </c>
      <c r="B1560" s="6">
        <v>45790</v>
      </c>
      <c r="C1560" s="2" t="s">
        <v>31</v>
      </c>
      <c r="D1560" s="2" t="s">
        <v>95</v>
      </c>
      <c r="E1560" s="2">
        <v>1</v>
      </c>
      <c r="F1560" s="7">
        <v>259</v>
      </c>
      <c r="G1560" s="8">
        <v>0.05</v>
      </c>
      <c r="H1560" s="9" t="str">
        <f>INDEX(Products!$B$2:$B$37, MATCH(D1560, Products!$A$2:$A$37, 0))</f>
        <v>Bed Linen Set (King)</v>
      </c>
      <c r="I1560" t="str">
        <f>INDEX(Products!$C$2:$C$37, MATCH(D1560, Products!$A$2:$A$37, 0))</f>
        <v>Home &amp; Kitchen</v>
      </c>
      <c r="J1560">
        <f>INDEX(Products!$E$2:$E$37, MATCH(D1560, Products!$A$2:$A$37, 0))</f>
        <v>115</v>
      </c>
      <c r="K1560" s="9">
        <f t="shared" si="96"/>
        <v>246.04999999999998</v>
      </c>
      <c r="L1560">
        <f t="shared" si="97"/>
        <v>115</v>
      </c>
      <c r="M1560" s="9">
        <f t="shared" si="98"/>
        <v>131.04999999999998</v>
      </c>
      <c r="N1560" t="str">
        <f t="shared" si="99"/>
        <v>May</v>
      </c>
    </row>
    <row r="1561" spans="1:14" x14ac:dyDescent="0.3">
      <c r="A1561" s="2" t="s">
        <v>1627</v>
      </c>
      <c r="B1561" s="6">
        <v>45790</v>
      </c>
      <c r="C1561" s="2" t="s">
        <v>28</v>
      </c>
      <c r="D1561" s="2" t="s">
        <v>83</v>
      </c>
      <c r="E1561" s="2">
        <v>1</v>
      </c>
      <c r="F1561" s="7">
        <v>229</v>
      </c>
      <c r="G1561" s="8">
        <v>0.15</v>
      </c>
      <c r="H1561" s="9" t="str">
        <f>INDEX(Products!$B$2:$B$37, MATCH(D1561, Products!$A$2:$A$37, 0))</f>
        <v>Cycling Helmet</v>
      </c>
      <c r="I1561" t="str">
        <f>INDEX(Products!$C$2:$C$37, MATCH(D1561, Products!$A$2:$A$37, 0))</f>
        <v>Sports</v>
      </c>
      <c r="J1561">
        <f>INDEX(Products!$E$2:$E$37, MATCH(D1561, Products!$A$2:$A$37, 0))</f>
        <v>120</v>
      </c>
      <c r="K1561" s="9">
        <f t="shared" si="96"/>
        <v>194.65</v>
      </c>
      <c r="L1561">
        <f t="shared" si="97"/>
        <v>120</v>
      </c>
      <c r="M1561" s="9">
        <f t="shared" si="98"/>
        <v>74.650000000000006</v>
      </c>
      <c r="N1561" t="str">
        <f t="shared" si="99"/>
        <v>May</v>
      </c>
    </row>
    <row r="1562" spans="1:14" x14ac:dyDescent="0.3">
      <c r="A1562" s="2" t="s">
        <v>1628</v>
      </c>
      <c r="B1562" s="6">
        <v>45790</v>
      </c>
      <c r="C1562" s="2" t="s">
        <v>44</v>
      </c>
      <c r="D1562" s="2" t="s">
        <v>75</v>
      </c>
      <c r="E1562" s="2">
        <v>3</v>
      </c>
      <c r="F1562" s="7">
        <v>549</v>
      </c>
      <c r="G1562" s="8">
        <v>0</v>
      </c>
      <c r="H1562" s="9" t="str">
        <f>INDEX(Products!$B$2:$B$37, MATCH(D1562, Products!$A$2:$A$37, 0))</f>
        <v>Oud Perfume 100ml</v>
      </c>
      <c r="I1562" t="str">
        <f>INDEX(Products!$C$2:$C$37, MATCH(D1562, Products!$A$2:$A$37, 0))</f>
        <v>Beauty</v>
      </c>
      <c r="J1562">
        <f>INDEX(Products!$E$2:$E$37, MATCH(D1562, Products!$A$2:$A$37, 0))</f>
        <v>250</v>
      </c>
      <c r="K1562" s="9">
        <f t="shared" si="96"/>
        <v>1647</v>
      </c>
      <c r="L1562">
        <f t="shared" si="97"/>
        <v>750</v>
      </c>
      <c r="M1562" s="9">
        <f t="shared" si="98"/>
        <v>897</v>
      </c>
      <c r="N1562" t="str">
        <f t="shared" si="99"/>
        <v>May</v>
      </c>
    </row>
    <row r="1563" spans="1:14" x14ac:dyDescent="0.3">
      <c r="A1563" s="2" t="s">
        <v>1629</v>
      </c>
      <c r="B1563" s="6">
        <v>45790</v>
      </c>
      <c r="C1563" s="2" t="s">
        <v>31</v>
      </c>
      <c r="D1563" s="2" t="s">
        <v>39</v>
      </c>
      <c r="E1563" s="2">
        <v>3</v>
      </c>
      <c r="F1563" s="7">
        <v>199</v>
      </c>
      <c r="G1563" s="8">
        <v>0</v>
      </c>
      <c r="H1563" s="9" t="str">
        <f>INDEX(Products!$B$2:$B$37, MATCH(D1563, Products!$A$2:$A$37, 0))</f>
        <v>Bakhoor Gift Set</v>
      </c>
      <c r="I1563" t="str">
        <f>INDEX(Products!$C$2:$C$37, MATCH(D1563, Products!$A$2:$A$37, 0))</f>
        <v>Beauty</v>
      </c>
      <c r="J1563">
        <f>INDEX(Products!$E$2:$E$37, MATCH(D1563, Products!$A$2:$A$37, 0))</f>
        <v>90</v>
      </c>
      <c r="K1563" s="9">
        <f t="shared" si="96"/>
        <v>597</v>
      </c>
      <c r="L1563">
        <f t="shared" si="97"/>
        <v>270</v>
      </c>
      <c r="M1563" s="9">
        <f t="shared" si="98"/>
        <v>327</v>
      </c>
      <c r="N1563" t="str">
        <f t="shared" si="99"/>
        <v>May</v>
      </c>
    </row>
    <row r="1564" spans="1:14" x14ac:dyDescent="0.3">
      <c r="A1564" s="2" t="s">
        <v>1630</v>
      </c>
      <c r="B1564" s="6">
        <v>45790</v>
      </c>
      <c r="C1564" s="2" t="s">
        <v>28</v>
      </c>
      <c r="D1564" s="2" t="s">
        <v>68</v>
      </c>
      <c r="E1564" s="2">
        <v>4</v>
      </c>
      <c r="F1564" s="7">
        <v>249</v>
      </c>
      <c r="G1564" s="8">
        <v>0.3</v>
      </c>
      <c r="H1564" s="9" t="str">
        <f>INDEX(Products!$B$2:$B$37, MATCH(D1564, Products!$A$2:$A$37, 0))</f>
        <v>Bluetooth Speaker Mini</v>
      </c>
      <c r="I1564" t="str">
        <f>INDEX(Products!$C$2:$C$37, MATCH(D1564, Products!$A$2:$A$37, 0))</f>
        <v>Electronics</v>
      </c>
      <c r="J1564">
        <f>INDEX(Products!$E$2:$E$37, MATCH(D1564, Products!$A$2:$A$37, 0))</f>
        <v>150</v>
      </c>
      <c r="K1564" s="9">
        <f t="shared" si="96"/>
        <v>697.19999999999993</v>
      </c>
      <c r="L1564">
        <f t="shared" si="97"/>
        <v>600</v>
      </c>
      <c r="M1564" s="9">
        <f t="shared" si="98"/>
        <v>97.199999999999932</v>
      </c>
      <c r="N1564" t="str">
        <f t="shared" si="99"/>
        <v>May</v>
      </c>
    </row>
    <row r="1565" spans="1:14" x14ac:dyDescent="0.3">
      <c r="A1565" s="2" t="s">
        <v>1631</v>
      </c>
      <c r="B1565" s="6">
        <v>45790</v>
      </c>
      <c r="C1565" s="2" t="s">
        <v>31</v>
      </c>
      <c r="D1565" s="2" t="s">
        <v>115</v>
      </c>
      <c r="E1565" s="2">
        <v>1</v>
      </c>
      <c r="F1565" s="7">
        <v>129</v>
      </c>
      <c r="G1565" s="8">
        <v>0.05</v>
      </c>
      <c r="H1565" s="9" t="str">
        <f>INDEX(Products!$B$2:$B$37, MATCH(D1565, Products!$A$2:$A$37, 0))</f>
        <v>Electric Kettle</v>
      </c>
      <c r="I1565" t="str">
        <f>INDEX(Products!$C$2:$C$37, MATCH(D1565, Products!$A$2:$A$37, 0))</f>
        <v>Home &amp; Kitchen</v>
      </c>
      <c r="J1565">
        <f>INDEX(Products!$E$2:$E$37, MATCH(D1565, Products!$A$2:$A$37, 0))</f>
        <v>60</v>
      </c>
      <c r="K1565" s="9">
        <f t="shared" si="96"/>
        <v>122.55</v>
      </c>
      <c r="L1565">
        <f t="shared" si="97"/>
        <v>60</v>
      </c>
      <c r="M1565" s="9">
        <f t="shared" si="98"/>
        <v>62.55</v>
      </c>
      <c r="N1565" t="str">
        <f t="shared" si="99"/>
        <v>May</v>
      </c>
    </row>
    <row r="1566" spans="1:14" x14ac:dyDescent="0.3">
      <c r="A1566" s="2" t="s">
        <v>1632</v>
      </c>
      <c r="B1566" s="6">
        <v>45790</v>
      </c>
      <c r="C1566" s="2" t="s">
        <v>44</v>
      </c>
      <c r="D1566" s="2" t="s">
        <v>78</v>
      </c>
      <c r="E1566" s="2">
        <v>2</v>
      </c>
      <c r="F1566" s="7">
        <v>499</v>
      </c>
      <c r="G1566" s="8">
        <v>0.05</v>
      </c>
      <c r="H1566" s="9" t="str">
        <f>INDEX(Products!$B$2:$B$37, MATCH(D1566, Products!$A$2:$A$37, 0))</f>
        <v>Air Fryer 5L</v>
      </c>
      <c r="I1566" t="str">
        <f>INDEX(Products!$C$2:$C$37, MATCH(D1566, Products!$A$2:$A$37, 0))</f>
        <v>Home &amp; Kitchen</v>
      </c>
      <c r="J1566">
        <f>INDEX(Products!$E$2:$E$37, MATCH(D1566, Products!$A$2:$A$37, 0))</f>
        <v>290</v>
      </c>
      <c r="K1566" s="9">
        <f t="shared" si="96"/>
        <v>948.09999999999991</v>
      </c>
      <c r="L1566">
        <f t="shared" si="97"/>
        <v>580</v>
      </c>
      <c r="M1566" s="9">
        <f t="shared" si="98"/>
        <v>368.09999999999991</v>
      </c>
      <c r="N1566" t="str">
        <f t="shared" si="99"/>
        <v>May</v>
      </c>
    </row>
    <row r="1567" spans="1:14" x14ac:dyDescent="0.3">
      <c r="A1567" s="2" t="s">
        <v>1633</v>
      </c>
      <c r="B1567" s="6">
        <v>45790</v>
      </c>
      <c r="C1567" s="2" t="s">
        <v>28</v>
      </c>
      <c r="D1567" s="2" t="s">
        <v>39</v>
      </c>
      <c r="E1567" s="2">
        <v>1</v>
      </c>
      <c r="F1567" s="7">
        <v>199</v>
      </c>
      <c r="G1567" s="8">
        <v>0.05</v>
      </c>
      <c r="H1567" s="9" t="str">
        <f>INDEX(Products!$B$2:$B$37, MATCH(D1567, Products!$A$2:$A$37, 0))</f>
        <v>Bakhoor Gift Set</v>
      </c>
      <c r="I1567" t="str">
        <f>INDEX(Products!$C$2:$C$37, MATCH(D1567, Products!$A$2:$A$37, 0))</f>
        <v>Beauty</v>
      </c>
      <c r="J1567">
        <f>INDEX(Products!$E$2:$E$37, MATCH(D1567, Products!$A$2:$A$37, 0))</f>
        <v>90</v>
      </c>
      <c r="K1567" s="9">
        <f t="shared" si="96"/>
        <v>189.04999999999998</v>
      </c>
      <c r="L1567">
        <f t="shared" si="97"/>
        <v>90</v>
      </c>
      <c r="M1567" s="9">
        <f t="shared" si="98"/>
        <v>99.049999999999983</v>
      </c>
      <c r="N1567" t="str">
        <f t="shared" si="99"/>
        <v>May</v>
      </c>
    </row>
    <row r="1568" spans="1:14" x14ac:dyDescent="0.3">
      <c r="A1568" s="2" t="s">
        <v>1634</v>
      </c>
      <c r="B1568" s="6">
        <v>45790</v>
      </c>
      <c r="C1568" s="2" t="s">
        <v>44</v>
      </c>
      <c r="D1568" s="2" t="s">
        <v>37</v>
      </c>
      <c r="E1568" s="2">
        <v>1</v>
      </c>
      <c r="F1568" s="7">
        <v>249</v>
      </c>
      <c r="G1568" s="8">
        <v>0</v>
      </c>
      <c r="H1568" s="9" t="str">
        <f>INDEX(Products!$B$2:$B$37, MATCH(D1568, Products!$A$2:$A$37, 0))</f>
        <v>Sunglasses Polarised</v>
      </c>
      <c r="I1568" t="str">
        <f>INDEX(Products!$C$2:$C$37, MATCH(D1568, Products!$A$2:$A$37, 0))</f>
        <v>Fashion</v>
      </c>
      <c r="J1568">
        <f>INDEX(Products!$E$2:$E$37, MATCH(D1568, Products!$A$2:$A$37, 0))</f>
        <v>95</v>
      </c>
      <c r="K1568" s="9">
        <f t="shared" si="96"/>
        <v>249</v>
      </c>
      <c r="L1568">
        <f t="shared" si="97"/>
        <v>95</v>
      </c>
      <c r="M1568" s="9">
        <f t="shared" si="98"/>
        <v>154</v>
      </c>
      <c r="N1568" t="str">
        <f t="shared" si="99"/>
        <v>May</v>
      </c>
    </row>
    <row r="1569" spans="1:14" x14ac:dyDescent="0.3">
      <c r="A1569" s="2" t="s">
        <v>1635</v>
      </c>
      <c r="B1569" s="6">
        <v>45790</v>
      </c>
      <c r="C1569" s="2" t="s">
        <v>48</v>
      </c>
      <c r="D1569" s="2" t="s">
        <v>115</v>
      </c>
      <c r="E1569" s="2">
        <v>1</v>
      </c>
      <c r="F1569" s="7">
        <v>129</v>
      </c>
      <c r="G1569" s="8">
        <v>0.3</v>
      </c>
      <c r="H1569" s="9" t="str">
        <f>INDEX(Products!$B$2:$B$37, MATCH(D1569, Products!$A$2:$A$37, 0))</f>
        <v>Electric Kettle</v>
      </c>
      <c r="I1569" t="str">
        <f>INDEX(Products!$C$2:$C$37, MATCH(D1569, Products!$A$2:$A$37, 0))</f>
        <v>Home &amp; Kitchen</v>
      </c>
      <c r="J1569">
        <f>INDEX(Products!$E$2:$E$37, MATCH(D1569, Products!$A$2:$A$37, 0))</f>
        <v>60</v>
      </c>
      <c r="K1569" s="9">
        <f t="shared" si="96"/>
        <v>90.3</v>
      </c>
      <c r="L1569">
        <f t="shared" si="97"/>
        <v>60</v>
      </c>
      <c r="M1569" s="9">
        <f t="shared" si="98"/>
        <v>30.299999999999997</v>
      </c>
      <c r="N1569" t="str">
        <f t="shared" si="99"/>
        <v>May</v>
      </c>
    </row>
    <row r="1570" spans="1:14" x14ac:dyDescent="0.3">
      <c r="A1570" s="2" t="s">
        <v>1636</v>
      </c>
      <c r="B1570" s="6">
        <v>45791</v>
      </c>
      <c r="C1570" s="2" t="s">
        <v>41</v>
      </c>
      <c r="D1570" s="2" t="s">
        <v>131</v>
      </c>
      <c r="E1570" s="2">
        <v>1</v>
      </c>
      <c r="F1570" s="7">
        <v>899</v>
      </c>
      <c r="G1570" s="8">
        <v>0</v>
      </c>
      <c r="H1570" s="9" t="str">
        <f>INDEX(Products!$B$2:$B$37, MATCH(D1570, Products!$A$2:$A$37, 0))</f>
        <v>4K Action Camera</v>
      </c>
      <c r="I1570" t="str">
        <f>INDEX(Products!$C$2:$C$37, MATCH(D1570, Products!$A$2:$A$37, 0))</f>
        <v>Electronics</v>
      </c>
      <c r="J1570">
        <f>INDEX(Products!$E$2:$E$37, MATCH(D1570, Products!$A$2:$A$37, 0))</f>
        <v>610</v>
      </c>
      <c r="K1570" s="9">
        <f t="shared" si="96"/>
        <v>899</v>
      </c>
      <c r="L1570">
        <f t="shared" si="97"/>
        <v>610</v>
      </c>
      <c r="M1570" s="9">
        <f t="shared" si="98"/>
        <v>289</v>
      </c>
      <c r="N1570" t="str">
        <f t="shared" si="99"/>
        <v>May</v>
      </c>
    </row>
    <row r="1571" spans="1:14" x14ac:dyDescent="0.3">
      <c r="A1571" s="2" t="s">
        <v>1637</v>
      </c>
      <c r="B1571" s="6">
        <v>45791</v>
      </c>
      <c r="C1571" s="2" t="s">
        <v>28</v>
      </c>
      <c r="D1571" s="2" t="s">
        <v>56</v>
      </c>
      <c r="E1571" s="2">
        <v>2</v>
      </c>
      <c r="F1571" s="7">
        <v>289</v>
      </c>
      <c r="G1571" s="8">
        <v>0</v>
      </c>
      <c r="H1571" s="9" t="str">
        <f>INDEX(Products!$B$2:$B$37, MATCH(D1571, Products!$A$2:$A$37, 0))</f>
        <v>Ceramic Dinner Set</v>
      </c>
      <c r="I1571" t="str">
        <f>INDEX(Products!$C$2:$C$37, MATCH(D1571, Products!$A$2:$A$37, 0))</f>
        <v>Home &amp; Kitchen</v>
      </c>
      <c r="J1571">
        <f>INDEX(Products!$E$2:$E$37, MATCH(D1571, Products!$A$2:$A$37, 0))</f>
        <v>140</v>
      </c>
      <c r="K1571" s="9">
        <f t="shared" si="96"/>
        <v>578</v>
      </c>
      <c r="L1571">
        <f t="shared" si="97"/>
        <v>280</v>
      </c>
      <c r="M1571" s="9">
        <f t="shared" si="98"/>
        <v>298</v>
      </c>
      <c r="N1571" t="str">
        <f t="shared" si="99"/>
        <v>May</v>
      </c>
    </row>
    <row r="1572" spans="1:14" x14ac:dyDescent="0.3">
      <c r="A1572" s="2" t="s">
        <v>1638</v>
      </c>
      <c r="B1572" s="6">
        <v>45791</v>
      </c>
      <c r="C1572" s="2" t="s">
        <v>48</v>
      </c>
      <c r="D1572" s="2" t="s">
        <v>68</v>
      </c>
      <c r="E1572" s="2">
        <v>2</v>
      </c>
      <c r="F1572" s="7">
        <v>249</v>
      </c>
      <c r="G1572" s="8">
        <v>0.05</v>
      </c>
      <c r="H1572" s="9" t="str">
        <f>INDEX(Products!$B$2:$B$37, MATCH(D1572, Products!$A$2:$A$37, 0))</f>
        <v>Bluetooth Speaker Mini</v>
      </c>
      <c r="I1572" t="str">
        <f>INDEX(Products!$C$2:$C$37, MATCH(D1572, Products!$A$2:$A$37, 0))</f>
        <v>Electronics</v>
      </c>
      <c r="J1572">
        <f>INDEX(Products!$E$2:$E$37, MATCH(D1572, Products!$A$2:$A$37, 0))</f>
        <v>150</v>
      </c>
      <c r="K1572" s="9">
        <f t="shared" si="96"/>
        <v>473.09999999999997</v>
      </c>
      <c r="L1572">
        <f t="shared" si="97"/>
        <v>300</v>
      </c>
      <c r="M1572" s="9">
        <f t="shared" si="98"/>
        <v>173.09999999999997</v>
      </c>
      <c r="N1572" t="str">
        <f t="shared" si="99"/>
        <v>May</v>
      </c>
    </row>
    <row r="1573" spans="1:14" x14ac:dyDescent="0.3">
      <c r="A1573" s="2" t="s">
        <v>1639</v>
      </c>
      <c r="B1573" s="6">
        <v>45791</v>
      </c>
      <c r="C1573" s="2" t="s">
        <v>28</v>
      </c>
      <c r="D1573" s="2" t="s">
        <v>56</v>
      </c>
      <c r="E1573" s="2">
        <v>1</v>
      </c>
      <c r="F1573" s="7">
        <v>289</v>
      </c>
      <c r="G1573" s="8">
        <v>0.2</v>
      </c>
      <c r="H1573" s="9" t="str">
        <f>INDEX(Products!$B$2:$B$37, MATCH(D1573, Products!$A$2:$A$37, 0))</f>
        <v>Ceramic Dinner Set</v>
      </c>
      <c r="I1573" t="str">
        <f>INDEX(Products!$C$2:$C$37, MATCH(D1573, Products!$A$2:$A$37, 0))</f>
        <v>Home &amp; Kitchen</v>
      </c>
      <c r="J1573">
        <f>INDEX(Products!$E$2:$E$37, MATCH(D1573, Products!$A$2:$A$37, 0))</f>
        <v>140</v>
      </c>
      <c r="K1573" s="9">
        <f t="shared" si="96"/>
        <v>231.20000000000002</v>
      </c>
      <c r="L1573">
        <f t="shared" si="97"/>
        <v>140</v>
      </c>
      <c r="M1573" s="9">
        <f t="shared" si="98"/>
        <v>91.200000000000017</v>
      </c>
      <c r="N1573" t="str">
        <f t="shared" si="99"/>
        <v>May</v>
      </c>
    </row>
    <row r="1574" spans="1:14" x14ac:dyDescent="0.3">
      <c r="A1574" s="2" t="s">
        <v>1640</v>
      </c>
      <c r="B1574" s="6">
        <v>45791</v>
      </c>
      <c r="C1574" s="2" t="s">
        <v>44</v>
      </c>
      <c r="D1574" s="2" t="s">
        <v>49</v>
      </c>
      <c r="E1574" s="2">
        <v>1</v>
      </c>
      <c r="F1574" s="7">
        <v>149</v>
      </c>
      <c r="G1574" s="8">
        <v>0.05</v>
      </c>
      <c r="H1574" s="9" t="str">
        <f>INDEX(Products!$B$2:$B$37, MATCH(D1574, Products!$A$2:$A$37, 0))</f>
        <v>Kids' Sneakers</v>
      </c>
      <c r="I1574" t="str">
        <f>INDEX(Products!$C$2:$C$37, MATCH(D1574, Products!$A$2:$A$37, 0))</f>
        <v>Fashion</v>
      </c>
      <c r="J1574">
        <f>INDEX(Products!$E$2:$E$37, MATCH(D1574, Products!$A$2:$A$37, 0))</f>
        <v>80</v>
      </c>
      <c r="K1574" s="9">
        <f t="shared" si="96"/>
        <v>141.54999999999998</v>
      </c>
      <c r="L1574">
        <f t="shared" si="97"/>
        <v>80</v>
      </c>
      <c r="M1574" s="9">
        <f t="shared" si="98"/>
        <v>61.549999999999983</v>
      </c>
      <c r="N1574" t="str">
        <f t="shared" si="99"/>
        <v>May</v>
      </c>
    </row>
    <row r="1575" spans="1:14" x14ac:dyDescent="0.3">
      <c r="A1575" s="2" t="s">
        <v>1641</v>
      </c>
      <c r="B1575" s="6">
        <v>45791</v>
      </c>
      <c r="C1575" s="2" t="s">
        <v>41</v>
      </c>
      <c r="D1575" s="2" t="s">
        <v>115</v>
      </c>
      <c r="E1575" s="2">
        <v>3</v>
      </c>
      <c r="F1575" s="7">
        <v>129</v>
      </c>
      <c r="G1575" s="8">
        <v>0.05</v>
      </c>
      <c r="H1575" s="9" t="str">
        <f>INDEX(Products!$B$2:$B$37, MATCH(D1575, Products!$A$2:$A$37, 0))</f>
        <v>Electric Kettle</v>
      </c>
      <c r="I1575" t="str">
        <f>INDEX(Products!$C$2:$C$37, MATCH(D1575, Products!$A$2:$A$37, 0))</f>
        <v>Home &amp; Kitchen</v>
      </c>
      <c r="J1575">
        <f>INDEX(Products!$E$2:$E$37, MATCH(D1575, Products!$A$2:$A$37, 0))</f>
        <v>60</v>
      </c>
      <c r="K1575" s="9">
        <f t="shared" si="96"/>
        <v>367.65</v>
      </c>
      <c r="L1575">
        <f t="shared" si="97"/>
        <v>180</v>
      </c>
      <c r="M1575" s="9">
        <f t="shared" si="98"/>
        <v>187.64999999999998</v>
      </c>
      <c r="N1575" t="str">
        <f t="shared" si="99"/>
        <v>May</v>
      </c>
    </row>
    <row r="1576" spans="1:14" x14ac:dyDescent="0.3">
      <c r="A1576" s="2" t="s">
        <v>1642</v>
      </c>
      <c r="B1576" s="6">
        <v>45791</v>
      </c>
      <c r="C1576" s="2" t="s">
        <v>28</v>
      </c>
      <c r="D1576" s="2" t="s">
        <v>49</v>
      </c>
      <c r="E1576" s="2">
        <v>1</v>
      </c>
      <c r="F1576" s="7">
        <v>149</v>
      </c>
      <c r="G1576" s="8">
        <v>0.05</v>
      </c>
      <c r="H1576" s="9" t="str">
        <f>INDEX(Products!$B$2:$B$37, MATCH(D1576, Products!$A$2:$A$37, 0))</f>
        <v>Kids' Sneakers</v>
      </c>
      <c r="I1576" t="str">
        <f>INDEX(Products!$C$2:$C$37, MATCH(D1576, Products!$A$2:$A$37, 0))</f>
        <v>Fashion</v>
      </c>
      <c r="J1576">
        <f>INDEX(Products!$E$2:$E$37, MATCH(D1576, Products!$A$2:$A$37, 0))</f>
        <v>80</v>
      </c>
      <c r="K1576" s="9">
        <f t="shared" si="96"/>
        <v>141.54999999999998</v>
      </c>
      <c r="L1576">
        <f t="shared" si="97"/>
        <v>80</v>
      </c>
      <c r="M1576" s="9">
        <f t="shared" si="98"/>
        <v>61.549999999999983</v>
      </c>
      <c r="N1576" t="str">
        <f t="shared" si="99"/>
        <v>May</v>
      </c>
    </row>
    <row r="1577" spans="1:14" x14ac:dyDescent="0.3">
      <c r="A1577" s="2" t="s">
        <v>1643</v>
      </c>
      <c r="B1577" s="6">
        <v>45791</v>
      </c>
      <c r="C1577" s="2" t="s">
        <v>44</v>
      </c>
      <c r="D1577" s="2" t="s">
        <v>83</v>
      </c>
      <c r="E1577" s="2">
        <v>1</v>
      </c>
      <c r="F1577" s="7">
        <v>229</v>
      </c>
      <c r="G1577" s="8">
        <v>0.2</v>
      </c>
      <c r="H1577" s="9" t="str">
        <f>INDEX(Products!$B$2:$B$37, MATCH(D1577, Products!$A$2:$A$37, 0))</f>
        <v>Cycling Helmet</v>
      </c>
      <c r="I1577" t="str">
        <f>INDEX(Products!$C$2:$C$37, MATCH(D1577, Products!$A$2:$A$37, 0))</f>
        <v>Sports</v>
      </c>
      <c r="J1577">
        <f>INDEX(Products!$E$2:$E$37, MATCH(D1577, Products!$A$2:$A$37, 0))</f>
        <v>120</v>
      </c>
      <c r="K1577" s="9">
        <f t="shared" si="96"/>
        <v>183.20000000000002</v>
      </c>
      <c r="L1577">
        <f t="shared" si="97"/>
        <v>120</v>
      </c>
      <c r="M1577" s="9">
        <f t="shared" si="98"/>
        <v>63.200000000000017</v>
      </c>
      <c r="N1577" t="str">
        <f t="shared" si="99"/>
        <v>May</v>
      </c>
    </row>
    <row r="1578" spans="1:14" x14ac:dyDescent="0.3">
      <c r="A1578" s="2" t="s">
        <v>1644</v>
      </c>
      <c r="B1578" s="6">
        <v>45791</v>
      </c>
      <c r="C1578" s="2" t="s">
        <v>28</v>
      </c>
      <c r="D1578" s="2" t="s">
        <v>92</v>
      </c>
      <c r="E1578" s="2">
        <v>4</v>
      </c>
      <c r="F1578" s="7">
        <v>349</v>
      </c>
      <c r="G1578" s="8">
        <v>0</v>
      </c>
      <c r="H1578" s="9" t="str">
        <f>INDEX(Products!$B$2:$B$37, MATCH(D1578, Products!$A$2:$A$37, 0))</f>
        <v>Non-stick Cookware Set</v>
      </c>
      <c r="I1578" t="str">
        <f>INDEX(Products!$C$2:$C$37, MATCH(D1578, Products!$A$2:$A$37, 0))</f>
        <v>Home &amp; Kitchen</v>
      </c>
      <c r="J1578">
        <f>INDEX(Products!$E$2:$E$37, MATCH(D1578, Products!$A$2:$A$37, 0))</f>
        <v>170</v>
      </c>
      <c r="K1578" s="9">
        <f t="shared" si="96"/>
        <v>1396</v>
      </c>
      <c r="L1578">
        <f t="shared" si="97"/>
        <v>680</v>
      </c>
      <c r="M1578" s="9">
        <f t="shared" si="98"/>
        <v>716</v>
      </c>
      <c r="N1578" t="str">
        <f t="shared" si="99"/>
        <v>May</v>
      </c>
    </row>
    <row r="1579" spans="1:14" x14ac:dyDescent="0.3">
      <c r="A1579" s="2" t="s">
        <v>1645</v>
      </c>
      <c r="B1579" s="6">
        <v>45791</v>
      </c>
      <c r="C1579" s="2" t="s">
        <v>41</v>
      </c>
      <c r="D1579" s="2" t="s">
        <v>126</v>
      </c>
      <c r="E1579" s="2">
        <v>1</v>
      </c>
      <c r="F1579" s="7">
        <v>89</v>
      </c>
      <c r="G1579" s="8">
        <v>0.15</v>
      </c>
      <c r="H1579" s="9" t="str">
        <f>INDEX(Products!$B$2:$B$37, MATCH(D1579, Products!$A$2:$A$37, 0))</f>
        <v>USB-C Fast Charger</v>
      </c>
      <c r="I1579" t="str">
        <f>INDEX(Products!$C$2:$C$37, MATCH(D1579, Products!$A$2:$A$37, 0))</f>
        <v>Electronics</v>
      </c>
      <c r="J1579">
        <f>INDEX(Products!$E$2:$E$37, MATCH(D1579, Products!$A$2:$A$37, 0))</f>
        <v>35</v>
      </c>
      <c r="K1579" s="9">
        <f t="shared" si="96"/>
        <v>75.649999999999991</v>
      </c>
      <c r="L1579">
        <f t="shared" si="97"/>
        <v>35</v>
      </c>
      <c r="M1579" s="9">
        <f t="shared" si="98"/>
        <v>40.649999999999991</v>
      </c>
      <c r="N1579" t="str">
        <f t="shared" si="99"/>
        <v>May</v>
      </c>
    </row>
    <row r="1580" spans="1:14" x14ac:dyDescent="0.3">
      <c r="A1580" s="2" t="s">
        <v>1646</v>
      </c>
      <c r="B1580" s="6">
        <v>45791</v>
      </c>
      <c r="C1580" s="2" t="s">
        <v>44</v>
      </c>
      <c r="D1580" s="2" t="s">
        <v>131</v>
      </c>
      <c r="E1580" s="2">
        <v>2</v>
      </c>
      <c r="F1580" s="7">
        <v>899</v>
      </c>
      <c r="G1580" s="8">
        <v>0.05</v>
      </c>
      <c r="H1580" s="9" t="str">
        <f>INDEX(Products!$B$2:$B$37, MATCH(D1580, Products!$A$2:$A$37, 0))</f>
        <v>4K Action Camera</v>
      </c>
      <c r="I1580" t="str">
        <f>INDEX(Products!$C$2:$C$37, MATCH(D1580, Products!$A$2:$A$37, 0))</f>
        <v>Electronics</v>
      </c>
      <c r="J1580">
        <f>INDEX(Products!$E$2:$E$37, MATCH(D1580, Products!$A$2:$A$37, 0))</f>
        <v>610</v>
      </c>
      <c r="K1580" s="9">
        <f t="shared" si="96"/>
        <v>1708.1</v>
      </c>
      <c r="L1580">
        <f t="shared" si="97"/>
        <v>1220</v>
      </c>
      <c r="M1580" s="9">
        <f t="shared" si="98"/>
        <v>488.09999999999991</v>
      </c>
      <c r="N1580" t="str">
        <f t="shared" si="99"/>
        <v>May</v>
      </c>
    </row>
    <row r="1581" spans="1:14" x14ac:dyDescent="0.3">
      <c r="A1581" s="2" t="s">
        <v>1647</v>
      </c>
      <c r="B1581" s="6">
        <v>45791</v>
      </c>
      <c r="C1581" s="2" t="s">
        <v>44</v>
      </c>
      <c r="D1581" s="2" t="s">
        <v>75</v>
      </c>
      <c r="E1581" s="2">
        <v>2</v>
      </c>
      <c r="F1581" s="7">
        <v>549</v>
      </c>
      <c r="G1581" s="8">
        <v>0</v>
      </c>
      <c r="H1581" s="9" t="str">
        <f>INDEX(Products!$B$2:$B$37, MATCH(D1581, Products!$A$2:$A$37, 0))</f>
        <v>Oud Perfume 100ml</v>
      </c>
      <c r="I1581" t="str">
        <f>INDEX(Products!$C$2:$C$37, MATCH(D1581, Products!$A$2:$A$37, 0))</f>
        <v>Beauty</v>
      </c>
      <c r="J1581">
        <f>INDEX(Products!$E$2:$E$37, MATCH(D1581, Products!$A$2:$A$37, 0))</f>
        <v>250</v>
      </c>
      <c r="K1581" s="9">
        <f t="shared" si="96"/>
        <v>1098</v>
      </c>
      <c r="L1581">
        <f t="shared" si="97"/>
        <v>500</v>
      </c>
      <c r="M1581" s="9">
        <f t="shared" si="98"/>
        <v>598</v>
      </c>
      <c r="N1581" t="str">
        <f t="shared" si="99"/>
        <v>May</v>
      </c>
    </row>
    <row r="1582" spans="1:14" x14ac:dyDescent="0.3">
      <c r="A1582" s="2" t="s">
        <v>1648</v>
      </c>
      <c r="B1582" s="6">
        <v>45791</v>
      </c>
      <c r="C1582" s="2" t="s">
        <v>31</v>
      </c>
      <c r="D1582" s="2" t="s">
        <v>149</v>
      </c>
      <c r="E1582" s="2">
        <v>1</v>
      </c>
      <c r="F1582" s="7">
        <v>399</v>
      </c>
      <c r="G1582" s="8">
        <v>0</v>
      </c>
      <c r="H1582" s="9" t="str">
        <f>INDEX(Products!$B$2:$B$37, MATCH(D1582, Products!$A$2:$A$37, 0))</f>
        <v>Blender Pro 1200W</v>
      </c>
      <c r="I1582" t="str">
        <f>INDEX(Products!$C$2:$C$37, MATCH(D1582, Products!$A$2:$A$37, 0))</f>
        <v>Home &amp; Kitchen</v>
      </c>
      <c r="J1582">
        <f>INDEX(Products!$E$2:$E$37, MATCH(D1582, Products!$A$2:$A$37, 0))</f>
        <v>250</v>
      </c>
      <c r="K1582" s="9">
        <f t="shared" si="96"/>
        <v>399</v>
      </c>
      <c r="L1582">
        <f t="shared" si="97"/>
        <v>250</v>
      </c>
      <c r="M1582" s="9">
        <f t="shared" si="98"/>
        <v>149</v>
      </c>
      <c r="N1582" t="str">
        <f t="shared" si="99"/>
        <v>May</v>
      </c>
    </row>
    <row r="1583" spans="1:14" x14ac:dyDescent="0.3">
      <c r="A1583" s="2" t="s">
        <v>1649</v>
      </c>
      <c r="B1583" s="6">
        <v>45792</v>
      </c>
      <c r="C1583" s="2" t="s">
        <v>48</v>
      </c>
      <c r="D1583" s="2" t="s">
        <v>126</v>
      </c>
      <c r="E1583" s="2">
        <v>1</v>
      </c>
      <c r="F1583" s="7">
        <v>89</v>
      </c>
      <c r="G1583" s="8">
        <v>0</v>
      </c>
      <c r="H1583" s="9" t="str">
        <f>INDEX(Products!$B$2:$B$37, MATCH(D1583, Products!$A$2:$A$37, 0))</f>
        <v>USB-C Fast Charger</v>
      </c>
      <c r="I1583" t="str">
        <f>INDEX(Products!$C$2:$C$37, MATCH(D1583, Products!$A$2:$A$37, 0))</f>
        <v>Electronics</v>
      </c>
      <c r="J1583">
        <f>INDEX(Products!$E$2:$E$37, MATCH(D1583, Products!$A$2:$A$37, 0))</f>
        <v>35</v>
      </c>
      <c r="K1583" s="9">
        <f t="shared" si="96"/>
        <v>89</v>
      </c>
      <c r="L1583">
        <f t="shared" si="97"/>
        <v>35</v>
      </c>
      <c r="M1583" s="9">
        <f t="shared" si="98"/>
        <v>54</v>
      </c>
      <c r="N1583" t="str">
        <f t="shared" si="99"/>
        <v>May</v>
      </c>
    </row>
    <row r="1584" spans="1:14" x14ac:dyDescent="0.3">
      <c r="A1584" s="2" t="s">
        <v>1650</v>
      </c>
      <c r="B1584" s="6">
        <v>45792</v>
      </c>
      <c r="C1584" s="2" t="s">
        <v>41</v>
      </c>
      <c r="D1584" s="2" t="s">
        <v>58</v>
      </c>
      <c r="E1584" s="2">
        <v>1</v>
      </c>
      <c r="F1584" s="7">
        <v>459</v>
      </c>
      <c r="G1584" s="8">
        <v>0</v>
      </c>
      <c r="H1584" s="9" t="str">
        <f>INDEX(Products!$B$2:$B$37, MATCH(D1584, Products!$A$2:$A$37, 0))</f>
        <v>Women's Abaya Classic</v>
      </c>
      <c r="I1584" t="str">
        <f>INDEX(Products!$C$2:$C$37, MATCH(D1584, Products!$A$2:$A$37, 0))</f>
        <v>Fashion</v>
      </c>
      <c r="J1584">
        <f>INDEX(Products!$E$2:$E$37, MATCH(D1584, Products!$A$2:$A$37, 0))</f>
        <v>190</v>
      </c>
      <c r="K1584" s="9">
        <f t="shared" si="96"/>
        <v>459</v>
      </c>
      <c r="L1584">
        <f t="shared" si="97"/>
        <v>190</v>
      </c>
      <c r="M1584" s="9">
        <f t="shared" si="98"/>
        <v>269</v>
      </c>
      <c r="N1584" t="str">
        <f t="shared" si="99"/>
        <v>May</v>
      </c>
    </row>
    <row r="1585" spans="1:14" x14ac:dyDescent="0.3">
      <c r="A1585" s="2" t="s">
        <v>1651</v>
      </c>
      <c r="B1585" s="6">
        <v>45792</v>
      </c>
      <c r="C1585" s="2" t="s">
        <v>44</v>
      </c>
      <c r="D1585" s="2" t="s">
        <v>83</v>
      </c>
      <c r="E1585" s="2">
        <v>1</v>
      </c>
      <c r="F1585" s="7">
        <v>229</v>
      </c>
      <c r="G1585" s="8">
        <v>0</v>
      </c>
      <c r="H1585" s="9" t="str">
        <f>INDEX(Products!$B$2:$B$37, MATCH(D1585, Products!$A$2:$A$37, 0))</f>
        <v>Cycling Helmet</v>
      </c>
      <c r="I1585" t="str">
        <f>INDEX(Products!$C$2:$C$37, MATCH(D1585, Products!$A$2:$A$37, 0))</f>
        <v>Sports</v>
      </c>
      <c r="J1585">
        <f>INDEX(Products!$E$2:$E$37, MATCH(D1585, Products!$A$2:$A$37, 0))</f>
        <v>120</v>
      </c>
      <c r="K1585" s="9">
        <f t="shared" si="96"/>
        <v>229</v>
      </c>
      <c r="L1585">
        <f t="shared" si="97"/>
        <v>120</v>
      </c>
      <c r="M1585" s="9">
        <f t="shared" si="98"/>
        <v>109</v>
      </c>
      <c r="N1585" t="str">
        <f t="shared" si="99"/>
        <v>May</v>
      </c>
    </row>
    <row r="1586" spans="1:14" x14ac:dyDescent="0.3">
      <c r="A1586" s="2" t="s">
        <v>1652</v>
      </c>
      <c r="B1586" s="6">
        <v>45792</v>
      </c>
      <c r="C1586" s="2" t="s">
        <v>44</v>
      </c>
      <c r="D1586" s="2" t="s">
        <v>35</v>
      </c>
      <c r="E1586" s="2">
        <v>1</v>
      </c>
      <c r="F1586" s="7">
        <v>179</v>
      </c>
      <c r="G1586" s="8">
        <v>0.15</v>
      </c>
      <c r="H1586" s="9" t="str">
        <f>INDEX(Products!$B$2:$B$37, MATCH(D1586, Products!$A$2:$A$37, 0))</f>
        <v>Men's Linen Shirt</v>
      </c>
      <c r="I1586" t="str">
        <f>INDEX(Products!$C$2:$C$37, MATCH(D1586, Products!$A$2:$A$37, 0))</f>
        <v>Fashion</v>
      </c>
      <c r="J1586">
        <f>INDEX(Products!$E$2:$E$37, MATCH(D1586, Products!$A$2:$A$37, 0))</f>
        <v>70</v>
      </c>
      <c r="K1586" s="9">
        <f t="shared" si="96"/>
        <v>152.15</v>
      </c>
      <c r="L1586">
        <f t="shared" si="97"/>
        <v>70</v>
      </c>
      <c r="M1586" s="9">
        <f t="shared" si="98"/>
        <v>82.15</v>
      </c>
      <c r="N1586" t="str">
        <f t="shared" si="99"/>
        <v>May</v>
      </c>
    </row>
    <row r="1587" spans="1:14" x14ac:dyDescent="0.3">
      <c r="A1587" s="2" t="s">
        <v>1653</v>
      </c>
      <c r="B1587" s="6">
        <v>45792</v>
      </c>
      <c r="C1587" s="2" t="s">
        <v>44</v>
      </c>
      <c r="D1587" s="2" t="s">
        <v>80</v>
      </c>
      <c r="E1587" s="2">
        <v>3</v>
      </c>
      <c r="F1587" s="7">
        <v>149</v>
      </c>
      <c r="G1587" s="8">
        <v>0.1</v>
      </c>
      <c r="H1587" s="9" t="str">
        <f>INDEX(Products!$B$2:$B$37, MATCH(D1587, Products!$A$2:$A$37, 0))</f>
        <v>Vitamin C Serum</v>
      </c>
      <c r="I1587" t="str">
        <f>INDEX(Products!$C$2:$C$37, MATCH(D1587, Products!$A$2:$A$37, 0))</f>
        <v>Beauty</v>
      </c>
      <c r="J1587">
        <f>INDEX(Products!$E$2:$E$37, MATCH(D1587, Products!$A$2:$A$37, 0))</f>
        <v>55</v>
      </c>
      <c r="K1587" s="9">
        <f t="shared" si="96"/>
        <v>402.3</v>
      </c>
      <c r="L1587">
        <f t="shared" si="97"/>
        <v>165</v>
      </c>
      <c r="M1587" s="9">
        <f t="shared" si="98"/>
        <v>237.3</v>
      </c>
      <c r="N1587" t="str">
        <f t="shared" si="99"/>
        <v>May</v>
      </c>
    </row>
    <row r="1588" spans="1:14" x14ac:dyDescent="0.3">
      <c r="A1588" s="2" t="s">
        <v>1654</v>
      </c>
      <c r="B1588" s="6">
        <v>45792</v>
      </c>
      <c r="C1588" s="2" t="s">
        <v>48</v>
      </c>
      <c r="D1588" s="2" t="s">
        <v>46</v>
      </c>
      <c r="E1588" s="2">
        <v>1</v>
      </c>
      <c r="F1588" s="7">
        <v>189</v>
      </c>
      <c r="G1588" s="8">
        <v>0.05</v>
      </c>
      <c r="H1588" s="9" t="str">
        <f>INDEX(Products!$B$2:$B$37, MATCH(D1588, Products!$A$2:$A$37, 0))</f>
        <v>Makeup Palette</v>
      </c>
      <c r="I1588" t="str">
        <f>INDEX(Products!$C$2:$C$37, MATCH(D1588, Products!$A$2:$A$37, 0))</f>
        <v>Beauty</v>
      </c>
      <c r="J1588">
        <f>INDEX(Products!$E$2:$E$37, MATCH(D1588, Products!$A$2:$A$37, 0))</f>
        <v>85</v>
      </c>
      <c r="K1588" s="9">
        <f t="shared" si="96"/>
        <v>179.54999999999998</v>
      </c>
      <c r="L1588">
        <f t="shared" si="97"/>
        <v>85</v>
      </c>
      <c r="M1588" s="9">
        <f t="shared" si="98"/>
        <v>94.549999999999983</v>
      </c>
      <c r="N1588" t="str">
        <f t="shared" si="99"/>
        <v>May</v>
      </c>
    </row>
    <row r="1589" spans="1:14" x14ac:dyDescent="0.3">
      <c r="A1589" s="2" t="s">
        <v>1655</v>
      </c>
      <c r="B1589" s="6">
        <v>45792</v>
      </c>
      <c r="C1589" s="2" t="s">
        <v>28</v>
      </c>
      <c r="D1589" s="2" t="s">
        <v>52</v>
      </c>
      <c r="E1589" s="2">
        <v>2</v>
      </c>
      <c r="F1589" s="7">
        <v>299</v>
      </c>
      <c r="G1589" s="8">
        <v>0.15</v>
      </c>
      <c r="H1589" s="9" t="str">
        <f>INDEX(Products!$B$2:$B$37, MATCH(D1589, Products!$A$2:$A$37, 0))</f>
        <v>Hair Dryer Ionic</v>
      </c>
      <c r="I1589" t="str">
        <f>INDEX(Products!$C$2:$C$37, MATCH(D1589, Products!$A$2:$A$37, 0))</f>
        <v>Beauty</v>
      </c>
      <c r="J1589">
        <f>INDEX(Products!$E$2:$E$37, MATCH(D1589, Products!$A$2:$A$37, 0))</f>
        <v>240</v>
      </c>
      <c r="K1589" s="9">
        <f t="shared" si="96"/>
        <v>508.3</v>
      </c>
      <c r="L1589">
        <f t="shared" si="97"/>
        <v>480</v>
      </c>
      <c r="M1589" s="9">
        <f t="shared" si="98"/>
        <v>28.300000000000011</v>
      </c>
      <c r="N1589" t="str">
        <f t="shared" si="99"/>
        <v>May</v>
      </c>
    </row>
    <row r="1590" spans="1:14" x14ac:dyDescent="0.3">
      <c r="A1590" s="2" t="s">
        <v>1656</v>
      </c>
      <c r="B1590" s="6">
        <v>45792</v>
      </c>
      <c r="C1590" s="2" t="s">
        <v>28</v>
      </c>
      <c r="D1590" s="2" t="s">
        <v>35</v>
      </c>
      <c r="E1590" s="2">
        <v>2</v>
      </c>
      <c r="F1590" s="7">
        <v>179</v>
      </c>
      <c r="G1590" s="8">
        <v>0</v>
      </c>
      <c r="H1590" s="9" t="str">
        <f>INDEX(Products!$B$2:$B$37, MATCH(D1590, Products!$A$2:$A$37, 0))</f>
        <v>Men's Linen Shirt</v>
      </c>
      <c r="I1590" t="str">
        <f>INDEX(Products!$C$2:$C$37, MATCH(D1590, Products!$A$2:$A$37, 0))</f>
        <v>Fashion</v>
      </c>
      <c r="J1590">
        <f>INDEX(Products!$E$2:$E$37, MATCH(D1590, Products!$A$2:$A$37, 0))</f>
        <v>70</v>
      </c>
      <c r="K1590" s="9">
        <f t="shared" si="96"/>
        <v>358</v>
      </c>
      <c r="L1590">
        <f t="shared" si="97"/>
        <v>140</v>
      </c>
      <c r="M1590" s="9">
        <f t="shared" si="98"/>
        <v>218</v>
      </c>
      <c r="N1590" t="str">
        <f t="shared" si="99"/>
        <v>May</v>
      </c>
    </row>
    <row r="1591" spans="1:14" x14ac:dyDescent="0.3">
      <c r="A1591" s="2" t="s">
        <v>1657</v>
      </c>
      <c r="B1591" s="6">
        <v>45792</v>
      </c>
      <c r="C1591" s="2" t="s">
        <v>28</v>
      </c>
      <c r="D1591" s="2" t="s">
        <v>60</v>
      </c>
      <c r="E1591" s="2">
        <v>1</v>
      </c>
      <c r="F1591" s="7">
        <v>99</v>
      </c>
      <c r="G1591" s="8">
        <v>0</v>
      </c>
      <c r="H1591" s="9" t="str">
        <f>INDEX(Products!$B$2:$B$37, MATCH(D1591, Products!$A$2:$A$37, 0))</f>
        <v>Football Size 5</v>
      </c>
      <c r="I1591" t="str">
        <f>INDEX(Products!$C$2:$C$37, MATCH(D1591, Products!$A$2:$A$37, 0))</f>
        <v>Sports</v>
      </c>
      <c r="J1591">
        <f>INDEX(Products!$E$2:$E$37, MATCH(D1591, Products!$A$2:$A$37, 0))</f>
        <v>45</v>
      </c>
      <c r="K1591" s="9">
        <f t="shared" si="96"/>
        <v>99</v>
      </c>
      <c r="L1591">
        <f t="shared" si="97"/>
        <v>45</v>
      </c>
      <c r="M1591" s="9">
        <f t="shared" si="98"/>
        <v>54</v>
      </c>
      <c r="N1591" t="str">
        <f t="shared" si="99"/>
        <v>May</v>
      </c>
    </row>
    <row r="1592" spans="1:14" x14ac:dyDescent="0.3">
      <c r="A1592" s="2" t="s">
        <v>1658</v>
      </c>
      <c r="B1592" s="6">
        <v>45792</v>
      </c>
      <c r="C1592" s="2" t="s">
        <v>48</v>
      </c>
      <c r="D1592" s="2" t="s">
        <v>106</v>
      </c>
      <c r="E1592" s="2">
        <v>3</v>
      </c>
      <c r="F1592" s="7">
        <v>1299</v>
      </c>
      <c r="G1592" s="8">
        <v>0</v>
      </c>
      <c r="H1592" s="9" t="str">
        <f>INDEX(Products!$B$2:$B$37, MATCH(D1592, Products!$A$2:$A$37, 0))</f>
        <v>Smart Watch Series 5</v>
      </c>
      <c r="I1592" t="str">
        <f>INDEX(Products!$C$2:$C$37, MATCH(D1592, Products!$A$2:$A$37, 0))</f>
        <v>Electronics</v>
      </c>
      <c r="J1592">
        <f>INDEX(Products!$E$2:$E$37, MATCH(D1592, Products!$A$2:$A$37, 0))</f>
        <v>820</v>
      </c>
      <c r="K1592" s="9">
        <f t="shared" si="96"/>
        <v>3897</v>
      </c>
      <c r="L1592">
        <f t="shared" si="97"/>
        <v>2460</v>
      </c>
      <c r="M1592" s="9">
        <f t="shared" si="98"/>
        <v>1437</v>
      </c>
      <c r="N1592" t="str">
        <f t="shared" si="99"/>
        <v>May</v>
      </c>
    </row>
    <row r="1593" spans="1:14" x14ac:dyDescent="0.3">
      <c r="A1593" s="2" t="s">
        <v>1659</v>
      </c>
      <c r="B1593" s="6">
        <v>45792</v>
      </c>
      <c r="C1593" s="2" t="s">
        <v>48</v>
      </c>
      <c r="D1593" s="2" t="s">
        <v>65</v>
      </c>
      <c r="E1593" s="2">
        <v>2</v>
      </c>
      <c r="F1593" s="7">
        <v>129</v>
      </c>
      <c r="G1593" s="8">
        <v>0.05</v>
      </c>
      <c r="H1593" s="9" t="str">
        <f>INDEX(Products!$B$2:$B$37, MATCH(D1593, Products!$A$2:$A$37, 0))</f>
        <v>Yoga Mat Premium</v>
      </c>
      <c r="I1593" t="str">
        <f>INDEX(Products!$C$2:$C$37, MATCH(D1593, Products!$A$2:$A$37, 0))</f>
        <v>Sports</v>
      </c>
      <c r="J1593">
        <f>INDEX(Products!$E$2:$E$37, MATCH(D1593, Products!$A$2:$A$37, 0))</f>
        <v>60</v>
      </c>
      <c r="K1593" s="9">
        <f t="shared" si="96"/>
        <v>245.1</v>
      </c>
      <c r="L1593">
        <f t="shared" si="97"/>
        <v>120</v>
      </c>
      <c r="M1593" s="9">
        <f t="shared" si="98"/>
        <v>125.1</v>
      </c>
      <c r="N1593" t="str">
        <f t="shared" si="99"/>
        <v>May</v>
      </c>
    </row>
    <row r="1594" spans="1:14" x14ac:dyDescent="0.3">
      <c r="A1594" s="2" t="s">
        <v>1660</v>
      </c>
      <c r="B1594" s="6">
        <v>45792</v>
      </c>
      <c r="C1594" s="2" t="s">
        <v>41</v>
      </c>
      <c r="D1594" s="2" t="s">
        <v>126</v>
      </c>
      <c r="E1594" s="2">
        <v>2</v>
      </c>
      <c r="F1594" s="7">
        <v>89</v>
      </c>
      <c r="G1594" s="8">
        <v>0.1</v>
      </c>
      <c r="H1594" s="9" t="str">
        <f>INDEX(Products!$B$2:$B$37, MATCH(D1594, Products!$A$2:$A$37, 0))</f>
        <v>USB-C Fast Charger</v>
      </c>
      <c r="I1594" t="str">
        <f>INDEX(Products!$C$2:$C$37, MATCH(D1594, Products!$A$2:$A$37, 0))</f>
        <v>Electronics</v>
      </c>
      <c r="J1594">
        <f>INDEX(Products!$E$2:$E$37, MATCH(D1594, Products!$A$2:$A$37, 0))</f>
        <v>35</v>
      </c>
      <c r="K1594" s="9">
        <f t="shared" si="96"/>
        <v>160.20000000000002</v>
      </c>
      <c r="L1594">
        <f t="shared" si="97"/>
        <v>70</v>
      </c>
      <c r="M1594" s="9">
        <f t="shared" si="98"/>
        <v>90.200000000000017</v>
      </c>
      <c r="N1594" t="str">
        <f t="shared" si="99"/>
        <v>May</v>
      </c>
    </row>
    <row r="1595" spans="1:14" x14ac:dyDescent="0.3">
      <c r="A1595" s="2" t="s">
        <v>1661</v>
      </c>
      <c r="B1595" s="6">
        <v>45792</v>
      </c>
      <c r="C1595" s="2" t="s">
        <v>28</v>
      </c>
      <c r="D1595" s="2" t="s">
        <v>33</v>
      </c>
      <c r="E1595" s="2">
        <v>1</v>
      </c>
      <c r="F1595" s="7">
        <v>199</v>
      </c>
      <c r="G1595" s="8">
        <v>0.1</v>
      </c>
      <c r="H1595" s="9" t="str">
        <f>INDEX(Products!$B$2:$B$37, MATCH(D1595, Products!$A$2:$A$37, 0))</f>
        <v>Fitness Band Lite</v>
      </c>
      <c r="I1595" t="str">
        <f>INDEX(Products!$C$2:$C$37, MATCH(D1595, Products!$A$2:$A$37, 0))</f>
        <v>Electronics</v>
      </c>
      <c r="J1595">
        <f>INDEX(Products!$E$2:$E$37, MATCH(D1595, Products!$A$2:$A$37, 0))</f>
        <v>175</v>
      </c>
      <c r="K1595" s="9">
        <f t="shared" si="96"/>
        <v>179.1</v>
      </c>
      <c r="L1595">
        <f t="shared" si="97"/>
        <v>175</v>
      </c>
      <c r="M1595" s="9">
        <f t="shared" si="98"/>
        <v>4.0999999999999943</v>
      </c>
      <c r="N1595" t="str">
        <f t="shared" si="99"/>
        <v>May</v>
      </c>
    </row>
    <row r="1596" spans="1:14" x14ac:dyDescent="0.3">
      <c r="A1596" s="2" t="s">
        <v>1662</v>
      </c>
      <c r="B1596" s="6">
        <v>45792</v>
      </c>
      <c r="C1596" s="2" t="s">
        <v>28</v>
      </c>
      <c r="D1596" s="2" t="s">
        <v>33</v>
      </c>
      <c r="E1596" s="2">
        <v>1</v>
      </c>
      <c r="F1596" s="7">
        <v>199</v>
      </c>
      <c r="G1596" s="8">
        <v>0.2</v>
      </c>
      <c r="H1596" s="9" t="str">
        <f>INDEX(Products!$B$2:$B$37, MATCH(D1596, Products!$A$2:$A$37, 0))</f>
        <v>Fitness Band Lite</v>
      </c>
      <c r="I1596" t="str">
        <f>INDEX(Products!$C$2:$C$37, MATCH(D1596, Products!$A$2:$A$37, 0))</f>
        <v>Electronics</v>
      </c>
      <c r="J1596">
        <f>INDEX(Products!$E$2:$E$37, MATCH(D1596, Products!$A$2:$A$37, 0))</f>
        <v>175</v>
      </c>
      <c r="K1596" s="9">
        <f t="shared" si="96"/>
        <v>159.20000000000002</v>
      </c>
      <c r="L1596">
        <f t="shared" si="97"/>
        <v>175</v>
      </c>
      <c r="M1596" s="9">
        <f t="shared" si="98"/>
        <v>-15.799999999999983</v>
      </c>
      <c r="N1596" t="str">
        <f t="shared" si="99"/>
        <v>May</v>
      </c>
    </row>
    <row r="1597" spans="1:14" x14ac:dyDescent="0.3">
      <c r="A1597" s="2" t="s">
        <v>1663</v>
      </c>
      <c r="B1597" s="6">
        <v>45792</v>
      </c>
      <c r="C1597" s="2" t="s">
        <v>48</v>
      </c>
      <c r="D1597" s="2" t="s">
        <v>56</v>
      </c>
      <c r="E1597" s="2">
        <v>2</v>
      </c>
      <c r="F1597" s="7">
        <v>289</v>
      </c>
      <c r="G1597" s="8">
        <v>0.2</v>
      </c>
      <c r="H1597" s="9" t="str">
        <f>INDEX(Products!$B$2:$B$37, MATCH(D1597, Products!$A$2:$A$37, 0))</f>
        <v>Ceramic Dinner Set</v>
      </c>
      <c r="I1597" t="str">
        <f>INDEX(Products!$C$2:$C$37, MATCH(D1597, Products!$A$2:$A$37, 0))</f>
        <v>Home &amp; Kitchen</v>
      </c>
      <c r="J1597">
        <f>INDEX(Products!$E$2:$E$37, MATCH(D1597, Products!$A$2:$A$37, 0))</f>
        <v>140</v>
      </c>
      <c r="K1597" s="9">
        <f t="shared" si="96"/>
        <v>462.40000000000003</v>
      </c>
      <c r="L1597">
        <f t="shared" si="97"/>
        <v>280</v>
      </c>
      <c r="M1597" s="9">
        <f t="shared" si="98"/>
        <v>182.40000000000003</v>
      </c>
      <c r="N1597" t="str">
        <f t="shared" si="99"/>
        <v>May</v>
      </c>
    </row>
    <row r="1598" spans="1:14" x14ac:dyDescent="0.3">
      <c r="A1598" s="2" t="s">
        <v>1664</v>
      </c>
      <c r="B1598" s="6">
        <v>45793</v>
      </c>
      <c r="C1598" s="2" t="s">
        <v>31</v>
      </c>
      <c r="D1598" s="2" t="s">
        <v>129</v>
      </c>
      <c r="E1598" s="2">
        <v>3</v>
      </c>
      <c r="F1598" s="7">
        <v>149</v>
      </c>
      <c r="G1598" s="8">
        <v>0</v>
      </c>
      <c r="H1598" s="9" t="str">
        <f>INDEX(Products!$B$2:$B$37, MATCH(D1598, Products!$A$2:$A$37, 0))</f>
        <v>Power Bank 20000mAh</v>
      </c>
      <c r="I1598" t="str">
        <f>INDEX(Products!$C$2:$C$37, MATCH(D1598, Products!$A$2:$A$37, 0))</f>
        <v>Electronics</v>
      </c>
      <c r="J1598">
        <f>INDEX(Products!$E$2:$E$37, MATCH(D1598, Products!$A$2:$A$37, 0))</f>
        <v>70</v>
      </c>
      <c r="K1598" s="9">
        <f t="shared" si="96"/>
        <v>447</v>
      </c>
      <c r="L1598">
        <f t="shared" si="97"/>
        <v>210</v>
      </c>
      <c r="M1598" s="9">
        <f t="shared" si="98"/>
        <v>237</v>
      </c>
      <c r="N1598" t="str">
        <f t="shared" si="99"/>
        <v>May</v>
      </c>
    </row>
    <row r="1599" spans="1:14" x14ac:dyDescent="0.3">
      <c r="A1599" s="2" t="s">
        <v>1665</v>
      </c>
      <c r="B1599" s="6">
        <v>45793</v>
      </c>
      <c r="C1599" s="2" t="s">
        <v>48</v>
      </c>
      <c r="D1599" s="2" t="s">
        <v>42</v>
      </c>
      <c r="E1599" s="2">
        <v>1</v>
      </c>
      <c r="F1599" s="7">
        <v>399</v>
      </c>
      <c r="G1599" s="8">
        <v>0.1</v>
      </c>
      <c r="H1599" s="9" t="str">
        <f>INDEX(Products!$B$2:$B$37, MATCH(D1599, Products!$A$2:$A$37, 0))</f>
        <v>Wireless Earbuds Pro</v>
      </c>
      <c r="I1599" t="str">
        <f>INDEX(Products!$C$2:$C$37, MATCH(D1599, Products!$A$2:$A$37, 0))</f>
        <v>Electronics</v>
      </c>
      <c r="J1599">
        <f>INDEX(Products!$E$2:$E$37, MATCH(D1599, Products!$A$2:$A$37, 0))</f>
        <v>230</v>
      </c>
      <c r="K1599" s="9">
        <f t="shared" si="96"/>
        <v>359.1</v>
      </c>
      <c r="L1599">
        <f t="shared" si="97"/>
        <v>230</v>
      </c>
      <c r="M1599" s="9">
        <f t="shared" si="98"/>
        <v>129.10000000000002</v>
      </c>
      <c r="N1599" t="str">
        <f t="shared" si="99"/>
        <v>May</v>
      </c>
    </row>
    <row r="1600" spans="1:14" x14ac:dyDescent="0.3">
      <c r="A1600" s="2" t="s">
        <v>1666</v>
      </c>
      <c r="B1600" s="6">
        <v>45793</v>
      </c>
      <c r="C1600" s="2" t="s">
        <v>41</v>
      </c>
      <c r="D1600" s="2" t="s">
        <v>65</v>
      </c>
      <c r="E1600" s="2">
        <v>1</v>
      </c>
      <c r="F1600" s="7">
        <v>129</v>
      </c>
      <c r="G1600" s="8">
        <v>0</v>
      </c>
      <c r="H1600" s="9" t="str">
        <f>INDEX(Products!$B$2:$B$37, MATCH(D1600, Products!$A$2:$A$37, 0))</f>
        <v>Yoga Mat Premium</v>
      </c>
      <c r="I1600" t="str">
        <f>INDEX(Products!$C$2:$C$37, MATCH(D1600, Products!$A$2:$A$37, 0))</f>
        <v>Sports</v>
      </c>
      <c r="J1600">
        <f>INDEX(Products!$E$2:$E$37, MATCH(D1600, Products!$A$2:$A$37, 0))</f>
        <v>60</v>
      </c>
      <c r="K1600" s="9">
        <f t="shared" si="96"/>
        <v>129</v>
      </c>
      <c r="L1600">
        <f t="shared" si="97"/>
        <v>60</v>
      </c>
      <c r="M1600" s="9">
        <f t="shared" si="98"/>
        <v>69</v>
      </c>
      <c r="N1600" t="str">
        <f t="shared" si="99"/>
        <v>May</v>
      </c>
    </row>
    <row r="1601" spans="1:14" x14ac:dyDescent="0.3">
      <c r="A1601" s="2" t="s">
        <v>1667</v>
      </c>
      <c r="B1601" s="6">
        <v>45793</v>
      </c>
      <c r="C1601" s="2" t="s">
        <v>31</v>
      </c>
      <c r="D1601" s="2" t="s">
        <v>33</v>
      </c>
      <c r="E1601" s="2">
        <v>1</v>
      </c>
      <c r="F1601" s="7">
        <v>199</v>
      </c>
      <c r="G1601" s="8">
        <v>0.15</v>
      </c>
      <c r="H1601" s="9" t="str">
        <f>INDEX(Products!$B$2:$B$37, MATCH(D1601, Products!$A$2:$A$37, 0))</f>
        <v>Fitness Band Lite</v>
      </c>
      <c r="I1601" t="str">
        <f>INDEX(Products!$C$2:$C$37, MATCH(D1601, Products!$A$2:$A$37, 0))</f>
        <v>Electronics</v>
      </c>
      <c r="J1601">
        <f>INDEX(Products!$E$2:$E$37, MATCH(D1601, Products!$A$2:$A$37, 0))</f>
        <v>175</v>
      </c>
      <c r="K1601" s="9">
        <f t="shared" si="96"/>
        <v>169.15</v>
      </c>
      <c r="L1601">
        <f t="shared" si="97"/>
        <v>175</v>
      </c>
      <c r="M1601" s="9">
        <f t="shared" si="98"/>
        <v>-5.8499999999999943</v>
      </c>
      <c r="N1601" t="str">
        <f t="shared" si="99"/>
        <v>May</v>
      </c>
    </row>
    <row r="1602" spans="1:14" x14ac:dyDescent="0.3">
      <c r="A1602" s="2" t="s">
        <v>1668</v>
      </c>
      <c r="B1602" s="6">
        <v>45793</v>
      </c>
      <c r="C1602" s="2" t="s">
        <v>31</v>
      </c>
      <c r="D1602" s="2" t="s">
        <v>115</v>
      </c>
      <c r="E1602" s="2">
        <v>1</v>
      </c>
      <c r="F1602" s="7">
        <v>129</v>
      </c>
      <c r="G1602" s="8">
        <v>0.05</v>
      </c>
      <c r="H1602" s="9" t="str">
        <f>INDEX(Products!$B$2:$B$37, MATCH(D1602, Products!$A$2:$A$37, 0))</f>
        <v>Electric Kettle</v>
      </c>
      <c r="I1602" t="str">
        <f>INDEX(Products!$C$2:$C$37, MATCH(D1602, Products!$A$2:$A$37, 0))</f>
        <v>Home &amp; Kitchen</v>
      </c>
      <c r="J1602">
        <f>INDEX(Products!$E$2:$E$37, MATCH(D1602, Products!$A$2:$A$37, 0))</f>
        <v>60</v>
      </c>
      <c r="K1602" s="9">
        <f t="shared" ref="K1602:K1665" si="100">E1602*F1602*(1-G1602)</f>
        <v>122.55</v>
      </c>
      <c r="L1602">
        <f t="shared" ref="L1602:L1665" si="101">E1602*J1602</f>
        <v>60</v>
      </c>
      <c r="M1602" s="9">
        <f t="shared" ref="M1602:M1665" si="102">K1602-L1602</f>
        <v>62.55</v>
      </c>
      <c r="N1602" t="str">
        <f t="shared" ref="N1602:N1665" si="103">TEXT(B1602,"mmm")</f>
        <v>May</v>
      </c>
    </row>
    <row r="1603" spans="1:14" x14ac:dyDescent="0.3">
      <c r="A1603" s="2" t="s">
        <v>1669</v>
      </c>
      <c r="B1603" s="6">
        <v>45793</v>
      </c>
      <c r="C1603" s="2" t="s">
        <v>44</v>
      </c>
      <c r="D1603" s="2" t="s">
        <v>131</v>
      </c>
      <c r="E1603" s="2">
        <v>1</v>
      </c>
      <c r="F1603" s="7">
        <v>899</v>
      </c>
      <c r="G1603" s="8">
        <v>0.05</v>
      </c>
      <c r="H1603" s="9" t="str">
        <f>INDEX(Products!$B$2:$B$37, MATCH(D1603, Products!$A$2:$A$37, 0))</f>
        <v>4K Action Camera</v>
      </c>
      <c r="I1603" t="str">
        <f>INDEX(Products!$C$2:$C$37, MATCH(D1603, Products!$A$2:$A$37, 0))</f>
        <v>Electronics</v>
      </c>
      <c r="J1603">
        <f>INDEX(Products!$E$2:$E$37, MATCH(D1603, Products!$A$2:$A$37, 0))</f>
        <v>610</v>
      </c>
      <c r="K1603" s="9">
        <f t="shared" si="100"/>
        <v>854.05</v>
      </c>
      <c r="L1603">
        <f t="shared" si="101"/>
        <v>610</v>
      </c>
      <c r="M1603" s="9">
        <f t="shared" si="102"/>
        <v>244.04999999999995</v>
      </c>
      <c r="N1603" t="str">
        <f t="shared" si="103"/>
        <v>May</v>
      </c>
    </row>
    <row r="1604" spans="1:14" x14ac:dyDescent="0.3">
      <c r="A1604" s="2" t="s">
        <v>1670</v>
      </c>
      <c r="B1604" s="6">
        <v>45793</v>
      </c>
      <c r="C1604" s="2" t="s">
        <v>28</v>
      </c>
      <c r="D1604" s="2" t="s">
        <v>87</v>
      </c>
      <c r="E1604" s="2">
        <v>1</v>
      </c>
      <c r="F1604" s="7">
        <v>799</v>
      </c>
      <c r="G1604" s="8">
        <v>0.25</v>
      </c>
      <c r="H1604" s="9" t="str">
        <f>INDEX(Products!$B$2:$B$37, MATCH(D1604, Products!$A$2:$A$37, 0))</f>
        <v>Adjustable Dumbbells</v>
      </c>
      <c r="I1604" t="str">
        <f>INDEX(Products!$C$2:$C$37, MATCH(D1604, Products!$A$2:$A$37, 0))</f>
        <v>Sports</v>
      </c>
      <c r="J1604">
        <f>INDEX(Products!$E$2:$E$37, MATCH(D1604, Products!$A$2:$A$37, 0))</f>
        <v>700</v>
      </c>
      <c r="K1604" s="9">
        <f t="shared" si="100"/>
        <v>599.25</v>
      </c>
      <c r="L1604">
        <f t="shared" si="101"/>
        <v>700</v>
      </c>
      <c r="M1604" s="9">
        <f t="shared" si="102"/>
        <v>-100.75</v>
      </c>
      <c r="N1604" t="str">
        <f t="shared" si="103"/>
        <v>May</v>
      </c>
    </row>
    <row r="1605" spans="1:14" x14ac:dyDescent="0.3">
      <c r="A1605" s="2" t="s">
        <v>1671</v>
      </c>
      <c r="B1605" s="6">
        <v>45793</v>
      </c>
      <c r="C1605" s="2" t="s">
        <v>41</v>
      </c>
      <c r="D1605" s="2" t="s">
        <v>129</v>
      </c>
      <c r="E1605" s="2">
        <v>1</v>
      </c>
      <c r="F1605" s="7">
        <v>149</v>
      </c>
      <c r="G1605" s="8">
        <v>0.1</v>
      </c>
      <c r="H1605" s="9" t="str">
        <f>INDEX(Products!$B$2:$B$37, MATCH(D1605, Products!$A$2:$A$37, 0))</f>
        <v>Power Bank 20000mAh</v>
      </c>
      <c r="I1605" t="str">
        <f>INDEX(Products!$C$2:$C$37, MATCH(D1605, Products!$A$2:$A$37, 0))</f>
        <v>Electronics</v>
      </c>
      <c r="J1605">
        <f>INDEX(Products!$E$2:$E$37, MATCH(D1605, Products!$A$2:$A$37, 0))</f>
        <v>70</v>
      </c>
      <c r="K1605" s="9">
        <f t="shared" si="100"/>
        <v>134.1</v>
      </c>
      <c r="L1605">
        <f t="shared" si="101"/>
        <v>70</v>
      </c>
      <c r="M1605" s="9">
        <f t="shared" si="102"/>
        <v>64.099999999999994</v>
      </c>
      <c r="N1605" t="str">
        <f t="shared" si="103"/>
        <v>May</v>
      </c>
    </row>
    <row r="1606" spans="1:14" x14ac:dyDescent="0.3">
      <c r="A1606" s="2" t="s">
        <v>1672</v>
      </c>
      <c r="B1606" s="6">
        <v>45793</v>
      </c>
      <c r="C1606" s="2" t="s">
        <v>41</v>
      </c>
      <c r="D1606" s="2" t="s">
        <v>35</v>
      </c>
      <c r="E1606" s="2">
        <v>1</v>
      </c>
      <c r="F1606" s="7">
        <v>179</v>
      </c>
      <c r="G1606" s="8">
        <v>0</v>
      </c>
      <c r="H1606" s="9" t="str">
        <f>INDEX(Products!$B$2:$B$37, MATCH(D1606, Products!$A$2:$A$37, 0))</f>
        <v>Men's Linen Shirt</v>
      </c>
      <c r="I1606" t="str">
        <f>INDEX(Products!$C$2:$C$37, MATCH(D1606, Products!$A$2:$A$37, 0))</f>
        <v>Fashion</v>
      </c>
      <c r="J1606">
        <f>INDEX(Products!$E$2:$E$37, MATCH(D1606, Products!$A$2:$A$37, 0))</f>
        <v>70</v>
      </c>
      <c r="K1606" s="9">
        <f t="shared" si="100"/>
        <v>179</v>
      </c>
      <c r="L1606">
        <f t="shared" si="101"/>
        <v>70</v>
      </c>
      <c r="M1606" s="9">
        <f t="shared" si="102"/>
        <v>109</v>
      </c>
      <c r="N1606" t="str">
        <f t="shared" si="103"/>
        <v>May</v>
      </c>
    </row>
    <row r="1607" spans="1:14" x14ac:dyDescent="0.3">
      <c r="A1607" s="2" t="s">
        <v>1673</v>
      </c>
      <c r="B1607" s="6">
        <v>45793</v>
      </c>
      <c r="C1607" s="2" t="s">
        <v>28</v>
      </c>
      <c r="D1607" s="2" t="s">
        <v>52</v>
      </c>
      <c r="E1607" s="2">
        <v>2</v>
      </c>
      <c r="F1607" s="7">
        <v>299</v>
      </c>
      <c r="G1607" s="8">
        <v>0.2</v>
      </c>
      <c r="H1607" s="9" t="str">
        <f>INDEX(Products!$B$2:$B$37, MATCH(D1607, Products!$A$2:$A$37, 0))</f>
        <v>Hair Dryer Ionic</v>
      </c>
      <c r="I1607" t="str">
        <f>INDEX(Products!$C$2:$C$37, MATCH(D1607, Products!$A$2:$A$37, 0))</f>
        <v>Beauty</v>
      </c>
      <c r="J1607">
        <f>INDEX(Products!$E$2:$E$37, MATCH(D1607, Products!$A$2:$A$37, 0))</f>
        <v>240</v>
      </c>
      <c r="K1607" s="9">
        <f t="shared" si="100"/>
        <v>478.40000000000003</v>
      </c>
      <c r="L1607">
        <f t="shared" si="101"/>
        <v>480</v>
      </c>
      <c r="M1607" s="9">
        <f t="shared" si="102"/>
        <v>-1.5999999999999659</v>
      </c>
      <c r="N1607" t="str">
        <f t="shared" si="103"/>
        <v>May</v>
      </c>
    </row>
    <row r="1608" spans="1:14" x14ac:dyDescent="0.3">
      <c r="A1608" s="2" t="s">
        <v>1674</v>
      </c>
      <c r="B1608" s="6">
        <v>45793</v>
      </c>
      <c r="C1608" s="2" t="s">
        <v>28</v>
      </c>
      <c r="D1608" s="2" t="s">
        <v>115</v>
      </c>
      <c r="E1608" s="2">
        <v>2</v>
      </c>
      <c r="F1608" s="7">
        <v>129</v>
      </c>
      <c r="G1608" s="8">
        <v>0</v>
      </c>
      <c r="H1608" s="9" t="str">
        <f>INDEX(Products!$B$2:$B$37, MATCH(D1608, Products!$A$2:$A$37, 0))</f>
        <v>Electric Kettle</v>
      </c>
      <c r="I1608" t="str">
        <f>INDEX(Products!$C$2:$C$37, MATCH(D1608, Products!$A$2:$A$37, 0))</f>
        <v>Home &amp; Kitchen</v>
      </c>
      <c r="J1608">
        <f>INDEX(Products!$E$2:$E$37, MATCH(D1608, Products!$A$2:$A$37, 0))</f>
        <v>60</v>
      </c>
      <c r="K1608" s="9">
        <f t="shared" si="100"/>
        <v>258</v>
      </c>
      <c r="L1608">
        <f t="shared" si="101"/>
        <v>120</v>
      </c>
      <c r="M1608" s="9">
        <f t="shared" si="102"/>
        <v>138</v>
      </c>
      <c r="N1608" t="str">
        <f t="shared" si="103"/>
        <v>May</v>
      </c>
    </row>
    <row r="1609" spans="1:14" x14ac:dyDescent="0.3">
      <c r="A1609" s="2" t="s">
        <v>1675</v>
      </c>
      <c r="B1609" s="6">
        <v>45794</v>
      </c>
      <c r="C1609" s="2" t="s">
        <v>28</v>
      </c>
      <c r="D1609" s="2" t="s">
        <v>29</v>
      </c>
      <c r="E1609" s="2">
        <v>1</v>
      </c>
      <c r="F1609" s="7">
        <v>229</v>
      </c>
      <c r="G1609" s="8">
        <v>0.2</v>
      </c>
      <c r="H1609" s="9" t="str">
        <f>INDEX(Products!$B$2:$B$37, MATCH(D1609, Products!$A$2:$A$37, 0))</f>
        <v>Women's Summer Dress</v>
      </c>
      <c r="I1609" t="str">
        <f>INDEX(Products!$C$2:$C$37, MATCH(D1609, Products!$A$2:$A$37, 0))</f>
        <v>Fashion</v>
      </c>
      <c r="J1609">
        <f>INDEX(Products!$E$2:$E$37, MATCH(D1609, Products!$A$2:$A$37, 0))</f>
        <v>120</v>
      </c>
      <c r="K1609" s="9">
        <f t="shared" si="100"/>
        <v>183.20000000000002</v>
      </c>
      <c r="L1609">
        <f t="shared" si="101"/>
        <v>120</v>
      </c>
      <c r="M1609" s="9">
        <f t="shared" si="102"/>
        <v>63.200000000000017</v>
      </c>
      <c r="N1609" t="str">
        <f t="shared" si="103"/>
        <v>May</v>
      </c>
    </row>
    <row r="1610" spans="1:14" x14ac:dyDescent="0.3">
      <c r="A1610" s="2" t="s">
        <v>1676</v>
      </c>
      <c r="B1610" s="6">
        <v>45794</v>
      </c>
      <c r="C1610" s="2" t="s">
        <v>28</v>
      </c>
      <c r="D1610" s="2" t="s">
        <v>78</v>
      </c>
      <c r="E1610" s="2">
        <v>1</v>
      </c>
      <c r="F1610" s="7">
        <v>499</v>
      </c>
      <c r="G1610" s="8">
        <v>0</v>
      </c>
      <c r="H1610" s="9" t="str">
        <f>INDEX(Products!$B$2:$B$37, MATCH(D1610, Products!$A$2:$A$37, 0))</f>
        <v>Air Fryer 5L</v>
      </c>
      <c r="I1610" t="str">
        <f>INDEX(Products!$C$2:$C$37, MATCH(D1610, Products!$A$2:$A$37, 0))</f>
        <v>Home &amp; Kitchen</v>
      </c>
      <c r="J1610">
        <f>INDEX(Products!$E$2:$E$37, MATCH(D1610, Products!$A$2:$A$37, 0))</f>
        <v>290</v>
      </c>
      <c r="K1610" s="9">
        <f t="shared" si="100"/>
        <v>499</v>
      </c>
      <c r="L1610">
        <f t="shared" si="101"/>
        <v>290</v>
      </c>
      <c r="M1610" s="9">
        <f t="shared" si="102"/>
        <v>209</v>
      </c>
      <c r="N1610" t="str">
        <f t="shared" si="103"/>
        <v>May</v>
      </c>
    </row>
    <row r="1611" spans="1:14" x14ac:dyDescent="0.3">
      <c r="A1611" s="2" t="s">
        <v>1677</v>
      </c>
      <c r="B1611" s="6">
        <v>45794</v>
      </c>
      <c r="C1611" s="2" t="s">
        <v>28</v>
      </c>
      <c r="D1611" s="2" t="s">
        <v>37</v>
      </c>
      <c r="E1611" s="2">
        <v>1</v>
      </c>
      <c r="F1611" s="7">
        <v>249</v>
      </c>
      <c r="G1611" s="8">
        <v>0.1</v>
      </c>
      <c r="H1611" s="9" t="str">
        <f>INDEX(Products!$B$2:$B$37, MATCH(D1611, Products!$A$2:$A$37, 0))</f>
        <v>Sunglasses Polarised</v>
      </c>
      <c r="I1611" t="str">
        <f>INDEX(Products!$C$2:$C$37, MATCH(D1611, Products!$A$2:$A$37, 0))</f>
        <v>Fashion</v>
      </c>
      <c r="J1611">
        <f>INDEX(Products!$E$2:$E$37, MATCH(D1611, Products!$A$2:$A$37, 0))</f>
        <v>95</v>
      </c>
      <c r="K1611" s="9">
        <f t="shared" si="100"/>
        <v>224.1</v>
      </c>
      <c r="L1611">
        <f t="shared" si="101"/>
        <v>95</v>
      </c>
      <c r="M1611" s="9">
        <f t="shared" si="102"/>
        <v>129.1</v>
      </c>
      <c r="N1611" t="str">
        <f t="shared" si="103"/>
        <v>May</v>
      </c>
    </row>
    <row r="1612" spans="1:14" x14ac:dyDescent="0.3">
      <c r="A1612" s="2" t="s">
        <v>1678</v>
      </c>
      <c r="B1612" s="6">
        <v>45794</v>
      </c>
      <c r="C1612" s="2" t="s">
        <v>28</v>
      </c>
      <c r="D1612" s="2" t="s">
        <v>106</v>
      </c>
      <c r="E1612" s="2">
        <v>2</v>
      </c>
      <c r="F1612" s="7">
        <v>1299</v>
      </c>
      <c r="G1612" s="8">
        <v>0</v>
      </c>
      <c r="H1612" s="9" t="str">
        <f>INDEX(Products!$B$2:$B$37, MATCH(D1612, Products!$A$2:$A$37, 0))</f>
        <v>Smart Watch Series 5</v>
      </c>
      <c r="I1612" t="str">
        <f>INDEX(Products!$C$2:$C$37, MATCH(D1612, Products!$A$2:$A$37, 0))</f>
        <v>Electronics</v>
      </c>
      <c r="J1612">
        <f>INDEX(Products!$E$2:$E$37, MATCH(D1612, Products!$A$2:$A$37, 0))</f>
        <v>820</v>
      </c>
      <c r="K1612" s="9">
        <f t="shared" si="100"/>
        <v>2598</v>
      </c>
      <c r="L1612">
        <f t="shared" si="101"/>
        <v>1640</v>
      </c>
      <c r="M1612" s="9">
        <f t="shared" si="102"/>
        <v>958</v>
      </c>
      <c r="N1612" t="str">
        <f t="shared" si="103"/>
        <v>May</v>
      </c>
    </row>
    <row r="1613" spans="1:14" x14ac:dyDescent="0.3">
      <c r="A1613" s="2" t="s">
        <v>1679</v>
      </c>
      <c r="B1613" s="6">
        <v>45794</v>
      </c>
      <c r="C1613" s="2" t="s">
        <v>41</v>
      </c>
      <c r="D1613" s="2" t="s">
        <v>103</v>
      </c>
      <c r="E1613" s="2">
        <v>2</v>
      </c>
      <c r="F1613" s="7">
        <v>89</v>
      </c>
      <c r="G1613" s="8">
        <v>0</v>
      </c>
      <c r="H1613" s="9" t="str">
        <f>INDEX(Products!$B$2:$B$37, MATCH(D1613, Products!$A$2:$A$37, 0))</f>
        <v>Sunscreen SPF50</v>
      </c>
      <c r="I1613" t="str">
        <f>INDEX(Products!$C$2:$C$37, MATCH(D1613, Products!$A$2:$A$37, 0))</f>
        <v>Beauty</v>
      </c>
      <c r="J1613">
        <f>INDEX(Products!$E$2:$E$37, MATCH(D1613, Products!$A$2:$A$37, 0))</f>
        <v>40</v>
      </c>
      <c r="K1613" s="9">
        <f t="shared" si="100"/>
        <v>178</v>
      </c>
      <c r="L1613">
        <f t="shared" si="101"/>
        <v>80</v>
      </c>
      <c r="M1613" s="9">
        <f t="shared" si="102"/>
        <v>98</v>
      </c>
      <c r="N1613" t="str">
        <f t="shared" si="103"/>
        <v>May</v>
      </c>
    </row>
    <row r="1614" spans="1:14" x14ac:dyDescent="0.3">
      <c r="A1614" s="2" t="s">
        <v>1680</v>
      </c>
      <c r="B1614" s="6">
        <v>45794</v>
      </c>
      <c r="C1614" s="2" t="s">
        <v>41</v>
      </c>
      <c r="D1614" s="2" t="s">
        <v>89</v>
      </c>
      <c r="E1614" s="2">
        <v>1</v>
      </c>
      <c r="F1614" s="7">
        <v>399</v>
      </c>
      <c r="G1614" s="8">
        <v>0</v>
      </c>
      <c r="H1614" s="9" t="str">
        <f>INDEX(Products!$B$2:$B$37, MATCH(D1614, Products!$A$2:$A$37, 0))</f>
        <v>Men's Kandura Premium</v>
      </c>
      <c r="I1614" t="str">
        <f>INDEX(Products!$C$2:$C$37, MATCH(D1614, Products!$A$2:$A$37, 0))</f>
        <v>Fashion</v>
      </c>
      <c r="J1614">
        <f>INDEX(Products!$E$2:$E$37, MATCH(D1614, Products!$A$2:$A$37, 0))</f>
        <v>210</v>
      </c>
      <c r="K1614" s="9">
        <f t="shared" si="100"/>
        <v>399</v>
      </c>
      <c r="L1614">
        <f t="shared" si="101"/>
        <v>210</v>
      </c>
      <c r="M1614" s="9">
        <f t="shared" si="102"/>
        <v>189</v>
      </c>
      <c r="N1614" t="str">
        <f t="shared" si="103"/>
        <v>May</v>
      </c>
    </row>
    <row r="1615" spans="1:14" x14ac:dyDescent="0.3">
      <c r="A1615" s="2" t="s">
        <v>1681</v>
      </c>
      <c r="B1615" s="6">
        <v>45794</v>
      </c>
      <c r="C1615" s="2" t="s">
        <v>44</v>
      </c>
      <c r="D1615" s="2" t="s">
        <v>49</v>
      </c>
      <c r="E1615" s="2">
        <v>4</v>
      </c>
      <c r="F1615" s="7">
        <v>149</v>
      </c>
      <c r="G1615" s="8">
        <v>0.3</v>
      </c>
      <c r="H1615" s="9" t="str">
        <f>INDEX(Products!$B$2:$B$37, MATCH(D1615, Products!$A$2:$A$37, 0))</f>
        <v>Kids' Sneakers</v>
      </c>
      <c r="I1615" t="str">
        <f>INDEX(Products!$C$2:$C$37, MATCH(D1615, Products!$A$2:$A$37, 0))</f>
        <v>Fashion</v>
      </c>
      <c r="J1615">
        <f>INDEX(Products!$E$2:$E$37, MATCH(D1615, Products!$A$2:$A$37, 0))</f>
        <v>80</v>
      </c>
      <c r="K1615" s="9">
        <f t="shared" si="100"/>
        <v>417.2</v>
      </c>
      <c r="L1615">
        <f t="shared" si="101"/>
        <v>320</v>
      </c>
      <c r="M1615" s="9">
        <f t="shared" si="102"/>
        <v>97.199999999999989</v>
      </c>
      <c r="N1615" t="str">
        <f t="shared" si="103"/>
        <v>May</v>
      </c>
    </row>
    <row r="1616" spans="1:14" x14ac:dyDescent="0.3">
      <c r="A1616" s="2" t="s">
        <v>1682</v>
      </c>
      <c r="B1616" s="6">
        <v>45794</v>
      </c>
      <c r="C1616" s="2" t="s">
        <v>41</v>
      </c>
      <c r="D1616" s="2" t="s">
        <v>35</v>
      </c>
      <c r="E1616" s="2">
        <v>1</v>
      </c>
      <c r="F1616" s="7">
        <v>179</v>
      </c>
      <c r="G1616" s="8">
        <v>0</v>
      </c>
      <c r="H1616" s="9" t="str">
        <f>INDEX(Products!$B$2:$B$37, MATCH(D1616, Products!$A$2:$A$37, 0))</f>
        <v>Men's Linen Shirt</v>
      </c>
      <c r="I1616" t="str">
        <f>INDEX(Products!$C$2:$C$37, MATCH(D1616, Products!$A$2:$A$37, 0))</f>
        <v>Fashion</v>
      </c>
      <c r="J1616">
        <f>INDEX(Products!$E$2:$E$37, MATCH(D1616, Products!$A$2:$A$37, 0))</f>
        <v>70</v>
      </c>
      <c r="K1616" s="9">
        <f t="shared" si="100"/>
        <v>179</v>
      </c>
      <c r="L1616">
        <f t="shared" si="101"/>
        <v>70</v>
      </c>
      <c r="M1616" s="9">
        <f t="shared" si="102"/>
        <v>109</v>
      </c>
      <c r="N1616" t="str">
        <f t="shared" si="103"/>
        <v>May</v>
      </c>
    </row>
    <row r="1617" spans="1:14" x14ac:dyDescent="0.3">
      <c r="A1617" s="2" t="s">
        <v>1683</v>
      </c>
      <c r="B1617" s="6">
        <v>45794</v>
      </c>
      <c r="C1617" s="2" t="s">
        <v>31</v>
      </c>
      <c r="D1617" s="2" t="s">
        <v>68</v>
      </c>
      <c r="E1617" s="2">
        <v>2</v>
      </c>
      <c r="F1617" s="7">
        <v>249</v>
      </c>
      <c r="G1617" s="8">
        <v>0</v>
      </c>
      <c r="H1617" s="9" t="str">
        <f>INDEX(Products!$B$2:$B$37, MATCH(D1617, Products!$A$2:$A$37, 0))</f>
        <v>Bluetooth Speaker Mini</v>
      </c>
      <c r="I1617" t="str">
        <f>INDEX(Products!$C$2:$C$37, MATCH(D1617, Products!$A$2:$A$37, 0))</f>
        <v>Electronics</v>
      </c>
      <c r="J1617">
        <f>INDEX(Products!$E$2:$E$37, MATCH(D1617, Products!$A$2:$A$37, 0))</f>
        <v>150</v>
      </c>
      <c r="K1617" s="9">
        <f t="shared" si="100"/>
        <v>498</v>
      </c>
      <c r="L1617">
        <f t="shared" si="101"/>
        <v>300</v>
      </c>
      <c r="M1617" s="9">
        <f t="shared" si="102"/>
        <v>198</v>
      </c>
      <c r="N1617" t="str">
        <f t="shared" si="103"/>
        <v>May</v>
      </c>
    </row>
    <row r="1618" spans="1:14" x14ac:dyDescent="0.3">
      <c r="A1618" s="2" t="s">
        <v>1684</v>
      </c>
      <c r="B1618" s="6">
        <v>45794</v>
      </c>
      <c r="C1618" s="2" t="s">
        <v>28</v>
      </c>
      <c r="D1618" s="2" t="s">
        <v>70</v>
      </c>
      <c r="E1618" s="2">
        <v>1</v>
      </c>
      <c r="F1618" s="7">
        <v>429</v>
      </c>
      <c r="G1618" s="8">
        <v>0</v>
      </c>
      <c r="H1618" s="9" t="str">
        <f>INDEX(Products!$B$2:$B$37, MATCH(D1618, Products!$A$2:$A$37, 0))</f>
        <v>Running Shoes Elite</v>
      </c>
      <c r="I1618" t="str">
        <f>INDEX(Products!$C$2:$C$37, MATCH(D1618, Products!$A$2:$A$37, 0))</f>
        <v>Fashion</v>
      </c>
      <c r="J1618">
        <f>INDEX(Products!$E$2:$E$37, MATCH(D1618, Products!$A$2:$A$37, 0))</f>
        <v>300</v>
      </c>
      <c r="K1618" s="9">
        <f t="shared" si="100"/>
        <v>429</v>
      </c>
      <c r="L1618">
        <f t="shared" si="101"/>
        <v>300</v>
      </c>
      <c r="M1618" s="9">
        <f t="shared" si="102"/>
        <v>129</v>
      </c>
      <c r="N1618" t="str">
        <f t="shared" si="103"/>
        <v>May</v>
      </c>
    </row>
    <row r="1619" spans="1:14" x14ac:dyDescent="0.3">
      <c r="A1619" s="2" t="s">
        <v>1685</v>
      </c>
      <c r="B1619" s="6">
        <v>45794</v>
      </c>
      <c r="C1619" s="2" t="s">
        <v>48</v>
      </c>
      <c r="D1619" s="2" t="s">
        <v>39</v>
      </c>
      <c r="E1619" s="2">
        <v>1</v>
      </c>
      <c r="F1619" s="7">
        <v>199</v>
      </c>
      <c r="G1619" s="8">
        <v>0.05</v>
      </c>
      <c r="H1619" s="9" t="str">
        <f>INDEX(Products!$B$2:$B$37, MATCH(D1619, Products!$A$2:$A$37, 0))</f>
        <v>Bakhoor Gift Set</v>
      </c>
      <c r="I1619" t="str">
        <f>INDEX(Products!$C$2:$C$37, MATCH(D1619, Products!$A$2:$A$37, 0))</f>
        <v>Beauty</v>
      </c>
      <c r="J1619">
        <f>INDEX(Products!$E$2:$E$37, MATCH(D1619, Products!$A$2:$A$37, 0))</f>
        <v>90</v>
      </c>
      <c r="K1619" s="9">
        <f t="shared" si="100"/>
        <v>189.04999999999998</v>
      </c>
      <c r="L1619">
        <f t="shared" si="101"/>
        <v>90</v>
      </c>
      <c r="M1619" s="9">
        <f t="shared" si="102"/>
        <v>99.049999999999983</v>
      </c>
      <c r="N1619" t="str">
        <f t="shared" si="103"/>
        <v>May</v>
      </c>
    </row>
    <row r="1620" spans="1:14" x14ac:dyDescent="0.3">
      <c r="A1620" s="2" t="s">
        <v>1686</v>
      </c>
      <c r="B1620" s="6">
        <v>45795</v>
      </c>
      <c r="C1620" s="2" t="s">
        <v>28</v>
      </c>
      <c r="D1620" s="2" t="s">
        <v>56</v>
      </c>
      <c r="E1620" s="2">
        <v>1</v>
      </c>
      <c r="F1620" s="7">
        <v>289</v>
      </c>
      <c r="G1620" s="8">
        <v>0.1</v>
      </c>
      <c r="H1620" s="9" t="str">
        <f>INDEX(Products!$B$2:$B$37, MATCH(D1620, Products!$A$2:$A$37, 0))</f>
        <v>Ceramic Dinner Set</v>
      </c>
      <c r="I1620" t="str">
        <f>INDEX(Products!$C$2:$C$37, MATCH(D1620, Products!$A$2:$A$37, 0))</f>
        <v>Home &amp; Kitchen</v>
      </c>
      <c r="J1620">
        <f>INDEX(Products!$E$2:$E$37, MATCH(D1620, Products!$A$2:$A$37, 0))</f>
        <v>140</v>
      </c>
      <c r="K1620" s="9">
        <f t="shared" si="100"/>
        <v>260.10000000000002</v>
      </c>
      <c r="L1620">
        <f t="shared" si="101"/>
        <v>140</v>
      </c>
      <c r="M1620" s="9">
        <f t="shared" si="102"/>
        <v>120.10000000000002</v>
      </c>
      <c r="N1620" t="str">
        <f t="shared" si="103"/>
        <v>May</v>
      </c>
    </row>
    <row r="1621" spans="1:14" x14ac:dyDescent="0.3">
      <c r="A1621" s="2" t="s">
        <v>1687</v>
      </c>
      <c r="B1621" s="6">
        <v>45795</v>
      </c>
      <c r="C1621" s="2" t="s">
        <v>31</v>
      </c>
      <c r="D1621" s="2" t="s">
        <v>46</v>
      </c>
      <c r="E1621" s="2">
        <v>2</v>
      </c>
      <c r="F1621" s="7">
        <v>189</v>
      </c>
      <c r="G1621" s="8">
        <v>0</v>
      </c>
      <c r="H1621" s="9" t="str">
        <f>INDEX(Products!$B$2:$B$37, MATCH(D1621, Products!$A$2:$A$37, 0))</f>
        <v>Makeup Palette</v>
      </c>
      <c r="I1621" t="str">
        <f>INDEX(Products!$C$2:$C$37, MATCH(D1621, Products!$A$2:$A$37, 0))</f>
        <v>Beauty</v>
      </c>
      <c r="J1621">
        <f>INDEX(Products!$E$2:$E$37, MATCH(D1621, Products!$A$2:$A$37, 0))</f>
        <v>85</v>
      </c>
      <c r="K1621" s="9">
        <f t="shared" si="100"/>
        <v>378</v>
      </c>
      <c r="L1621">
        <f t="shared" si="101"/>
        <v>170</v>
      </c>
      <c r="M1621" s="9">
        <f t="shared" si="102"/>
        <v>208</v>
      </c>
      <c r="N1621" t="str">
        <f t="shared" si="103"/>
        <v>May</v>
      </c>
    </row>
    <row r="1622" spans="1:14" x14ac:dyDescent="0.3">
      <c r="A1622" s="2" t="s">
        <v>1688</v>
      </c>
      <c r="B1622" s="6">
        <v>45795</v>
      </c>
      <c r="C1622" s="2" t="s">
        <v>28</v>
      </c>
      <c r="D1622" s="2" t="s">
        <v>115</v>
      </c>
      <c r="E1622" s="2">
        <v>1</v>
      </c>
      <c r="F1622" s="7">
        <v>129</v>
      </c>
      <c r="G1622" s="8">
        <v>0</v>
      </c>
      <c r="H1622" s="9" t="str">
        <f>INDEX(Products!$B$2:$B$37, MATCH(D1622, Products!$A$2:$A$37, 0))</f>
        <v>Electric Kettle</v>
      </c>
      <c r="I1622" t="str">
        <f>INDEX(Products!$C$2:$C$37, MATCH(D1622, Products!$A$2:$A$37, 0))</f>
        <v>Home &amp; Kitchen</v>
      </c>
      <c r="J1622">
        <f>INDEX(Products!$E$2:$E$37, MATCH(D1622, Products!$A$2:$A$37, 0))</f>
        <v>60</v>
      </c>
      <c r="K1622" s="9">
        <f t="shared" si="100"/>
        <v>129</v>
      </c>
      <c r="L1622">
        <f t="shared" si="101"/>
        <v>60</v>
      </c>
      <c r="M1622" s="9">
        <f t="shared" si="102"/>
        <v>69</v>
      </c>
      <c r="N1622" t="str">
        <f t="shared" si="103"/>
        <v>May</v>
      </c>
    </row>
    <row r="1623" spans="1:14" x14ac:dyDescent="0.3">
      <c r="A1623" s="2" t="s">
        <v>1689</v>
      </c>
      <c r="B1623" s="6">
        <v>45795</v>
      </c>
      <c r="C1623" s="2" t="s">
        <v>28</v>
      </c>
      <c r="D1623" s="2" t="s">
        <v>103</v>
      </c>
      <c r="E1623" s="2">
        <v>1</v>
      </c>
      <c r="F1623" s="7">
        <v>89</v>
      </c>
      <c r="G1623" s="8">
        <v>0.3</v>
      </c>
      <c r="H1623" s="9" t="str">
        <f>INDEX(Products!$B$2:$B$37, MATCH(D1623, Products!$A$2:$A$37, 0))</f>
        <v>Sunscreen SPF50</v>
      </c>
      <c r="I1623" t="str">
        <f>INDEX(Products!$C$2:$C$37, MATCH(D1623, Products!$A$2:$A$37, 0))</f>
        <v>Beauty</v>
      </c>
      <c r="J1623">
        <f>INDEX(Products!$E$2:$E$37, MATCH(D1623, Products!$A$2:$A$37, 0))</f>
        <v>40</v>
      </c>
      <c r="K1623" s="9">
        <f t="shared" si="100"/>
        <v>62.3</v>
      </c>
      <c r="L1623">
        <f t="shared" si="101"/>
        <v>40</v>
      </c>
      <c r="M1623" s="9">
        <f t="shared" si="102"/>
        <v>22.299999999999997</v>
      </c>
      <c r="N1623" t="str">
        <f t="shared" si="103"/>
        <v>May</v>
      </c>
    </row>
    <row r="1624" spans="1:14" x14ac:dyDescent="0.3">
      <c r="A1624" s="2" t="s">
        <v>1690</v>
      </c>
      <c r="B1624" s="6">
        <v>45795</v>
      </c>
      <c r="C1624" s="2" t="s">
        <v>31</v>
      </c>
      <c r="D1624" s="2" t="s">
        <v>165</v>
      </c>
      <c r="E1624" s="2">
        <v>1</v>
      </c>
      <c r="F1624" s="7">
        <v>69</v>
      </c>
      <c r="G1624" s="8">
        <v>0</v>
      </c>
      <c r="H1624" s="9" t="str">
        <f>INDEX(Products!$B$2:$B$37, MATCH(D1624, Products!$A$2:$A$37, 0))</f>
        <v>Swim Goggles</v>
      </c>
      <c r="I1624" t="str">
        <f>INDEX(Products!$C$2:$C$37, MATCH(D1624, Products!$A$2:$A$37, 0))</f>
        <v>Sports</v>
      </c>
      <c r="J1624">
        <f>INDEX(Products!$E$2:$E$37, MATCH(D1624, Products!$A$2:$A$37, 0))</f>
        <v>25</v>
      </c>
      <c r="K1624" s="9">
        <f t="shared" si="100"/>
        <v>69</v>
      </c>
      <c r="L1624">
        <f t="shared" si="101"/>
        <v>25</v>
      </c>
      <c r="M1624" s="9">
        <f t="shared" si="102"/>
        <v>44</v>
      </c>
      <c r="N1624" t="str">
        <f t="shared" si="103"/>
        <v>May</v>
      </c>
    </row>
    <row r="1625" spans="1:14" x14ac:dyDescent="0.3">
      <c r="A1625" s="2" t="s">
        <v>1691</v>
      </c>
      <c r="B1625" s="6">
        <v>45795</v>
      </c>
      <c r="C1625" s="2" t="s">
        <v>44</v>
      </c>
      <c r="D1625" s="2" t="s">
        <v>49</v>
      </c>
      <c r="E1625" s="2">
        <v>2</v>
      </c>
      <c r="F1625" s="7">
        <v>149</v>
      </c>
      <c r="G1625" s="8">
        <v>0</v>
      </c>
      <c r="H1625" s="9" t="str">
        <f>INDEX(Products!$B$2:$B$37, MATCH(D1625, Products!$A$2:$A$37, 0))</f>
        <v>Kids' Sneakers</v>
      </c>
      <c r="I1625" t="str">
        <f>INDEX(Products!$C$2:$C$37, MATCH(D1625, Products!$A$2:$A$37, 0))</f>
        <v>Fashion</v>
      </c>
      <c r="J1625">
        <f>INDEX(Products!$E$2:$E$37, MATCH(D1625, Products!$A$2:$A$37, 0))</f>
        <v>80</v>
      </c>
      <c r="K1625" s="9">
        <f t="shared" si="100"/>
        <v>298</v>
      </c>
      <c r="L1625">
        <f t="shared" si="101"/>
        <v>160</v>
      </c>
      <c r="M1625" s="9">
        <f t="shared" si="102"/>
        <v>138</v>
      </c>
      <c r="N1625" t="str">
        <f t="shared" si="103"/>
        <v>May</v>
      </c>
    </row>
    <row r="1626" spans="1:14" x14ac:dyDescent="0.3">
      <c r="A1626" s="2" t="s">
        <v>1692</v>
      </c>
      <c r="B1626" s="6">
        <v>45795</v>
      </c>
      <c r="C1626" s="2" t="s">
        <v>48</v>
      </c>
      <c r="D1626" s="2" t="s">
        <v>131</v>
      </c>
      <c r="E1626" s="2">
        <v>1</v>
      </c>
      <c r="F1626" s="7">
        <v>899</v>
      </c>
      <c r="G1626" s="8">
        <v>0.1</v>
      </c>
      <c r="H1626" s="9" t="str">
        <f>INDEX(Products!$B$2:$B$37, MATCH(D1626, Products!$A$2:$A$37, 0))</f>
        <v>4K Action Camera</v>
      </c>
      <c r="I1626" t="str">
        <f>INDEX(Products!$C$2:$C$37, MATCH(D1626, Products!$A$2:$A$37, 0))</f>
        <v>Electronics</v>
      </c>
      <c r="J1626">
        <f>INDEX(Products!$E$2:$E$37, MATCH(D1626, Products!$A$2:$A$37, 0))</f>
        <v>610</v>
      </c>
      <c r="K1626" s="9">
        <f t="shared" si="100"/>
        <v>809.1</v>
      </c>
      <c r="L1626">
        <f t="shared" si="101"/>
        <v>610</v>
      </c>
      <c r="M1626" s="9">
        <f t="shared" si="102"/>
        <v>199.10000000000002</v>
      </c>
      <c r="N1626" t="str">
        <f t="shared" si="103"/>
        <v>May</v>
      </c>
    </row>
    <row r="1627" spans="1:14" x14ac:dyDescent="0.3">
      <c r="A1627" s="2" t="s">
        <v>1693</v>
      </c>
      <c r="B1627" s="6">
        <v>45795</v>
      </c>
      <c r="C1627" s="2" t="s">
        <v>28</v>
      </c>
      <c r="D1627" s="2" t="s">
        <v>68</v>
      </c>
      <c r="E1627" s="2">
        <v>3</v>
      </c>
      <c r="F1627" s="7">
        <v>249</v>
      </c>
      <c r="G1627" s="8">
        <v>0</v>
      </c>
      <c r="H1627" s="9" t="str">
        <f>INDEX(Products!$B$2:$B$37, MATCH(D1627, Products!$A$2:$A$37, 0))</f>
        <v>Bluetooth Speaker Mini</v>
      </c>
      <c r="I1627" t="str">
        <f>INDEX(Products!$C$2:$C$37, MATCH(D1627, Products!$A$2:$A$37, 0))</f>
        <v>Electronics</v>
      </c>
      <c r="J1627">
        <f>INDEX(Products!$E$2:$E$37, MATCH(D1627, Products!$A$2:$A$37, 0))</f>
        <v>150</v>
      </c>
      <c r="K1627" s="9">
        <f t="shared" si="100"/>
        <v>747</v>
      </c>
      <c r="L1627">
        <f t="shared" si="101"/>
        <v>450</v>
      </c>
      <c r="M1627" s="9">
        <f t="shared" si="102"/>
        <v>297</v>
      </c>
      <c r="N1627" t="str">
        <f t="shared" si="103"/>
        <v>May</v>
      </c>
    </row>
    <row r="1628" spans="1:14" x14ac:dyDescent="0.3">
      <c r="A1628" s="2" t="s">
        <v>1694</v>
      </c>
      <c r="B1628" s="6">
        <v>45795</v>
      </c>
      <c r="C1628" s="2" t="s">
        <v>41</v>
      </c>
      <c r="D1628" s="2" t="s">
        <v>56</v>
      </c>
      <c r="E1628" s="2">
        <v>1</v>
      </c>
      <c r="F1628" s="7">
        <v>289</v>
      </c>
      <c r="G1628" s="8">
        <v>0.3</v>
      </c>
      <c r="H1628" s="9" t="str">
        <f>INDEX(Products!$B$2:$B$37, MATCH(D1628, Products!$A$2:$A$37, 0))</f>
        <v>Ceramic Dinner Set</v>
      </c>
      <c r="I1628" t="str">
        <f>INDEX(Products!$C$2:$C$37, MATCH(D1628, Products!$A$2:$A$37, 0))</f>
        <v>Home &amp; Kitchen</v>
      </c>
      <c r="J1628">
        <f>INDEX(Products!$E$2:$E$37, MATCH(D1628, Products!$A$2:$A$37, 0))</f>
        <v>140</v>
      </c>
      <c r="K1628" s="9">
        <f t="shared" si="100"/>
        <v>202.29999999999998</v>
      </c>
      <c r="L1628">
        <f t="shared" si="101"/>
        <v>140</v>
      </c>
      <c r="M1628" s="9">
        <f t="shared" si="102"/>
        <v>62.299999999999983</v>
      </c>
      <c r="N1628" t="str">
        <f t="shared" si="103"/>
        <v>May</v>
      </c>
    </row>
    <row r="1629" spans="1:14" x14ac:dyDescent="0.3">
      <c r="A1629" s="2" t="s">
        <v>1695</v>
      </c>
      <c r="B1629" s="6">
        <v>45795</v>
      </c>
      <c r="C1629" s="2" t="s">
        <v>31</v>
      </c>
      <c r="D1629" s="2" t="s">
        <v>42</v>
      </c>
      <c r="E1629" s="2">
        <v>1</v>
      </c>
      <c r="F1629" s="7">
        <v>399</v>
      </c>
      <c r="G1629" s="8">
        <v>0</v>
      </c>
      <c r="H1629" s="9" t="str">
        <f>INDEX(Products!$B$2:$B$37, MATCH(D1629, Products!$A$2:$A$37, 0))</f>
        <v>Wireless Earbuds Pro</v>
      </c>
      <c r="I1629" t="str">
        <f>INDEX(Products!$C$2:$C$37, MATCH(D1629, Products!$A$2:$A$37, 0))</f>
        <v>Electronics</v>
      </c>
      <c r="J1629">
        <f>INDEX(Products!$E$2:$E$37, MATCH(D1629, Products!$A$2:$A$37, 0))</f>
        <v>230</v>
      </c>
      <c r="K1629" s="9">
        <f t="shared" si="100"/>
        <v>399</v>
      </c>
      <c r="L1629">
        <f t="shared" si="101"/>
        <v>230</v>
      </c>
      <c r="M1629" s="9">
        <f t="shared" si="102"/>
        <v>169</v>
      </c>
      <c r="N1629" t="str">
        <f t="shared" si="103"/>
        <v>May</v>
      </c>
    </row>
    <row r="1630" spans="1:14" x14ac:dyDescent="0.3">
      <c r="A1630" s="2" t="s">
        <v>1696</v>
      </c>
      <c r="B1630" s="6">
        <v>45795</v>
      </c>
      <c r="C1630" s="2" t="s">
        <v>28</v>
      </c>
      <c r="D1630" s="2" t="s">
        <v>60</v>
      </c>
      <c r="E1630" s="2">
        <v>1</v>
      </c>
      <c r="F1630" s="7">
        <v>99</v>
      </c>
      <c r="G1630" s="8">
        <v>0.15</v>
      </c>
      <c r="H1630" s="9" t="str">
        <f>INDEX(Products!$B$2:$B$37, MATCH(D1630, Products!$A$2:$A$37, 0))</f>
        <v>Football Size 5</v>
      </c>
      <c r="I1630" t="str">
        <f>INDEX(Products!$C$2:$C$37, MATCH(D1630, Products!$A$2:$A$37, 0))</f>
        <v>Sports</v>
      </c>
      <c r="J1630">
        <f>INDEX(Products!$E$2:$E$37, MATCH(D1630, Products!$A$2:$A$37, 0))</f>
        <v>45</v>
      </c>
      <c r="K1630" s="9">
        <f t="shared" si="100"/>
        <v>84.149999999999991</v>
      </c>
      <c r="L1630">
        <f t="shared" si="101"/>
        <v>45</v>
      </c>
      <c r="M1630" s="9">
        <f t="shared" si="102"/>
        <v>39.149999999999991</v>
      </c>
      <c r="N1630" t="str">
        <f t="shared" si="103"/>
        <v>May</v>
      </c>
    </row>
    <row r="1631" spans="1:14" x14ac:dyDescent="0.3">
      <c r="A1631" s="2" t="s">
        <v>1697</v>
      </c>
      <c r="B1631" s="6">
        <v>45795</v>
      </c>
      <c r="C1631" s="2" t="s">
        <v>44</v>
      </c>
      <c r="D1631" s="2" t="s">
        <v>126</v>
      </c>
      <c r="E1631" s="2">
        <v>1</v>
      </c>
      <c r="F1631" s="7">
        <v>89</v>
      </c>
      <c r="G1631" s="8">
        <v>0</v>
      </c>
      <c r="H1631" s="9" t="str">
        <f>INDEX(Products!$B$2:$B$37, MATCH(D1631, Products!$A$2:$A$37, 0))</f>
        <v>USB-C Fast Charger</v>
      </c>
      <c r="I1631" t="str">
        <f>INDEX(Products!$C$2:$C$37, MATCH(D1631, Products!$A$2:$A$37, 0))</f>
        <v>Electronics</v>
      </c>
      <c r="J1631">
        <f>INDEX(Products!$E$2:$E$37, MATCH(D1631, Products!$A$2:$A$37, 0))</f>
        <v>35</v>
      </c>
      <c r="K1631" s="9">
        <f t="shared" si="100"/>
        <v>89</v>
      </c>
      <c r="L1631">
        <f t="shared" si="101"/>
        <v>35</v>
      </c>
      <c r="M1631" s="9">
        <f t="shared" si="102"/>
        <v>54</v>
      </c>
      <c r="N1631" t="str">
        <f t="shared" si="103"/>
        <v>May</v>
      </c>
    </row>
    <row r="1632" spans="1:14" x14ac:dyDescent="0.3">
      <c r="A1632" s="2" t="s">
        <v>1698</v>
      </c>
      <c r="B1632" s="6">
        <v>45795</v>
      </c>
      <c r="C1632" s="2" t="s">
        <v>28</v>
      </c>
      <c r="D1632" s="2" t="s">
        <v>39</v>
      </c>
      <c r="E1632" s="2">
        <v>1</v>
      </c>
      <c r="F1632" s="7">
        <v>199</v>
      </c>
      <c r="G1632" s="8">
        <v>0.05</v>
      </c>
      <c r="H1632" s="9" t="str">
        <f>INDEX(Products!$B$2:$B$37, MATCH(D1632, Products!$A$2:$A$37, 0))</f>
        <v>Bakhoor Gift Set</v>
      </c>
      <c r="I1632" t="str">
        <f>INDEX(Products!$C$2:$C$37, MATCH(D1632, Products!$A$2:$A$37, 0))</f>
        <v>Beauty</v>
      </c>
      <c r="J1632">
        <f>INDEX(Products!$E$2:$E$37, MATCH(D1632, Products!$A$2:$A$37, 0))</f>
        <v>90</v>
      </c>
      <c r="K1632" s="9">
        <f t="shared" si="100"/>
        <v>189.04999999999998</v>
      </c>
      <c r="L1632">
        <f t="shared" si="101"/>
        <v>90</v>
      </c>
      <c r="M1632" s="9">
        <f t="shared" si="102"/>
        <v>99.049999999999983</v>
      </c>
      <c r="N1632" t="str">
        <f t="shared" si="103"/>
        <v>May</v>
      </c>
    </row>
    <row r="1633" spans="1:14" x14ac:dyDescent="0.3">
      <c r="A1633" s="2" t="s">
        <v>1699</v>
      </c>
      <c r="B1633" s="6">
        <v>45795</v>
      </c>
      <c r="C1633" s="2" t="s">
        <v>28</v>
      </c>
      <c r="D1633" s="2" t="s">
        <v>37</v>
      </c>
      <c r="E1633" s="2">
        <v>1</v>
      </c>
      <c r="F1633" s="7">
        <v>249</v>
      </c>
      <c r="G1633" s="8">
        <v>0.3</v>
      </c>
      <c r="H1633" s="9" t="str">
        <f>INDEX(Products!$B$2:$B$37, MATCH(D1633, Products!$A$2:$A$37, 0))</f>
        <v>Sunglasses Polarised</v>
      </c>
      <c r="I1633" t="str">
        <f>INDEX(Products!$C$2:$C$37, MATCH(D1633, Products!$A$2:$A$37, 0))</f>
        <v>Fashion</v>
      </c>
      <c r="J1633">
        <f>INDEX(Products!$E$2:$E$37, MATCH(D1633, Products!$A$2:$A$37, 0))</f>
        <v>95</v>
      </c>
      <c r="K1633" s="9">
        <f t="shared" si="100"/>
        <v>174.29999999999998</v>
      </c>
      <c r="L1633">
        <f t="shared" si="101"/>
        <v>95</v>
      </c>
      <c r="M1633" s="9">
        <f t="shared" si="102"/>
        <v>79.299999999999983</v>
      </c>
      <c r="N1633" t="str">
        <f t="shared" si="103"/>
        <v>May</v>
      </c>
    </row>
    <row r="1634" spans="1:14" x14ac:dyDescent="0.3">
      <c r="A1634" s="2" t="s">
        <v>1700</v>
      </c>
      <c r="B1634" s="6">
        <v>45796</v>
      </c>
      <c r="C1634" s="2" t="s">
        <v>44</v>
      </c>
      <c r="D1634" s="2" t="s">
        <v>37</v>
      </c>
      <c r="E1634" s="2">
        <v>2</v>
      </c>
      <c r="F1634" s="7">
        <v>249</v>
      </c>
      <c r="G1634" s="8">
        <v>0</v>
      </c>
      <c r="H1634" s="9" t="str">
        <f>INDEX(Products!$B$2:$B$37, MATCH(D1634, Products!$A$2:$A$37, 0))</f>
        <v>Sunglasses Polarised</v>
      </c>
      <c r="I1634" t="str">
        <f>INDEX(Products!$C$2:$C$37, MATCH(D1634, Products!$A$2:$A$37, 0))</f>
        <v>Fashion</v>
      </c>
      <c r="J1634">
        <f>INDEX(Products!$E$2:$E$37, MATCH(D1634, Products!$A$2:$A$37, 0))</f>
        <v>95</v>
      </c>
      <c r="K1634" s="9">
        <f t="shared" si="100"/>
        <v>498</v>
      </c>
      <c r="L1634">
        <f t="shared" si="101"/>
        <v>190</v>
      </c>
      <c r="M1634" s="9">
        <f t="shared" si="102"/>
        <v>308</v>
      </c>
      <c r="N1634" t="str">
        <f t="shared" si="103"/>
        <v>May</v>
      </c>
    </row>
    <row r="1635" spans="1:14" x14ac:dyDescent="0.3">
      <c r="A1635" s="2" t="s">
        <v>1701</v>
      </c>
      <c r="B1635" s="6">
        <v>45796</v>
      </c>
      <c r="C1635" s="2" t="s">
        <v>41</v>
      </c>
      <c r="D1635" s="2" t="s">
        <v>65</v>
      </c>
      <c r="E1635" s="2">
        <v>1</v>
      </c>
      <c r="F1635" s="7">
        <v>129</v>
      </c>
      <c r="G1635" s="8">
        <v>0.05</v>
      </c>
      <c r="H1635" s="9" t="str">
        <f>INDEX(Products!$B$2:$B$37, MATCH(D1635, Products!$A$2:$A$37, 0))</f>
        <v>Yoga Mat Premium</v>
      </c>
      <c r="I1635" t="str">
        <f>INDEX(Products!$C$2:$C$37, MATCH(D1635, Products!$A$2:$A$37, 0))</f>
        <v>Sports</v>
      </c>
      <c r="J1635">
        <f>INDEX(Products!$E$2:$E$37, MATCH(D1635, Products!$A$2:$A$37, 0))</f>
        <v>60</v>
      </c>
      <c r="K1635" s="9">
        <f t="shared" si="100"/>
        <v>122.55</v>
      </c>
      <c r="L1635">
        <f t="shared" si="101"/>
        <v>60</v>
      </c>
      <c r="M1635" s="9">
        <f t="shared" si="102"/>
        <v>62.55</v>
      </c>
      <c r="N1635" t="str">
        <f t="shared" si="103"/>
        <v>May</v>
      </c>
    </row>
    <row r="1636" spans="1:14" x14ac:dyDescent="0.3">
      <c r="A1636" s="2" t="s">
        <v>1702</v>
      </c>
      <c r="B1636" s="6">
        <v>45796</v>
      </c>
      <c r="C1636" s="2" t="s">
        <v>41</v>
      </c>
      <c r="D1636" s="2" t="s">
        <v>75</v>
      </c>
      <c r="E1636" s="2">
        <v>1</v>
      </c>
      <c r="F1636" s="7">
        <v>549</v>
      </c>
      <c r="G1636" s="8">
        <v>0.1</v>
      </c>
      <c r="H1636" s="9" t="str">
        <f>INDEX(Products!$B$2:$B$37, MATCH(D1636, Products!$A$2:$A$37, 0))</f>
        <v>Oud Perfume 100ml</v>
      </c>
      <c r="I1636" t="str">
        <f>INDEX(Products!$C$2:$C$37, MATCH(D1636, Products!$A$2:$A$37, 0))</f>
        <v>Beauty</v>
      </c>
      <c r="J1636">
        <f>INDEX(Products!$E$2:$E$37, MATCH(D1636, Products!$A$2:$A$37, 0))</f>
        <v>250</v>
      </c>
      <c r="K1636" s="9">
        <f t="shared" si="100"/>
        <v>494.1</v>
      </c>
      <c r="L1636">
        <f t="shared" si="101"/>
        <v>250</v>
      </c>
      <c r="M1636" s="9">
        <f t="shared" si="102"/>
        <v>244.10000000000002</v>
      </c>
      <c r="N1636" t="str">
        <f t="shared" si="103"/>
        <v>May</v>
      </c>
    </row>
    <row r="1637" spans="1:14" x14ac:dyDescent="0.3">
      <c r="A1637" s="2" t="s">
        <v>1703</v>
      </c>
      <c r="B1637" s="6">
        <v>45796</v>
      </c>
      <c r="C1637" s="2" t="s">
        <v>41</v>
      </c>
      <c r="D1637" s="2" t="s">
        <v>46</v>
      </c>
      <c r="E1637" s="2">
        <v>1</v>
      </c>
      <c r="F1637" s="7">
        <v>189</v>
      </c>
      <c r="G1637" s="8">
        <v>0.15</v>
      </c>
      <c r="H1637" s="9" t="str">
        <f>INDEX(Products!$B$2:$B$37, MATCH(D1637, Products!$A$2:$A$37, 0))</f>
        <v>Makeup Palette</v>
      </c>
      <c r="I1637" t="str">
        <f>INDEX(Products!$C$2:$C$37, MATCH(D1637, Products!$A$2:$A$37, 0))</f>
        <v>Beauty</v>
      </c>
      <c r="J1637">
        <f>INDEX(Products!$E$2:$E$37, MATCH(D1637, Products!$A$2:$A$37, 0))</f>
        <v>85</v>
      </c>
      <c r="K1637" s="9">
        <f t="shared" si="100"/>
        <v>160.65</v>
      </c>
      <c r="L1637">
        <f t="shared" si="101"/>
        <v>85</v>
      </c>
      <c r="M1637" s="9">
        <f t="shared" si="102"/>
        <v>75.650000000000006</v>
      </c>
      <c r="N1637" t="str">
        <f t="shared" si="103"/>
        <v>May</v>
      </c>
    </row>
    <row r="1638" spans="1:14" x14ac:dyDescent="0.3">
      <c r="A1638" s="2" t="s">
        <v>1704</v>
      </c>
      <c r="B1638" s="6">
        <v>45796</v>
      </c>
      <c r="C1638" s="2" t="s">
        <v>44</v>
      </c>
      <c r="D1638" s="2" t="s">
        <v>165</v>
      </c>
      <c r="E1638" s="2">
        <v>1</v>
      </c>
      <c r="F1638" s="7">
        <v>69</v>
      </c>
      <c r="G1638" s="8">
        <v>0</v>
      </c>
      <c r="H1638" s="9" t="str">
        <f>INDEX(Products!$B$2:$B$37, MATCH(D1638, Products!$A$2:$A$37, 0))</f>
        <v>Swim Goggles</v>
      </c>
      <c r="I1638" t="str">
        <f>INDEX(Products!$C$2:$C$37, MATCH(D1638, Products!$A$2:$A$37, 0))</f>
        <v>Sports</v>
      </c>
      <c r="J1638">
        <f>INDEX(Products!$E$2:$E$37, MATCH(D1638, Products!$A$2:$A$37, 0))</f>
        <v>25</v>
      </c>
      <c r="K1638" s="9">
        <f t="shared" si="100"/>
        <v>69</v>
      </c>
      <c r="L1638">
        <f t="shared" si="101"/>
        <v>25</v>
      </c>
      <c r="M1638" s="9">
        <f t="shared" si="102"/>
        <v>44</v>
      </c>
      <c r="N1638" t="str">
        <f t="shared" si="103"/>
        <v>May</v>
      </c>
    </row>
    <row r="1639" spans="1:14" x14ac:dyDescent="0.3">
      <c r="A1639" s="2" t="s">
        <v>1705</v>
      </c>
      <c r="B1639" s="6">
        <v>45796</v>
      </c>
      <c r="C1639" s="2" t="s">
        <v>28</v>
      </c>
      <c r="D1639" s="2" t="s">
        <v>103</v>
      </c>
      <c r="E1639" s="2">
        <v>1</v>
      </c>
      <c r="F1639" s="7">
        <v>89</v>
      </c>
      <c r="G1639" s="8">
        <v>0.05</v>
      </c>
      <c r="H1639" s="9" t="str">
        <f>INDEX(Products!$B$2:$B$37, MATCH(D1639, Products!$A$2:$A$37, 0))</f>
        <v>Sunscreen SPF50</v>
      </c>
      <c r="I1639" t="str">
        <f>INDEX(Products!$C$2:$C$37, MATCH(D1639, Products!$A$2:$A$37, 0))</f>
        <v>Beauty</v>
      </c>
      <c r="J1639">
        <f>INDEX(Products!$E$2:$E$37, MATCH(D1639, Products!$A$2:$A$37, 0))</f>
        <v>40</v>
      </c>
      <c r="K1639" s="9">
        <f t="shared" si="100"/>
        <v>84.55</v>
      </c>
      <c r="L1639">
        <f t="shared" si="101"/>
        <v>40</v>
      </c>
      <c r="M1639" s="9">
        <f t="shared" si="102"/>
        <v>44.55</v>
      </c>
      <c r="N1639" t="str">
        <f t="shared" si="103"/>
        <v>May</v>
      </c>
    </row>
    <row r="1640" spans="1:14" x14ac:dyDescent="0.3">
      <c r="A1640" s="2" t="s">
        <v>1706</v>
      </c>
      <c r="B1640" s="6">
        <v>45796</v>
      </c>
      <c r="C1640" s="2" t="s">
        <v>28</v>
      </c>
      <c r="D1640" s="2" t="s">
        <v>95</v>
      </c>
      <c r="E1640" s="2">
        <v>1</v>
      </c>
      <c r="F1640" s="7">
        <v>259</v>
      </c>
      <c r="G1640" s="8">
        <v>0</v>
      </c>
      <c r="H1640" s="9" t="str">
        <f>INDEX(Products!$B$2:$B$37, MATCH(D1640, Products!$A$2:$A$37, 0))</f>
        <v>Bed Linen Set (King)</v>
      </c>
      <c r="I1640" t="str">
        <f>INDEX(Products!$C$2:$C$37, MATCH(D1640, Products!$A$2:$A$37, 0))</f>
        <v>Home &amp; Kitchen</v>
      </c>
      <c r="J1640">
        <f>INDEX(Products!$E$2:$E$37, MATCH(D1640, Products!$A$2:$A$37, 0))</f>
        <v>115</v>
      </c>
      <c r="K1640" s="9">
        <f t="shared" si="100"/>
        <v>259</v>
      </c>
      <c r="L1640">
        <f t="shared" si="101"/>
        <v>115</v>
      </c>
      <c r="M1640" s="9">
        <f t="shared" si="102"/>
        <v>144</v>
      </c>
      <c r="N1640" t="str">
        <f t="shared" si="103"/>
        <v>May</v>
      </c>
    </row>
    <row r="1641" spans="1:14" x14ac:dyDescent="0.3">
      <c r="A1641" s="2" t="s">
        <v>1707</v>
      </c>
      <c r="B1641" s="6">
        <v>45796</v>
      </c>
      <c r="C1641" s="2" t="s">
        <v>44</v>
      </c>
      <c r="D1641" s="2" t="s">
        <v>68</v>
      </c>
      <c r="E1641" s="2">
        <v>2</v>
      </c>
      <c r="F1641" s="7">
        <v>249</v>
      </c>
      <c r="G1641" s="8">
        <v>0.05</v>
      </c>
      <c r="H1641" s="9" t="str">
        <f>INDEX(Products!$B$2:$B$37, MATCH(D1641, Products!$A$2:$A$37, 0))</f>
        <v>Bluetooth Speaker Mini</v>
      </c>
      <c r="I1641" t="str">
        <f>INDEX(Products!$C$2:$C$37, MATCH(D1641, Products!$A$2:$A$37, 0))</f>
        <v>Electronics</v>
      </c>
      <c r="J1641">
        <f>INDEX(Products!$E$2:$E$37, MATCH(D1641, Products!$A$2:$A$37, 0))</f>
        <v>150</v>
      </c>
      <c r="K1641" s="9">
        <f t="shared" si="100"/>
        <v>473.09999999999997</v>
      </c>
      <c r="L1641">
        <f t="shared" si="101"/>
        <v>300</v>
      </c>
      <c r="M1641" s="9">
        <f t="shared" si="102"/>
        <v>173.09999999999997</v>
      </c>
      <c r="N1641" t="str">
        <f t="shared" si="103"/>
        <v>May</v>
      </c>
    </row>
    <row r="1642" spans="1:14" x14ac:dyDescent="0.3">
      <c r="A1642" s="2" t="s">
        <v>1708</v>
      </c>
      <c r="B1642" s="6">
        <v>45797</v>
      </c>
      <c r="C1642" s="2" t="s">
        <v>31</v>
      </c>
      <c r="D1642" s="2" t="s">
        <v>83</v>
      </c>
      <c r="E1642" s="2">
        <v>1</v>
      </c>
      <c r="F1642" s="7">
        <v>229</v>
      </c>
      <c r="G1642" s="8">
        <v>0.1</v>
      </c>
      <c r="H1642" s="9" t="str">
        <f>INDEX(Products!$B$2:$B$37, MATCH(D1642, Products!$A$2:$A$37, 0))</f>
        <v>Cycling Helmet</v>
      </c>
      <c r="I1642" t="str">
        <f>INDEX(Products!$C$2:$C$37, MATCH(D1642, Products!$A$2:$A$37, 0))</f>
        <v>Sports</v>
      </c>
      <c r="J1642">
        <f>INDEX(Products!$E$2:$E$37, MATCH(D1642, Products!$A$2:$A$37, 0))</f>
        <v>120</v>
      </c>
      <c r="K1642" s="9">
        <f t="shared" si="100"/>
        <v>206.1</v>
      </c>
      <c r="L1642">
        <f t="shared" si="101"/>
        <v>120</v>
      </c>
      <c r="M1642" s="9">
        <f t="shared" si="102"/>
        <v>86.1</v>
      </c>
      <c r="N1642" t="str">
        <f t="shared" si="103"/>
        <v>May</v>
      </c>
    </row>
    <row r="1643" spans="1:14" x14ac:dyDescent="0.3">
      <c r="A1643" s="2" t="s">
        <v>1709</v>
      </c>
      <c r="B1643" s="6">
        <v>45797</v>
      </c>
      <c r="C1643" s="2" t="s">
        <v>48</v>
      </c>
      <c r="D1643" s="2" t="s">
        <v>113</v>
      </c>
      <c r="E1643" s="2">
        <v>4</v>
      </c>
      <c r="F1643" s="7">
        <v>1199</v>
      </c>
      <c r="G1643" s="8">
        <v>0.2</v>
      </c>
      <c r="H1643" s="9" t="str">
        <f>INDEX(Products!$B$2:$B$37, MATCH(D1643, Products!$A$2:$A$37, 0))</f>
        <v>Robot Vacuum S3</v>
      </c>
      <c r="I1643" t="str">
        <f>INDEX(Products!$C$2:$C$37, MATCH(D1643, Products!$A$2:$A$37, 0))</f>
        <v>Home &amp; Kitchen</v>
      </c>
      <c r="J1643">
        <f>INDEX(Products!$E$2:$E$37, MATCH(D1643, Products!$A$2:$A$37, 0))</f>
        <v>1080</v>
      </c>
      <c r="K1643" s="9">
        <f t="shared" si="100"/>
        <v>3836.8</v>
      </c>
      <c r="L1643">
        <f t="shared" si="101"/>
        <v>4320</v>
      </c>
      <c r="M1643" s="9">
        <f t="shared" si="102"/>
        <v>-483.19999999999982</v>
      </c>
      <c r="N1643" t="str">
        <f t="shared" si="103"/>
        <v>May</v>
      </c>
    </row>
    <row r="1644" spans="1:14" x14ac:dyDescent="0.3">
      <c r="A1644" s="2" t="s">
        <v>1710</v>
      </c>
      <c r="B1644" s="6">
        <v>45797</v>
      </c>
      <c r="C1644" s="2" t="s">
        <v>44</v>
      </c>
      <c r="D1644" s="2" t="s">
        <v>99</v>
      </c>
      <c r="E1644" s="2">
        <v>2</v>
      </c>
      <c r="F1644" s="7">
        <v>459</v>
      </c>
      <c r="G1644" s="8">
        <v>0</v>
      </c>
      <c r="H1644" s="9" t="str">
        <f>INDEX(Products!$B$2:$B$37, MATCH(D1644, Products!$A$2:$A$37, 0))</f>
        <v>Gaming Headset X</v>
      </c>
      <c r="I1644" t="str">
        <f>INDEX(Products!$C$2:$C$37, MATCH(D1644, Products!$A$2:$A$37, 0))</f>
        <v>Electronics</v>
      </c>
      <c r="J1644">
        <f>INDEX(Products!$E$2:$E$37, MATCH(D1644, Products!$A$2:$A$37, 0))</f>
        <v>300</v>
      </c>
      <c r="K1644" s="9">
        <f t="shared" si="100"/>
        <v>918</v>
      </c>
      <c r="L1644">
        <f t="shared" si="101"/>
        <v>600</v>
      </c>
      <c r="M1644" s="9">
        <f t="shared" si="102"/>
        <v>318</v>
      </c>
      <c r="N1644" t="str">
        <f t="shared" si="103"/>
        <v>May</v>
      </c>
    </row>
    <row r="1645" spans="1:14" x14ac:dyDescent="0.3">
      <c r="A1645" s="2" t="s">
        <v>1711</v>
      </c>
      <c r="B1645" s="6">
        <v>45797</v>
      </c>
      <c r="C1645" s="2" t="s">
        <v>28</v>
      </c>
      <c r="D1645" s="2" t="s">
        <v>39</v>
      </c>
      <c r="E1645" s="2">
        <v>3</v>
      </c>
      <c r="F1645" s="7">
        <v>199</v>
      </c>
      <c r="G1645" s="8">
        <v>0.15</v>
      </c>
      <c r="H1645" s="9" t="str">
        <f>INDEX(Products!$B$2:$B$37, MATCH(D1645, Products!$A$2:$A$37, 0))</f>
        <v>Bakhoor Gift Set</v>
      </c>
      <c r="I1645" t="str">
        <f>INDEX(Products!$C$2:$C$37, MATCH(D1645, Products!$A$2:$A$37, 0))</f>
        <v>Beauty</v>
      </c>
      <c r="J1645">
        <f>INDEX(Products!$E$2:$E$37, MATCH(D1645, Products!$A$2:$A$37, 0))</f>
        <v>90</v>
      </c>
      <c r="K1645" s="9">
        <f t="shared" si="100"/>
        <v>507.45</v>
      </c>
      <c r="L1645">
        <f t="shared" si="101"/>
        <v>270</v>
      </c>
      <c r="M1645" s="9">
        <f t="shared" si="102"/>
        <v>237.45</v>
      </c>
      <c r="N1645" t="str">
        <f t="shared" si="103"/>
        <v>May</v>
      </c>
    </row>
    <row r="1646" spans="1:14" x14ac:dyDescent="0.3">
      <c r="A1646" s="2" t="s">
        <v>1712</v>
      </c>
      <c r="B1646" s="6">
        <v>45797</v>
      </c>
      <c r="C1646" s="2" t="s">
        <v>44</v>
      </c>
      <c r="D1646" s="2" t="s">
        <v>92</v>
      </c>
      <c r="E1646" s="2">
        <v>2</v>
      </c>
      <c r="F1646" s="7">
        <v>349</v>
      </c>
      <c r="G1646" s="8">
        <v>0</v>
      </c>
      <c r="H1646" s="9" t="str">
        <f>INDEX(Products!$B$2:$B$37, MATCH(D1646, Products!$A$2:$A$37, 0))</f>
        <v>Non-stick Cookware Set</v>
      </c>
      <c r="I1646" t="str">
        <f>INDEX(Products!$C$2:$C$37, MATCH(D1646, Products!$A$2:$A$37, 0))</f>
        <v>Home &amp; Kitchen</v>
      </c>
      <c r="J1646">
        <f>INDEX(Products!$E$2:$E$37, MATCH(D1646, Products!$A$2:$A$37, 0))</f>
        <v>170</v>
      </c>
      <c r="K1646" s="9">
        <f t="shared" si="100"/>
        <v>698</v>
      </c>
      <c r="L1646">
        <f t="shared" si="101"/>
        <v>340</v>
      </c>
      <c r="M1646" s="9">
        <f t="shared" si="102"/>
        <v>358</v>
      </c>
      <c r="N1646" t="str">
        <f t="shared" si="103"/>
        <v>May</v>
      </c>
    </row>
    <row r="1647" spans="1:14" x14ac:dyDescent="0.3">
      <c r="A1647" s="2" t="s">
        <v>1713</v>
      </c>
      <c r="B1647" s="6">
        <v>45797</v>
      </c>
      <c r="C1647" s="2" t="s">
        <v>31</v>
      </c>
      <c r="D1647" s="2" t="s">
        <v>46</v>
      </c>
      <c r="E1647" s="2">
        <v>1</v>
      </c>
      <c r="F1647" s="7">
        <v>189</v>
      </c>
      <c r="G1647" s="8">
        <v>0</v>
      </c>
      <c r="H1647" s="9" t="str">
        <f>INDEX(Products!$B$2:$B$37, MATCH(D1647, Products!$A$2:$A$37, 0))</f>
        <v>Makeup Palette</v>
      </c>
      <c r="I1647" t="str">
        <f>INDEX(Products!$C$2:$C$37, MATCH(D1647, Products!$A$2:$A$37, 0))</f>
        <v>Beauty</v>
      </c>
      <c r="J1647">
        <f>INDEX(Products!$E$2:$E$37, MATCH(D1647, Products!$A$2:$A$37, 0))</f>
        <v>85</v>
      </c>
      <c r="K1647" s="9">
        <f t="shared" si="100"/>
        <v>189</v>
      </c>
      <c r="L1647">
        <f t="shared" si="101"/>
        <v>85</v>
      </c>
      <c r="M1647" s="9">
        <f t="shared" si="102"/>
        <v>104</v>
      </c>
      <c r="N1647" t="str">
        <f t="shared" si="103"/>
        <v>May</v>
      </c>
    </row>
    <row r="1648" spans="1:14" x14ac:dyDescent="0.3">
      <c r="A1648" s="2" t="s">
        <v>1714</v>
      </c>
      <c r="B1648" s="6">
        <v>45797</v>
      </c>
      <c r="C1648" s="2" t="s">
        <v>48</v>
      </c>
      <c r="D1648" s="2" t="s">
        <v>37</v>
      </c>
      <c r="E1648" s="2">
        <v>2</v>
      </c>
      <c r="F1648" s="7">
        <v>249</v>
      </c>
      <c r="G1648" s="8">
        <v>0</v>
      </c>
      <c r="H1648" s="9" t="str">
        <f>INDEX(Products!$B$2:$B$37, MATCH(D1648, Products!$A$2:$A$37, 0))</f>
        <v>Sunglasses Polarised</v>
      </c>
      <c r="I1648" t="str">
        <f>INDEX(Products!$C$2:$C$37, MATCH(D1648, Products!$A$2:$A$37, 0))</f>
        <v>Fashion</v>
      </c>
      <c r="J1648">
        <f>INDEX(Products!$E$2:$E$37, MATCH(D1648, Products!$A$2:$A$37, 0))</f>
        <v>95</v>
      </c>
      <c r="K1648" s="9">
        <f t="shared" si="100"/>
        <v>498</v>
      </c>
      <c r="L1648">
        <f t="shared" si="101"/>
        <v>190</v>
      </c>
      <c r="M1648" s="9">
        <f t="shared" si="102"/>
        <v>308</v>
      </c>
      <c r="N1648" t="str">
        <f t="shared" si="103"/>
        <v>May</v>
      </c>
    </row>
    <row r="1649" spans="1:14" x14ac:dyDescent="0.3">
      <c r="A1649" s="2" t="s">
        <v>1715</v>
      </c>
      <c r="B1649" s="6">
        <v>45797</v>
      </c>
      <c r="C1649" s="2" t="s">
        <v>44</v>
      </c>
      <c r="D1649" s="2" t="s">
        <v>39</v>
      </c>
      <c r="E1649" s="2">
        <v>1</v>
      </c>
      <c r="F1649" s="7">
        <v>199</v>
      </c>
      <c r="G1649" s="8">
        <v>0</v>
      </c>
      <c r="H1649" s="9" t="str">
        <f>INDEX(Products!$B$2:$B$37, MATCH(D1649, Products!$A$2:$A$37, 0))</f>
        <v>Bakhoor Gift Set</v>
      </c>
      <c r="I1649" t="str">
        <f>INDEX(Products!$C$2:$C$37, MATCH(D1649, Products!$A$2:$A$37, 0))</f>
        <v>Beauty</v>
      </c>
      <c r="J1649">
        <f>INDEX(Products!$E$2:$E$37, MATCH(D1649, Products!$A$2:$A$37, 0))</f>
        <v>90</v>
      </c>
      <c r="K1649" s="9">
        <f t="shared" si="100"/>
        <v>199</v>
      </c>
      <c r="L1649">
        <f t="shared" si="101"/>
        <v>90</v>
      </c>
      <c r="M1649" s="9">
        <f t="shared" si="102"/>
        <v>109</v>
      </c>
      <c r="N1649" t="str">
        <f t="shared" si="103"/>
        <v>May</v>
      </c>
    </row>
    <row r="1650" spans="1:14" x14ac:dyDescent="0.3">
      <c r="A1650" s="2" t="s">
        <v>1716</v>
      </c>
      <c r="B1650" s="6">
        <v>45797</v>
      </c>
      <c r="C1650" s="2" t="s">
        <v>41</v>
      </c>
      <c r="D1650" s="2" t="s">
        <v>33</v>
      </c>
      <c r="E1650" s="2">
        <v>1</v>
      </c>
      <c r="F1650" s="7">
        <v>199</v>
      </c>
      <c r="G1650" s="8">
        <v>0.25</v>
      </c>
      <c r="H1650" s="9" t="str">
        <f>INDEX(Products!$B$2:$B$37, MATCH(D1650, Products!$A$2:$A$37, 0))</f>
        <v>Fitness Band Lite</v>
      </c>
      <c r="I1650" t="str">
        <f>INDEX(Products!$C$2:$C$37, MATCH(D1650, Products!$A$2:$A$37, 0))</f>
        <v>Electronics</v>
      </c>
      <c r="J1650">
        <f>INDEX(Products!$E$2:$E$37, MATCH(D1650, Products!$A$2:$A$37, 0))</f>
        <v>175</v>
      </c>
      <c r="K1650" s="9">
        <f t="shared" si="100"/>
        <v>149.25</v>
      </c>
      <c r="L1650">
        <f t="shared" si="101"/>
        <v>175</v>
      </c>
      <c r="M1650" s="9">
        <f t="shared" si="102"/>
        <v>-25.75</v>
      </c>
      <c r="N1650" t="str">
        <f t="shared" si="103"/>
        <v>May</v>
      </c>
    </row>
    <row r="1651" spans="1:14" x14ac:dyDescent="0.3">
      <c r="A1651" s="2" t="s">
        <v>1717</v>
      </c>
      <c r="B1651" s="6">
        <v>45797</v>
      </c>
      <c r="C1651" s="2" t="s">
        <v>28</v>
      </c>
      <c r="D1651" s="2" t="s">
        <v>126</v>
      </c>
      <c r="E1651" s="2">
        <v>1</v>
      </c>
      <c r="F1651" s="7">
        <v>89</v>
      </c>
      <c r="G1651" s="8">
        <v>0.1</v>
      </c>
      <c r="H1651" s="9" t="str">
        <f>INDEX(Products!$B$2:$B$37, MATCH(D1651, Products!$A$2:$A$37, 0))</f>
        <v>USB-C Fast Charger</v>
      </c>
      <c r="I1651" t="str">
        <f>INDEX(Products!$C$2:$C$37, MATCH(D1651, Products!$A$2:$A$37, 0))</f>
        <v>Electronics</v>
      </c>
      <c r="J1651">
        <f>INDEX(Products!$E$2:$E$37, MATCH(D1651, Products!$A$2:$A$37, 0))</f>
        <v>35</v>
      </c>
      <c r="K1651" s="9">
        <f t="shared" si="100"/>
        <v>80.100000000000009</v>
      </c>
      <c r="L1651">
        <f t="shared" si="101"/>
        <v>35</v>
      </c>
      <c r="M1651" s="9">
        <f t="shared" si="102"/>
        <v>45.100000000000009</v>
      </c>
      <c r="N1651" t="str">
        <f t="shared" si="103"/>
        <v>May</v>
      </c>
    </row>
    <row r="1652" spans="1:14" x14ac:dyDescent="0.3">
      <c r="A1652" s="2" t="s">
        <v>1718</v>
      </c>
      <c r="B1652" s="6">
        <v>45797</v>
      </c>
      <c r="C1652" s="2" t="s">
        <v>44</v>
      </c>
      <c r="D1652" s="2" t="s">
        <v>99</v>
      </c>
      <c r="E1652" s="2">
        <v>1</v>
      </c>
      <c r="F1652" s="7">
        <v>459</v>
      </c>
      <c r="G1652" s="8">
        <v>0.05</v>
      </c>
      <c r="H1652" s="9" t="str">
        <f>INDEX(Products!$B$2:$B$37, MATCH(D1652, Products!$A$2:$A$37, 0))</f>
        <v>Gaming Headset X</v>
      </c>
      <c r="I1652" t="str">
        <f>INDEX(Products!$C$2:$C$37, MATCH(D1652, Products!$A$2:$A$37, 0))</f>
        <v>Electronics</v>
      </c>
      <c r="J1652">
        <f>INDEX(Products!$E$2:$E$37, MATCH(D1652, Products!$A$2:$A$37, 0))</f>
        <v>300</v>
      </c>
      <c r="K1652" s="9">
        <f t="shared" si="100"/>
        <v>436.04999999999995</v>
      </c>
      <c r="L1652">
        <f t="shared" si="101"/>
        <v>300</v>
      </c>
      <c r="M1652" s="9">
        <f t="shared" si="102"/>
        <v>136.04999999999995</v>
      </c>
      <c r="N1652" t="str">
        <f t="shared" si="103"/>
        <v>May</v>
      </c>
    </row>
    <row r="1653" spans="1:14" x14ac:dyDescent="0.3">
      <c r="A1653" s="2" t="s">
        <v>1719</v>
      </c>
      <c r="B1653" s="6">
        <v>45797</v>
      </c>
      <c r="C1653" s="2" t="s">
        <v>41</v>
      </c>
      <c r="D1653" s="2" t="s">
        <v>115</v>
      </c>
      <c r="E1653" s="2">
        <v>4</v>
      </c>
      <c r="F1653" s="7">
        <v>129</v>
      </c>
      <c r="G1653" s="8">
        <v>0.15</v>
      </c>
      <c r="H1653" s="9" t="str">
        <f>INDEX(Products!$B$2:$B$37, MATCH(D1653, Products!$A$2:$A$37, 0))</f>
        <v>Electric Kettle</v>
      </c>
      <c r="I1653" t="str">
        <f>INDEX(Products!$C$2:$C$37, MATCH(D1653, Products!$A$2:$A$37, 0))</f>
        <v>Home &amp; Kitchen</v>
      </c>
      <c r="J1653">
        <f>INDEX(Products!$E$2:$E$37, MATCH(D1653, Products!$A$2:$A$37, 0))</f>
        <v>60</v>
      </c>
      <c r="K1653" s="9">
        <f t="shared" si="100"/>
        <v>438.59999999999997</v>
      </c>
      <c r="L1653">
        <f t="shared" si="101"/>
        <v>240</v>
      </c>
      <c r="M1653" s="9">
        <f t="shared" si="102"/>
        <v>198.59999999999997</v>
      </c>
      <c r="N1653" t="str">
        <f t="shared" si="103"/>
        <v>May</v>
      </c>
    </row>
    <row r="1654" spans="1:14" x14ac:dyDescent="0.3">
      <c r="A1654" s="2" t="s">
        <v>1720</v>
      </c>
      <c r="B1654" s="6">
        <v>45797</v>
      </c>
      <c r="C1654" s="2" t="s">
        <v>41</v>
      </c>
      <c r="D1654" s="2" t="s">
        <v>87</v>
      </c>
      <c r="E1654" s="2">
        <v>1</v>
      </c>
      <c r="F1654" s="7">
        <v>799</v>
      </c>
      <c r="G1654" s="8">
        <v>0.15</v>
      </c>
      <c r="H1654" s="9" t="str">
        <f>INDEX(Products!$B$2:$B$37, MATCH(D1654, Products!$A$2:$A$37, 0))</f>
        <v>Adjustable Dumbbells</v>
      </c>
      <c r="I1654" t="str">
        <f>INDEX(Products!$C$2:$C$37, MATCH(D1654, Products!$A$2:$A$37, 0))</f>
        <v>Sports</v>
      </c>
      <c r="J1654">
        <f>INDEX(Products!$E$2:$E$37, MATCH(D1654, Products!$A$2:$A$37, 0))</f>
        <v>700</v>
      </c>
      <c r="K1654" s="9">
        <f t="shared" si="100"/>
        <v>679.15</v>
      </c>
      <c r="L1654">
        <f t="shared" si="101"/>
        <v>700</v>
      </c>
      <c r="M1654" s="9">
        <f t="shared" si="102"/>
        <v>-20.850000000000023</v>
      </c>
      <c r="N1654" t="str">
        <f t="shared" si="103"/>
        <v>May</v>
      </c>
    </row>
    <row r="1655" spans="1:14" x14ac:dyDescent="0.3">
      <c r="A1655" s="2" t="s">
        <v>1721</v>
      </c>
      <c r="B1655" s="6">
        <v>45797</v>
      </c>
      <c r="C1655" s="2" t="s">
        <v>44</v>
      </c>
      <c r="D1655" s="2" t="s">
        <v>33</v>
      </c>
      <c r="E1655" s="2">
        <v>2</v>
      </c>
      <c r="F1655" s="7">
        <v>199</v>
      </c>
      <c r="G1655" s="8">
        <v>0.1</v>
      </c>
      <c r="H1655" s="9" t="str">
        <f>INDEX(Products!$B$2:$B$37, MATCH(D1655, Products!$A$2:$A$37, 0))</f>
        <v>Fitness Band Lite</v>
      </c>
      <c r="I1655" t="str">
        <f>INDEX(Products!$C$2:$C$37, MATCH(D1655, Products!$A$2:$A$37, 0))</f>
        <v>Electronics</v>
      </c>
      <c r="J1655">
        <f>INDEX(Products!$E$2:$E$37, MATCH(D1655, Products!$A$2:$A$37, 0))</f>
        <v>175</v>
      </c>
      <c r="K1655" s="9">
        <f t="shared" si="100"/>
        <v>358.2</v>
      </c>
      <c r="L1655">
        <f t="shared" si="101"/>
        <v>350</v>
      </c>
      <c r="M1655" s="9">
        <f t="shared" si="102"/>
        <v>8.1999999999999886</v>
      </c>
      <c r="N1655" t="str">
        <f t="shared" si="103"/>
        <v>May</v>
      </c>
    </row>
    <row r="1656" spans="1:14" x14ac:dyDescent="0.3">
      <c r="A1656" s="2" t="s">
        <v>1722</v>
      </c>
      <c r="B1656" s="6">
        <v>45797</v>
      </c>
      <c r="C1656" s="2" t="s">
        <v>31</v>
      </c>
      <c r="D1656" s="2" t="s">
        <v>33</v>
      </c>
      <c r="E1656" s="2">
        <v>1</v>
      </c>
      <c r="F1656" s="7">
        <v>199</v>
      </c>
      <c r="G1656" s="8">
        <v>0.1</v>
      </c>
      <c r="H1656" s="9" t="str">
        <f>INDEX(Products!$B$2:$B$37, MATCH(D1656, Products!$A$2:$A$37, 0))</f>
        <v>Fitness Band Lite</v>
      </c>
      <c r="I1656" t="str">
        <f>INDEX(Products!$C$2:$C$37, MATCH(D1656, Products!$A$2:$A$37, 0))</f>
        <v>Electronics</v>
      </c>
      <c r="J1656">
        <f>INDEX(Products!$E$2:$E$37, MATCH(D1656, Products!$A$2:$A$37, 0))</f>
        <v>175</v>
      </c>
      <c r="K1656" s="9">
        <f t="shared" si="100"/>
        <v>179.1</v>
      </c>
      <c r="L1656">
        <f t="shared" si="101"/>
        <v>175</v>
      </c>
      <c r="M1656" s="9">
        <f t="shared" si="102"/>
        <v>4.0999999999999943</v>
      </c>
      <c r="N1656" t="str">
        <f t="shared" si="103"/>
        <v>May</v>
      </c>
    </row>
    <row r="1657" spans="1:14" x14ac:dyDescent="0.3">
      <c r="A1657" s="2" t="s">
        <v>1723</v>
      </c>
      <c r="B1657" s="6">
        <v>45797</v>
      </c>
      <c r="C1657" s="2" t="s">
        <v>28</v>
      </c>
      <c r="D1657" s="2" t="s">
        <v>33</v>
      </c>
      <c r="E1657" s="2">
        <v>1</v>
      </c>
      <c r="F1657" s="7">
        <v>199</v>
      </c>
      <c r="G1657" s="8">
        <v>0.25</v>
      </c>
      <c r="H1657" s="9" t="str">
        <f>INDEX(Products!$B$2:$B$37, MATCH(D1657, Products!$A$2:$A$37, 0))</f>
        <v>Fitness Band Lite</v>
      </c>
      <c r="I1657" t="str">
        <f>INDEX(Products!$C$2:$C$37, MATCH(D1657, Products!$A$2:$A$37, 0))</f>
        <v>Electronics</v>
      </c>
      <c r="J1657">
        <f>INDEX(Products!$E$2:$E$37, MATCH(D1657, Products!$A$2:$A$37, 0))</f>
        <v>175</v>
      </c>
      <c r="K1657" s="9">
        <f t="shared" si="100"/>
        <v>149.25</v>
      </c>
      <c r="L1657">
        <f t="shared" si="101"/>
        <v>175</v>
      </c>
      <c r="M1657" s="9">
        <f t="shared" si="102"/>
        <v>-25.75</v>
      </c>
      <c r="N1657" t="str">
        <f t="shared" si="103"/>
        <v>May</v>
      </c>
    </row>
    <row r="1658" spans="1:14" x14ac:dyDescent="0.3">
      <c r="A1658" s="2" t="s">
        <v>1724</v>
      </c>
      <c r="B1658" s="6">
        <v>45798</v>
      </c>
      <c r="C1658" s="2" t="s">
        <v>48</v>
      </c>
      <c r="D1658" s="2" t="s">
        <v>37</v>
      </c>
      <c r="E1658" s="2">
        <v>2</v>
      </c>
      <c r="F1658" s="7">
        <v>249</v>
      </c>
      <c r="G1658" s="8">
        <v>0.05</v>
      </c>
      <c r="H1658" s="9" t="str">
        <f>INDEX(Products!$B$2:$B$37, MATCH(D1658, Products!$A$2:$A$37, 0))</f>
        <v>Sunglasses Polarised</v>
      </c>
      <c r="I1658" t="str">
        <f>INDEX(Products!$C$2:$C$37, MATCH(D1658, Products!$A$2:$A$37, 0))</f>
        <v>Fashion</v>
      </c>
      <c r="J1658">
        <f>INDEX(Products!$E$2:$E$37, MATCH(D1658, Products!$A$2:$A$37, 0))</f>
        <v>95</v>
      </c>
      <c r="K1658" s="9">
        <f t="shared" si="100"/>
        <v>473.09999999999997</v>
      </c>
      <c r="L1658">
        <f t="shared" si="101"/>
        <v>190</v>
      </c>
      <c r="M1658" s="9">
        <f t="shared" si="102"/>
        <v>283.09999999999997</v>
      </c>
      <c r="N1658" t="str">
        <f t="shared" si="103"/>
        <v>May</v>
      </c>
    </row>
    <row r="1659" spans="1:14" x14ac:dyDescent="0.3">
      <c r="A1659" s="2" t="s">
        <v>1725</v>
      </c>
      <c r="B1659" s="6">
        <v>45798</v>
      </c>
      <c r="C1659" s="2" t="s">
        <v>44</v>
      </c>
      <c r="D1659" s="2" t="s">
        <v>58</v>
      </c>
      <c r="E1659" s="2">
        <v>1</v>
      </c>
      <c r="F1659" s="7">
        <v>459</v>
      </c>
      <c r="G1659" s="8">
        <v>0</v>
      </c>
      <c r="H1659" s="9" t="str">
        <f>INDEX(Products!$B$2:$B$37, MATCH(D1659, Products!$A$2:$A$37, 0))</f>
        <v>Women's Abaya Classic</v>
      </c>
      <c r="I1659" t="str">
        <f>INDEX(Products!$C$2:$C$37, MATCH(D1659, Products!$A$2:$A$37, 0))</f>
        <v>Fashion</v>
      </c>
      <c r="J1659">
        <f>INDEX(Products!$E$2:$E$37, MATCH(D1659, Products!$A$2:$A$37, 0))</f>
        <v>190</v>
      </c>
      <c r="K1659" s="9">
        <f t="shared" si="100"/>
        <v>459</v>
      </c>
      <c r="L1659">
        <f t="shared" si="101"/>
        <v>190</v>
      </c>
      <c r="M1659" s="9">
        <f t="shared" si="102"/>
        <v>269</v>
      </c>
      <c r="N1659" t="str">
        <f t="shared" si="103"/>
        <v>May</v>
      </c>
    </row>
    <row r="1660" spans="1:14" x14ac:dyDescent="0.3">
      <c r="A1660" s="2" t="s">
        <v>1726</v>
      </c>
      <c r="B1660" s="6">
        <v>45798</v>
      </c>
      <c r="C1660" s="2" t="s">
        <v>41</v>
      </c>
      <c r="D1660" s="2" t="s">
        <v>35</v>
      </c>
      <c r="E1660" s="2">
        <v>4</v>
      </c>
      <c r="F1660" s="7">
        <v>179</v>
      </c>
      <c r="G1660" s="8">
        <v>0.15</v>
      </c>
      <c r="H1660" s="9" t="str">
        <f>INDEX(Products!$B$2:$B$37, MATCH(D1660, Products!$A$2:$A$37, 0))</f>
        <v>Men's Linen Shirt</v>
      </c>
      <c r="I1660" t="str">
        <f>INDEX(Products!$C$2:$C$37, MATCH(D1660, Products!$A$2:$A$37, 0))</f>
        <v>Fashion</v>
      </c>
      <c r="J1660">
        <f>INDEX(Products!$E$2:$E$37, MATCH(D1660, Products!$A$2:$A$37, 0))</f>
        <v>70</v>
      </c>
      <c r="K1660" s="9">
        <f t="shared" si="100"/>
        <v>608.6</v>
      </c>
      <c r="L1660">
        <f t="shared" si="101"/>
        <v>280</v>
      </c>
      <c r="M1660" s="9">
        <f t="shared" si="102"/>
        <v>328.6</v>
      </c>
      <c r="N1660" t="str">
        <f t="shared" si="103"/>
        <v>May</v>
      </c>
    </row>
    <row r="1661" spans="1:14" x14ac:dyDescent="0.3">
      <c r="A1661" s="2" t="s">
        <v>1727</v>
      </c>
      <c r="B1661" s="6">
        <v>45798</v>
      </c>
      <c r="C1661" s="2" t="s">
        <v>44</v>
      </c>
      <c r="D1661" s="2" t="s">
        <v>58</v>
      </c>
      <c r="E1661" s="2">
        <v>1</v>
      </c>
      <c r="F1661" s="7">
        <v>459</v>
      </c>
      <c r="G1661" s="8">
        <v>0</v>
      </c>
      <c r="H1661" s="9" t="str">
        <f>INDEX(Products!$B$2:$B$37, MATCH(D1661, Products!$A$2:$A$37, 0))</f>
        <v>Women's Abaya Classic</v>
      </c>
      <c r="I1661" t="str">
        <f>INDEX(Products!$C$2:$C$37, MATCH(D1661, Products!$A$2:$A$37, 0))</f>
        <v>Fashion</v>
      </c>
      <c r="J1661">
        <f>INDEX(Products!$E$2:$E$37, MATCH(D1661, Products!$A$2:$A$37, 0))</f>
        <v>190</v>
      </c>
      <c r="K1661" s="9">
        <f t="shared" si="100"/>
        <v>459</v>
      </c>
      <c r="L1661">
        <f t="shared" si="101"/>
        <v>190</v>
      </c>
      <c r="M1661" s="9">
        <f t="shared" si="102"/>
        <v>269</v>
      </c>
      <c r="N1661" t="str">
        <f t="shared" si="103"/>
        <v>May</v>
      </c>
    </row>
    <row r="1662" spans="1:14" x14ac:dyDescent="0.3">
      <c r="A1662" s="2" t="s">
        <v>1728</v>
      </c>
      <c r="B1662" s="6">
        <v>45798</v>
      </c>
      <c r="C1662" s="2" t="s">
        <v>41</v>
      </c>
      <c r="D1662" s="2" t="s">
        <v>113</v>
      </c>
      <c r="E1662" s="2">
        <v>1</v>
      </c>
      <c r="F1662" s="7">
        <v>1199</v>
      </c>
      <c r="G1662" s="8">
        <v>0.2</v>
      </c>
      <c r="H1662" s="9" t="str">
        <f>INDEX(Products!$B$2:$B$37, MATCH(D1662, Products!$A$2:$A$37, 0))</f>
        <v>Robot Vacuum S3</v>
      </c>
      <c r="I1662" t="str">
        <f>INDEX(Products!$C$2:$C$37, MATCH(D1662, Products!$A$2:$A$37, 0))</f>
        <v>Home &amp; Kitchen</v>
      </c>
      <c r="J1662">
        <f>INDEX(Products!$E$2:$E$37, MATCH(D1662, Products!$A$2:$A$37, 0))</f>
        <v>1080</v>
      </c>
      <c r="K1662" s="9">
        <f t="shared" si="100"/>
        <v>959.2</v>
      </c>
      <c r="L1662">
        <f t="shared" si="101"/>
        <v>1080</v>
      </c>
      <c r="M1662" s="9">
        <f t="shared" si="102"/>
        <v>-120.79999999999995</v>
      </c>
      <c r="N1662" t="str">
        <f t="shared" si="103"/>
        <v>May</v>
      </c>
    </row>
    <row r="1663" spans="1:14" x14ac:dyDescent="0.3">
      <c r="A1663" s="2" t="s">
        <v>1729</v>
      </c>
      <c r="B1663" s="6">
        <v>45798</v>
      </c>
      <c r="C1663" s="2" t="s">
        <v>44</v>
      </c>
      <c r="D1663" s="2" t="s">
        <v>75</v>
      </c>
      <c r="E1663" s="2">
        <v>1</v>
      </c>
      <c r="F1663" s="7">
        <v>549</v>
      </c>
      <c r="G1663" s="8">
        <v>0.1</v>
      </c>
      <c r="H1663" s="9" t="str">
        <f>INDEX(Products!$B$2:$B$37, MATCH(D1663, Products!$A$2:$A$37, 0))</f>
        <v>Oud Perfume 100ml</v>
      </c>
      <c r="I1663" t="str">
        <f>INDEX(Products!$C$2:$C$37, MATCH(D1663, Products!$A$2:$A$37, 0))</f>
        <v>Beauty</v>
      </c>
      <c r="J1663">
        <f>INDEX(Products!$E$2:$E$37, MATCH(D1663, Products!$A$2:$A$37, 0))</f>
        <v>250</v>
      </c>
      <c r="K1663" s="9">
        <f t="shared" si="100"/>
        <v>494.1</v>
      </c>
      <c r="L1663">
        <f t="shared" si="101"/>
        <v>250</v>
      </c>
      <c r="M1663" s="9">
        <f t="shared" si="102"/>
        <v>244.10000000000002</v>
      </c>
      <c r="N1663" t="str">
        <f t="shared" si="103"/>
        <v>May</v>
      </c>
    </row>
    <row r="1664" spans="1:14" x14ac:dyDescent="0.3">
      <c r="A1664" s="2" t="s">
        <v>1730</v>
      </c>
      <c r="B1664" s="6">
        <v>45798</v>
      </c>
      <c r="C1664" s="2" t="s">
        <v>44</v>
      </c>
      <c r="D1664" s="2" t="s">
        <v>56</v>
      </c>
      <c r="E1664" s="2">
        <v>1</v>
      </c>
      <c r="F1664" s="7">
        <v>289</v>
      </c>
      <c r="G1664" s="8">
        <v>0.1</v>
      </c>
      <c r="H1664" s="9" t="str">
        <f>INDEX(Products!$B$2:$B$37, MATCH(D1664, Products!$A$2:$A$37, 0))</f>
        <v>Ceramic Dinner Set</v>
      </c>
      <c r="I1664" t="str">
        <f>INDEX(Products!$C$2:$C$37, MATCH(D1664, Products!$A$2:$A$37, 0))</f>
        <v>Home &amp; Kitchen</v>
      </c>
      <c r="J1664">
        <f>INDEX(Products!$E$2:$E$37, MATCH(D1664, Products!$A$2:$A$37, 0))</f>
        <v>140</v>
      </c>
      <c r="K1664" s="9">
        <f t="shared" si="100"/>
        <v>260.10000000000002</v>
      </c>
      <c r="L1664">
        <f t="shared" si="101"/>
        <v>140</v>
      </c>
      <c r="M1664" s="9">
        <f t="shared" si="102"/>
        <v>120.10000000000002</v>
      </c>
      <c r="N1664" t="str">
        <f t="shared" si="103"/>
        <v>May</v>
      </c>
    </row>
    <row r="1665" spans="1:14" x14ac:dyDescent="0.3">
      <c r="A1665" s="2" t="s">
        <v>1731</v>
      </c>
      <c r="B1665" s="6">
        <v>45798</v>
      </c>
      <c r="C1665" s="2" t="s">
        <v>31</v>
      </c>
      <c r="D1665" s="2" t="s">
        <v>115</v>
      </c>
      <c r="E1665" s="2">
        <v>1</v>
      </c>
      <c r="F1665" s="7">
        <v>129</v>
      </c>
      <c r="G1665" s="8">
        <v>0.1</v>
      </c>
      <c r="H1665" s="9" t="str">
        <f>INDEX(Products!$B$2:$B$37, MATCH(D1665, Products!$A$2:$A$37, 0))</f>
        <v>Electric Kettle</v>
      </c>
      <c r="I1665" t="str">
        <f>INDEX(Products!$C$2:$C$37, MATCH(D1665, Products!$A$2:$A$37, 0))</f>
        <v>Home &amp; Kitchen</v>
      </c>
      <c r="J1665">
        <f>INDEX(Products!$E$2:$E$37, MATCH(D1665, Products!$A$2:$A$37, 0))</f>
        <v>60</v>
      </c>
      <c r="K1665" s="9">
        <f t="shared" si="100"/>
        <v>116.10000000000001</v>
      </c>
      <c r="L1665">
        <f t="shared" si="101"/>
        <v>60</v>
      </c>
      <c r="M1665" s="9">
        <f t="shared" si="102"/>
        <v>56.100000000000009</v>
      </c>
      <c r="N1665" t="str">
        <f t="shared" si="103"/>
        <v>May</v>
      </c>
    </row>
    <row r="1666" spans="1:14" x14ac:dyDescent="0.3">
      <c r="A1666" s="2" t="s">
        <v>1732</v>
      </c>
      <c r="B1666" s="6">
        <v>45798</v>
      </c>
      <c r="C1666" s="2" t="s">
        <v>44</v>
      </c>
      <c r="D1666" s="2" t="s">
        <v>103</v>
      </c>
      <c r="E1666" s="2">
        <v>1</v>
      </c>
      <c r="F1666" s="7">
        <v>89</v>
      </c>
      <c r="G1666" s="8">
        <v>0</v>
      </c>
      <c r="H1666" s="9" t="str">
        <f>INDEX(Products!$B$2:$B$37, MATCH(D1666, Products!$A$2:$A$37, 0))</f>
        <v>Sunscreen SPF50</v>
      </c>
      <c r="I1666" t="str">
        <f>INDEX(Products!$C$2:$C$37, MATCH(D1666, Products!$A$2:$A$37, 0))</f>
        <v>Beauty</v>
      </c>
      <c r="J1666">
        <f>INDEX(Products!$E$2:$E$37, MATCH(D1666, Products!$A$2:$A$37, 0))</f>
        <v>40</v>
      </c>
      <c r="K1666" s="9">
        <f t="shared" ref="K1666:K1729" si="104">E1666*F1666*(1-G1666)</f>
        <v>89</v>
      </c>
      <c r="L1666">
        <f t="shared" ref="L1666:L1729" si="105">E1666*J1666</f>
        <v>40</v>
      </c>
      <c r="M1666" s="9">
        <f t="shared" ref="M1666:M1729" si="106">K1666-L1666</f>
        <v>49</v>
      </c>
      <c r="N1666" t="str">
        <f t="shared" ref="N1666:N1729" si="107">TEXT(B1666,"mmm")</f>
        <v>May</v>
      </c>
    </row>
    <row r="1667" spans="1:14" x14ac:dyDescent="0.3">
      <c r="A1667" s="2" t="s">
        <v>1733</v>
      </c>
      <c r="B1667" s="6">
        <v>45798</v>
      </c>
      <c r="C1667" s="2" t="s">
        <v>28</v>
      </c>
      <c r="D1667" s="2" t="s">
        <v>29</v>
      </c>
      <c r="E1667" s="2">
        <v>1</v>
      </c>
      <c r="F1667" s="7">
        <v>229</v>
      </c>
      <c r="G1667" s="8">
        <v>0.3</v>
      </c>
      <c r="H1667" s="9" t="str">
        <f>INDEX(Products!$B$2:$B$37, MATCH(D1667, Products!$A$2:$A$37, 0))</f>
        <v>Women's Summer Dress</v>
      </c>
      <c r="I1667" t="str">
        <f>INDEX(Products!$C$2:$C$37, MATCH(D1667, Products!$A$2:$A$37, 0))</f>
        <v>Fashion</v>
      </c>
      <c r="J1667">
        <f>INDEX(Products!$E$2:$E$37, MATCH(D1667, Products!$A$2:$A$37, 0))</f>
        <v>120</v>
      </c>
      <c r="K1667" s="9">
        <f t="shared" si="104"/>
        <v>160.29999999999998</v>
      </c>
      <c r="L1667">
        <f t="shared" si="105"/>
        <v>120</v>
      </c>
      <c r="M1667" s="9">
        <f t="shared" si="106"/>
        <v>40.299999999999983</v>
      </c>
      <c r="N1667" t="str">
        <f t="shared" si="107"/>
        <v>May</v>
      </c>
    </row>
    <row r="1668" spans="1:14" x14ac:dyDescent="0.3">
      <c r="A1668" s="2" t="s">
        <v>1734</v>
      </c>
      <c r="B1668" s="6">
        <v>45798</v>
      </c>
      <c r="C1668" s="2" t="s">
        <v>31</v>
      </c>
      <c r="D1668" s="2" t="s">
        <v>131</v>
      </c>
      <c r="E1668" s="2">
        <v>1</v>
      </c>
      <c r="F1668" s="7">
        <v>899</v>
      </c>
      <c r="G1668" s="8">
        <v>0.2</v>
      </c>
      <c r="H1668" s="9" t="str">
        <f>INDEX(Products!$B$2:$B$37, MATCH(D1668, Products!$A$2:$A$37, 0))</f>
        <v>4K Action Camera</v>
      </c>
      <c r="I1668" t="str">
        <f>INDEX(Products!$C$2:$C$37, MATCH(D1668, Products!$A$2:$A$37, 0))</f>
        <v>Electronics</v>
      </c>
      <c r="J1668">
        <f>INDEX(Products!$E$2:$E$37, MATCH(D1668, Products!$A$2:$A$37, 0))</f>
        <v>610</v>
      </c>
      <c r="K1668" s="9">
        <f t="shared" si="104"/>
        <v>719.2</v>
      </c>
      <c r="L1668">
        <f t="shared" si="105"/>
        <v>610</v>
      </c>
      <c r="M1668" s="9">
        <f t="shared" si="106"/>
        <v>109.20000000000005</v>
      </c>
      <c r="N1668" t="str">
        <f t="shared" si="107"/>
        <v>May</v>
      </c>
    </row>
    <row r="1669" spans="1:14" x14ac:dyDescent="0.3">
      <c r="A1669" s="2" t="s">
        <v>1735</v>
      </c>
      <c r="B1669" s="6">
        <v>45799</v>
      </c>
      <c r="C1669" s="2" t="s">
        <v>44</v>
      </c>
      <c r="D1669" s="2" t="s">
        <v>46</v>
      </c>
      <c r="E1669" s="2">
        <v>1</v>
      </c>
      <c r="F1669" s="7">
        <v>189</v>
      </c>
      <c r="G1669" s="8">
        <v>0.2</v>
      </c>
      <c r="H1669" s="9" t="str">
        <f>INDEX(Products!$B$2:$B$37, MATCH(D1669, Products!$A$2:$A$37, 0))</f>
        <v>Makeup Palette</v>
      </c>
      <c r="I1669" t="str">
        <f>INDEX(Products!$C$2:$C$37, MATCH(D1669, Products!$A$2:$A$37, 0))</f>
        <v>Beauty</v>
      </c>
      <c r="J1669">
        <f>INDEX(Products!$E$2:$E$37, MATCH(D1669, Products!$A$2:$A$37, 0))</f>
        <v>85</v>
      </c>
      <c r="K1669" s="9">
        <f t="shared" si="104"/>
        <v>151.20000000000002</v>
      </c>
      <c r="L1669">
        <f t="shared" si="105"/>
        <v>85</v>
      </c>
      <c r="M1669" s="9">
        <f t="shared" si="106"/>
        <v>66.200000000000017</v>
      </c>
      <c r="N1669" t="str">
        <f t="shared" si="107"/>
        <v>May</v>
      </c>
    </row>
    <row r="1670" spans="1:14" x14ac:dyDescent="0.3">
      <c r="A1670" s="2" t="s">
        <v>1736</v>
      </c>
      <c r="B1670" s="6">
        <v>45799</v>
      </c>
      <c r="C1670" s="2" t="s">
        <v>28</v>
      </c>
      <c r="D1670" s="2" t="s">
        <v>106</v>
      </c>
      <c r="E1670" s="2">
        <v>1</v>
      </c>
      <c r="F1670" s="7">
        <v>1299</v>
      </c>
      <c r="G1670" s="8">
        <v>0.3</v>
      </c>
      <c r="H1670" s="9" t="str">
        <f>INDEX(Products!$B$2:$B$37, MATCH(D1670, Products!$A$2:$A$37, 0))</f>
        <v>Smart Watch Series 5</v>
      </c>
      <c r="I1670" t="str">
        <f>INDEX(Products!$C$2:$C$37, MATCH(D1670, Products!$A$2:$A$37, 0))</f>
        <v>Electronics</v>
      </c>
      <c r="J1670">
        <f>INDEX(Products!$E$2:$E$37, MATCH(D1670, Products!$A$2:$A$37, 0))</f>
        <v>820</v>
      </c>
      <c r="K1670" s="9">
        <f t="shared" si="104"/>
        <v>909.3</v>
      </c>
      <c r="L1670">
        <f t="shared" si="105"/>
        <v>820</v>
      </c>
      <c r="M1670" s="9">
        <f t="shared" si="106"/>
        <v>89.299999999999955</v>
      </c>
      <c r="N1670" t="str">
        <f t="shared" si="107"/>
        <v>May</v>
      </c>
    </row>
    <row r="1671" spans="1:14" x14ac:dyDescent="0.3">
      <c r="A1671" s="2" t="s">
        <v>1737</v>
      </c>
      <c r="B1671" s="6">
        <v>45799</v>
      </c>
      <c r="C1671" s="2" t="s">
        <v>31</v>
      </c>
      <c r="D1671" s="2" t="s">
        <v>39</v>
      </c>
      <c r="E1671" s="2">
        <v>1</v>
      </c>
      <c r="F1671" s="7">
        <v>199</v>
      </c>
      <c r="G1671" s="8">
        <v>0</v>
      </c>
      <c r="H1671" s="9" t="str">
        <f>INDEX(Products!$B$2:$B$37, MATCH(D1671, Products!$A$2:$A$37, 0))</f>
        <v>Bakhoor Gift Set</v>
      </c>
      <c r="I1671" t="str">
        <f>INDEX(Products!$C$2:$C$37, MATCH(D1671, Products!$A$2:$A$37, 0))</f>
        <v>Beauty</v>
      </c>
      <c r="J1671">
        <f>INDEX(Products!$E$2:$E$37, MATCH(D1671, Products!$A$2:$A$37, 0))</f>
        <v>90</v>
      </c>
      <c r="K1671" s="9">
        <f t="shared" si="104"/>
        <v>199</v>
      </c>
      <c r="L1671">
        <f t="shared" si="105"/>
        <v>90</v>
      </c>
      <c r="M1671" s="9">
        <f t="shared" si="106"/>
        <v>109</v>
      </c>
      <c r="N1671" t="str">
        <f t="shared" si="107"/>
        <v>May</v>
      </c>
    </row>
    <row r="1672" spans="1:14" x14ac:dyDescent="0.3">
      <c r="A1672" s="2" t="s">
        <v>1738</v>
      </c>
      <c r="B1672" s="6">
        <v>45799</v>
      </c>
      <c r="C1672" s="2" t="s">
        <v>44</v>
      </c>
      <c r="D1672" s="2" t="s">
        <v>83</v>
      </c>
      <c r="E1672" s="2">
        <v>1</v>
      </c>
      <c r="F1672" s="7">
        <v>229</v>
      </c>
      <c r="G1672" s="8">
        <v>0</v>
      </c>
      <c r="H1672" s="9" t="str">
        <f>INDEX(Products!$B$2:$B$37, MATCH(D1672, Products!$A$2:$A$37, 0))</f>
        <v>Cycling Helmet</v>
      </c>
      <c r="I1672" t="str">
        <f>INDEX(Products!$C$2:$C$37, MATCH(D1672, Products!$A$2:$A$37, 0))</f>
        <v>Sports</v>
      </c>
      <c r="J1672">
        <f>INDEX(Products!$E$2:$E$37, MATCH(D1672, Products!$A$2:$A$37, 0))</f>
        <v>120</v>
      </c>
      <c r="K1672" s="9">
        <f t="shared" si="104"/>
        <v>229</v>
      </c>
      <c r="L1672">
        <f t="shared" si="105"/>
        <v>120</v>
      </c>
      <c r="M1672" s="9">
        <f t="shared" si="106"/>
        <v>109</v>
      </c>
      <c r="N1672" t="str">
        <f t="shared" si="107"/>
        <v>May</v>
      </c>
    </row>
    <row r="1673" spans="1:14" x14ac:dyDescent="0.3">
      <c r="A1673" s="2" t="s">
        <v>1739</v>
      </c>
      <c r="B1673" s="6">
        <v>45799</v>
      </c>
      <c r="C1673" s="2" t="s">
        <v>31</v>
      </c>
      <c r="D1673" s="2" t="s">
        <v>129</v>
      </c>
      <c r="E1673" s="2">
        <v>1</v>
      </c>
      <c r="F1673" s="7">
        <v>149</v>
      </c>
      <c r="G1673" s="8">
        <v>0.05</v>
      </c>
      <c r="H1673" s="9" t="str">
        <f>INDEX(Products!$B$2:$B$37, MATCH(D1673, Products!$A$2:$A$37, 0))</f>
        <v>Power Bank 20000mAh</v>
      </c>
      <c r="I1673" t="str">
        <f>INDEX(Products!$C$2:$C$37, MATCH(D1673, Products!$A$2:$A$37, 0))</f>
        <v>Electronics</v>
      </c>
      <c r="J1673">
        <f>INDEX(Products!$E$2:$E$37, MATCH(D1673, Products!$A$2:$A$37, 0))</f>
        <v>70</v>
      </c>
      <c r="K1673" s="9">
        <f t="shared" si="104"/>
        <v>141.54999999999998</v>
      </c>
      <c r="L1673">
        <f t="shared" si="105"/>
        <v>70</v>
      </c>
      <c r="M1673" s="9">
        <f t="shared" si="106"/>
        <v>71.549999999999983</v>
      </c>
      <c r="N1673" t="str">
        <f t="shared" si="107"/>
        <v>May</v>
      </c>
    </row>
    <row r="1674" spans="1:14" x14ac:dyDescent="0.3">
      <c r="A1674" s="2" t="s">
        <v>1740</v>
      </c>
      <c r="B1674" s="6">
        <v>45799</v>
      </c>
      <c r="C1674" s="2" t="s">
        <v>44</v>
      </c>
      <c r="D1674" s="2" t="s">
        <v>75</v>
      </c>
      <c r="E1674" s="2">
        <v>1</v>
      </c>
      <c r="F1674" s="7">
        <v>549</v>
      </c>
      <c r="G1674" s="8">
        <v>0.1</v>
      </c>
      <c r="H1674" s="9" t="str">
        <f>INDEX(Products!$B$2:$B$37, MATCH(D1674, Products!$A$2:$A$37, 0))</f>
        <v>Oud Perfume 100ml</v>
      </c>
      <c r="I1674" t="str">
        <f>INDEX(Products!$C$2:$C$37, MATCH(D1674, Products!$A$2:$A$37, 0))</f>
        <v>Beauty</v>
      </c>
      <c r="J1674">
        <f>INDEX(Products!$E$2:$E$37, MATCH(D1674, Products!$A$2:$A$37, 0))</f>
        <v>250</v>
      </c>
      <c r="K1674" s="9">
        <f t="shared" si="104"/>
        <v>494.1</v>
      </c>
      <c r="L1674">
        <f t="shared" si="105"/>
        <v>250</v>
      </c>
      <c r="M1674" s="9">
        <f t="shared" si="106"/>
        <v>244.10000000000002</v>
      </c>
      <c r="N1674" t="str">
        <f t="shared" si="107"/>
        <v>May</v>
      </c>
    </row>
    <row r="1675" spans="1:14" x14ac:dyDescent="0.3">
      <c r="A1675" s="2" t="s">
        <v>1741</v>
      </c>
      <c r="B1675" s="6">
        <v>45799</v>
      </c>
      <c r="C1675" s="2" t="s">
        <v>48</v>
      </c>
      <c r="D1675" s="2" t="s">
        <v>106</v>
      </c>
      <c r="E1675" s="2">
        <v>2</v>
      </c>
      <c r="F1675" s="7">
        <v>1299</v>
      </c>
      <c r="G1675" s="8">
        <v>0</v>
      </c>
      <c r="H1675" s="9" t="str">
        <f>INDEX(Products!$B$2:$B$37, MATCH(D1675, Products!$A$2:$A$37, 0))</f>
        <v>Smart Watch Series 5</v>
      </c>
      <c r="I1675" t="str">
        <f>INDEX(Products!$C$2:$C$37, MATCH(D1675, Products!$A$2:$A$37, 0))</f>
        <v>Electronics</v>
      </c>
      <c r="J1675">
        <f>INDEX(Products!$E$2:$E$37, MATCH(D1675, Products!$A$2:$A$37, 0))</f>
        <v>820</v>
      </c>
      <c r="K1675" s="9">
        <f t="shared" si="104"/>
        <v>2598</v>
      </c>
      <c r="L1675">
        <f t="shared" si="105"/>
        <v>1640</v>
      </c>
      <c r="M1675" s="9">
        <f t="shared" si="106"/>
        <v>958</v>
      </c>
      <c r="N1675" t="str">
        <f t="shared" si="107"/>
        <v>May</v>
      </c>
    </row>
    <row r="1676" spans="1:14" x14ac:dyDescent="0.3">
      <c r="A1676" s="2" t="s">
        <v>1742</v>
      </c>
      <c r="B1676" s="6">
        <v>45799</v>
      </c>
      <c r="C1676" s="2" t="s">
        <v>31</v>
      </c>
      <c r="D1676" s="2" t="s">
        <v>56</v>
      </c>
      <c r="E1676" s="2">
        <v>1</v>
      </c>
      <c r="F1676" s="7">
        <v>289</v>
      </c>
      <c r="G1676" s="8">
        <v>0.1</v>
      </c>
      <c r="H1676" s="9" t="str">
        <f>INDEX(Products!$B$2:$B$37, MATCH(D1676, Products!$A$2:$A$37, 0))</f>
        <v>Ceramic Dinner Set</v>
      </c>
      <c r="I1676" t="str">
        <f>INDEX(Products!$C$2:$C$37, MATCH(D1676, Products!$A$2:$A$37, 0))</f>
        <v>Home &amp; Kitchen</v>
      </c>
      <c r="J1676">
        <f>INDEX(Products!$E$2:$E$37, MATCH(D1676, Products!$A$2:$A$37, 0))</f>
        <v>140</v>
      </c>
      <c r="K1676" s="9">
        <f t="shared" si="104"/>
        <v>260.10000000000002</v>
      </c>
      <c r="L1676">
        <f t="shared" si="105"/>
        <v>140</v>
      </c>
      <c r="M1676" s="9">
        <f t="shared" si="106"/>
        <v>120.10000000000002</v>
      </c>
      <c r="N1676" t="str">
        <f t="shared" si="107"/>
        <v>May</v>
      </c>
    </row>
    <row r="1677" spans="1:14" x14ac:dyDescent="0.3">
      <c r="A1677" s="2" t="s">
        <v>1743</v>
      </c>
      <c r="B1677" s="6">
        <v>45799</v>
      </c>
      <c r="C1677" s="2" t="s">
        <v>44</v>
      </c>
      <c r="D1677" s="2" t="s">
        <v>131</v>
      </c>
      <c r="E1677" s="2">
        <v>2</v>
      </c>
      <c r="F1677" s="7">
        <v>899</v>
      </c>
      <c r="G1677" s="8">
        <v>0</v>
      </c>
      <c r="H1677" s="9" t="str">
        <f>INDEX(Products!$B$2:$B$37, MATCH(D1677, Products!$A$2:$A$37, 0))</f>
        <v>4K Action Camera</v>
      </c>
      <c r="I1677" t="str">
        <f>INDEX(Products!$C$2:$C$37, MATCH(D1677, Products!$A$2:$A$37, 0))</f>
        <v>Electronics</v>
      </c>
      <c r="J1677">
        <f>INDEX(Products!$E$2:$E$37, MATCH(D1677, Products!$A$2:$A$37, 0))</f>
        <v>610</v>
      </c>
      <c r="K1677" s="9">
        <f t="shared" si="104"/>
        <v>1798</v>
      </c>
      <c r="L1677">
        <f t="shared" si="105"/>
        <v>1220</v>
      </c>
      <c r="M1677" s="9">
        <f t="shared" si="106"/>
        <v>578</v>
      </c>
      <c r="N1677" t="str">
        <f t="shared" si="107"/>
        <v>May</v>
      </c>
    </row>
    <row r="1678" spans="1:14" x14ac:dyDescent="0.3">
      <c r="A1678" s="2" t="s">
        <v>1744</v>
      </c>
      <c r="B1678" s="6">
        <v>45799</v>
      </c>
      <c r="C1678" s="2" t="s">
        <v>28</v>
      </c>
      <c r="D1678" s="2" t="s">
        <v>149</v>
      </c>
      <c r="E1678" s="2">
        <v>2</v>
      </c>
      <c r="F1678" s="7">
        <v>399</v>
      </c>
      <c r="G1678" s="8">
        <v>0</v>
      </c>
      <c r="H1678" s="9" t="str">
        <f>INDEX(Products!$B$2:$B$37, MATCH(D1678, Products!$A$2:$A$37, 0))</f>
        <v>Blender Pro 1200W</v>
      </c>
      <c r="I1678" t="str">
        <f>INDEX(Products!$C$2:$C$37, MATCH(D1678, Products!$A$2:$A$37, 0))</f>
        <v>Home &amp; Kitchen</v>
      </c>
      <c r="J1678">
        <f>INDEX(Products!$E$2:$E$37, MATCH(D1678, Products!$A$2:$A$37, 0))</f>
        <v>250</v>
      </c>
      <c r="K1678" s="9">
        <f t="shared" si="104"/>
        <v>798</v>
      </c>
      <c r="L1678">
        <f t="shared" si="105"/>
        <v>500</v>
      </c>
      <c r="M1678" s="9">
        <f t="shared" si="106"/>
        <v>298</v>
      </c>
      <c r="N1678" t="str">
        <f t="shared" si="107"/>
        <v>May</v>
      </c>
    </row>
    <row r="1679" spans="1:14" x14ac:dyDescent="0.3">
      <c r="A1679" s="2" t="s">
        <v>1745</v>
      </c>
      <c r="B1679" s="6">
        <v>45800</v>
      </c>
      <c r="C1679" s="2" t="s">
        <v>44</v>
      </c>
      <c r="D1679" s="2" t="s">
        <v>89</v>
      </c>
      <c r="E1679" s="2">
        <v>1</v>
      </c>
      <c r="F1679" s="7">
        <v>399</v>
      </c>
      <c r="G1679" s="8">
        <v>0.15</v>
      </c>
      <c r="H1679" s="9" t="str">
        <f>INDEX(Products!$B$2:$B$37, MATCH(D1679, Products!$A$2:$A$37, 0))</f>
        <v>Men's Kandura Premium</v>
      </c>
      <c r="I1679" t="str">
        <f>INDEX(Products!$C$2:$C$37, MATCH(D1679, Products!$A$2:$A$37, 0))</f>
        <v>Fashion</v>
      </c>
      <c r="J1679">
        <f>INDEX(Products!$E$2:$E$37, MATCH(D1679, Products!$A$2:$A$37, 0))</f>
        <v>210</v>
      </c>
      <c r="K1679" s="9">
        <f t="shared" si="104"/>
        <v>339.15</v>
      </c>
      <c r="L1679">
        <f t="shared" si="105"/>
        <v>210</v>
      </c>
      <c r="M1679" s="9">
        <f t="shared" si="106"/>
        <v>129.14999999999998</v>
      </c>
      <c r="N1679" t="str">
        <f t="shared" si="107"/>
        <v>May</v>
      </c>
    </row>
    <row r="1680" spans="1:14" x14ac:dyDescent="0.3">
      <c r="A1680" s="2" t="s">
        <v>1746</v>
      </c>
      <c r="B1680" s="6">
        <v>45800</v>
      </c>
      <c r="C1680" s="2" t="s">
        <v>44</v>
      </c>
      <c r="D1680" s="2" t="s">
        <v>83</v>
      </c>
      <c r="E1680" s="2">
        <v>1</v>
      </c>
      <c r="F1680" s="7">
        <v>229</v>
      </c>
      <c r="G1680" s="8">
        <v>0.15</v>
      </c>
      <c r="H1680" s="9" t="str">
        <f>INDEX(Products!$B$2:$B$37, MATCH(D1680, Products!$A$2:$A$37, 0))</f>
        <v>Cycling Helmet</v>
      </c>
      <c r="I1680" t="str">
        <f>INDEX(Products!$C$2:$C$37, MATCH(D1680, Products!$A$2:$A$37, 0))</f>
        <v>Sports</v>
      </c>
      <c r="J1680">
        <f>INDEX(Products!$E$2:$E$37, MATCH(D1680, Products!$A$2:$A$37, 0))</f>
        <v>120</v>
      </c>
      <c r="K1680" s="9">
        <f t="shared" si="104"/>
        <v>194.65</v>
      </c>
      <c r="L1680">
        <f t="shared" si="105"/>
        <v>120</v>
      </c>
      <c r="M1680" s="9">
        <f t="shared" si="106"/>
        <v>74.650000000000006</v>
      </c>
      <c r="N1680" t="str">
        <f t="shared" si="107"/>
        <v>May</v>
      </c>
    </row>
    <row r="1681" spans="1:14" x14ac:dyDescent="0.3">
      <c r="A1681" s="2" t="s">
        <v>1747</v>
      </c>
      <c r="B1681" s="6">
        <v>45800</v>
      </c>
      <c r="C1681" s="2" t="s">
        <v>48</v>
      </c>
      <c r="D1681" s="2" t="s">
        <v>89</v>
      </c>
      <c r="E1681" s="2">
        <v>2</v>
      </c>
      <c r="F1681" s="7">
        <v>399</v>
      </c>
      <c r="G1681" s="8">
        <v>0</v>
      </c>
      <c r="H1681" s="9" t="str">
        <f>INDEX(Products!$B$2:$B$37, MATCH(D1681, Products!$A$2:$A$37, 0))</f>
        <v>Men's Kandura Premium</v>
      </c>
      <c r="I1681" t="str">
        <f>INDEX(Products!$C$2:$C$37, MATCH(D1681, Products!$A$2:$A$37, 0))</f>
        <v>Fashion</v>
      </c>
      <c r="J1681">
        <f>INDEX(Products!$E$2:$E$37, MATCH(D1681, Products!$A$2:$A$37, 0))</f>
        <v>210</v>
      </c>
      <c r="K1681" s="9">
        <f t="shared" si="104"/>
        <v>798</v>
      </c>
      <c r="L1681">
        <f t="shared" si="105"/>
        <v>420</v>
      </c>
      <c r="M1681" s="9">
        <f t="shared" si="106"/>
        <v>378</v>
      </c>
      <c r="N1681" t="str">
        <f t="shared" si="107"/>
        <v>May</v>
      </c>
    </row>
    <row r="1682" spans="1:14" x14ac:dyDescent="0.3">
      <c r="A1682" s="2" t="s">
        <v>1748</v>
      </c>
      <c r="B1682" s="6">
        <v>45800</v>
      </c>
      <c r="C1682" s="2" t="s">
        <v>44</v>
      </c>
      <c r="D1682" s="2" t="s">
        <v>60</v>
      </c>
      <c r="E1682" s="2">
        <v>2</v>
      </c>
      <c r="F1682" s="7">
        <v>99</v>
      </c>
      <c r="G1682" s="8">
        <v>0</v>
      </c>
      <c r="H1682" s="9" t="str">
        <f>INDEX(Products!$B$2:$B$37, MATCH(D1682, Products!$A$2:$A$37, 0))</f>
        <v>Football Size 5</v>
      </c>
      <c r="I1682" t="str">
        <f>INDEX(Products!$C$2:$C$37, MATCH(D1682, Products!$A$2:$A$37, 0))</f>
        <v>Sports</v>
      </c>
      <c r="J1682">
        <f>INDEX(Products!$E$2:$E$37, MATCH(D1682, Products!$A$2:$A$37, 0))</f>
        <v>45</v>
      </c>
      <c r="K1682" s="9">
        <f t="shared" si="104"/>
        <v>198</v>
      </c>
      <c r="L1682">
        <f t="shared" si="105"/>
        <v>90</v>
      </c>
      <c r="M1682" s="9">
        <f t="shared" si="106"/>
        <v>108</v>
      </c>
      <c r="N1682" t="str">
        <f t="shared" si="107"/>
        <v>May</v>
      </c>
    </row>
    <row r="1683" spans="1:14" x14ac:dyDescent="0.3">
      <c r="A1683" s="2" t="s">
        <v>1749</v>
      </c>
      <c r="B1683" s="6">
        <v>45800</v>
      </c>
      <c r="C1683" s="2" t="s">
        <v>44</v>
      </c>
      <c r="D1683" s="2" t="s">
        <v>37</v>
      </c>
      <c r="E1683" s="2">
        <v>4</v>
      </c>
      <c r="F1683" s="7">
        <v>249</v>
      </c>
      <c r="G1683" s="8">
        <v>0.05</v>
      </c>
      <c r="H1683" s="9" t="str">
        <f>INDEX(Products!$B$2:$B$37, MATCH(D1683, Products!$A$2:$A$37, 0))</f>
        <v>Sunglasses Polarised</v>
      </c>
      <c r="I1683" t="str">
        <f>INDEX(Products!$C$2:$C$37, MATCH(D1683, Products!$A$2:$A$37, 0))</f>
        <v>Fashion</v>
      </c>
      <c r="J1683">
        <f>INDEX(Products!$E$2:$E$37, MATCH(D1683, Products!$A$2:$A$37, 0))</f>
        <v>95</v>
      </c>
      <c r="K1683" s="9">
        <f t="shared" si="104"/>
        <v>946.19999999999993</v>
      </c>
      <c r="L1683">
        <f t="shared" si="105"/>
        <v>380</v>
      </c>
      <c r="M1683" s="9">
        <f t="shared" si="106"/>
        <v>566.19999999999993</v>
      </c>
      <c r="N1683" t="str">
        <f t="shared" si="107"/>
        <v>May</v>
      </c>
    </row>
    <row r="1684" spans="1:14" x14ac:dyDescent="0.3">
      <c r="A1684" s="2" t="s">
        <v>1750</v>
      </c>
      <c r="B1684" s="6">
        <v>45800</v>
      </c>
      <c r="C1684" s="2" t="s">
        <v>44</v>
      </c>
      <c r="D1684" s="2" t="s">
        <v>83</v>
      </c>
      <c r="E1684" s="2">
        <v>1</v>
      </c>
      <c r="F1684" s="7">
        <v>229</v>
      </c>
      <c r="G1684" s="8">
        <v>0</v>
      </c>
      <c r="H1684" s="9" t="str">
        <f>INDEX(Products!$B$2:$B$37, MATCH(D1684, Products!$A$2:$A$37, 0))</f>
        <v>Cycling Helmet</v>
      </c>
      <c r="I1684" t="str">
        <f>INDEX(Products!$C$2:$C$37, MATCH(D1684, Products!$A$2:$A$37, 0))</f>
        <v>Sports</v>
      </c>
      <c r="J1684">
        <f>INDEX(Products!$E$2:$E$37, MATCH(D1684, Products!$A$2:$A$37, 0))</f>
        <v>120</v>
      </c>
      <c r="K1684" s="9">
        <f t="shared" si="104"/>
        <v>229</v>
      </c>
      <c r="L1684">
        <f t="shared" si="105"/>
        <v>120</v>
      </c>
      <c r="M1684" s="9">
        <f t="shared" si="106"/>
        <v>109</v>
      </c>
      <c r="N1684" t="str">
        <f t="shared" si="107"/>
        <v>May</v>
      </c>
    </row>
    <row r="1685" spans="1:14" x14ac:dyDescent="0.3">
      <c r="A1685" s="2" t="s">
        <v>1751</v>
      </c>
      <c r="B1685" s="6">
        <v>45800</v>
      </c>
      <c r="C1685" s="2" t="s">
        <v>28</v>
      </c>
      <c r="D1685" s="2" t="s">
        <v>70</v>
      </c>
      <c r="E1685" s="2">
        <v>1</v>
      </c>
      <c r="F1685" s="7">
        <v>429</v>
      </c>
      <c r="G1685" s="8">
        <v>0</v>
      </c>
      <c r="H1685" s="9" t="str">
        <f>INDEX(Products!$B$2:$B$37, MATCH(D1685, Products!$A$2:$A$37, 0))</f>
        <v>Running Shoes Elite</v>
      </c>
      <c r="I1685" t="str">
        <f>INDEX(Products!$C$2:$C$37, MATCH(D1685, Products!$A$2:$A$37, 0))</f>
        <v>Fashion</v>
      </c>
      <c r="J1685">
        <f>INDEX(Products!$E$2:$E$37, MATCH(D1685, Products!$A$2:$A$37, 0))</f>
        <v>300</v>
      </c>
      <c r="K1685" s="9">
        <f t="shared" si="104"/>
        <v>429</v>
      </c>
      <c r="L1685">
        <f t="shared" si="105"/>
        <v>300</v>
      </c>
      <c r="M1685" s="9">
        <f t="shared" si="106"/>
        <v>129</v>
      </c>
      <c r="N1685" t="str">
        <f t="shared" si="107"/>
        <v>May</v>
      </c>
    </row>
    <row r="1686" spans="1:14" x14ac:dyDescent="0.3">
      <c r="A1686" s="2" t="s">
        <v>1752</v>
      </c>
      <c r="B1686" s="6">
        <v>45800</v>
      </c>
      <c r="C1686" s="2" t="s">
        <v>31</v>
      </c>
      <c r="D1686" s="2" t="s">
        <v>49</v>
      </c>
      <c r="E1686" s="2">
        <v>1</v>
      </c>
      <c r="F1686" s="7">
        <v>149</v>
      </c>
      <c r="G1686" s="8">
        <v>0.15</v>
      </c>
      <c r="H1686" s="9" t="str">
        <f>INDEX(Products!$B$2:$B$37, MATCH(D1686, Products!$A$2:$A$37, 0))</f>
        <v>Kids' Sneakers</v>
      </c>
      <c r="I1686" t="str">
        <f>INDEX(Products!$C$2:$C$37, MATCH(D1686, Products!$A$2:$A$37, 0))</f>
        <v>Fashion</v>
      </c>
      <c r="J1686">
        <f>INDEX(Products!$E$2:$E$37, MATCH(D1686, Products!$A$2:$A$37, 0))</f>
        <v>80</v>
      </c>
      <c r="K1686" s="9">
        <f t="shared" si="104"/>
        <v>126.64999999999999</v>
      </c>
      <c r="L1686">
        <f t="shared" si="105"/>
        <v>80</v>
      </c>
      <c r="M1686" s="9">
        <f t="shared" si="106"/>
        <v>46.649999999999991</v>
      </c>
      <c r="N1686" t="str">
        <f t="shared" si="107"/>
        <v>May</v>
      </c>
    </row>
    <row r="1687" spans="1:14" x14ac:dyDescent="0.3">
      <c r="A1687" s="2" t="s">
        <v>1753</v>
      </c>
      <c r="B1687" s="6">
        <v>45800</v>
      </c>
      <c r="C1687" s="2" t="s">
        <v>31</v>
      </c>
      <c r="D1687" s="2" t="s">
        <v>113</v>
      </c>
      <c r="E1687" s="2">
        <v>1</v>
      </c>
      <c r="F1687" s="7">
        <v>1199</v>
      </c>
      <c r="G1687" s="8">
        <v>0.15</v>
      </c>
      <c r="H1687" s="9" t="str">
        <f>INDEX(Products!$B$2:$B$37, MATCH(D1687, Products!$A$2:$A$37, 0))</f>
        <v>Robot Vacuum S3</v>
      </c>
      <c r="I1687" t="str">
        <f>INDEX(Products!$C$2:$C$37, MATCH(D1687, Products!$A$2:$A$37, 0))</f>
        <v>Home &amp; Kitchen</v>
      </c>
      <c r="J1687">
        <f>INDEX(Products!$E$2:$E$37, MATCH(D1687, Products!$A$2:$A$37, 0))</f>
        <v>1080</v>
      </c>
      <c r="K1687" s="9">
        <f t="shared" si="104"/>
        <v>1019.15</v>
      </c>
      <c r="L1687">
        <f t="shared" si="105"/>
        <v>1080</v>
      </c>
      <c r="M1687" s="9">
        <f t="shared" si="106"/>
        <v>-60.850000000000023</v>
      </c>
      <c r="N1687" t="str">
        <f t="shared" si="107"/>
        <v>May</v>
      </c>
    </row>
    <row r="1688" spans="1:14" x14ac:dyDescent="0.3">
      <c r="A1688" s="2" t="s">
        <v>1754</v>
      </c>
      <c r="B1688" s="6">
        <v>45800</v>
      </c>
      <c r="C1688" s="2" t="s">
        <v>28</v>
      </c>
      <c r="D1688" s="2" t="s">
        <v>89</v>
      </c>
      <c r="E1688" s="2">
        <v>1</v>
      </c>
      <c r="F1688" s="7">
        <v>399</v>
      </c>
      <c r="G1688" s="8">
        <v>0.1</v>
      </c>
      <c r="H1688" s="9" t="str">
        <f>INDEX(Products!$B$2:$B$37, MATCH(D1688, Products!$A$2:$A$37, 0))</f>
        <v>Men's Kandura Premium</v>
      </c>
      <c r="I1688" t="str">
        <f>INDEX(Products!$C$2:$C$37, MATCH(D1688, Products!$A$2:$A$37, 0))</f>
        <v>Fashion</v>
      </c>
      <c r="J1688">
        <f>INDEX(Products!$E$2:$E$37, MATCH(D1688, Products!$A$2:$A$37, 0))</f>
        <v>210</v>
      </c>
      <c r="K1688" s="9">
        <f t="shared" si="104"/>
        <v>359.1</v>
      </c>
      <c r="L1688">
        <f t="shared" si="105"/>
        <v>210</v>
      </c>
      <c r="M1688" s="9">
        <f t="shared" si="106"/>
        <v>149.10000000000002</v>
      </c>
      <c r="N1688" t="str">
        <f t="shared" si="107"/>
        <v>May</v>
      </c>
    </row>
    <row r="1689" spans="1:14" x14ac:dyDescent="0.3">
      <c r="A1689" s="2" t="s">
        <v>1755</v>
      </c>
      <c r="B1689" s="6">
        <v>45800</v>
      </c>
      <c r="C1689" s="2" t="s">
        <v>28</v>
      </c>
      <c r="D1689" s="2" t="s">
        <v>103</v>
      </c>
      <c r="E1689" s="2">
        <v>1</v>
      </c>
      <c r="F1689" s="7">
        <v>89</v>
      </c>
      <c r="G1689" s="8">
        <v>0.1</v>
      </c>
      <c r="H1689" s="9" t="str">
        <f>INDEX(Products!$B$2:$B$37, MATCH(D1689, Products!$A$2:$A$37, 0))</f>
        <v>Sunscreen SPF50</v>
      </c>
      <c r="I1689" t="str">
        <f>INDEX(Products!$C$2:$C$37, MATCH(D1689, Products!$A$2:$A$37, 0))</f>
        <v>Beauty</v>
      </c>
      <c r="J1689">
        <f>INDEX(Products!$E$2:$E$37, MATCH(D1689, Products!$A$2:$A$37, 0))</f>
        <v>40</v>
      </c>
      <c r="K1689" s="9">
        <f t="shared" si="104"/>
        <v>80.100000000000009</v>
      </c>
      <c r="L1689">
        <f t="shared" si="105"/>
        <v>40</v>
      </c>
      <c r="M1689" s="9">
        <f t="shared" si="106"/>
        <v>40.100000000000009</v>
      </c>
      <c r="N1689" t="str">
        <f t="shared" si="107"/>
        <v>May</v>
      </c>
    </row>
    <row r="1690" spans="1:14" x14ac:dyDescent="0.3">
      <c r="A1690" s="2" t="s">
        <v>1756</v>
      </c>
      <c r="B1690" s="6">
        <v>45800</v>
      </c>
      <c r="C1690" s="2" t="s">
        <v>44</v>
      </c>
      <c r="D1690" s="2" t="s">
        <v>103</v>
      </c>
      <c r="E1690" s="2">
        <v>2</v>
      </c>
      <c r="F1690" s="7">
        <v>89</v>
      </c>
      <c r="G1690" s="8">
        <v>0</v>
      </c>
      <c r="H1690" s="9" t="str">
        <f>INDEX(Products!$B$2:$B$37, MATCH(D1690, Products!$A$2:$A$37, 0))</f>
        <v>Sunscreen SPF50</v>
      </c>
      <c r="I1690" t="str">
        <f>INDEX(Products!$C$2:$C$37, MATCH(D1690, Products!$A$2:$A$37, 0))</f>
        <v>Beauty</v>
      </c>
      <c r="J1690">
        <f>INDEX(Products!$E$2:$E$37, MATCH(D1690, Products!$A$2:$A$37, 0))</f>
        <v>40</v>
      </c>
      <c r="K1690" s="9">
        <f t="shared" si="104"/>
        <v>178</v>
      </c>
      <c r="L1690">
        <f t="shared" si="105"/>
        <v>80</v>
      </c>
      <c r="M1690" s="9">
        <f t="shared" si="106"/>
        <v>98</v>
      </c>
      <c r="N1690" t="str">
        <f t="shared" si="107"/>
        <v>May</v>
      </c>
    </row>
    <row r="1691" spans="1:14" x14ac:dyDescent="0.3">
      <c r="A1691" s="2" t="s">
        <v>1757</v>
      </c>
      <c r="B1691" s="6">
        <v>45800</v>
      </c>
      <c r="C1691" s="2" t="s">
        <v>31</v>
      </c>
      <c r="D1691" s="2" t="s">
        <v>35</v>
      </c>
      <c r="E1691" s="2">
        <v>3</v>
      </c>
      <c r="F1691" s="7">
        <v>179</v>
      </c>
      <c r="G1691" s="8">
        <v>0.2</v>
      </c>
      <c r="H1691" s="9" t="str">
        <f>INDEX(Products!$B$2:$B$37, MATCH(D1691, Products!$A$2:$A$37, 0))</f>
        <v>Men's Linen Shirt</v>
      </c>
      <c r="I1691" t="str">
        <f>INDEX(Products!$C$2:$C$37, MATCH(D1691, Products!$A$2:$A$37, 0))</f>
        <v>Fashion</v>
      </c>
      <c r="J1691">
        <f>INDEX(Products!$E$2:$E$37, MATCH(D1691, Products!$A$2:$A$37, 0))</f>
        <v>70</v>
      </c>
      <c r="K1691" s="9">
        <f t="shared" si="104"/>
        <v>429.6</v>
      </c>
      <c r="L1691">
        <f t="shared" si="105"/>
        <v>210</v>
      </c>
      <c r="M1691" s="9">
        <f t="shared" si="106"/>
        <v>219.60000000000002</v>
      </c>
      <c r="N1691" t="str">
        <f t="shared" si="107"/>
        <v>May</v>
      </c>
    </row>
    <row r="1692" spans="1:14" x14ac:dyDescent="0.3">
      <c r="A1692" s="2" t="s">
        <v>1758</v>
      </c>
      <c r="B1692" s="6">
        <v>45801</v>
      </c>
      <c r="C1692" s="2" t="s">
        <v>28</v>
      </c>
      <c r="D1692" s="2" t="s">
        <v>194</v>
      </c>
      <c r="E1692" s="2">
        <v>1</v>
      </c>
      <c r="F1692" s="7">
        <v>699</v>
      </c>
      <c r="G1692" s="8">
        <v>0.05</v>
      </c>
      <c r="H1692" s="9" t="str">
        <f>INDEX(Products!$B$2:$B$37, MATCH(D1692, Products!$A$2:$A$37, 0))</f>
        <v>Leather Handbag</v>
      </c>
      <c r="I1692" t="str">
        <f>INDEX(Products!$C$2:$C$37, MATCH(D1692, Products!$A$2:$A$37, 0))</f>
        <v>Fashion</v>
      </c>
      <c r="J1692">
        <f>INDEX(Products!$E$2:$E$37, MATCH(D1692, Products!$A$2:$A$37, 0))</f>
        <v>380</v>
      </c>
      <c r="K1692" s="9">
        <f t="shared" si="104"/>
        <v>664.05</v>
      </c>
      <c r="L1692">
        <f t="shared" si="105"/>
        <v>380</v>
      </c>
      <c r="M1692" s="9">
        <f t="shared" si="106"/>
        <v>284.04999999999995</v>
      </c>
      <c r="N1692" t="str">
        <f t="shared" si="107"/>
        <v>May</v>
      </c>
    </row>
    <row r="1693" spans="1:14" x14ac:dyDescent="0.3">
      <c r="A1693" s="2" t="s">
        <v>1759</v>
      </c>
      <c r="B1693" s="6">
        <v>45801</v>
      </c>
      <c r="C1693" s="2" t="s">
        <v>41</v>
      </c>
      <c r="D1693" s="2" t="s">
        <v>113</v>
      </c>
      <c r="E1693" s="2">
        <v>1</v>
      </c>
      <c r="F1693" s="7">
        <v>1199</v>
      </c>
      <c r="G1693" s="8">
        <v>0.2</v>
      </c>
      <c r="H1693" s="9" t="str">
        <f>INDEX(Products!$B$2:$B$37, MATCH(D1693, Products!$A$2:$A$37, 0))</f>
        <v>Robot Vacuum S3</v>
      </c>
      <c r="I1693" t="str">
        <f>INDEX(Products!$C$2:$C$37, MATCH(D1693, Products!$A$2:$A$37, 0))</f>
        <v>Home &amp; Kitchen</v>
      </c>
      <c r="J1693">
        <f>INDEX(Products!$E$2:$E$37, MATCH(D1693, Products!$A$2:$A$37, 0))</f>
        <v>1080</v>
      </c>
      <c r="K1693" s="9">
        <f t="shared" si="104"/>
        <v>959.2</v>
      </c>
      <c r="L1693">
        <f t="shared" si="105"/>
        <v>1080</v>
      </c>
      <c r="M1693" s="9">
        <f t="shared" si="106"/>
        <v>-120.79999999999995</v>
      </c>
      <c r="N1693" t="str">
        <f t="shared" si="107"/>
        <v>May</v>
      </c>
    </row>
    <row r="1694" spans="1:14" x14ac:dyDescent="0.3">
      <c r="A1694" s="2" t="s">
        <v>1760</v>
      </c>
      <c r="B1694" s="6">
        <v>45801</v>
      </c>
      <c r="C1694" s="2" t="s">
        <v>28</v>
      </c>
      <c r="D1694" s="2" t="s">
        <v>126</v>
      </c>
      <c r="E1694" s="2">
        <v>3</v>
      </c>
      <c r="F1694" s="7">
        <v>89</v>
      </c>
      <c r="G1694" s="8">
        <v>0</v>
      </c>
      <c r="H1694" s="9" t="str">
        <f>INDEX(Products!$B$2:$B$37, MATCH(D1694, Products!$A$2:$A$37, 0))</f>
        <v>USB-C Fast Charger</v>
      </c>
      <c r="I1694" t="str">
        <f>INDEX(Products!$C$2:$C$37, MATCH(D1694, Products!$A$2:$A$37, 0))</f>
        <v>Electronics</v>
      </c>
      <c r="J1694">
        <f>INDEX(Products!$E$2:$E$37, MATCH(D1694, Products!$A$2:$A$37, 0))</f>
        <v>35</v>
      </c>
      <c r="K1694" s="9">
        <f t="shared" si="104"/>
        <v>267</v>
      </c>
      <c r="L1694">
        <f t="shared" si="105"/>
        <v>105</v>
      </c>
      <c r="M1694" s="9">
        <f t="shared" si="106"/>
        <v>162</v>
      </c>
      <c r="N1694" t="str">
        <f t="shared" si="107"/>
        <v>May</v>
      </c>
    </row>
    <row r="1695" spans="1:14" x14ac:dyDescent="0.3">
      <c r="A1695" s="2" t="s">
        <v>1761</v>
      </c>
      <c r="B1695" s="6">
        <v>45801</v>
      </c>
      <c r="C1695" s="2" t="s">
        <v>31</v>
      </c>
      <c r="D1695" s="2" t="s">
        <v>52</v>
      </c>
      <c r="E1695" s="2">
        <v>1</v>
      </c>
      <c r="F1695" s="7">
        <v>299</v>
      </c>
      <c r="G1695" s="8">
        <v>0.1</v>
      </c>
      <c r="H1695" s="9" t="str">
        <f>INDEX(Products!$B$2:$B$37, MATCH(D1695, Products!$A$2:$A$37, 0))</f>
        <v>Hair Dryer Ionic</v>
      </c>
      <c r="I1695" t="str">
        <f>INDEX(Products!$C$2:$C$37, MATCH(D1695, Products!$A$2:$A$37, 0))</f>
        <v>Beauty</v>
      </c>
      <c r="J1695">
        <f>INDEX(Products!$E$2:$E$37, MATCH(D1695, Products!$A$2:$A$37, 0))</f>
        <v>240</v>
      </c>
      <c r="K1695" s="9">
        <f t="shared" si="104"/>
        <v>269.10000000000002</v>
      </c>
      <c r="L1695">
        <f t="shared" si="105"/>
        <v>240</v>
      </c>
      <c r="M1695" s="9">
        <f t="shared" si="106"/>
        <v>29.100000000000023</v>
      </c>
      <c r="N1695" t="str">
        <f t="shared" si="107"/>
        <v>May</v>
      </c>
    </row>
    <row r="1696" spans="1:14" x14ac:dyDescent="0.3">
      <c r="A1696" s="2" t="s">
        <v>1762</v>
      </c>
      <c r="B1696" s="6">
        <v>45801</v>
      </c>
      <c r="C1696" s="2" t="s">
        <v>28</v>
      </c>
      <c r="D1696" s="2" t="s">
        <v>131</v>
      </c>
      <c r="E1696" s="2">
        <v>1</v>
      </c>
      <c r="F1696" s="7">
        <v>899</v>
      </c>
      <c r="G1696" s="8">
        <v>0.15</v>
      </c>
      <c r="H1696" s="9" t="str">
        <f>INDEX(Products!$B$2:$B$37, MATCH(D1696, Products!$A$2:$A$37, 0))</f>
        <v>4K Action Camera</v>
      </c>
      <c r="I1696" t="str">
        <f>INDEX(Products!$C$2:$C$37, MATCH(D1696, Products!$A$2:$A$37, 0))</f>
        <v>Electronics</v>
      </c>
      <c r="J1696">
        <f>INDEX(Products!$E$2:$E$37, MATCH(D1696, Products!$A$2:$A$37, 0))</f>
        <v>610</v>
      </c>
      <c r="K1696" s="9">
        <f t="shared" si="104"/>
        <v>764.15</v>
      </c>
      <c r="L1696">
        <f t="shared" si="105"/>
        <v>610</v>
      </c>
      <c r="M1696" s="9">
        <f t="shared" si="106"/>
        <v>154.14999999999998</v>
      </c>
      <c r="N1696" t="str">
        <f t="shared" si="107"/>
        <v>May</v>
      </c>
    </row>
    <row r="1697" spans="1:14" x14ac:dyDescent="0.3">
      <c r="A1697" s="2" t="s">
        <v>1763</v>
      </c>
      <c r="B1697" s="6">
        <v>45801</v>
      </c>
      <c r="C1697" s="2" t="s">
        <v>28</v>
      </c>
      <c r="D1697" s="2" t="s">
        <v>129</v>
      </c>
      <c r="E1697" s="2">
        <v>1</v>
      </c>
      <c r="F1697" s="7">
        <v>149</v>
      </c>
      <c r="G1697" s="8">
        <v>0.1</v>
      </c>
      <c r="H1697" s="9" t="str">
        <f>INDEX(Products!$B$2:$B$37, MATCH(D1697, Products!$A$2:$A$37, 0))</f>
        <v>Power Bank 20000mAh</v>
      </c>
      <c r="I1697" t="str">
        <f>INDEX(Products!$C$2:$C$37, MATCH(D1697, Products!$A$2:$A$37, 0))</f>
        <v>Electronics</v>
      </c>
      <c r="J1697">
        <f>INDEX(Products!$E$2:$E$37, MATCH(D1697, Products!$A$2:$A$37, 0))</f>
        <v>70</v>
      </c>
      <c r="K1697" s="9">
        <f t="shared" si="104"/>
        <v>134.1</v>
      </c>
      <c r="L1697">
        <f t="shared" si="105"/>
        <v>70</v>
      </c>
      <c r="M1697" s="9">
        <f t="shared" si="106"/>
        <v>64.099999999999994</v>
      </c>
      <c r="N1697" t="str">
        <f t="shared" si="107"/>
        <v>May</v>
      </c>
    </row>
    <row r="1698" spans="1:14" x14ac:dyDescent="0.3">
      <c r="A1698" s="2" t="s">
        <v>1764</v>
      </c>
      <c r="B1698" s="6">
        <v>45801</v>
      </c>
      <c r="C1698" s="2" t="s">
        <v>44</v>
      </c>
      <c r="D1698" s="2" t="s">
        <v>95</v>
      </c>
      <c r="E1698" s="2">
        <v>1</v>
      </c>
      <c r="F1698" s="7">
        <v>259</v>
      </c>
      <c r="G1698" s="8">
        <v>0.1</v>
      </c>
      <c r="H1698" s="9" t="str">
        <f>INDEX(Products!$B$2:$B$37, MATCH(D1698, Products!$A$2:$A$37, 0))</f>
        <v>Bed Linen Set (King)</v>
      </c>
      <c r="I1698" t="str">
        <f>INDEX(Products!$C$2:$C$37, MATCH(D1698, Products!$A$2:$A$37, 0))</f>
        <v>Home &amp; Kitchen</v>
      </c>
      <c r="J1698">
        <f>INDEX(Products!$E$2:$E$37, MATCH(D1698, Products!$A$2:$A$37, 0))</f>
        <v>115</v>
      </c>
      <c r="K1698" s="9">
        <f t="shared" si="104"/>
        <v>233.1</v>
      </c>
      <c r="L1698">
        <f t="shared" si="105"/>
        <v>115</v>
      </c>
      <c r="M1698" s="9">
        <f t="shared" si="106"/>
        <v>118.1</v>
      </c>
      <c r="N1698" t="str">
        <f t="shared" si="107"/>
        <v>May</v>
      </c>
    </row>
    <row r="1699" spans="1:14" x14ac:dyDescent="0.3">
      <c r="A1699" s="2" t="s">
        <v>1765</v>
      </c>
      <c r="B1699" s="6">
        <v>45801</v>
      </c>
      <c r="C1699" s="2" t="s">
        <v>41</v>
      </c>
      <c r="D1699" s="2" t="s">
        <v>29</v>
      </c>
      <c r="E1699" s="2">
        <v>3</v>
      </c>
      <c r="F1699" s="7">
        <v>229</v>
      </c>
      <c r="G1699" s="8">
        <v>0</v>
      </c>
      <c r="H1699" s="9" t="str">
        <f>INDEX(Products!$B$2:$B$37, MATCH(D1699, Products!$A$2:$A$37, 0))</f>
        <v>Women's Summer Dress</v>
      </c>
      <c r="I1699" t="str">
        <f>INDEX(Products!$C$2:$C$37, MATCH(D1699, Products!$A$2:$A$37, 0))</f>
        <v>Fashion</v>
      </c>
      <c r="J1699">
        <f>INDEX(Products!$E$2:$E$37, MATCH(D1699, Products!$A$2:$A$37, 0))</f>
        <v>120</v>
      </c>
      <c r="K1699" s="9">
        <f t="shared" si="104"/>
        <v>687</v>
      </c>
      <c r="L1699">
        <f t="shared" si="105"/>
        <v>360</v>
      </c>
      <c r="M1699" s="9">
        <f t="shared" si="106"/>
        <v>327</v>
      </c>
      <c r="N1699" t="str">
        <f t="shared" si="107"/>
        <v>May</v>
      </c>
    </row>
    <row r="1700" spans="1:14" x14ac:dyDescent="0.3">
      <c r="A1700" s="2" t="s">
        <v>1766</v>
      </c>
      <c r="B1700" s="6">
        <v>45801</v>
      </c>
      <c r="C1700" s="2" t="s">
        <v>44</v>
      </c>
      <c r="D1700" s="2" t="s">
        <v>52</v>
      </c>
      <c r="E1700" s="2">
        <v>2</v>
      </c>
      <c r="F1700" s="7">
        <v>299</v>
      </c>
      <c r="G1700" s="8">
        <v>0.25</v>
      </c>
      <c r="H1700" s="9" t="str">
        <f>INDEX(Products!$B$2:$B$37, MATCH(D1700, Products!$A$2:$A$37, 0))</f>
        <v>Hair Dryer Ionic</v>
      </c>
      <c r="I1700" t="str">
        <f>INDEX(Products!$C$2:$C$37, MATCH(D1700, Products!$A$2:$A$37, 0))</f>
        <v>Beauty</v>
      </c>
      <c r="J1700">
        <f>INDEX(Products!$E$2:$E$37, MATCH(D1700, Products!$A$2:$A$37, 0))</f>
        <v>240</v>
      </c>
      <c r="K1700" s="9">
        <f t="shared" si="104"/>
        <v>448.5</v>
      </c>
      <c r="L1700">
        <f t="shared" si="105"/>
        <v>480</v>
      </c>
      <c r="M1700" s="9">
        <f t="shared" si="106"/>
        <v>-31.5</v>
      </c>
      <c r="N1700" t="str">
        <f t="shared" si="107"/>
        <v>May</v>
      </c>
    </row>
    <row r="1701" spans="1:14" x14ac:dyDescent="0.3">
      <c r="A1701" s="2" t="s">
        <v>1767</v>
      </c>
      <c r="B1701" s="6">
        <v>45801</v>
      </c>
      <c r="C1701" s="2" t="s">
        <v>31</v>
      </c>
      <c r="D1701" s="2" t="s">
        <v>131</v>
      </c>
      <c r="E1701" s="2">
        <v>1</v>
      </c>
      <c r="F1701" s="7">
        <v>899</v>
      </c>
      <c r="G1701" s="8">
        <v>0.1</v>
      </c>
      <c r="H1701" s="9" t="str">
        <f>INDEX(Products!$B$2:$B$37, MATCH(D1701, Products!$A$2:$A$37, 0))</f>
        <v>4K Action Camera</v>
      </c>
      <c r="I1701" t="str">
        <f>INDEX(Products!$C$2:$C$37, MATCH(D1701, Products!$A$2:$A$37, 0))</f>
        <v>Electronics</v>
      </c>
      <c r="J1701">
        <f>INDEX(Products!$E$2:$E$37, MATCH(D1701, Products!$A$2:$A$37, 0))</f>
        <v>610</v>
      </c>
      <c r="K1701" s="9">
        <f t="shared" si="104"/>
        <v>809.1</v>
      </c>
      <c r="L1701">
        <f t="shared" si="105"/>
        <v>610</v>
      </c>
      <c r="M1701" s="9">
        <f t="shared" si="106"/>
        <v>199.10000000000002</v>
      </c>
      <c r="N1701" t="str">
        <f t="shared" si="107"/>
        <v>May</v>
      </c>
    </row>
    <row r="1702" spans="1:14" x14ac:dyDescent="0.3">
      <c r="A1702" s="2" t="s">
        <v>1768</v>
      </c>
      <c r="B1702" s="6">
        <v>45801</v>
      </c>
      <c r="C1702" s="2" t="s">
        <v>44</v>
      </c>
      <c r="D1702" s="2" t="s">
        <v>37</v>
      </c>
      <c r="E1702" s="2">
        <v>1</v>
      </c>
      <c r="F1702" s="7">
        <v>249</v>
      </c>
      <c r="G1702" s="8">
        <v>0.15</v>
      </c>
      <c r="H1702" s="9" t="str">
        <f>INDEX(Products!$B$2:$B$37, MATCH(D1702, Products!$A$2:$A$37, 0))</f>
        <v>Sunglasses Polarised</v>
      </c>
      <c r="I1702" t="str">
        <f>INDEX(Products!$C$2:$C$37, MATCH(D1702, Products!$A$2:$A$37, 0))</f>
        <v>Fashion</v>
      </c>
      <c r="J1702">
        <f>INDEX(Products!$E$2:$E$37, MATCH(D1702, Products!$A$2:$A$37, 0))</f>
        <v>95</v>
      </c>
      <c r="K1702" s="9">
        <f t="shared" si="104"/>
        <v>211.65</v>
      </c>
      <c r="L1702">
        <f t="shared" si="105"/>
        <v>95</v>
      </c>
      <c r="M1702" s="9">
        <f t="shared" si="106"/>
        <v>116.65</v>
      </c>
      <c r="N1702" t="str">
        <f t="shared" si="107"/>
        <v>May</v>
      </c>
    </row>
    <row r="1703" spans="1:14" x14ac:dyDescent="0.3">
      <c r="A1703" s="2" t="s">
        <v>1769</v>
      </c>
      <c r="B1703" s="6">
        <v>45802</v>
      </c>
      <c r="C1703" s="2" t="s">
        <v>44</v>
      </c>
      <c r="D1703" s="2" t="s">
        <v>87</v>
      </c>
      <c r="E1703" s="2">
        <v>1</v>
      </c>
      <c r="F1703" s="7">
        <v>799</v>
      </c>
      <c r="G1703" s="8">
        <v>0.15</v>
      </c>
      <c r="H1703" s="9" t="str">
        <f>INDEX(Products!$B$2:$B$37, MATCH(D1703, Products!$A$2:$A$37, 0))</f>
        <v>Adjustable Dumbbells</v>
      </c>
      <c r="I1703" t="str">
        <f>INDEX(Products!$C$2:$C$37, MATCH(D1703, Products!$A$2:$A$37, 0))</f>
        <v>Sports</v>
      </c>
      <c r="J1703">
        <f>INDEX(Products!$E$2:$E$37, MATCH(D1703, Products!$A$2:$A$37, 0))</f>
        <v>700</v>
      </c>
      <c r="K1703" s="9">
        <f t="shared" si="104"/>
        <v>679.15</v>
      </c>
      <c r="L1703">
        <f t="shared" si="105"/>
        <v>700</v>
      </c>
      <c r="M1703" s="9">
        <f t="shared" si="106"/>
        <v>-20.850000000000023</v>
      </c>
      <c r="N1703" t="str">
        <f t="shared" si="107"/>
        <v>May</v>
      </c>
    </row>
    <row r="1704" spans="1:14" x14ac:dyDescent="0.3">
      <c r="A1704" s="2" t="s">
        <v>1770</v>
      </c>
      <c r="B1704" s="6">
        <v>45802</v>
      </c>
      <c r="C1704" s="2" t="s">
        <v>41</v>
      </c>
      <c r="D1704" s="2" t="s">
        <v>126</v>
      </c>
      <c r="E1704" s="2">
        <v>1</v>
      </c>
      <c r="F1704" s="7">
        <v>89</v>
      </c>
      <c r="G1704" s="8">
        <v>0</v>
      </c>
      <c r="H1704" s="9" t="str">
        <f>INDEX(Products!$B$2:$B$37, MATCH(D1704, Products!$A$2:$A$37, 0))</f>
        <v>USB-C Fast Charger</v>
      </c>
      <c r="I1704" t="str">
        <f>INDEX(Products!$C$2:$C$37, MATCH(D1704, Products!$A$2:$A$37, 0))</f>
        <v>Electronics</v>
      </c>
      <c r="J1704">
        <f>INDEX(Products!$E$2:$E$37, MATCH(D1704, Products!$A$2:$A$37, 0))</f>
        <v>35</v>
      </c>
      <c r="K1704" s="9">
        <f t="shared" si="104"/>
        <v>89</v>
      </c>
      <c r="L1704">
        <f t="shared" si="105"/>
        <v>35</v>
      </c>
      <c r="M1704" s="9">
        <f t="shared" si="106"/>
        <v>54</v>
      </c>
      <c r="N1704" t="str">
        <f t="shared" si="107"/>
        <v>May</v>
      </c>
    </row>
    <row r="1705" spans="1:14" x14ac:dyDescent="0.3">
      <c r="A1705" s="2" t="s">
        <v>1771</v>
      </c>
      <c r="B1705" s="6">
        <v>45802</v>
      </c>
      <c r="C1705" s="2" t="s">
        <v>48</v>
      </c>
      <c r="D1705" s="2" t="s">
        <v>103</v>
      </c>
      <c r="E1705" s="2">
        <v>1</v>
      </c>
      <c r="F1705" s="7">
        <v>89</v>
      </c>
      <c r="G1705" s="8">
        <v>0</v>
      </c>
      <c r="H1705" s="9" t="str">
        <f>INDEX(Products!$B$2:$B$37, MATCH(D1705, Products!$A$2:$A$37, 0))</f>
        <v>Sunscreen SPF50</v>
      </c>
      <c r="I1705" t="str">
        <f>INDEX(Products!$C$2:$C$37, MATCH(D1705, Products!$A$2:$A$37, 0))</f>
        <v>Beauty</v>
      </c>
      <c r="J1705">
        <f>INDEX(Products!$E$2:$E$37, MATCH(D1705, Products!$A$2:$A$37, 0))</f>
        <v>40</v>
      </c>
      <c r="K1705" s="9">
        <f t="shared" si="104"/>
        <v>89</v>
      </c>
      <c r="L1705">
        <f t="shared" si="105"/>
        <v>40</v>
      </c>
      <c r="M1705" s="9">
        <f t="shared" si="106"/>
        <v>49</v>
      </c>
      <c r="N1705" t="str">
        <f t="shared" si="107"/>
        <v>May</v>
      </c>
    </row>
    <row r="1706" spans="1:14" x14ac:dyDescent="0.3">
      <c r="A1706" s="2" t="s">
        <v>1772</v>
      </c>
      <c r="B1706" s="6">
        <v>45802</v>
      </c>
      <c r="C1706" s="2" t="s">
        <v>41</v>
      </c>
      <c r="D1706" s="2" t="s">
        <v>70</v>
      </c>
      <c r="E1706" s="2">
        <v>4</v>
      </c>
      <c r="F1706" s="7">
        <v>429</v>
      </c>
      <c r="G1706" s="8">
        <v>0.3</v>
      </c>
      <c r="H1706" s="9" t="str">
        <f>INDEX(Products!$B$2:$B$37, MATCH(D1706, Products!$A$2:$A$37, 0))</f>
        <v>Running Shoes Elite</v>
      </c>
      <c r="I1706" t="str">
        <f>INDEX(Products!$C$2:$C$37, MATCH(D1706, Products!$A$2:$A$37, 0))</f>
        <v>Fashion</v>
      </c>
      <c r="J1706">
        <f>INDEX(Products!$E$2:$E$37, MATCH(D1706, Products!$A$2:$A$37, 0))</f>
        <v>300</v>
      </c>
      <c r="K1706" s="9">
        <f t="shared" si="104"/>
        <v>1201.1999999999998</v>
      </c>
      <c r="L1706">
        <f t="shared" si="105"/>
        <v>1200</v>
      </c>
      <c r="M1706" s="9">
        <f t="shared" si="106"/>
        <v>1.1999999999998181</v>
      </c>
      <c r="N1706" t="str">
        <f t="shared" si="107"/>
        <v>May</v>
      </c>
    </row>
    <row r="1707" spans="1:14" x14ac:dyDescent="0.3">
      <c r="A1707" s="2" t="s">
        <v>1773</v>
      </c>
      <c r="B1707" s="6">
        <v>45802</v>
      </c>
      <c r="C1707" s="2" t="s">
        <v>31</v>
      </c>
      <c r="D1707" s="2" t="s">
        <v>68</v>
      </c>
      <c r="E1707" s="2">
        <v>3</v>
      </c>
      <c r="F1707" s="7">
        <v>249</v>
      </c>
      <c r="G1707" s="8">
        <v>0.15</v>
      </c>
      <c r="H1707" s="9" t="str">
        <f>INDEX(Products!$B$2:$B$37, MATCH(D1707, Products!$A$2:$A$37, 0))</f>
        <v>Bluetooth Speaker Mini</v>
      </c>
      <c r="I1707" t="str">
        <f>INDEX(Products!$C$2:$C$37, MATCH(D1707, Products!$A$2:$A$37, 0))</f>
        <v>Electronics</v>
      </c>
      <c r="J1707">
        <f>INDEX(Products!$E$2:$E$37, MATCH(D1707, Products!$A$2:$A$37, 0))</f>
        <v>150</v>
      </c>
      <c r="K1707" s="9">
        <f t="shared" si="104"/>
        <v>634.94999999999993</v>
      </c>
      <c r="L1707">
        <f t="shared" si="105"/>
        <v>450</v>
      </c>
      <c r="M1707" s="9">
        <f t="shared" si="106"/>
        <v>184.94999999999993</v>
      </c>
      <c r="N1707" t="str">
        <f t="shared" si="107"/>
        <v>May</v>
      </c>
    </row>
    <row r="1708" spans="1:14" x14ac:dyDescent="0.3">
      <c r="A1708" s="2" t="s">
        <v>1774</v>
      </c>
      <c r="B1708" s="6">
        <v>45802</v>
      </c>
      <c r="C1708" s="2" t="s">
        <v>44</v>
      </c>
      <c r="D1708" s="2" t="s">
        <v>29</v>
      </c>
      <c r="E1708" s="2">
        <v>3</v>
      </c>
      <c r="F1708" s="7">
        <v>229</v>
      </c>
      <c r="G1708" s="8">
        <v>0.1</v>
      </c>
      <c r="H1708" s="9" t="str">
        <f>INDEX(Products!$B$2:$B$37, MATCH(D1708, Products!$A$2:$A$37, 0))</f>
        <v>Women's Summer Dress</v>
      </c>
      <c r="I1708" t="str">
        <f>INDEX(Products!$C$2:$C$37, MATCH(D1708, Products!$A$2:$A$37, 0))</f>
        <v>Fashion</v>
      </c>
      <c r="J1708">
        <f>INDEX(Products!$E$2:$E$37, MATCH(D1708, Products!$A$2:$A$37, 0))</f>
        <v>120</v>
      </c>
      <c r="K1708" s="9">
        <f t="shared" si="104"/>
        <v>618.30000000000007</v>
      </c>
      <c r="L1708">
        <f t="shared" si="105"/>
        <v>360</v>
      </c>
      <c r="M1708" s="9">
        <f t="shared" si="106"/>
        <v>258.30000000000007</v>
      </c>
      <c r="N1708" t="str">
        <f t="shared" si="107"/>
        <v>May</v>
      </c>
    </row>
    <row r="1709" spans="1:14" x14ac:dyDescent="0.3">
      <c r="A1709" s="2" t="s">
        <v>1775</v>
      </c>
      <c r="B1709" s="6">
        <v>45802</v>
      </c>
      <c r="C1709" s="2" t="s">
        <v>28</v>
      </c>
      <c r="D1709" s="2" t="s">
        <v>131</v>
      </c>
      <c r="E1709" s="2">
        <v>1</v>
      </c>
      <c r="F1709" s="7">
        <v>899</v>
      </c>
      <c r="G1709" s="8">
        <v>0.15</v>
      </c>
      <c r="H1709" s="9" t="str">
        <f>INDEX(Products!$B$2:$B$37, MATCH(D1709, Products!$A$2:$A$37, 0))</f>
        <v>4K Action Camera</v>
      </c>
      <c r="I1709" t="str">
        <f>INDEX(Products!$C$2:$C$37, MATCH(D1709, Products!$A$2:$A$37, 0))</f>
        <v>Electronics</v>
      </c>
      <c r="J1709">
        <f>INDEX(Products!$E$2:$E$37, MATCH(D1709, Products!$A$2:$A$37, 0))</f>
        <v>610</v>
      </c>
      <c r="K1709" s="9">
        <f t="shared" si="104"/>
        <v>764.15</v>
      </c>
      <c r="L1709">
        <f t="shared" si="105"/>
        <v>610</v>
      </c>
      <c r="M1709" s="9">
        <f t="shared" si="106"/>
        <v>154.14999999999998</v>
      </c>
      <c r="N1709" t="str">
        <f t="shared" si="107"/>
        <v>May</v>
      </c>
    </row>
    <row r="1710" spans="1:14" x14ac:dyDescent="0.3">
      <c r="A1710" s="2" t="s">
        <v>1776</v>
      </c>
      <c r="B1710" s="6">
        <v>45802</v>
      </c>
      <c r="C1710" s="2" t="s">
        <v>44</v>
      </c>
      <c r="D1710" s="2" t="s">
        <v>194</v>
      </c>
      <c r="E1710" s="2">
        <v>2</v>
      </c>
      <c r="F1710" s="7">
        <v>699</v>
      </c>
      <c r="G1710" s="8">
        <v>0</v>
      </c>
      <c r="H1710" s="9" t="str">
        <f>INDEX(Products!$B$2:$B$37, MATCH(D1710, Products!$A$2:$A$37, 0))</f>
        <v>Leather Handbag</v>
      </c>
      <c r="I1710" t="str">
        <f>INDEX(Products!$C$2:$C$37, MATCH(D1710, Products!$A$2:$A$37, 0))</f>
        <v>Fashion</v>
      </c>
      <c r="J1710">
        <f>INDEX(Products!$E$2:$E$37, MATCH(D1710, Products!$A$2:$A$37, 0))</f>
        <v>380</v>
      </c>
      <c r="K1710" s="9">
        <f t="shared" si="104"/>
        <v>1398</v>
      </c>
      <c r="L1710">
        <f t="shared" si="105"/>
        <v>760</v>
      </c>
      <c r="M1710" s="9">
        <f t="shared" si="106"/>
        <v>638</v>
      </c>
      <c r="N1710" t="str">
        <f t="shared" si="107"/>
        <v>May</v>
      </c>
    </row>
    <row r="1711" spans="1:14" x14ac:dyDescent="0.3">
      <c r="A1711" s="2" t="s">
        <v>1777</v>
      </c>
      <c r="B1711" s="6">
        <v>45802</v>
      </c>
      <c r="C1711" s="2" t="s">
        <v>44</v>
      </c>
      <c r="D1711" s="2" t="s">
        <v>149</v>
      </c>
      <c r="E1711" s="2">
        <v>1</v>
      </c>
      <c r="F1711" s="7">
        <v>399</v>
      </c>
      <c r="G1711" s="8">
        <v>0.2</v>
      </c>
      <c r="H1711" s="9" t="str">
        <f>INDEX(Products!$B$2:$B$37, MATCH(D1711, Products!$A$2:$A$37, 0))</f>
        <v>Blender Pro 1200W</v>
      </c>
      <c r="I1711" t="str">
        <f>INDEX(Products!$C$2:$C$37, MATCH(D1711, Products!$A$2:$A$37, 0))</f>
        <v>Home &amp; Kitchen</v>
      </c>
      <c r="J1711">
        <f>INDEX(Products!$E$2:$E$37, MATCH(D1711, Products!$A$2:$A$37, 0))</f>
        <v>250</v>
      </c>
      <c r="K1711" s="9">
        <f t="shared" si="104"/>
        <v>319.20000000000005</v>
      </c>
      <c r="L1711">
        <f t="shared" si="105"/>
        <v>250</v>
      </c>
      <c r="M1711" s="9">
        <f t="shared" si="106"/>
        <v>69.200000000000045</v>
      </c>
      <c r="N1711" t="str">
        <f t="shared" si="107"/>
        <v>May</v>
      </c>
    </row>
    <row r="1712" spans="1:14" x14ac:dyDescent="0.3">
      <c r="A1712" s="2" t="s">
        <v>1778</v>
      </c>
      <c r="B1712" s="6">
        <v>45802</v>
      </c>
      <c r="C1712" s="2" t="s">
        <v>48</v>
      </c>
      <c r="D1712" s="2" t="s">
        <v>35</v>
      </c>
      <c r="E1712" s="2">
        <v>2</v>
      </c>
      <c r="F1712" s="7">
        <v>179</v>
      </c>
      <c r="G1712" s="8">
        <v>0</v>
      </c>
      <c r="H1712" s="9" t="str">
        <f>INDEX(Products!$B$2:$B$37, MATCH(D1712, Products!$A$2:$A$37, 0))</f>
        <v>Men's Linen Shirt</v>
      </c>
      <c r="I1712" t="str">
        <f>INDEX(Products!$C$2:$C$37, MATCH(D1712, Products!$A$2:$A$37, 0))</f>
        <v>Fashion</v>
      </c>
      <c r="J1712">
        <f>INDEX(Products!$E$2:$E$37, MATCH(D1712, Products!$A$2:$A$37, 0))</f>
        <v>70</v>
      </c>
      <c r="K1712" s="9">
        <f t="shared" si="104"/>
        <v>358</v>
      </c>
      <c r="L1712">
        <f t="shared" si="105"/>
        <v>140</v>
      </c>
      <c r="M1712" s="9">
        <f t="shared" si="106"/>
        <v>218</v>
      </c>
      <c r="N1712" t="str">
        <f t="shared" si="107"/>
        <v>May</v>
      </c>
    </row>
    <row r="1713" spans="1:14" x14ac:dyDescent="0.3">
      <c r="A1713" s="2" t="s">
        <v>1779</v>
      </c>
      <c r="B1713" s="6">
        <v>45802</v>
      </c>
      <c r="C1713" s="2" t="s">
        <v>44</v>
      </c>
      <c r="D1713" s="2" t="s">
        <v>80</v>
      </c>
      <c r="E1713" s="2">
        <v>2</v>
      </c>
      <c r="F1713" s="7">
        <v>149</v>
      </c>
      <c r="G1713" s="8">
        <v>0</v>
      </c>
      <c r="H1713" s="9" t="str">
        <f>INDEX(Products!$B$2:$B$37, MATCH(D1713, Products!$A$2:$A$37, 0))</f>
        <v>Vitamin C Serum</v>
      </c>
      <c r="I1713" t="str">
        <f>INDEX(Products!$C$2:$C$37, MATCH(D1713, Products!$A$2:$A$37, 0))</f>
        <v>Beauty</v>
      </c>
      <c r="J1713">
        <f>INDEX(Products!$E$2:$E$37, MATCH(D1713, Products!$A$2:$A$37, 0))</f>
        <v>55</v>
      </c>
      <c r="K1713" s="9">
        <f t="shared" si="104"/>
        <v>298</v>
      </c>
      <c r="L1713">
        <f t="shared" si="105"/>
        <v>110</v>
      </c>
      <c r="M1713" s="9">
        <f t="shared" si="106"/>
        <v>188</v>
      </c>
      <c r="N1713" t="str">
        <f t="shared" si="107"/>
        <v>May</v>
      </c>
    </row>
    <row r="1714" spans="1:14" x14ac:dyDescent="0.3">
      <c r="A1714" s="2" t="s">
        <v>1780</v>
      </c>
      <c r="B1714" s="6">
        <v>45802</v>
      </c>
      <c r="C1714" s="2" t="s">
        <v>41</v>
      </c>
      <c r="D1714" s="2" t="s">
        <v>92</v>
      </c>
      <c r="E1714" s="2">
        <v>1</v>
      </c>
      <c r="F1714" s="7">
        <v>349</v>
      </c>
      <c r="G1714" s="8">
        <v>0</v>
      </c>
      <c r="H1714" s="9" t="str">
        <f>INDEX(Products!$B$2:$B$37, MATCH(D1714, Products!$A$2:$A$37, 0))</f>
        <v>Non-stick Cookware Set</v>
      </c>
      <c r="I1714" t="str">
        <f>INDEX(Products!$C$2:$C$37, MATCH(D1714, Products!$A$2:$A$37, 0))</f>
        <v>Home &amp; Kitchen</v>
      </c>
      <c r="J1714">
        <f>INDEX(Products!$E$2:$E$37, MATCH(D1714, Products!$A$2:$A$37, 0))</f>
        <v>170</v>
      </c>
      <c r="K1714" s="9">
        <f t="shared" si="104"/>
        <v>349</v>
      </c>
      <c r="L1714">
        <f t="shared" si="105"/>
        <v>170</v>
      </c>
      <c r="M1714" s="9">
        <f t="shared" si="106"/>
        <v>179</v>
      </c>
      <c r="N1714" t="str">
        <f t="shared" si="107"/>
        <v>May</v>
      </c>
    </row>
    <row r="1715" spans="1:14" x14ac:dyDescent="0.3">
      <c r="A1715" s="2" t="s">
        <v>1781</v>
      </c>
      <c r="B1715" s="6">
        <v>45803</v>
      </c>
      <c r="C1715" s="2" t="s">
        <v>31</v>
      </c>
      <c r="D1715" s="2" t="s">
        <v>99</v>
      </c>
      <c r="E1715" s="2">
        <v>1</v>
      </c>
      <c r="F1715" s="7">
        <v>459</v>
      </c>
      <c r="G1715" s="8">
        <v>0</v>
      </c>
      <c r="H1715" s="9" t="str">
        <f>INDEX(Products!$B$2:$B$37, MATCH(D1715, Products!$A$2:$A$37, 0))</f>
        <v>Gaming Headset X</v>
      </c>
      <c r="I1715" t="str">
        <f>INDEX(Products!$C$2:$C$37, MATCH(D1715, Products!$A$2:$A$37, 0))</f>
        <v>Electronics</v>
      </c>
      <c r="J1715">
        <f>INDEX(Products!$E$2:$E$37, MATCH(D1715, Products!$A$2:$A$37, 0))</f>
        <v>300</v>
      </c>
      <c r="K1715" s="9">
        <f t="shared" si="104"/>
        <v>459</v>
      </c>
      <c r="L1715">
        <f t="shared" si="105"/>
        <v>300</v>
      </c>
      <c r="M1715" s="9">
        <f t="shared" si="106"/>
        <v>159</v>
      </c>
      <c r="N1715" t="str">
        <f t="shared" si="107"/>
        <v>May</v>
      </c>
    </row>
    <row r="1716" spans="1:14" x14ac:dyDescent="0.3">
      <c r="A1716" s="2" t="s">
        <v>1782</v>
      </c>
      <c r="B1716" s="6">
        <v>45803</v>
      </c>
      <c r="C1716" s="2" t="s">
        <v>31</v>
      </c>
      <c r="D1716" s="2" t="s">
        <v>89</v>
      </c>
      <c r="E1716" s="2">
        <v>1</v>
      </c>
      <c r="F1716" s="7">
        <v>399</v>
      </c>
      <c r="G1716" s="8">
        <v>0.05</v>
      </c>
      <c r="H1716" s="9" t="str">
        <f>INDEX(Products!$B$2:$B$37, MATCH(D1716, Products!$A$2:$A$37, 0))</f>
        <v>Men's Kandura Premium</v>
      </c>
      <c r="I1716" t="str">
        <f>INDEX(Products!$C$2:$C$37, MATCH(D1716, Products!$A$2:$A$37, 0))</f>
        <v>Fashion</v>
      </c>
      <c r="J1716">
        <f>INDEX(Products!$E$2:$E$37, MATCH(D1716, Products!$A$2:$A$37, 0))</f>
        <v>210</v>
      </c>
      <c r="K1716" s="9">
        <f t="shared" si="104"/>
        <v>379.04999999999995</v>
      </c>
      <c r="L1716">
        <f t="shared" si="105"/>
        <v>210</v>
      </c>
      <c r="M1716" s="9">
        <f t="shared" si="106"/>
        <v>169.04999999999995</v>
      </c>
      <c r="N1716" t="str">
        <f t="shared" si="107"/>
        <v>May</v>
      </c>
    </row>
    <row r="1717" spans="1:14" x14ac:dyDescent="0.3">
      <c r="A1717" s="2" t="s">
        <v>1783</v>
      </c>
      <c r="B1717" s="6">
        <v>45803</v>
      </c>
      <c r="C1717" s="2" t="s">
        <v>41</v>
      </c>
      <c r="D1717" s="2" t="s">
        <v>89</v>
      </c>
      <c r="E1717" s="2">
        <v>1</v>
      </c>
      <c r="F1717" s="7">
        <v>399</v>
      </c>
      <c r="G1717" s="8">
        <v>0</v>
      </c>
      <c r="H1717" s="9" t="str">
        <f>INDEX(Products!$B$2:$B$37, MATCH(D1717, Products!$A$2:$A$37, 0))</f>
        <v>Men's Kandura Premium</v>
      </c>
      <c r="I1717" t="str">
        <f>INDEX(Products!$C$2:$C$37, MATCH(D1717, Products!$A$2:$A$37, 0))</f>
        <v>Fashion</v>
      </c>
      <c r="J1717">
        <f>INDEX(Products!$E$2:$E$37, MATCH(D1717, Products!$A$2:$A$37, 0))</f>
        <v>210</v>
      </c>
      <c r="K1717" s="9">
        <f t="shared" si="104"/>
        <v>399</v>
      </c>
      <c r="L1717">
        <f t="shared" si="105"/>
        <v>210</v>
      </c>
      <c r="M1717" s="9">
        <f t="shared" si="106"/>
        <v>189</v>
      </c>
      <c r="N1717" t="str">
        <f t="shared" si="107"/>
        <v>May</v>
      </c>
    </row>
    <row r="1718" spans="1:14" x14ac:dyDescent="0.3">
      <c r="A1718" s="2" t="s">
        <v>1784</v>
      </c>
      <c r="B1718" s="6">
        <v>45803</v>
      </c>
      <c r="C1718" s="2" t="s">
        <v>28</v>
      </c>
      <c r="D1718" s="2" t="s">
        <v>58</v>
      </c>
      <c r="E1718" s="2">
        <v>1</v>
      </c>
      <c r="F1718" s="7">
        <v>459</v>
      </c>
      <c r="G1718" s="8">
        <v>0</v>
      </c>
      <c r="H1718" s="9" t="str">
        <f>INDEX(Products!$B$2:$B$37, MATCH(D1718, Products!$A$2:$A$37, 0))</f>
        <v>Women's Abaya Classic</v>
      </c>
      <c r="I1718" t="str">
        <f>INDEX(Products!$C$2:$C$37, MATCH(D1718, Products!$A$2:$A$37, 0))</f>
        <v>Fashion</v>
      </c>
      <c r="J1718">
        <f>INDEX(Products!$E$2:$E$37, MATCH(D1718, Products!$A$2:$A$37, 0))</f>
        <v>190</v>
      </c>
      <c r="K1718" s="9">
        <f t="shared" si="104"/>
        <v>459</v>
      </c>
      <c r="L1718">
        <f t="shared" si="105"/>
        <v>190</v>
      </c>
      <c r="M1718" s="9">
        <f t="shared" si="106"/>
        <v>269</v>
      </c>
      <c r="N1718" t="str">
        <f t="shared" si="107"/>
        <v>May</v>
      </c>
    </row>
    <row r="1719" spans="1:14" x14ac:dyDescent="0.3">
      <c r="A1719" s="2" t="s">
        <v>1785</v>
      </c>
      <c r="B1719" s="6">
        <v>45803</v>
      </c>
      <c r="C1719" s="2" t="s">
        <v>31</v>
      </c>
      <c r="D1719" s="2" t="s">
        <v>60</v>
      </c>
      <c r="E1719" s="2">
        <v>1</v>
      </c>
      <c r="F1719" s="7">
        <v>99</v>
      </c>
      <c r="G1719" s="8">
        <v>0.1</v>
      </c>
      <c r="H1719" s="9" t="str">
        <f>INDEX(Products!$B$2:$B$37, MATCH(D1719, Products!$A$2:$A$37, 0))</f>
        <v>Football Size 5</v>
      </c>
      <c r="I1719" t="str">
        <f>INDEX(Products!$C$2:$C$37, MATCH(D1719, Products!$A$2:$A$37, 0))</f>
        <v>Sports</v>
      </c>
      <c r="J1719">
        <f>INDEX(Products!$E$2:$E$37, MATCH(D1719, Products!$A$2:$A$37, 0))</f>
        <v>45</v>
      </c>
      <c r="K1719" s="9">
        <f t="shared" si="104"/>
        <v>89.100000000000009</v>
      </c>
      <c r="L1719">
        <f t="shared" si="105"/>
        <v>45</v>
      </c>
      <c r="M1719" s="9">
        <f t="shared" si="106"/>
        <v>44.100000000000009</v>
      </c>
      <c r="N1719" t="str">
        <f t="shared" si="107"/>
        <v>May</v>
      </c>
    </row>
    <row r="1720" spans="1:14" x14ac:dyDescent="0.3">
      <c r="A1720" s="2" t="s">
        <v>1786</v>
      </c>
      <c r="B1720" s="6">
        <v>45803</v>
      </c>
      <c r="C1720" s="2" t="s">
        <v>41</v>
      </c>
      <c r="D1720" s="2" t="s">
        <v>131</v>
      </c>
      <c r="E1720" s="2">
        <v>2</v>
      </c>
      <c r="F1720" s="7">
        <v>899</v>
      </c>
      <c r="G1720" s="8">
        <v>0.15</v>
      </c>
      <c r="H1720" s="9" t="str">
        <f>INDEX(Products!$B$2:$B$37, MATCH(D1720, Products!$A$2:$A$37, 0))</f>
        <v>4K Action Camera</v>
      </c>
      <c r="I1720" t="str">
        <f>INDEX(Products!$C$2:$C$37, MATCH(D1720, Products!$A$2:$A$37, 0))</f>
        <v>Electronics</v>
      </c>
      <c r="J1720">
        <f>INDEX(Products!$E$2:$E$37, MATCH(D1720, Products!$A$2:$A$37, 0))</f>
        <v>610</v>
      </c>
      <c r="K1720" s="9">
        <f t="shared" si="104"/>
        <v>1528.3</v>
      </c>
      <c r="L1720">
        <f t="shared" si="105"/>
        <v>1220</v>
      </c>
      <c r="M1720" s="9">
        <f t="shared" si="106"/>
        <v>308.29999999999995</v>
      </c>
      <c r="N1720" t="str">
        <f t="shared" si="107"/>
        <v>May</v>
      </c>
    </row>
    <row r="1721" spans="1:14" x14ac:dyDescent="0.3">
      <c r="A1721" s="2" t="s">
        <v>1787</v>
      </c>
      <c r="B1721" s="6">
        <v>45803</v>
      </c>
      <c r="C1721" s="2" t="s">
        <v>28</v>
      </c>
      <c r="D1721" s="2" t="s">
        <v>68</v>
      </c>
      <c r="E1721" s="2">
        <v>2</v>
      </c>
      <c r="F1721" s="7">
        <v>249</v>
      </c>
      <c r="G1721" s="8">
        <v>0</v>
      </c>
      <c r="H1721" s="9" t="str">
        <f>INDEX(Products!$B$2:$B$37, MATCH(D1721, Products!$A$2:$A$37, 0))</f>
        <v>Bluetooth Speaker Mini</v>
      </c>
      <c r="I1721" t="str">
        <f>INDEX(Products!$C$2:$C$37, MATCH(D1721, Products!$A$2:$A$37, 0))</f>
        <v>Electronics</v>
      </c>
      <c r="J1721">
        <f>INDEX(Products!$E$2:$E$37, MATCH(D1721, Products!$A$2:$A$37, 0))</f>
        <v>150</v>
      </c>
      <c r="K1721" s="9">
        <f t="shared" si="104"/>
        <v>498</v>
      </c>
      <c r="L1721">
        <f t="shared" si="105"/>
        <v>300</v>
      </c>
      <c r="M1721" s="9">
        <f t="shared" si="106"/>
        <v>198</v>
      </c>
      <c r="N1721" t="str">
        <f t="shared" si="107"/>
        <v>May</v>
      </c>
    </row>
    <row r="1722" spans="1:14" x14ac:dyDescent="0.3">
      <c r="A1722" s="2" t="s">
        <v>1788</v>
      </c>
      <c r="B1722" s="6">
        <v>45803</v>
      </c>
      <c r="C1722" s="2" t="s">
        <v>41</v>
      </c>
      <c r="D1722" s="2" t="s">
        <v>103</v>
      </c>
      <c r="E1722" s="2">
        <v>1</v>
      </c>
      <c r="F1722" s="7">
        <v>89</v>
      </c>
      <c r="G1722" s="8">
        <v>0.1</v>
      </c>
      <c r="H1722" s="9" t="str">
        <f>INDEX(Products!$B$2:$B$37, MATCH(D1722, Products!$A$2:$A$37, 0))</f>
        <v>Sunscreen SPF50</v>
      </c>
      <c r="I1722" t="str">
        <f>INDEX(Products!$C$2:$C$37, MATCH(D1722, Products!$A$2:$A$37, 0))</f>
        <v>Beauty</v>
      </c>
      <c r="J1722">
        <f>INDEX(Products!$E$2:$E$37, MATCH(D1722, Products!$A$2:$A$37, 0))</f>
        <v>40</v>
      </c>
      <c r="K1722" s="9">
        <f t="shared" si="104"/>
        <v>80.100000000000009</v>
      </c>
      <c r="L1722">
        <f t="shared" si="105"/>
        <v>40</v>
      </c>
      <c r="M1722" s="9">
        <f t="shared" si="106"/>
        <v>40.100000000000009</v>
      </c>
      <c r="N1722" t="str">
        <f t="shared" si="107"/>
        <v>May</v>
      </c>
    </row>
    <row r="1723" spans="1:14" x14ac:dyDescent="0.3">
      <c r="A1723" s="2" t="s">
        <v>1789</v>
      </c>
      <c r="B1723" s="6">
        <v>45804</v>
      </c>
      <c r="C1723" s="2" t="s">
        <v>44</v>
      </c>
      <c r="D1723" s="2" t="s">
        <v>163</v>
      </c>
      <c r="E1723" s="2">
        <v>2</v>
      </c>
      <c r="F1723" s="7">
        <v>2499</v>
      </c>
      <c r="G1723" s="8">
        <v>0.15</v>
      </c>
      <c r="H1723" s="9" t="str">
        <f>INDEX(Products!$B$2:$B$37, MATCH(D1723, Products!$A$2:$A$37, 0))</f>
        <v>Treadmill Compact</v>
      </c>
      <c r="I1723" t="str">
        <f>INDEX(Products!$C$2:$C$37, MATCH(D1723, Products!$A$2:$A$37, 0))</f>
        <v>Sports</v>
      </c>
      <c r="J1723">
        <f>INDEX(Products!$E$2:$E$37, MATCH(D1723, Products!$A$2:$A$37, 0))</f>
        <v>2150</v>
      </c>
      <c r="K1723" s="9">
        <f t="shared" si="104"/>
        <v>4248.3</v>
      </c>
      <c r="L1723">
        <f t="shared" si="105"/>
        <v>4300</v>
      </c>
      <c r="M1723" s="9">
        <f t="shared" si="106"/>
        <v>-51.699999999999818</v>
      </c>
      <c r="N1723" t="str">
        <f t="shared" si="107"/>
        <v>May</v>
      </c>
    </row>
    <row r="1724" spans="1:14" x14ac:dyDescent="0.3">
      <c r="A1724" s="2" t="s">
        <v>1790</v>
      </c>
      <c r="B1724" s="6">
        <v>45804</v>
      </c>
      <c r="C1724" s="2" t="s">
        <v>44</v>
      </c>
      <c r="D1724" s="2" t="s">
        <v>89</v>
      </c>
      <c r="E1724" s="2">
        <v>2</v>
      </c>
      <c r="F1724" s="7">
        <v>399</v>
      </c>
      <c r="G1724" s="8">
        <v>0</v>
      </c>
      <c r="H1724" s="9" t="str">
        <f>INDEX(Products!$B$2:$B$37, MATCH(D1724, Products!$A$2:$A$37, 0))</f>
        <v>Men's Kandura Premium</v>
      </c>
      <c r="I1724" t="str">
        <f>INDEX(Products!$C$2:$C$37, MATCH(D1724, Products!$A$2:$A$37, 0))</f>
        <v>Fashion</v>
      </c>
      <c r="J1724">
        <f>INDEX(Products!$E$2:$E$37, MATCH(D1724, Products!$A$2:$A$37, 0))</f>
        <v>210</v>
      </c>
      <c r="K1724" s="9">
        <f t="shared" si="104"/>
        <v>798</v>
      </c>
      <c r="L1724">
        <f t="shared" si="105"/>
        <v>420</v>
      </c>
      <c r="M1724" s="9">
        <f t="shared" si="106"/>
        <v>378</v>
      </c>
      <c r="N1724" t="str">
        <f t="shared" si="107"/>
        <v>May</v>
      </c>
    </row>
    <row r="1725" spans="1:14" x14ac:dyDescent="0.3">
      <c r="A1725" s="2" t="s">
        <v>1791</v>
      </c>
      <c r="B1725" s="6">
        <v>45804</v>
      </c>
      <c r="C1725" s="2" t="s">
        <v>28</v>
      </c>
      <c r="D1725" s="2" t="s">
        <v>37</v>
      </c>
      <c r="E1725" s="2">
        <v>1</v>
      </c>
      <c r="F1725" s="7">
        <v>249</v>
      </c>
      <c r="G1725" s="8">
        <v>0.05</v>
      </c>
      <c r="H1725" s="9" t="str">
        <f>INDEX(Products!$B$2:$B$37, MATCH(D1725, Products!$A$2:$A$37, 0))</f>
        <v>Sunglasses Polarised</v>
      </c>
      <c r="I1725" t="str">
        <f>INDEX(Products!$C$2:$C$37, MATCH(D1725, Products!$A$2:$A$37, 0))</f>
        <v>Fashion</v>
      </c>
      <c r="J1725">
        <f>INDEX(Products!$E$2:$E$37, MATCH(D1725, Products!$A$2:$A$37, 0))</f>
        <v>95</v>
      </c>
      <c r="K1725" s="9">
        <f t="shared" si="104"/>
        <v>236.54999999999998</v>
      </c>
      <c r="L1725">
        <f t="shared" si="105"/>
        <v>95</v>
      </c>
      <c r="M1725" s="9">
        <f t="shared" si="106"/>
        <v>141.54999999999998</v>
      </c>
      <c r="N1725" t="str">
        <f t="shared" si="107"/>
        <v>May</v>
      </c>
    </row>
    <row r="1726" spans="1:14" x14ac:dyDescent="0.3">
      <c r="A1726" s="2" t="s">
        <v>1792</v>
      </c>
      <c r="B1726" s="6">
        <v>45804</v>
      </c>
      <c r="C1726" s="2" t="s">
        <v>41</v>
      </c>
      <c r="D1726" s="2" t="s">
        <v>103</v>
      </c>
      <c r="E1726" s="2">
        <v>1</v>
      </c>
      <c r="F1726" s="7">
        <v>89</v>
      </c>
      <c r="G1726" s="8">
        <v>0.1</v>
      </c>
      <c r="H1726" s="9" t="str">
        <f>INDEX(Products!$B$2:$B$37, MATCH(D1726, Products!$A$2:$A$37, 0))</f>
        <v>Sunscreen SPF50</v>
      </c>
      <c r="I1726" t="str">
        <f>INDEX(Products!$C$2:$C$37, MATCH(D1726, Products!$A$2:$A$37, 0))</f>
        <v>Beauty</v>
      </c>
      <c r="J1726">
        <f>INDEX(Products!$E$2:$E$37, MATCH(D1726, Products!$A$2:$A$37, 0))</f>
        <v>40</v>
      </c>
      <c r="K1726" s="9">
        <f t="shared" si="104"/>
        <v>80.100000000000009</v>
      </c>
      <c r="L1726">
        <f t="shared" si="105"/>
        <v>40</v>
      </c>
      <c r="M1726" s="9">
        <f t="shared" si="106"/>
        <v>40.100000000000009</v>
      </c>
      <c r="N1726" t="str">
        <f t="shared" si="107"/>
        <v>May</v>
      </c>
    </row>
    <row r="1727" spans="1:14" x14ac:dyDescent="0.3">
      <c r="A1727" s="2" t="s">
        <v>1793</v>
      </c>
      <c r="B1727" s="6">
        <v>45804</v>
      </c>
      <c r="C1727" s="2" t="s">
        <v>44</v>
      </c>
      <c r="D1727" s="2" t="s">
        <v>70</v>
      </c>
      <c r="E1727" s="2">
        <v>2</v>
      </c>
      <c r="F1727" s="7">
        <v>429</v>
      </c>
      <c r="G1727" s="8">
        <v>0.2</v>
      </c>
      <c r="H1727" s="9" t="str">
        <f>INDEX(Products!$B$2:$B$37, MATCH(D1727, Products!$A$2:$A$37, 0))</f>
        <v>Running Shoes Elite</v>
      </c>
      <c r="I1727" t="str">
        <f>INDEX(Products!$C$2:$C$37, MATCH(D1727, Products!$A$2:$A$37, 0))</f>
        <v>Fashion</v>
      </c>
      <c r="J1727">
        <f>INDEX(Products!$E$2:$E$37, MATCH(D1727, Products!$A$2:$A$37, 0))</f>
        <v>300</v>
      </c>
      <c r="K1727" s="9">
        <f t="shared" si="104"/>
        <v>686.40000000000009</v>
      </c>
      <c r="L1727">
        <f t="shared" si="105"/>
        <v>600</v>
      </c>
      <c r="M1727" s="9">
        <f t="shared" si="106"/>
        <v>86.400000000000091</v>
      </c>
      <c r="N1727" t="str">
        <f t="shared" si="107"/>
        <v>May</v>
      </c>
    </row>
    <row r="1728" spans="1:14" x14ac:dyDescent="0.3">
      <c r="A1728" s="2" t="s">
        <v>1794</v>
      </c>
      <c r="B1728" s="6">
        <v>45804</v>
      </c>
      <c r="C1728" s="2" t="s">
        <v>31</v>
      </c>
      <c r="D1728" s="2" t="s">
        <v>131</v>
      </c>
      <c r="E1728" s="2">
        <v>2</v>
      </c>
      <c r="F1728" s="7">
        <v>899</v>
      </c>
      <c r="G1728" s="8">
        <v>0.05</v>
      </c>
      <c r="H1728" s="9" t="str">
        <f>INDEX(Products!$B$2:$B$37, MATCH(D1728, Products!$A$2:$A$37, 0))</f>
        <v>4K Action Camera</v>
      </c>
      <c r="I1728" t="str">
        <f>INDEX(Products!$C$2:$C$37, MATCH(D1728, Products!$A$2:$A$37, 0))</f>
        <v>Electronics</v>
      </c>
      <c r="J1728">
        <f>INDEX(Products!$E$2:$E$37, MATCH(D1728, Products!$A$2:$A$37, 0))</f>
        <v>610</v>
      </c>
      <c r="K1728" s="9">
        <f t="shared" si="104"/>
        <v>1708.1</v>
      </c>
      <c r="L1728">
        <f t="shared" si="105"/>
        <v>1220</v>
      </c>
      <c r="M1728" s="9">
        <f t="shared" si="106"/>
        <v>488.09999999999991</v>
      </c>
      <c r="N1728" t="str">
        <f t="shared" si="107"/>
        <v>May</v>
      </c>
    </row>
    <row r="1729" spans="1:14" x14ac:dyDescent="0.3">
      <c r="A1729" s="2" t="s">
        <v>1795</v>
      </c>
      <c r="B1729" s="6">
        <v>45804</v>
      </c>
      <c r="C1729" s="2" t="s">
        <v>44</v>
      </c>
      <c r="D1729" s="2" t="s">
        <v>115</v>
      </c>
      <c r="E1729" s="2">
        <v>3</v>
      </c>
      <c r="F1729" s="7">
        <v>129</v>
      </c>
      <c r="G1729" s="8">
        <v>0.3</v>
      </c>
      <c r="H1729" s="9" t="str">
        <f>INDEX(Products!$B$2:$B$37, MATCH(D1729, Products!$A$2:$A$37, 0))</f>
        <v>Electric Kettle</v>
      </c>
      <c r="I1729" t="str">
        <f>INDEX(Products!$C$2:$C$37, MATCH(D1729, Products!$A$2:$A$37, 0))</f>
        <v>Home &amp; Kitchen</v>
      </c>
      <c r="J1729">
        <f>INDEX(Products!$E$2:$E$37, MATCH(D1729, Products!$A$2:$A$37, 0))</f>
        <v>60</v>
      </c>
      <c r="K1729" s="9">
        <f t="shared" si="104"/>
        <v>270.89999999999998</v>
      </c>
      <c r="L1729">
        <f t="shared" si="105"/>
        <v>180</v>
      </c>
      <c r="M1729" s="9">
        <f t="shared" si="106"/>
        <v>90.899999999999977</v>
      </c>
      <c r="N1729" t="str">
        <f t="shared" si="107"/>
        <v>May</v>
      </c>
    </row>
    <row r="1730" spans="1:14" x14ac:dyDescent="0.3">
      <c r="A1730" s="2" t="s">
        <v>1796</v>
      </c>
      <c r="B1730" s="6">
        <v>45804</v>
      </c>
      <c r="C1730" s="2" t="s">
        <v>44</v>
      </c>
      <c r="D1730" s="2" t="s">
        <v>126</v>
      </c>
      <c r="E1730" s="2">
        <v>3</v>
      </c>
      <c r="F1730" s="7">
        <v>89</v>
      </c>
      <c r="G1730" s="8">
        <v>0</v>
      </c>
      <c r="H1730" s="9" t="str">
        <f>INDEX(Products!$B$2:$B$37, MATCH(D1730, Products!$A$2:$A$37, 0))</f>
        <v>USB-C Fast Charger</v>
      </c>
      <c r="I1730" t="str">
        <f>INDEX(Products!$C$2:$C$37, MATCH(D1730, Products!$A$2:$A$37, 0))</f>
        <v>Electronics</v>
      </c>
      <c r="J1730">
        <f>INDEX(Products!$E$2:$E$37, MATCH(D1730, Products!$A$2:$A$37, 0))</f>
        <v>35</v>
      </c>
      <c r="K1730" s="9">
        <f t="shared" ref="K1730:K1793" si="108">E1730*F1730*(1-G1730)</f>
        <v>267</v>
      </c>
      <c r="L1730">
        <f t="shared" ref="L1730:L1793" si="109">E1730*J1730</f>
        <v>105</v>
      </c>
      <c r="M1730" s="9">
        <f t="shared" ref="M1730:M1793" si="110">K1730-L1730</f>
        <v>162</v>
      </c>
      <c r="N1730" t="str">
        <f t="shared" ref="N1730:N1793" si="111">TEXT(B1730,"mmm")</f>
        <v>May</v>
      </c>
    </row>
    <row r="1731" spans="1:14" x14ac:dyDescent="0.3">
      <c r="A1731" s="2" t="s">
        <v>1797</v>
      </c>
      <c r="B1731" s="6">
        <v>45804</v>
      </c>
      <c r="C1731" s="2" t="s">
        <v>44</v>
      </c>
      <c r="D1731" s="2" t="s">
        <v>165</v>
      </c>
      <c r="E1731" s="2">
        <v>2</v>
      </c>
      <c r="F1731" s="7">
        <v>69</v>
      </c>
      <c r="G1731" s="8">
        <v>0</v>
      </c>
      <c r="H1731" s="9" t="str">
        <f>INDEX(Products!$B$2:$B$37, MATCH(D1731, Products!$A$2:$A$37, 0))</f>
        <v>Swim Goggles</v>
      </c>
      <c r="I1731" t="str">
        <f>INDEX(Products!$C$2:$C$37, MATCH(D1731, Products!$A$2:$A$37, 0))</f>
        <v>Sports</v>
      </c>
      <c r="J1731">
        <f>INDEX(Products!$E$2:$E$37, MATCH(D1731, Products!$A$2:$A$37, 0))</f>
        <v>25</v>
      </c>
      <c r="K1731" s="9">
        <f t="shared" si="108"/>
        <v>138</v>
      </c>
      <c r="L1731">
        <f t="shared" si="109"/>
        <v>50</v>
      </c>
      <c r="M1731" s="9">
        <f t="shared" si="110"/>
        <v>88</v>
      </c>
      <c r="N1731" t="str">
        <f t="shared" si="111"/>
        <v>May</v>
      </c>
    </row>
    <row r="1732" spans="1:14" x14ac:dyDescent="0.3">
      <c r="A1732" s="2" t="s">
        <v>1798</v>
      </c>
      <c r="B1732" s="6">
        <v>45805</v>
      </c>
      <c r="C1732" s="2" t="s">
        <v>48</v>
      </c>
      <c r="D1732" s="2" t="s">
        <v>126</v>
      </c>
      <c r="E1732" s="2">
        <v>1</v>
      </c>
      <c r="F1732" s="7">
        <v>89</v>
      </c>
      <c r="G1732" s="8">
        <v>0</v>
      </c>
      <c r="H1732" s="9" t="str">
        <f>INDEX(Products!$B$2:$B$37, MATCH(D1732, Products!$A$2:$A$37, 0))</f>
        <v>USB-C Fast Charger</v>
      </c>
      <c r="I1732" t="str">
        <f>INDEX(Products!$C$2:$C$37, MATCH(D1732, Products!$A$2:$A$37, 0))</f>
        <v>Electronics</v>
      </c>
      <c r="J1732">
        <f>INDEX(Products!$E$2:$E$37, MATCH(D1732, Products!$A$2:$A$37, 0))</f>
        <v>35</v>
      </c>
      <c r="K1732" s="9">
        <f t="shared" si="108"/>
        <v>89</v>
      </c>
      <c r="L1732">
        <f t="shared" si="109"/>
        <v>35</v>
      </c>
      <c r="M1732" s="9">
        <f t="shared" si="110"/>
        <v>54</v>
      </c>
      <c r="N1732" t="str">
        <f t="shared" si="111"/>
        <v>May</v>
      </c>
    </row>
    <row r="1733" spans="1:14" x14ac:dyDescent="0.3">
      <c r="A1733" s="2" t="s">
        <v>1799</v>
      </c>
      <c r="B1733" s="6">
        <v>45805</v>
      </c>
      <c r="C1733" s="2" t="s">
        <v>44</v>
      </c>
      <c r="D1733" s="2" t="s">
        <v>149</v>
      </c>
      <c r="E1733" s="2">
        <v>1</v>
      </c>
      <c r="F1733" s="7">
        <v>399</v>
      </c>
      <c r="G1733" s="8">
        <v>0</v>
      </c>
      <c r="H1733" s="9" t="str">
        <f>INDEX(Products!$B$2:$B$37, MATCH(D1733, Products!$A$2:$A$37, 0))</f>
        <v>Blender Pro 1200W</v>
      </c>
      <c r="I1733" t="str">
        <f>INDEX(Products!$C$2:$C$37, MATCH(D1733, Products!$A$2:$A$37, 0))</f>
        <v>Home &amp; Kitchen</v>
      </c>
      <c r="J1733">
        <f>INDEX(Products!$E$2:$E$37, MATCH(D1733, Products!$A$2:$A$37, 0))</f>
        <v>250</v>
      </c>
      <c r="K1733" s="9">
        <f t="shared" si="108"/>
        <v>399</v>
      </c>
      <c r="L1733">
        <f t="shared" si="109"/>
        <v>250</v>
      </c>
      <c r="M1733" s="9">
        <f t="shared" si="110"/>
        <v>149</v>
      </c>
      <c r="N1733" t="str">
        <f t="shared" si="111"/>
        <v>May</v>
      </c>
    </row>
    <row r="1734" spans="1:14" x14ac:dyDescent="0.3">
      <c r="A1734" s="2" t="s">
        <v>1800</v>
      </c>
      <c r="B1734" s="6">
        <v>45805</v>
      </c>
      <c r="C1734" s="2" t="s">
        <v>28</v>
      </c>
      <c r="D1734" s="2" t="s">
        <v>39</v>
      </c>
      <c r="E1734" s="2">
        <v>1</v>
      </c>
      <c r="F1734" s="7">
        <v>199</v>
      </c>
      <c r="G1734" s="8">
        <v>0.2</v>
      </c>
      <c r="H1734" s="9" t="str">
        <f>INDEX(Products!$B$2:$B$37, MATCH(D1734, Products!$A$2:$A$37, 0))</f>
        <v>Bakhoor Gift Set</v>
      </c>
      <c r="I1734" t="str">
        <f>INDEX(Products!$C$2:$C$37, MATCH(D1734, Products!$A$2:$A$37, 0))</f>
        <v>Beauty</v>
      </c>
      <c r="J1734">
        <f>INDEX(Products!$E$2:$E$37, MATCH(D1734, Products!$A$2:$A$37, 0))</f>
        <v>90</v>
      </c>
      <c r="K1734" s="9">
        <f t="shared" si="108"/>
        <v>159.20000000000002</v>
      </c>
      <c r="L1734">
        <f t="shared" si="109"/>
        <v>90</v>
      </c>
      <c r="M1734" s="9">
        <f t="shared" si="110"/>
        <v>69.200000000000017</v>
      </c>
      <c r="N1734" t="str">
        <f t="shared" si="111"/>
        <v>May</v>
      </c>
    </row>
    <row r="1735" spans="1:14" x14ac:dyDescent="0.3">
      <c r="A1735" s="2" t="s">
        <v>1801</v>
      </c>
      <c r="B1735" s="6">
        <v>45805</v>
      </c>
      <c r="C1735" s="2" t="s">
        <v>31</v>
      </c>
      <c r="D1735" s="2" t="s">
        <v>80</v>
      </c>
      <c r="E1735" s="2">
        <v>4</v>
      </c>
      <c r="F1735" s="7">
        <v>149</v>
      </c>
      <c r="G1735" s="8">
        <v>0.2</v>
      </c>
      <c r="H1735" s="9" t="str">
        <f>INDEX(Products!$B$2:$B$37, MATCH(D1735, Products!$A$2:$A$37, 0))</f>
        <v>Vitamin C Serum</v>
      </c>
      <c r="I1735" t="str">
        <f>INDEX(Products!$C$2:$C$37, MATCH(D1735, Products!$A$2:$A$37, 0))</f>
        <v>Beauty</v>
      </c>
      <c r="J1735">
        <f>INDEX(Products!$E$2:$E$37, MATCH(D1735, Products!$A$2:$A$37, 0))</f>
        <v>55</v>
      </c>
      <c r="K1735" s="9">
        <f t="shared" si="108"/>
        <v>476.8</v>
      </c>
      <c r="L1735">
        <f t="shared" si="109"/>
        <v>220</v>
      </c>
      <c r="M1735" s="9">
        <f t="shared" si="110"/>
        <v>256.8</v>
      </c>
      <c r="N1735" t="str">
        <f t="shared" si="111"/>
        <v>May</v>
      </c>
    </row>
    <row r="1736" spans="1:14" x14ac:dyDescent="0.3">
      <c r="A1736" s="2" t="s">
        <v>1802</v>
      </c>
      <c r="B1736" s="6">
        <v>45805</v>
      </c>
      <c r="C1736" s="2" t="s">
        <v>41</v>
      </c>
      <c r="D1736" s="2" t="s">
        <v>99</v>
      </c>
      <c r="E1736" s="2">
        <v>2</v>
      </c>
      <c r="F1736" s="7">
        <v>459</v>
      </c>
      <c r="G1736" s="8">
        <v>0.3</v>
      </c>
      <c r="H1736" s="9" t="str">
        <f>INDEX(Products!$B$2:$B$37, MATCH(D1736, Products!$A$2:$A$37, 0))</f>
        <v>Gaming Headset X</v>
      </c>
      <c r="I1736" t="str">
        <f>INDEX(Products!$C$2:$C$37, MATCH(D1736, Products!$A$2:$A$37, 0))</f>
        <v>Electronics</v>
      </c>
      <c r="J1736">
        <f>INDEX(Products!$E$2:$E$37, MATCH(D1736, Products!$A$2:$A$37, 0))</f>
        <v>300</v>
      </c>
      <c r="K1736" s="9">
        <f t="shared" si="108"/>
        <v>642.59999999999991</v>
      </c>
      <c r="L1736">
        <f t="shared" si="109"/>
        <v>600</v>
      </c>
      <c r="M1736" s="9">
        <f t="shared" si="110"/>
        <v>42.599999999999909</v>
      </c>
      <c r="N1736" t="str">
        <f t="shared" si="111"/>
        <v>May</v>
      </c>
    </row>
    <row r="1737" spans="1:14" x14ac:dyDescent="0.3">
      <c r="A1737" s="2" t="s">
        <v>1803</v>
      </c>
      <c r="B1737" s="6">
        <v>45805</v>
      </c>
      <c r="C1737" s="2" t="s">
        <v>44</v>
      </c>
      <c r="D1737" s="2" t="s">
        <v>131</v>
      </c>
      <c r="E1737" s="2">
        <v>1</v>
      </c>
      <c r="F1737" s="7">
        <v>899</v>
      </c>
      <c r="G1737" s="8">
        <v>0</v>
      </c>
      <c r="H1737" s="9" t="str">
        <f>INDEX(Products!$B$2:$B$37, MATCH(D1737, Products!$A$2:$A$37, 0))</f>
        <v>4K Action Camera</v>
      </c>
      <c r="I1737" t="str">
        <f>INDEX(Products!$C$2:$C$37, MATCH(D1737, Products!$A$2:$A$37, 0))</f>
        <v>Electronics</v>
      </c>
      <c r="J1737">
        <f>INDEX(Products!$E$2:$E$37, MATCH(D1737, Products!$A$2:$A$37, 0))</f>
        <v>610</v>
      </c>
      <c r="K1737" s="9">
        <f t="shared" si="108"/>
        <v>899</v>
      </c>
      <c r="L1737">
        <f t="shared" si="109"/>
        <v>610</v>
      </c>
      <c r="M1737" s="9">
        <f t="shared" si="110"/>
        <v>289</v>
      </c>
      <c r="N1737" t="str">
        <f t="shared" si="111"/>
        <v>May</v>
      </c>
    </row>
    <row r="1738" spans="1:14" x14ac:dyDescent="0.3">
      <c r="A1738" s="2" t="s">
        <v>1804</v>
      </c>
      <c r="B1738" s="6">
        <v>45805</v>
      </c>
      <c r="C1738" s="2" t="s">
        <v>48</v>
      </c>
      <c r="D1738" s="2" t="s">
        <v>60</v>
      </c>
      <c r="E1738" s="2">
        <v>1</v>
      </c>
      <c r="F1738" s="7">
        <v>99</v>
      </c>
      <c r="G1738" s="8">
        <v>0</v>
      </c>
      <c r="H1738" s="9" t="str">
        <f>INDEX(Products!$B$2:$B$37, MATCH(D1738, Products!$A$2:$A$37, 0))</f>
        <v>Football Size 5</v>
      </c>
      <c r="I1738" t="str">
        <f>INDEX(Products!$C$2:$C$37, MATCH(D1738, Products!$A$2:$A$37, 0))</f>
        <v>Sports</v>
      </c>
      <c r="J1738">
        <f>INDEX(Products!$E$2:$E$37, MATCH(D1738, Products!$A$2:$A$37, 0))</f>
        <v>45</v>
      </c>
      <c r="K1738" s="9">
        <f t="shared" si="108"/>
        <v>99</v>
      </c>
      <c r="L1738">
        <f t="shared" si="109"/>
        <v>45</v>
      </c>
      <c r="M1738" s="9">
        <f t="shared" si="110"/>
        <v>54</v>
      </c>
      <c r="N1738" t="str">
        <f t="shared" si="111"/>
        <v>May</v>
      </c>
    </row>
    <row r="1739" spans="1:14" x14ac:dyDescent="0.3">
      <c r="A1739" s="2" t="s">
        <v>1805</v>
      </c>
      <c r="B1739" s="6">
        <v>45805</v>
      </c>
      <c r="C1739" s="2" t="s">
        <v>44</v>
      </c>
      <c r="D1739" s="2" t="s">
        <v>33</v>
      </c>
      <c r="E1739" s="2">
        <v>3</v>
      </c>
      <c r="F1739" s="7">
        <v>199</v>
      </c>
      <c r="G1739" s="8">
        <v>0.2</v>
      </c>
      <c r="H1739" s="9" t="str">
        <f>INDEX(Products!$B$2:$B$37, MATCH(D1739, Products!$A$2:$A$37, 0))</f>
        <v>Fitness Band Lite</v>
      </c>
      <c r="I1739" t="str">
        <f>INDEX(Products!$C$2:$C$37, MATCH(D1739, Products!$A$2:$A$37, 0))</f>
        <v>Electronics</v>
      </c>
      <c r="J1739">
        <f>INDEX(Products!$E$2:$E$37, MATCH(D1739, Products!$A$2:$A$37, 0))</f>
        <v>175</v>
      </c>
      <c r="K1739" s="9">
        <f t="shared" si="108"/>
        <v>477.6</v>
      </c>
      <c r="L1739">
        <f t="shared" si="109"/>
        <v>525</v>
      </c>
      <c r="M1739" s="9">
        <f t="shared" si="110"/>
        <v>-47.399999999999977</v>
      </c>
      <c r="N1739" t="str">
        <f t="shared" si="111"/>
        <v>May</v>
      </c>
    </row>
    <row r="1740" spans="1:14" x14ac:dyDescent="0.3">
      <c r="A1740" s="2" t="s">
        <v>1806</v>
      </c>
      <c r="B1740" s="6">
        <v>45806</v>
      </c>
      <c r="C1740" s="2" t="s">
        <v>44</v>
      </c>
      <c r="D1740" s="2" t="s">
        <v>80</v>
      </c>
      <c r="E1740" s="2">
        <v>1</v>
      </c>
      <c r="F1740" s="7">
        <v>149</v>
      </c>
      <c r="G1740" s="8">
        <v>0.2</v>
      </c>
      <c r="H1740" s="9" t="str">
        <f>INDEX(Products!$B$2:$B$37, MATCH(D1740, Products!$A$2:$A$37, 0))</f>
        <v>Vitamin C Serum</v>
      </c>
      <c r="I1740" t="str">
        <f>INDEX(Products!$C$2:$C$37, MATCH(D1740, Products!$A$2:$A$37, 0))</f>
        <v>Beauty</v>
      </c>
      <c r="J1740">
        <f>INDEX(Products!$E$2:$E$37, MATCH(D1740, Products!$A$2:$A$37, 0))</f>
        <v>55</v>
      </c>
      <c r="K1740" s="9">
        <f t="shared" si="108"/>
        <v>119.2</v>
      </c>
      <c r="L1740">
        <f t="shared" si="109"/>
        <v>55</v>
      </c>
      <c r="M1740" s="9">
        <f t="shared" si="110"/>
        <v>64.2</v>
      </c>
      <c r="N1740" t="str">
        <f t="shared" si="111"/>
        <v>May</v>
      </c>
    </row>
    <row r="1741" spans="1:14" x14ac:dyDescent="0.3">
      <c r="A1741" s="2" t="s">
        <v>1807</v>
      </c>
      <c r="B1741" s="6">
        <v>45806</v>
      </c>
      <c r="C1741" s="2" t="s">
        <v>41</v>
      </c>
      <c r="D1741" s="2" t="s">
        <v>39</v>
      </c>
      <c r="E1741" s="2">
        <v>1</v>
      </c>
      <c r="F1741" s="7">
        <v>199</v>
      </c>
      <c r="G1741" s="8">
        <v>0.15</v>
      </c>
      <c r="H1741" s="9" t="str">
        <f>INDEX(Products!$B$2:$B$37, MATCH(D1741, Products!$A$2:$A$37, 0))</f>
        <v>Bakhoor Gift Set</v>
      </c>
      <c r="I1741" t="str">
        <f>INDEX(Products!$C$2:$C$37, MATCH(D1741, Products!$A$2:$A$37, 0))</f>
        <v>Beauty</v>
      </c>
      <c r="J1741">
        <f>INDEX(Products!$E$2:$E$37, MATCH(D1741, Products!$A$2:$A$37, 0))</f>
        <v>90</v>
      </c>
      <c r="K1741" s="9">
        <f t="shared" si="108"/>
        <v>169.15</v>
      </c>
      <c r="L1741">
        <f t="shared" si="109"/>
        <v>90</v>
      </c>
      <c r="M1741" s="9">
        <f t="shared" si="110"/>
        <v>79.150000000000006</v>
      </c>
      <c r="N1741" t="str">
        <f t="shared" si="111"/>
        <v>May</v>
      </c>
    </row>
    <row r="1742" spans="1:14" x14ac:dyDescent="0.3">
      <c r="A1742" s="2" t="s">
        <v>1808</v>
      </c>
      <c r="B1742" s="6">
        <v>45806</v>
      </c>
      <c r="C1742" s="2" t="s">
        <v>41</v>
      </c>
      <c r="D1742" s="2" t="s">
        <v>37</v>
      </c>
      <c r="E1742" s="2">
        <v>4</v>
      </c>
      <c r="F1742" s="7">
        <v>249</v>
      </c>
      <c r="G1742" s="8">
        <v>0</v>
      </c>
      <c r="H1742" s="9" t="str">
        <f>INDEX(Products!$B$2:$B$37, MATCH(D1742, Products!$A$2:$A$37, 0))</f>
        <v>Sunglasses Polarised</v>
      </c>
      <c r="I1742" t="str">
        <f>INDEX(Products!$C$2:$C$37, MATCH(D1742, Products!$A$2:$A$37, 0))</f>
        <v>Fashion</v>
      </c>
      <c r="J1742">
        <f>INDEX(Products!$E$2:$E$37, MATCH(D1742, Products!$A$2:$A$37, 0))</f>
        <v>95</v>
      </c>
      <c r="K1742" s="9">
        <f t="shared" si="108"/>
        <v>996</v>
      </c>
      <c r="L1742">
        <f t="shared" si="109"/>
        <v>380</v>
      </c>
      <c r="M1742" s="9">
        <f t="shared" si="110"/>
        <v>616</v>
      </c>
      <c r="N1742" t="str">
        <f t="shared" si="111"/>
        <v>May</v>
      </c>
    </row>
    <row r="1743" spans="1:14" x14ac:dyDescent="0.3">
      <c r="A1743" s="2" t="s">
        <v>1809</v>
      </c>
      <c r="B1743" s="6">
        <v>45806</v>
      </c>
      <c r="C1743" s="2" t="s">
        <v>31</v>
      </c>
      <c r="D1743" s="2" t="s">
        <v>83</v>
      </c>
      <c r="E1743" s="2">
        <v>1</v>
      </c>
      <c r="F1743" s="7">
        <v>229</v>
      </c>
      <c r="G1743" s="8">
        <v>0.1</v>
      </c>
      <c r="H1743" s="9" t="str">
        <f>INDEX(Products!$B$2:$B$37, MATCH(D1743, Products!$A$2:$A$37, 0))</f>
        <v>Cycling Helmet</v>
      </c>
      <c r="I1743" t="str">
        <f>INDEX(Products!$C$2:$C$37, MATCH(D1743, Products!$A$2:$A$37, 0))</f>
        <v>Sports</v>
      </c>
      <c r="J1743">
        <f>INDEX(Products!$E$2:$E$37, MATCH(D1743, Products!$A$2:$A$37, 0))</f>
        <v>120</v>
      </c>
      <c r="K1743" s="9">
        <f t="shared" si="108"/>
        <v>206.1</v>
      </c>
      <c r="L1743">
        <f t="shared" si="109"/>
        <v>120</v>
      </c>
      <c r="M1743" s="9">
        <f t="shared" si="110"/>
        <v>86.1</v>
      </c>
      <c r="N1743" t="str">
        <f t="shared" si="111"/>
        <v>May</v>
      </c>
    </row>
    <row r="1744" spans="1:14" x14ac:dyDescent="0.3">
      <c r="A1744" s="2" t="s">
        <v>1810</v>
      </c>
      <c r="B1744" s="6">
        <v>45806</v>
      </c>
      <c r="C1744" s="2" t="s">
        <v>41</v>
      </c>
      <c r="D1744" s="2" t="s">
        <v>194</v>
      </c>
      <c r="E1744" s="2">
        <v>1</v>
      </c>
      <c r="F1744" s="7">
        <v>699</v>
      </c>
      <c r="G1744" s="8">
        <v>0</v>
      </c>
      <c r="H1744" s="9" t="str">
        <f>INDEX(Products!$B$2:$B$37, MATCH(D1744, Products!$A$2:$A$37, 0))</f>
        <v>Leather Handbag</v>
      </c>
      <c r="I1744" t="str">
        <f>INDEX(Products!$C$2:$C$37, MATCH(D1744, Products!$A$2:$A$37, 0))</f>
        <v>Fashion</v>
      </c>
      <c r="J1744">
        <f>INDEX(Products!$E$2:$E$37, MATCH(D1744, Products!$A$2:$A$37, 0))</f>
        <v>380</v>
      </c>
      <c r="K1744" s="9">
        <f t="shared" si="108"/>
        <v>699</v>
      </c>
      <c r="L1744">
        <f t="shared" si="109"/>
        <v>380</v>
      </c>
      <c r="M1744" s="9">
        <f t="shared" si="110"/>
        <v>319</v>
      </c>
      <c r="N1744" t="str">
        <f t="shared" si="111"/>
        <v>May</v>
      </c>
    </row>
    <row r="1745" spans="1:14" x14ac:dyDescent="0.3">
      <c r="A1745" s="2" t="s">
        <v>1811</v>
      </c>
      <c r="B1745" s="6">
        <v>45806</v>
      </c>
      <c r="C1745" s="2" t="s">
        <v>31</v>
      </c>
      <c r="D1745" s="2" t="s">
        <v>106</v>
      </c>
      <c r="E1745" s="2">
        <v>1</v>
      </c>
      <c r="F1745" s="7">
        <v>1299</v>
      </c>
      <c r="G1745" s="8">
        <v>0</v>
      </c>
      <c r="H1745" s="9" t="str">
        <f>INDEX(Products!$B$2:$B$37, MATCH(D1745, Products!$A$2:$A$37, 0))</f>
        <v>Smart Watch Series 5</v>
      </c>
      <c r="I1745" t="str">
        <f>INDEX(Products!$C$2:$C$37, MATCH(D1745, Products!$A$2:$A$37, 0))</f>
        <v>Electronics</v>
      </c>
      <c r="J1745">
        <f>INDEX(Products!$E$2:$E$37, MATCH(D1745, Products!$A$2:$A$37, 0))</f>
        <v>820</v>
      </c>
      <c r="K1745" s="9">
        <f t="shared" si="108"/>
        <v>1299</v>
      </c>
      <c r="L1745">
        <f t="shared" si="109"/>
        <v>820</v>
      </c>
      <c r="M1745" s="9">
        <f t="shared" si="110"/>
        <v>479</v>
      </c>
      <c r="N1745" t="str">
        <f t="shared" si="111"/>
        <v>May</v>
      </c>
    </row>
    <row r="1746" spans="1:14" x14ac:dyDescent="0.3">
      <c r="A1746" s="2" t="s">
        <v>1812</v>
      </c>
      <c r="B1746" s="6">
        <v>45806</v>
      </c>
      <c r="C1746" s="2" t="s">
        <v>28</v>
      </c>
      <c r="D1746" s="2" t="s">
        <v>56</v>
      </c>
      <c r="E1746" s="2">
        <v>1</v>
      </c>
      <c r="F1746" s="7">
        <v>289</v>
      </c>
      <c r="G1746" s="8">
        <v>0.1</v>
      </c>
      <c r="H1746" s="9" t="str">
        <f>INDEX(Products!$B$2:$B$37, MATCH(D1746, Products!$A$2:$A$37, 0))</f>
        <v>Ceramic Dinner Set</v>
      </c>
      <c r="I1746" t="str">
        <f>INDEX(Products!$C$2:$C$37, MATCH(D1746, Products!$A$2:$A$37, 0))</f>
        <v>Home &amp; Kitchen</v>
      </c>
      <c r="J1746">
        <f>INDEX(Products!$E$2:$E$37, MATCH(D1746, Products!$A$2:$A$37, 0))</f>
        <v>140</v>
      </c>
      <c r="K1746" s="9">
        <f t="shared" si="108"/>
        <v>260.10000000000002</v>
      </c>
      <c r="L1746">
        <f t="shared" si="109"/>
        <v>140</v>
      </c>
      <c r="M1746" s="9">
        <f t="shared" si="110"/>
        <v>120.10000000000002</v>
      </c>
      <c r="N1746" t="str">
        <f t="shared" si="111"/>
        <v>May</v>
      </c>
    </row>
    <row r="1747" spans="1:14" x14ac:dyDescent="0.3">
      <c r="A1747" s="2" t="s">
        <v>1813</v>
      </c>
      <c r="B1747" s="6">
        <v>45806</v>
      </c>
      <c r="C1747" s="2" t="s">
        <v>28</v>
      </c>
      <c r="D1747" s="2" t="s">
        <v>165</v>
      </c>
      <c r="E1747" s="2">
        <v>1</v>
      </c>
      <c r="F1747" s="7">
        <v>69</v>
      </c>
      <c r="G1747" s="8">
        <v>0</v>
      </c>
      <c r="H1747" s="9" t="str">
        <f>INDEX(Products!$B$2:$B$37, MATCH(D1747, Products!$A$2:$A$37, 0))</f>
        <v>Swim Goggles</v>
      </c>
      <c r="I1747" t="str">
        <f>INDEX(Products!$C$2:$C$37, MATCH(D1747, Products!$A$2:$A$37, 0))</f>
        <v>Sports</v>
      </c>
      <c r="J1747">
        <f>INDEX(Products!$E$2:$E$37, MATCH(D1747, Products!$A$2:$A$37, 0))</f>
        <v>25</v>
      </c>
      <c r="K1747" s="9">
        <f t="shared" si="108"/>
        <v>69</v>
      </c>
      <c r="L1747">
        <f t="shared" si="109"/>
        <v>25</v>
      </c>
      <c r="M1747" s="9">
        <f t="shared" si="110"/>
        <v>44</v>
      </c>
      <c r="N1747" t="str">
        <f t="shared" si="111"/>
        <v>May</v>
      </c>
    </row>
    <row r="1748" spans="1:14" x14ac:dyDescent="0.3">
      <c r="A1748" s="2" t="s">
        <v>1814</v>
      </c>
      <c r="B1748" s="6">
        <v>45806</v>
      </c>
      <c r="C1748" s="2" t="s">
        <v>31</v>
      </c>
      <c r="D1748" s="2" t="s">
        <v>83</v>
      </c>
      <c r="E1748" s="2">
        <v>1</v>
      </c>
      <c r="F1748" s="7">
        <v>229</v>
      </c>
      <c r="G1748" s="8">
        <v>0</v>
      </c>
      <c r="H1748" s="9" t="str">
        <f>INDEX(Products!$B$2:$B$37, MATCH(D1748, Products!$A$2:$A$37, 0))</f>
        <v>Cycling Helmet</v>
      </c>
      <c r="I1748" t="str">
        <f>INDEX(Products!$C$2:$C$37, MATCH(D1748, Products!$A$2:$A$37, 0))</f>
        <v>Sports</v>
      </c>
      <c r="J1748">
        <f>INDEX(Products!$E$2:$E$37, MATCH(D1748, Products!$A$2:$A$37, 0))</f>
        <v>120</v>
      </c>
      <c r="K1748" s="9">
        <f t="shared" si="108"/>
        <v>229</v>
      </c>
      <c r="L1748">
        <f t="shared" si="109"/>
        <v>120</v>
      </c>
      <c r="M1748" s="9">
        <f t="shared" si="110"/>
        <v>109</v>
      </c>
      <c r="N1748" t="str">
        <f t="shared" si="111"/>
        <v>May</v>
      </c>
    </row>
    <row r="1749" spans="1:14" x14ac:dyDescent="0.3">
      <c r="A1749" s="2" t="s">
        <v>1815</v>
      </c>
      <c r="B1749" s="6">
        <v>45806</v>
      </c>
      <c r="C1749" s="2" t="s">
        <v>41</v>
      </c>
      <c r="D1749" s="2" t="s">
        <v>194</v>
      </c>
      <c r="E1749" s="2">
        <v>1</v>
      </c>
      <c r="F1749" s="7">
        <v>699</v>
      </c>
      <c r="G1749" s="8">
        <v>0.15</v>
      </c>
      <c r="H1749" s="9" t="str">
        <f>INDEX(Products!$B$2:$B$37, MATCH(D1749, Products!$A$2:$A$37, 0))</f>
        <v>Leather Handbag</v>
      </c>
      <c r="I1749" t="str">
        <f>INDEX(Products!$C$2:$C$37, MATCH(D1749, Products!$A$2:$A$37, 0))</f>
        <v>Fashion</v>
      </c>
      <c r="J1749">
        <f>INDEX(Products!$E$2:$E$37, MATCH(D1749, Products!$A$2:$A$37, 0))</f>
        <v>380</v>
      </c>
      <c r="K1749" s="9">
        <f t="shared" si="108"/>
        <v>594.15</v>
      </c>
      <c r="L1749">
        <f t="shared" si="109"/>
        <v>380</v>
      </c>
      <c r="M1749" s="9">
        <f t="shared" si="110"/>
        <v>214.14999999999998</v>
      </c>
      <c r="N1749" t="str">
        <f t="shared" si="111"/>
        <v>May</v>
      </c>
    </row>
    <row r="1750" spans="1:14" x14ac:dyDescent="0.3">
      <c r="A1750" s="2" t="s">
        <v>1816</v>
      </c>
      <c r="B1750" s="6">
        <v>45806</v>
      </c>
      <c r="C1750" s="2" t="s">
        <v>44</v>
      </c>
      <c r="D1750" s="2" t="s">
        <v>29</v>
      </c>
      <c r="E1750" s="2">
        <v>1</v>
      </c>
      <c r="F1750" s="7">
        <v>229</v>
      </c>
      <c r="G1750" s="8">
        <v>0.1</v>
      </c>
      <c r="H1750" s="9" t="str">
        <f>INDEX(Products!$B$2:$B$37, MATCH(D1750, Products!$A$2:$A$37, 0))</f>
        <v>Women's Summer Dress</v>
      </c>
      <c r="I1750" t="str">
        <f>INDEX(Products!$C$2:$C$37, MATCH(D1750, Products!$A$2:$A$37, 0))</f>
        <v>Fashion</v>
      </c>
      <c r="J1750">
        <f>INDEX(Products!$E$2:$E$37, MATCH(D1750, Products!$A$2:$A$37, 0))</f>
        <v>120</v>
      </c>
      <c r="K1750" s="9">
        <f t="shared" si="108"/>
        <v>206.1</v>
      </c>
      <c r="L1750">
        <f t="shared" si="109"/>
        <v>120</v>
      </c>
      <c r="M1750" s="9">
        <f t="shared" si="110"/>
        <v>86.1</v>
      </c>
      <c r="N1750" t="str">
        <f t="shared" si="111"/>
        <v>May</v>
      </c>
    </row>
    <row r="1751" spans="1:14" x14ac:dyDescent="0.3">
      <c r="A1751" s="2" t="s">
        <v>1817</v>
      </c>
      <c r="B1751" s="6">
        <v>45806</v>
      </c>
      <c r="C1751" s="2" t="s">
        <v>28</v>
      </c>
      <c r="D1751" s="2" t="s">
        <v>33</v>
      </c>
      <c r="E1751" s="2">
        <v>1</v>
      </c>
      <c r="F1751" s="7">
        <v>199</v>
      </c>
      <c r="G1751" s="8">
        <v>0.2</v>
      </c>
      <c r="H1751" s="9" t="str">
        <f>INDEX(Products!$B$2:$B$37, MATCH(D1751, Products!$A$2:$A$37, 0))</f>
        <v>Fitness Band Lite</v>
      </c>
      <c r="I1751" t="str">
        <f>INDEX(Products!$C$2:$C$37, MATCH(D1751, Products!$A$2:$A$37, 0))</f>
        <v>Electronics</v>
      </c>
      <c r="J1751">
        <f>INDEX(Products!$E$2:$E$37, MATCH(D1751, Products!$A$2:$A$37, 0))</f>
        <v>175</v>
      </c>
      <c r="K1751" s="9">
        <f t="shared" si="108"/>
        <v>159.20000000000002</v>
      </c>
      <c r="L1751">
        <f t="shared" si="109"/>
        <v>175</v>
      </c>
      <c r="M1751" s="9">
        <f t="shared" si="110"/>
        <v>-15.799999999999983</v>
      </c>
      <c r="N1751" t="str">
        <f t="shared" si="111"/>
        <v>May</v>
      </c>
    </row>
    <row r="1752" spans="1:14" x14ac:dyDescent="0.3">
      <c r="A1752" s="2" t="s">
        <v>1818</v>
      </c>
      <c r="B1752" s="6">
        <v>45806</v>
      </c>
      <c r="C1752" s="2" t="s">
        <v>41</v>
      </c>
      <c r="D1752" s="2" t="s">
        <v>52</v>
      </c>
      <c r="E1752" s="2">
        <v>1</v>
      </c>
      <c r="F1752" s="7">
        <v>299</v>
      </c>
      <c r="G1752" s="8">
        <v>0.2</v>
      </c>
      <c r="H1752" s="9" t="str">
        <f>INDEX(Products!$B$2:$B$37, MATCH(D1752, Products!$A$2:$A$37, 0))</f>
        <v>Hair Dryer Ionic</v>
      </c>
      <c r="I1752" t="str">
        <f>INDEX(Products!$C$2:$C$37, MATCH(D1752, Products!$A$2:$A$37, 0))</f>
        <v>Beauty</v>
      </c>
      <c r="J1752">
        <f>INDEX(Products!$E$2:$E$37, MATCH(D1752, Products!$A$2:$A$37, 0))</f>
        <v>240</v>
      </c>
      <c r="K1752" s="9">
        <f t="shared" si="108"/>
        <v>239.20000000000002</v>
      </c>
      <c r="L1752">
        <f t="shared" si="109"/>
        <v>240</v>
      </c>
      <c r="M1752" s="9">
        <f t="shared" si="110"/>
        <v>-0.79999999999998295</v>
      </c>
      <c r="N1752" t="str">
        <f t="shared" si="111"/>
        <v>May</v>
      </c>
    </row>
    <row r="1753" spans="1:14" x14ac:dyDescent="0.3">
      <c r="A1753" s="2" t="s">
        <v>1819</v>
      </c>
      <c r="B1753" s="6">
        <v>45806</v>
      </c>
      <c r="C1753" s="2" t="s">
        <v>28</v>
      </c>
      <c r="D1753" s="2" t="s">
        <v>83</v>
      </c>
      <c r="E1753" s="2">
        <v>1</v>
      </c>
      <c r="F1753" s="7">
        <v>229</v>
      </c>
      <c r="G1753" s="8">
        <v>0.05</v>
      </c>
      <c r="H1753" s="9" t="str">
        <f>INDEX(Products!$B$2:$B$37, MATCH(D1753, Products!$A$2:$A$37, 0))</f>
        <v>Cycling Helmet</v>
      </c>
      <c r="I1753" t="str">
        <f>INDEX(Products!$C$2:$C$37, MATCH(D1753, Products!$A$2:$A$37, 0))</f>
        <v>Sports</v>
      </c>
      <c r="J1753">
        <f>INDEX(Products!$E$2:$E$37, MATCH(D1753, Products!$A$2:$A$37, 0))</f>
        <v>120</v>
      </c>
      <c r="K1753" s="9">
        <f t="shared" si="108"/>
        <v>217.54999999999998</v>
      </c>
      <c r="L1753">
        <f t="shared" si="109"/>
        <v>120</v>
      </c>
      <c r="M1753" s="9">
        <f t="shared" si="110"/>
        <v>97.549999999999983</v>
      </c>
      <c r="N1753" t="str">
        <f t="shared" si="111"/>
        <v>May</v>
      </c>
    </row>
    <row r="1754" spans="1:14" x14ac:dyDescent="0.3">
      <c r="A1754" s="2" t="s">
        <v>1820</v>
      </c>
      <c r="B1754" s="6">
        <v>45806</v>
      </c>
      <c r="C1754" s="2" t="s">
        <v>44</v>
      </c>
      <c r="D1754" s="2" t="s">
        <v>115</v>
      </c>
      <c r="E1754" s="2">
        <v>3</v>
      </c>
      <c r="F1754" s="7">
        <v>129</v>
      </c>
      <c r="G1754" s="8">
        <v>0</v>
      </c>
      <c r="H1754" s="9" t="str">
        <f>INDEX(Products!$B$2:$B$37, MATCH(D1754, Products!$A$2:$A$37, 0))</f>
        <v>Electric Kettle</v>
      </c>
      <c r="I1754" t="str">
        <f>INDEX(Products!$C$2:$C$37, MATCH(D1754, Products!$A$2:$A$37, 0))</f>
        <v>Home &amp; Kitchen</v>
      </c>
      <c r="J1754">
        <f>INDEX(Products!$E$2:$E$37, MATCH(D1754, Products!$A$2:$A$37, 0))</f>
        <v>60</v>
      </c>
      <c r="K1754" s="9">
        <f t="shared" si="108"/>
        <v>387</v>
      </c>
      <c r="L1754">
        <f t="shared" si="109"/>
        <v>180</v>
      </c>
      <c r="M1754" s="9">
        <f t="shared" si="110"/>
        <v>207</v>
      </c>
      <c r="N1754" t="str">
        <f t="shared" si="111"/>
        <v>May</v>
      </c>
    </row>
    <row r="1755" spans="1:14" x14ac:dyDescent="0.3">
      <c r="A1755" s="2" t="s">
        <v>1821</v>
      </c>
      <c r="B1755" s="6">
        <v>45807</v>
      </c>
      <c r="C1755" s="2" t="s">
        <v>28</v>
      </c>
      <c r="D1755" s="2" t="s">
        <v>131</v>
      </c>
      <c r="E1755" s="2">
        <v>3</v>
      </c>
      <c r="F1755" s="7">
        <v>899</v>
      </c>
      <c r="G1755" s="8">
        <v>0.2</v>
      </c>
      <c r="H1755" s="9" t="str">
        <f>INDEX(Products!$B$2:$B$37, MATCH(D1755, Products!$A$2:$A$37, 0))</f>
        <v>4K Action Camera</v>
      </c>
      <c r="I1755" t="str">
        <f>INDEX(Products!$C$2:$C$37, MATCH(D1755, Products!$A$2:$A$37, 0))</f>
        <v>Electronics</v>
      </c>
      <c r="J1755">
        <f>INDEX(Products!$E$2:$E$37, MATCH(D1755, Products!$A$2:$A$37, 0))</f>
        <v>610</v>
      </c>
      <c r="K1755" s="9">
        <f t="shared" si="108"/>
        <v>2157.6</v>
      </c>
      <c r="L1755">
        <f t="shared" si="109"/>
        <v>1830</v>
      </c>
      <c r="M1755" s="9">
        <f t="shared" si="110"/>
        <v>327.59999999999991</v>
      </c>
      <c r="N1755" t="str">
        <f t="shared" si="111"/>
        <v>May</v>
      </c>
    </row>
    <row r="1756" spans="1:14" x14ac:dyDescent="0.3">
      <c r="A1756" s="2" t="s">
        <v>1822</v>
      </c>
      <c r="B1756" s="6">
        <v>45807</v>
      </c>
      <c r="C1756" s="2" t="s">
        <v>41</v>
      </c>
      <c r="D1756" s="2" t="s">
        <v>33</v>
      </c>
      <c r="E1756" s="2">
        <v>1</v>
      </c>
      <c r="F1756" s="7">
        <v>199</v>
      </c>
      <c r="G1756" s="8">
        <v>0.25</v>
      </c>
      <c r="H1756" s="9" t="str">
        <f>INDEX(Products!$B$2:$B$37, MATCH(D1756, Products!$A$2:$A$37, 0))</f>
        <v>Fitness Band Lite</v>
      </c>
      <c r="I1756" t="str">
        <f>INDEX(Products!$C$2:$C$37, MATCH(D1756, Products!$A$2:$A$37, 0))</f>
        <v>Electronics</v>
      </c>
      <c r="J1756">
        <f>INDEX(Products!$E$2:$E$37, MATCH(D1756, Products!$A$2:$A$37, 0))</f>
        <v>175</v>
      </c>
      <c r="K1756" s="9">
        <f t="shared" si="108"/>
        <v>149.25</v>
      </c>
      <c r="L1756">
        <f t="shared" si="109"/>
        <v>175</v>
      </c>
      <c r="M1756" s="9">
        <f t="shared" si="110"/>
        <v>-25.75</v>
      </c>
      <c r="N1756" t="str">
        <f t="shared" si="111"/>
        <v>May</v>
      </c>
    </row>
    <row r="1757" spans="1:14" x14ac:dyDescent="0.3">
      <c r="A1757" s="2" t="s">
        <v>1823</v>
      </c>
      <c r="B1757" s="6">
        <v>45807</v>
      </c>
      <c r="C1757" s="2" t="s">
        <v>31</v>
      </c>
      <c r="D1757" s="2" t="s">
        <v>89</v>
      </c>
      <c r="E1757" s="2">
        <v>1</v>
      </c>
      <c r="F1757" s="7">
        <v>399</v>
      </c>
      <c r="G1757" s="8">
        <v>0.05</v>
      </c>
      <c r="H1757" s="9" t="str">
        <f>INDEX(Products!$B$2:$B$37, MATCH(D1757, Products!$A$2:$A$37, 0))</f>
        <v>Men's Kandura Premium</v>
      </c>
      <c r="I1757" t="str">
        <f>INDEX(Products!$C$2:$C$37, MATCH(D1757, Products!$A$2:$A$37, 0))</f>
        <v>Fashion</v>
      </c>
      <c r="J1757">
        <f>INDEX(Products!$E$2:$E$37, MATCH(D1757, Products!$A$2:$A$37, 0))</f>
        <v>210</v>
      </c>
      <c r="K1757" s="9">
        <f t="shared" si="108"/>
        <v>379.04999999999995</v>
      </c>
      <c r="L1757">
        <f t="shared" si="109"/>
        <v>210</v>
      </c>
      <c r="M1757" s="9">
        <f t="shared" si="110"/>
        <v>169.04999999999995</v>
      </c>
      <c r="N1757" t="str">
        <f t="shared" si="111"/>
        <v>May</v>
      </c>
    </row>
    <row r="1758" spans="1:14" x14ac:dyDescent="0.3">
      <c r="A1758" s="2" t="s">
        <v>1824</v>
      </c>
      <c r="B1758" s="6">
        <v>45807</v>
      </c>
      <c r="C1758" s="2" t="s">
        <v>44</v>
      </c>
      <c r="D1758" s="2" t="s">
        <v>92</v>
      </c>
      <c r="E1758" s="2">
        <v>1</v>
      </c>
      <c r="F1758" s="7">
        <v>349</v>
      </c>
      <c r="G1758" s="8">
        <v>0.05</v>
      </c>
      <c r="H1758" s="9" t="str">
        <f>INDEX(Products!$B$2:$B$37, MATCH(D1758, Products!$A$2:$A$37, 0))</f>
        <v>Non-stick Cookware Set</v>
      </c>
      <c r="I1758" t="str">
        <f>INDEX(Products!$C$2:$C$37, MATCH(D1758, Products!$A$2:$A$37, 0))</f>
        <v>Home &amp; Kitchen</v>
      </c>
      <c r="J1758">
        <f>INDEX(Products!$E$2:$E$37, MATCH(D1758, Products!$A$2:$A$37, 0))</f>
        <v>170</v>
      </c>
      <c r="K1758" s="9">
        <f t="shared" si="108"/>
        <v>331.55</v>
      </c>
      <c r="L1758">
        <f t="shared" si="109"/>
        <v>170</v>
      </c>
      <c r="M1758" s="9">
        <f t="shared" si="110"/>
        <v>161.55000000000001</v>
      </c>
      <c r="N1758" t="str">
        <f t="shared" si="111"/>
        <v>May</v>
      </c>
    </row>
    <row r="1759" spans="1:14" x14ac:dyDescent="0.3">
      <c r="A1759" s="2" t="s">
        <v>1825</v>
      </c>
      <c r="B1759" s="6">
        <v>45807</v>
      </c>
      <c r="C1759" s="2" t="s">
        <v>28</v>
      </c>
      <c r="D1759" s="2" t="s">
        <v>35</v>
      </c>
      <c r="E1759" s="2">
        <v>3</v>
      </c>
      <c r="F1759" s="7">
        <v>179</v>
      </c>
      <c r="G1759" s="8">
        <v>0.1</v>
      </c>
      <c r="H1759" s="9" t="str">
        <f>INDEX(Products!$B$2:$B$37, MATCH(D1759, Products!$A$2:$A$37, 0))</f>
        <v>Men's Linen Shirt</v>
      </c>
      <c r="I1759" t="str">
        <f>INDEX(Products!$C$2:$C$37, MATCH(D1759, Products!$A$2:$A$37, 0))</f>
        <v>Fashion</v>
      </c>
      <c r="J1759">
        <f>INDEX(Products!$E$2:$E$37, MATCH(D1759, Products!$A$2:$A$37, 0))</f>
        <v>70</v>
      </c>
      <c r="K1759" s="9">
        <f t="shared" si="108"/>
        <v>483.3</v>
      </c>
      <c r="L1759">
        <f t="shared" si="109"/>
        <v>210</v>
      </c>
      <c r="M1759" s="9">
        <f t="shared" si="110"/>
        <v>273.3</v>
      </c>
      <c r="N1759" t="str">
        <f t="shared" si="111"/>
        <v>May</v>
      </c>
    </row>
    <row r="1760" spans="1:14" x14ac:dyDescent="0.3">
      <c r="A1760" s="2" t="s">
        <v>1826</v>
      </c>
      <c r="B1760" s="6">
        <v>45807</v>
      </c>
      <c r="C1760" s="2" t="s">
        <v>31</v>
      </c>
      <c r="D1760" s="2" t="s">
        <v>29</v>
      </c>
      <c r="E1760" s="2">
        <v>2</v>
      </c>
      <c r="F1760" s="7">
        <v>229</v>
      </c>
      <c r="G1760" s="8">
        <v>0</v>
      </c>
      <c r="H1760" s="9" t="str">
        <f>INDEX(Products!$B$2:$B$37, MATCH(D1760, Products!$A$2:$A$37, 0))</f>
        <v>Women's Summer Dress</v>
      </c>
      <c r="I1760" t="str">
        <f>INDEX(Products!$C$2:$C$37, MATCH(D1760, Products!$A$2:$A$37, 0))</f>
        <v>Fashion</v>
      </c>
      <c r="J1760">
        <f>INDEX(Products!$E$2:$E$37, MATCH(D1760, Products!$A$2:$A$37, 0))</f>
        <v>120</v>
      </c>
      <c r="K1760" s="9">
        <f t="shared" si="108"/>
        <v>458</v>
      </c>
      <c r="L1760">
        <f t="shared" si="109"/>
        <v>240</v>
      </c>
      <c r="M1760" s="9">
        <f t="shared" si="110"/>
        <v>218</v>
      </c>
      <c r="N1760" t="str">
        <f t="shared" si="111"/>
        <v>May</v>
      </c>
    </row>
    <row r="1761" spans="1:14" x14ac:dyDescent="0.3">
      <c r="A1761" s="2" t="s">
        <v>1827</v>
      </c>
      <c r="B1761" s="6">
        <v>45807</v>
      </c>
      <c r="C1761" s="2" t="s">
        <v>48</v>
      </c>
      <c r="D1761" s="2" t="s">
        <v>149</v>
      </c>
      <c r="E1761" s="2">
        <v>1</v>
      </c>
      <c r="F1761" s="7">
        <v>399</v>
      </c>
      <c r="G1761" s="8">
        <v>0</v>
      </c>
      <c r="H1761" s="9" t="str">
        <f>INDEX(Products!$B$2:$B$37, MATCH(D1761, Products!$A$2:$A$37, 0))</f>
        <v>Blender Pro 1200W</v>
      </c>
      <c r="I1761" t="str">
        <f>INDEX(Products!$C$2:$C$37, MATCH(D1761, Products!$A$2:$A$37, 0))</f>
        <v>Home &amp; Kitchen</v>
      </c>
      <c r="J1761">
        <f>INDEX(Products!$E$2:$E$37, MATCH(D1761, Products!$A$2:$A$37, 0))</f>
        <v>250</v>
      </c>
      <c r="K1761" s="9">
        <f t="shared" si="108"/>
        <v>399</v>
      </c>
      <c r="L1761">
        <f t="shared" si="109"/>
        <v>250</v>
      </c>
      <c r="M1761" s="9">
        <f t="shared" si="110"/>
        <v>149</v>
      </c>
      <c r="N1761" t="str">
        <f t="shared" si="111"/>
        <v>May</v>
      </c>
    </row>
    <row r="1762" spans="1:14" x14ac:dyDescent="0.3">
      <c r="A1762" s="2" t="s">
        <v>1828</v>
      </c>
      <c r="B1762" s="6">
        <v>45807</v>
      </c>
      <c r="C1762" s="2" t="s">
        <v>48</v>
      </c>
      <c r="D1762" s="2" t="s">
        <v>80</v>
      </c>
      <c r="E1762" s="2">
        <v>1</v>
      </c>
      <c r="F1762" s="7">
        <v>149</v>
      </c>
      <c r="G1762" s="8">
        <v>0.1</v>
      </c>
      <c r="H1762" s="9" t="str">
        <f>INDEX(Products!$B$2:$B$37, MATCH(D1762, Products!$A$2:$A$37, 0))</f>
        <v>Vitamin C Serum</v>
      </c>
      <c r="I1762" t="str">
        <f>INDEX(Products!$C$2:$C$37, MATCH(D1762, Products!$A$2:$A$37, 0))</f>
        <v>Beauty</v>
      </c>
      <c r="J1762">
        <f>INDEX(Products!$E$2:$E$37, MATCH(D1762, Products!$A$2:$A$37, 0))</f>
        <v>55</v>
      </c>
      <c r="K1762" s="9">
        <f t="shared" si="108"/>
        <v>134.1</v>
      </c>
      <c r="L1762">
        <f t="shared" si="109"/>
        <v>55</v>
      </c>
      <c r="M1762" s="9">
        <f t="shared" si="110"/>
        <v>79.099999999999994</v>
      </c>
      <c r="N1762" t="str">
        <f t="shared" si="111"/>
        <v>May</v>
      </c>
    </row>
    <row r="1763" spans="1:14" x14ac:dyDescent="0.3">
      <c r="A1763" s="2" t="s">
        <v>1829</v>
      </c>
      <c r="B1763" s="6">
        <v>45807</v>
      </c>
      <c r="C1763" s="2" t="s">
        <v>28</v>
      </c>
      <c r="D1763" s="2" t="s">
        <v>52</v>
      </c>
      <c r="E1763" s="2">
        <v>2</v>
      </c>
      <c r="F1763" s="7">
        <v>299</v>
      </c>
      <c r="G1763" s="8">
        <v>0.1</v>
      </c>
      <c r="H1763" s="9" t="str">
        <f>INDEX(Products!$B$2:$B$37, MATCH(D1763, Products!$A$2:$A$37, 0))</f>
        <v>Hair Dryer Ionic</v>
      </c>
      <c r="I1763" t="str">
        <f>INDEX(Products!$C$2:$C$37, MATCH(D1763, Products!$A$2:$A$37, 0))</f>
        <v>Beauty</v>
      </c>
      <c r="J1763">
        <f>INDEX(Products!$E$2:$E$37, MATCH(D1763, Products!$A$2:$A$37, 0))</f>
        <v>240</v>
      </c>
      <c r="K1763" s="9">
        <f t="shared" si="108"/>
        <v>538.20000000000005</v>
      </c>
      <c r="L1763">
        <f t="shared" si="109"/>
        <v>480</v>
      </c>
      <c r="M1763" s="9">
        <f t="shared" si="110"/>
        <v>58.200000000000045</v>
      </c>
      <c r="N1763" t="str">
        <f t="shared" si="111"/>
        <v>May</v>
      </c>
    </row>
    <row r="1764" spans="1:14" x14ac:dyDescent="0.3">
      <c r="A1764" s="2" t="s">
        <v>1830</v>
      </c>
      <c r="B1764" s="6">
        <v>45807</v>
      </c>
      <c r="C1764" s="2" t="s">
        <v>41</v>
      </c>
      <c r="D1764" s="2" t="s">
        <v>37</v>
      </c>
      <c r="E1764" s="2">
        <v>2</v>
      </c>
      <c r="F1764" s="7">
        <v>249</v>
      </c>
      <c r="G1764" s="8">
        <v>0.05</v>
      </c>
      <c r="H1764" s="9" t="str">
        <f>INDEX(Products!$B$2:$B$37, MATCH(D1764, Products!$A$2:$A$37, 0))</f>
        <v>Sunglasses Polarised</v>
      </c>
      <c r="I1764" t="str">
        <f>INDEX(Products!$C$2:$C$37, MATCH(D1764, Products!$A$2:$A$37, 0))</f>
        <v>Fashion</v>
      </c>
      <c r="J1764">
        <f>INDEX(Products!$E$2:$E$37, MATCH(D1764, Products!$A$2:$A$37, 0))</f>
        <v>95</v>
      </c>
      <c r="K1764" s="9">
        <f t="shared" si="108"/>
        <v>473.09999999999997</v>
      </c>
      <c r="L1764">
        <f t="shared" si="109"/>
        <v>190</v>
      </c>
      <c r="M1764" s="9">
        <f t="shared" si="110"/>
        <v>283.09999999999997</v>
      </c>
      <c r="N1764" t="str">
        <f t="shared" si="111"/>
        <v>May</v>
      </c>
    </row>
    <row r="1765" spans="1:14" x14ac:dyDescent="0.3">
      <c r="A1765" s="2" t="s">
        <v>1831</v>
      </c>
      <c r="B1765" s="6">
        <v>45808</v>
      </c>
      <c r="C1765" s="2" t="s">
        <v>41</v>
      </c>
      <c r="D1765" s="2" t="s">
        <v>163</v>
      </c>
      <c r="E1765" s="2">
        <v>2</v>
      </c>
      <c r="F1765" s="7">
        <v>2499</v>
      </c>
      <c r="G1765" s="8">
        <v>0.25</v>
      </c>
      <c r="H1765" s="9" t="str">
        <f>INDEX(Products!$B$2:$B$37, MATCH(D1765, Products!$A$2:$A$37, 0))</f>
        <v>Treadmill Compact</v>
      </c>
      <c r="I1765" t="str">
        <f>INDEX(Products!$C$2:$C$37, MATCH(D1765, Products!$A$2:$A$37, 0))</f>
        <v>Sports</v>
      </c>
      <c r="J1765">
        <f>INDEX(Products!$E$2:$E$37, MATCH(D1765, Products!$A$2:$A$37, 0))</f>
        <v>2150</v>
      </c>
      <c r="K1765" s="9">
        <f t="shared" si="108"/>
        <v>3748.5</v>
      </c>
      <c r="L1765">
        <f t="shared" si="109"/>
        <v>4300</v>
      </c>
      <c r="M1765" s="9">
        <f t="shared" si="110"/>
        <v>-551.5</v>
      </c>
      <c r="N1765" t="str">
        <f t="shared" si="111"/>
        <v>May</v>
      </c>
    </row>
    <row r="1766" spans="1:14" x14ac:dyDescent="0.3">
      <c r="A1766" s="2" t="s">
        <v>1832</v>
      </c>
      <c r="B1766" s="6">
        <v>45808</v>
      </c>
      <c r="C1766" s="2" t="s">
        <v>28</v>
      </c>
      <c r="D1766" s="2" t="s">
        <v>42</v>
      </c>
      <c r="E1766" s="2">
        <v>3</v>
      </c>
      <c r="F1766" s="7">
        <v>399</v>
      </c>
      <c r="G1766" s="8">
        <v>0.05</v>
      </c>
      <c r="H1766" s="9" t="str">
        <f>INDEX(Products!$B$2:$B$37, MATCH(D1766, Products!$A$2:$A$37, 0))</f>
        <v>Wireless Earbuds Pro</v>
      </c>
      <c r="I1766" t="str">
        <f>INDEX(Products!$C$2:$C$37, MATCH(D1766, Products!$A$2:$A$37, 0))</f>
        <v>Electronics</v>
      </c>
      <c r="J1766">
        <f>INDEX(Products!$E$2:$E$37, MATCH(D1766, Products!$A$2:$A$37, 0))</f>
        <v>230</v>
      </c>
      <c r="K1766" s="9">
        <f t="shared" si="108"/>
        <v>1137.1499999999999</v>
      </c>
      <c r="L1766">
        <f t="shared" si="109"/>
        <v>690</v>
      </c>
      <c r="M1766" s="9">
        <f t="shared" si="110"/>
        <v>447.14999999999986</v>
      </c>
      <c r="N1766" t="str">
        <f t="shared" si="111"/>
        <v>May</v>
      </c>
    </row>
    <row r="1767" spans="1:14" x14ac:dyDescent="0.3">
      <c r="A1767" s="2" t="s">
        <v>1833</v>
      </c>
      <c r="B1767" s="6">
        <v>45808</v>
      </c>
      <c r="C1767" s="2" t="s">
        <v>41</v>
      </c>
      <c r="D1767" s="2" t="s">
        <v>60</v>
      </c>
      <c r="E1767" s="2">
        <v>3</v>
      </c>
      <c r="F1767" s="7">
        <v>99</v>
      </c>
      <c r="G1767" s="8">
        <v>0.05</v>
      </c>
      <c r="H1767" s="9" t="str">
        <f>INDEX(Products!$B$2:$B$37, MATCH(D1767, Products!$A$2:$A$37, 0))</f>
        <v>Football Size 5</v>
      </c>
      <c r="I1767" t="str">
        <f>INDEX(Products!$C$2:$C$37, MATCH(D1767, Products!$A$2:$A$37, 0))</f>
        <v>Sports</v>
      </c>
      <c r="J1767">
        <f>INDEX(Products!$E$2:$E$37, MATCH(D1767, Products!$A$2:$A$37, 0))</f>
        <v>45</v>
      </c>
      <c r="K1767" s="9">
        <f t="shared" si="108"/>
        <v>282.14999999999998</v>
      </c>
      <c r="L1767">
        <f t="shared" si="109"/>
        <v>135</v>
      </c>
      <c r="M1767" s="9">
        <f t="shared" si="110"/>
        <v>147.14999999999998</v>
      </c>
      <c r="N1767" t="str">
        <f t="shared" si="111"/>
        <v>May</v>
      </c>
    </row>
    <row r="1768" spans="1:14" x14ac:dyDescent="0.3">
      <c r="A1768" s="2" t="s">
        <v>1834</v>
      </c>
      <c r="B1768" s="6">
        <v>45808</v>
      </c>
      <c r="C1768" s="2" t="s">
        <v>44</v>
      </c>
      <c r="D1768" s="2" t="s">
        <v>126</v>
      </c>
      <c r="E1768" s="2">
        <v>3</v>
      </c>
      <c r="F1768" s="7">
        <v>89</v>
      </c>
      <c r="G1768" s="8">
        <v>0.1</v>
      </c>
      <c r="H1768" s="9" t="str">
        <f>INDEX(Products!$B$2:$B$37, MATCH(D1768, Products!$A$2:$A$37, 0))</f>
        <v>USB-C Fast Charger</v>
      </c>
      <c r="I1768" t="str">
        <f>INDEX(Products!$C$2:$C$37, MATCH(D1768, Products!$A$2:$A$37, 0))</f>
        <v>Electronics</v>
      </c>
      <c r="J1768">
        <f>INDEX(Products!$E$2:$E$37, MATCH(D1768, Products!$A$2:$A$37, 0))</f>
        <v>35</v>
      </c>
      <c r="K1768" s="9">
        <f t="shared" si="108"/>
        <v>240.3</v>
      </c>
      <c r="L1768">
        <f t="shared" si="109"/>
        <v>105</v>
      </c>
      <c r="M1768" s="9">
        <f t="shared" si="110"/>
        <v>135.30000000000001</v>
      </c>
      <c r="N1768" t="str">
        <f t="shared" si="111"/>
        <v>May</v>
      </c>
    </row>
    <row r="1769" spans="1:14" x14ac:dyDescent="0.3">
      <c r="A1769" s="2" t="s">
        <v>1835</v>
      </c>
      <c r="B1769" s="6">
        <v>45808</v>
      </c>
      <c r="C1769" s="2" t="s">
        <v>28</v>
      </c>
      <c r="D1769" s="2" t="s">
        <v>49</v>
      </c>
      <c r="E1769" s="2">
        <v>2</v>
      </c>
      <c r="F1769" s="7">
        <v>149</v>
      </c>
      <c r="G1769" s="8">
        <v>0</v>
      </c>
      <c r="H1769" s="9" t="str">
        <f>INDEX(Products!$B$2:$B$37, MATCH(D1769, Products!$A$2:$A$37, 0))</f>
        <v>Kids' Sneakers</v>
      </c>
      <c r="I1769" t="str">
        <f>INDEX(Products!$C$2:$C$37, MATCH(D1769, Products!$A$2:$A$37, 0))</f>
        <v>Fashion</v>
      </c>
      <c r="J1769">
        <f>INDEX(Products!$E$2:$E$37, MATCH(D1769, Products!$A$2:$A$37, 0))</f>
        <v>80</v>
      </c>
      <c r="K1769" s="9">
        <f t="shared" si="108"/>
        <v>298</v>
      </c>
      <c r="L1769">
        <f t="shared" si="109"/>
        <v>160</v>
      </c>
      <c r="M1769" s="9">
        <f t="shared" si="110"/>
        <v>138</v>
      </c>
      <c r="N1769" t="str">
        <f t="shared" si="111"/>
        <v>May</v>
      </c>
    </row>
    <row r="1770" spans="1:14" x14ac:dyDescent="0.3">
      <c r="A1770" s="2" t="s">
        <v>1836</v>
      </c>
      <c r="B1770" s="6">
        <v>45808</v>
      </c>
      <c r="C1770" s="2" t="s">
        <v>28</v>
      </c>
      <c r="D1770" s="2" t="s">
        <v>68</v>
      </c>
      <c r="E1770" s="2">
        <v>3</v>
      </c>
      <c r="F1770" s="7">
        <v>249</v>
      </c>
      <c r="G1770" s="8">
        <v>0</v>
      </c>
      <c r="H1770" s="9" t="str">
        <f>INDEX(Products!$B$2:$B$37, MATCH(D1770, Products!$A$2:$A$37, 0))</f>
        <v>Bluetooth Speaker Mini</v>
      </c>
      <c r="I1770" t="str">
        <f>INDEX(Products!$C$2:$C$37, MATCH(D1770, Products!$A$2:$A$37, 0))</f>
        <v>Electronics</v>
      </c>
      <c r="J1770">
        <f>INDEX(Products!$E$2:$E$37, MATCH(D1770, Products!$A$2:$A$37, 0))</f>
        <v>150</v>
      </c>
      <c r="K1770" s="9">
        <f t="shared" si="108"/>
        <v>747</v>
      </c>
      <c r="L1770">
        <f t="shared" si="109"/>
        <v>450</v>
      </c>
      <c r="M1770" s="9">
        <f t="shared" si="110"/>
        <v>297</v>
      </c>
      <c r="N1770" t="str">
        <f t="shared" si="111"/>
        <v>May</v>
      </c>
    </row>
    <row r="1771" spans="1:14" x14ac:dyDescent="0.3">
      <c r="A1771" s="2" t="s">
        <v>1837</v>
      </c>
      <c r="B1771" s="6">
        <v>45808</v>
      </c>
      <c r="C1771" s="2" t="s">
        <v>44</v>
      </c>
      <c r="D1771" s="2" t="s">
        <v>35</v>
      </c>
      <c r="E1771" s="2">
        <v>2</v>
      </c>
      <c r="F1771" s="7">
        <v>179</v>
      </c>
      <c r="G1771" s="8">
        <v>0.05</v>
      </c>
      <c r="H1771" s="9" t="str">
        <f>INDEX(Products!$B$2:$B$37, MATCH(D1771, Products!$A$2:$A$37, 0))</f>
        <v>Men's Linen Shirt</v>
      </c>
      <c r="I1771" t="str">
        <f>INDEX(Products!$C$2:$C$37, MATCH(D1771, Products!$A$2:$A$37, 0))</f>
        <v>Fashion</v>
      </c>
      <c r="J1771">
        <f>INDEX(Products!$E$2:$E$37, MATCH(D1771, Products!$A$2:$A$37, 0))</f>
        <v>70</v>
      </c>
      <c r="K1771" s="9">
        <f t="shared" si="108"/>
        <v>340.09999999999997</v>
      </c>
      <c r="L1771">
        <f t="shared" si="109"/>
        <v>140</v>
      </c>
      <c r="M1771" s="9">
        <f t="shared" si="110"/>
        <v>200.09999999999997</v>
      </c>
      <c r="N1771" t="str">
        <f t="shared" si="111"/>
        <v>May</v>
      </c>
    </row>
    <row r="1772" spans="1:14" x14ac:dyDescent="0.3">
      <c r="A1772" s="2" t="s">
        <v>1838</v>
      </c>
      <c r="B1772" s="6">
        <v>45808</v>
      </c>
      <c r="C1772" s="2" t="s">
        <v>31</v>
      </c>
      <c r="D1772" s="2" t="s">
        <v>165</v>
      </c>
      <c r="E1772" s="2">
        <v>1</v>
      </c>
      <c r="F1772" s="7">
        <v>69</v>
      </c>
      <c r="G1772" s="8">
        <v>0</v>
      </c>
      <c r="H1772" s="9" t="str">
        <f>INDEX(Products!$B$2:$B$37, MATCH(D1772, Products!$A$2:$A$37, 0))</f>
        <v>Swim Goggles</v>
      </c>
      <c r="I1772" t="str">
        <f>INDEX(Products!$C$2:$C$37, MATCH(D1772, Products!$A$2:$A$37, 0))</f>
        <v>Sports</v>
      </c>
      <c r="J1772">
        <f>INDEX(Products!$E$2:$E$37, MATCH(D1772, Products!$A$2:$A$37, 0))</f>
        <v>25</v>
      </c>
      <c r="K1772" s="9">
        <f t="shared" si="108"/>
        <v>69</v>
      </c>
      <c r="L1772">
        <f t="shared" si="109"/>
        <v>25</v>
      </c>
      <c r="M1772" s="9">
        <f t="shared" si="110"/>
        <v>44</v>
      </c>
      <c r="N1772" t="str">
        <f t="shared" si="111"/>
        <v>May</v>
      </c>
    </row>
    <row r="1773" spans="1:14" x14ac:dyDescent="0.3">
      <c r="A1773" s="2" t="s">
        <v>1839</v>
      </c>
      <c r="B1773" s="6">
        <v>45808</v>
      </c>
      <c r="C1773" s="2" t="s">
        <v>28</v>
      </c>
      <c r="D1773" s="2" t="s">
        <v>70</v>
      </c>
      <c r="E1773" s="2">
        <v>1</v>
      </c>
      <c r="F1773" s="7">
        <v>429</v>
      </c>
      <c r="G1773" s="8">
        <v>0.1</v>
      </c>
      <c r="H1773" s="9" t="str">
        <f>INDEX(Products!$B$2:$B$37, MATCH(D1773, Products!$A$2:$A$37, 0))</f>
        <v>Running Shoes Elite</v>
      </c>
      <c r="I1773" t="str">
        <f>INDEX(Products!$C$2:$C$37, MATCH(D1773, Products!$A$2:$A$37, 0))</f>
        <v>Fashion</v>
      </c>
      <c r="J1773">
        <f>INDEX(Products!$E$2:$E$37, MATCH(D1773, Products!$A$2:$A$37, 0))</f>
        <v>300</v>
      </c>
      <c r="K1773" s="9">
        <f t="shared" si="108"/>
        <v>386.1</v>
      </c>
      <c r="L1773">
        <f t="shared" si="109"/>
        <v>300</v>
      </c>
      <c r="M1773" s="9">
        <f t="shared" si="110"/>
        <v>86.100000000000023</v>
      </c>
      <c r="N1773" t="str">
        <f t="shared" si="111"/>
        <v>May</v>
      </c>
    </row>
    <row r="1774" spans="1:14" x14ac:dyDescent="0.3">
      <c r="A1774" s="2" t="s">
        <v>1840</v>
      </c>
      <c r="B1774" s="6">
        <v>45808</v>
      </c>
      <c r="C1774" s="2" t="s">
        <v>44</v>
      </c>
      <c r="D1774" s="2" t="s">
        <v>49</v>
      </c>
      <c r="E1774" s="2">
        <v>1</v>
      </c>
      <c r="F1774" s="7">
        <v>149</v>
      </c>
      <c r="G1774" s="8">
        <v>0.15</v>
      </c>
      <c r="H1774" s="9" t="str">
        <f>INDEX(Products!$B$2:$B$37, MATCH(D1774, Products!$A$2:$A$37, 0))</f>
        <v>Kids' Sneakers</v>
      </c>
      <c r="I1774" t="str">
        <f>INDEX(Products!$C$2:$C$37, MATCH(D1774, Products!$A$2:$A$37, 0))</f>
        <v>Fashion</v>
      </c>
      <c r="J1774">
        <f>INDEX(Products!$E$2:$E$37, MATCH(D1774, Products!$A$2:$A$37, 0))</f>
        <v>80</v>
      </c>
      <c r="K1774" s="9">
        <f t="shared" si="108"/>
        <v>126.64999999999999</v>
      </c>
      <c r="L1774">
        <f t="shared" si="109"/>
        <v>80</v>
      </c>
      <c r="M1774" s="9">
        <f t="shared" si="110"/>
        <v>46.649999999999991</v>
      </c>
      <c r="N1774" t="str">
        <f t="shared" si="111"/>
        <v>May</v>
      </c>
    </row>
    <row r="1775" spans="1:14" x14ac:dyDescent="0.3">
      <c r="A1775" s="2" t="s">
        <v>1841</v>
      </c>
      <c r="B1775" s="6">
        <v>45808</v>
      </c>
      <c r="C1775" s="2" t="s">
        <v>41</v>
      </c>
      <c r="D1775" s="2" t="s">
        <v>37</v>
      </c>
      <c r="E1775" s="2">
        <v>1</v>
      </c>
      <c r="F1775" s="7">
        <v>249</v>
      </c>
      <c r="G1775" s="8">
        <v>0</v>
      </c>
      <c r="H1775" s="9" t="str">
        <f>INDEX(Products!$B$2:$B$37, MATCH(D1775, Products!$A$2:$A$37, 0))</f>
        <v>Sunglasses Polarised</v>
      </c>
      <c r="I1775" t="str">
        <f>INDEX(Products!$C$2:$C$37, MATCH(D1775, Products!$A$2:$A$37, 0))</f>
        <v>Fashion</v>
      </c>
      <c r="J1775">
        <f>INDEX(Products!$E$2:$E$37, MATCH(D1775, Products!$A$2:$A$37, 0))</f>
        <v>95</v>
      </c>
      <c r="K1775" s="9">
        <f t="shared" si="108"/>
        <v>249</v>
      </c>
      <c r="L1775">
        <f t="shared" si="109"/>
        <v>95</v>
      </c>
      <c r="M1775" s="9">
        <f t="shared" si="110"/>
        <v>154</v>
      </c>
      <c r="N1775" t="str">
        <f t="shared" si="111"/>
        <v>May</v>
      </c>
    </row>
    <row r="1776" spans="1:14" x14ac:dyDescent="0.3">
      <c r="A1776" s="2" t="s">
        <v>1842</v>
      </c>
      <c r="B1776" s="6">
        <v>45809</v>
      </c>
      <c r="C1776" s="2" t="s">
        <v>28</v>
      </c>
      <c r="D1776" s="2" t="s">
        <v>92</v>
      </c>
      <c r="E1776" s="2">
        <v>1</v>
      </c>
      <c r="F1776" s="7">
        <v>349</v>
      </c>
      <c r="G1776" s="8">
        <v>0.2</v>
      </c>
      <c r="H1776" s="9" t="str">
        <f>INDEX(Products!$B$2:$B$37, MATCH(D1776, Products!$A$2:$A$37, 0))</f>
        <v>Non-stick Cookware Set</v>
      </c>
      <c r="I1776" t="str">
        <f>INDEX(Products!$C$2:$C$37, MATCH(D1776, Products!$A$2:$A$37, 0))</f>
        <v>Home &amp; Kitchen</v>
      </c>
      <c r="J1776">
        <f>INDEX(Products!$E$2:$E$37, MATCH(D1776, Products!$A$2:$A$37, 0))</f>
        <v>170</v>
      </c>
      <c r="K1776" s="9">
        <f t="shared" si="108"/>
        <v>279.2</v>
      </c>
      <c r="L1776">
        <f t="shared" si="109"/>
        <v>170</v>
      </c>
      <c r="M1776" s="9">
        <f t="shared" si="110"/>
        <v>109.19999999999999</v>
      </c>
      <c r="N1776" t="str">
        <f t="shared" si="111"/>
        <v>Jun</v>
      </c>
    </row>
    <row r="1777" spans="1:14" x14ac:dyDescent="0.3">
      <c r="A1777" s="2" t="s">
        <v>1843</v>
      </c>
      <c r="B1777" s="6">
        <v>45809</v>
      </c>
      <c r="C1777" s="2" t="s">
        <v>41</v>
      </c>
      <c r="D1777" s="2" t="s">
        <v>49</v>
      </c>
      <c r="E1777" s="2">
        <v>1</v>
      </c>
      <c r="F1777" s="7">
        <v>149</v>
      </c>
      <c r="G1777" s="8">
        <v>0</v>
      </c>
      <c r="H1777" s="9" t="str">
        <f>INDEX(Products!$B$2:$B$37, MATCH(D1777, Products!$A$2:$A$37, 0))</f>
        <v>Kids' Sneakers</v>
      </c>
      <c r="I1777" t="str">
        <f>INDEX(Products!$C$2:$C$37, MATCH(D1777, Products!$A$2:$A$37, 0))</f>
        <v>Fashion</v>
      </c>
      <c r="J1777">
        <f>INDEX(Products!$E$2:$E$37, MATCH(D1777, Products!$A$2:$A$37, 0))</f>
        <v>80</v>
      </c>
      <c r="K1777" s="9">
        <f t="shared" si="108"/>
        <v>149</v>
      </c>
      <c r="L1777">
        <f t="shared" si="109"/>
        <v>80</v>
      </c>
      <c r="M1777" s="9">
        <f t="shared" si="110"/>
        <v>69</v>
      </c>
      <c r="N1777" t="str">
        <f t="shared" si="111"/>
        <v>Jun</v>
      </c>
    </row>
    <row r="1778" spans="1:14" x14ac:dyDescent="0.3">
      <c r="A1778" s="2" t="s">
        <v>1844</v>
      </c>
      <c r="B1778" s="6">
        <v>45809</v>
      </c>
      <c r="C1778" s="2" t="s">
        <v>41</v>
      </c>
      <c r="D1778" s="2" t="s">
        <v>194</v>
      </c>
      <c r="E1778" s="2">
        <v>1</v>
      </c>
      <c r="F1778" s="7">
        <v>699</v>
      </c>
      <c r="G1778" s="8">
        <v>0.2</v>
      </c>
      <c r="H1778" s="9" t="str">
        <f>INDEX(Products!$B$2:$B$37, MATCH(D1778, Products!$A$2:$A$37, 0))</f>
        <v>Leather Handbag</v>
      </c>
      <c r="I1778" t="str">
        <f>INDEX(Products!$C$2:$C$37, MATCH(D1778, Products!$A$2:$A$37, 0))</f>
        <v>Fashion</v>
      </c>
      <c r="J1778">
        <f>INDEX(Products!$E$2:$E$37, MATCH(D1778, Products!$A$2:$A$37, 0))</f>
        <v>380</v>
      </c>
      <c r="K1778" s="9">
        <f t="shared" si="108"/>
        <v>559.20000000000005</v>
      </c>
      <c r="L1778">
        <f t="shared" si="109"/>
        <v>380</v>
      </c>
      <c r="M1778" s="9">
        <f t="shared" si="110"/>
        <v>179.20000000000005</v>
      </c>
      <c r="N1778" t="str">
        <f t="shared" si="111"/>
        <v>Jun</v>
      </c>
    </row>
    <row r="1779" spans="1:14" x14ac:dyDescent="0.3">
      <c r="A1779" s="2" t="s">
        <v>1845</v>
      </c>
      <c r="B1779" s="6">
        <v>45809</v>
      </c>
      <c r="C1779" s="2" t="s">
        <v>31</v>
      </c>
      <c r="D1779" s="2" t="s">
        <v>46</v>
      </c>
      <c r="E1779" s="2">
        <v>2</v>
      </c>
      <c r="F1779" s="7">
        <v>189</v>
      </c>
      <c r="G1779" s="8">
        <v>0</v>
      </c>
      <c r="H1779" s="9" t="str">
        <f>INDEX(Products!$B$2:$B$37, MATCH(D1779, Products!$A$2:$A$37, 0))</f>
        <v>Makeup Palette</v>
      </c>
      <c r="I1779" t="str">
        <f>INDEX(Products!$C$2:$C$37, MATCH(D1779, Products!$A$2:$A$37, 0))</f>
        <v>Beauty</v>
      </c>
      <c r="J1779">
        <f>INDEX(Products!$E$2:$E$37, MATCH(D1779, Products!$A$2:$A$37, 0))</f>
        <v>85</v>
      </c>
      <c r="K1779" s="9">
        <f t="shared" si="108"/>
        <v>378</v>
      </c>
      <c r="L1779">
        <f t="shared" si="109"/>
        <v>170</v>
      </c>
      <c r="M1779" s="9">
        <f t="shared" si="110"/>
        <v>208</v>
      </c>
      <c r="N1779" t="str">
        <f t="shared" si="111"/>
        <v>Jun</v>
      </c>
    </row>
    <row r="1780" spans="1:14" x14ac:dyDescent="0.3">
      <c r="A1780" s="2" t="s">
        <v>1846</v>
      </c>
      <c r="B1780" s="6">
        <v>45809</v>
      </c>
      <c r="C1780" s="2" t="s">
        <v>28</v>
      </c>
      <c r="D1780" s="2" t="s">
        <v>37</v>
      </c>
      <c r="E1780" s="2">
        <v>1</v>
      </c>
      <c r="F1780" s="7">
        <v>249</v>
      </c>
      <c r="G1780" s="8">
        <v>0</v>
      </c>
      <c r="H1780" s="9" t="str">
        <f>INDEX(Products!$B$2:$B$37, MATCH(D1780, Products!$A$2:$A$37, 0))</f>
        <v>Sunglasses Polarised</v>
      </c>
      <c r="I1780" t="str">
        <f>INDEX(Products!$C$2:$C$37, MATCH(D1780, Products!$A$2:$A$37, 0))</f>
        <v>Fashion</v>
      </c>
      <c r="J1780">
        <f>INDEX(Products!$E$2:$E$37, MATCH(D1780, Products!$A$2:$A$37, 0))</f>
        <v>95</v>
      </c>
      <c r="K1780" s="9">
        <f t="shared" si="108"/>
        <v>249</v>
      </c>
      <c r="L1780">
        <f t="shared" si="109"/>
        <v>95</v>
      </c>
      <c r="M1780" s="9">
        <f t="shared" si="110"/>
        <v>154</v>
      </c>
      <c r="N1780" t="str">
        <f t="shared" si="111"/>
        <v>Jun</v>
      </c>
    </row>
    <row r="1781" spans="1:14" x14ac:dyDescent="0.3">
      <c r="A1781" s="2" t="s">
        <v>1847</v>
      </c>
      <c r="B1781" s="6">
        <v>45809</v>
      </c>
      <c r="C1781" s="2" t="s">
        <v>41</v>
      </c>
      <c r="D1781" s="2" t="s">
        <v>49</v>
      </c>
      <c r="E1781" s="2">
        <v>1</v>
      </c>
      <c r="F1781" s="7">
        <v>149</v>
      </c>
      <c r="G1781" s="8">
        <v>0</v>
      </c>
      <c r="H1781" s="9" t="str">
        <f>INDEX(Products!$B$2:$B$37, MATCH(D1781, Products!$A$2:$A$37, 0))</f>
        <v>Kids' Sneakers</v>
      </c>
      <c r="I1781" t="str">
        <f>INDEX(Products!$C$2:$C$37, MATCH(D1781, Products!$A$2:$A$37, 0))</f>
        <v>Fashion</v>
      </c>
      <c r="J1781">
        <f>INDEX(Products!$E$2:$E$37, MATCH(D1781, Products!$A$2:$A$37, 0))</f>
        <v>80</v>
      </c>
      <c r="K1781" s="9">
        <f t="shared" si="108"/>
        <v>149</v>
      </c>
      <c r="L1781">
        <f t="shared" si="109"/>
        <v>80</v>
      </c>
      <c r="M1781" s="9">
        <f t="shared" si="110"/>
        <v>69</v>
      </c>
      <c r="N1781" t="str">
        <f t="shared" si="111"/>
        <v>Jun</v>
      </c>
    </row>
    <row r="1782" spans="1:14" x14ac:dyDescent="0.3">
      <c r="A1782" s="2" t="s">
        <v>1848</v>
      </c>
      <c r="B1782" s="6">
        <v>45809</v>
      </c>
      <c r="C1782" s="2" t="s">
        <v>28</v>
      </c>
      <c r="D1782" s="2" t="s">
        <v>131</v>
      </c>
      <c r="E1782" s="2">
        <v>2</v>
      </c>
      <c r="F1782" s="7">
        <v>899</v>
      </c>
      <c r="G1782" s="8">
        <v>0.15</v>
      </c>
      <c r="H1782" s="9" t="str">
        <f>INDEX(Products!$B$2:$B$37, MATCH(D1782, Products!$A$2:$A$37, 0))</f>
        <v>4K Action Camera</v>
      </c>
      <c r="I1782" t="str">
        <f>INDEX(Products!$C$2:$C$37, MATCH(D1782, Products!$A$2:$A$37, 0))</f>
        <v>Electronics</v>
      </c>
      <c r="J1782">
        <f>INDEX(Products!$E$2:$E$37, MATCH(D1782, Products!$A$2:$A$37, 0))</f>
        <v>610</v>
      </c>
      <c r="K1782" s="9">
        <f t="shared" si="108"/>
        <v>1528.3</v>
      </c>
      <c r="L1782">
        <f t="shared" si="109"/>
        <v>1220</v>
      </c>
      <c r="M1782" s="9">
        <f t="shared" si="110"/>
        <v>308.29999999999995</v>
      </c>
      <c r="N1782" t="str">
        <f t="shared" si="111"/>
        <v>Jun</v>
      </c>
    </row>
    <row r="1783" spans="1:14" x14ac:dyDescent="0.3">
      <c r="A1783" s="2" t="s">
        <v>1849</v>
      </c>
      <c r="B1783" s="6">
        <v>45809</v>
      </c>
      <c r="C1783" s="2" t="s">
        <v>31</v>
      </c>
      <c r="D1783" s="2" t="s">
        <v>70</v>
      </c>
      <c r="E1783" s="2">
        <v>1</v>
      </c>
      <c r="F1783" s="7">
        <v>429</v>
      </c>
      <c r="G1783" s="8">
        <v>0</v>
      </c>
      <c r="H1783" s="9" t="str">
        <f>INDEX(Products!$B$2:$B$37, MATCH(D1783, Products!$A$2:$A$37, 0))</f>
        <v>Running Shoes Elite</v>
      </c>
      <c r="I1783" t="str">
        <f>INDEX(Products!$C$2:$C$37, MATCH(D1783, Products!$A$2:$A$37, 0))</f>
        <v>Fashion</v>
      </c>
      <c r="J1783">
        <f>INDEX(Products!$E$2:$E$37, MATCH(D1783, Products!$A$2:$A$37, 0))</f>
        <v>300</v>
      </c>
      <c r="K1783" s="9">
        <f t="shared" si="108"/>
        <v>429</v>
      </c>
      <c r="L1783">
        <f t="shared" si="109"/>
        <v>300</v>
      </c>
      <c r="M1783" s="9">
        <f t="shared" si="110"/>
        <v>129</v>
      </c>
      <c r="N1783" t="str">
        <f t="shared" si="111"/>
        <v>Jun</v>
      </c>
    </row>
    <row r="1784" spans="1:14" x14ac:dyDescent="0.3">
      <c r="A1784" s="2" t="s">
        <v>1850</v>
      </c>
      <c r="B1784" s="6">
        <v>45809</v>
      </c>
      <c r="C1784" s="2" t="s">
        <v>28</v>
      </c>
      <c r="D1784" s="2" t="s">
        <v>129</v>
      </c>
      <c r="E1784" s="2">
        <v>3</v>
      </c>
      <c r="F1784" s="7">
        <v>149</v>
      </c>
      <c r="G1784" s="8">
        <v>0</v>
      </c>
      <c r="H1784" s="9" t="str">
        <f>INDEX(Products!$B$2:$B$37, MATCH(D1784, Products!$A$2:$A$37, 0))</f>
        <v>Power Bank 20000mAh</v>
      </c>
      <c r="I1784" t="str">
        <f>INDEX(Products!$C$2:$C$37, MATCH(D1784, Products!$A$2:$A$37, 0))</f>
        <v>Electronics</v>
      </c>
      <c r="J1784">
        <f>INDEX(Products!$E$2:$E$37, MATCH(D1784, Products!$A$2:$A$37, 0))</f>
        <v>70</v>
      </c>
      <c r="K1784" s="9">
        <f t="shared" si="108"/>
        <v>447</v>
      </c>
      <c r="L1784">
        <f t="shared" si="109"/>
        <v>210</v>
      </c>
      <c r="M1784" s="9">
        <f t="shared" si="110"/>
        <v>237</v>
      </c>
      <c r="N1784" t="str">
        <f t="shared" si="111"/>
        <v>Jun</v>
      </c>
    </row>
    <row r="1785" spans="1:14" x14ac:dyDescent="0.3">
      <c r="A1785" s="2" t="s">
        <v>1851</v>
      </c>
      <c r="B1785" s="6">
        <v>45809</v>
      </c>
      <c r="C1785" s="2" t="s">
        <v>48</v>
      </c>
      <c r="D1785" s="2" t="s">
        <v>52</v>
      </c>
      <c r="E1785" s="2">
        <v>1</v>
      </c>
      <c r="F1785" s="7">
        <v>299</v>
      </c>
      <c r="G1785" s="8">
        <v>0.2</v>
      </c>
      <c r="H1785" s="9" t="str">
        <f>INDEX(Products!$B$2:$B$37, MATCH(D1785, Products!$A$2:$A$37, 0))</f>
        <v>Hair Dryer Ionic</v>
      </c>
      <c r="I1785" t="str">
        <f>INDEX(Products!$C$2:$C$37, MATCH(D1785, Products!$A$2:$A$37, 0))</f>
        <v>Beauty</v>
      </c>
      <c r="J1785">
        <f>INDEX(Products!$E$2:$E$37, MATCH(D1785, Products!$A$2:$A$37, 0))</f>
        <v>240</v>
      </c>
      <c r="K1785" s="9">
        <f t="shared" si="108"/>
        <v>239.20000000000002</v>
      </c>
      <c r="L1785">
        <f t="shared" si="109"/>
        <v>240</v>
      </c>
      <c r="M1785" s="9">
        <f t="shared" si="110"/>
        <v>-0.79999999999998295</v>
      </c>
      <c r="N1785" t="str">
        <f t="shared" si="111"/>
        <v>Jun</v>
      </c>
    </row>
    <row r="1786" spans="1:14" x14ac:dyDescent="0.3">
      <c r="A1786" s="2" t="s">
        <v>1852</v>
      </c>
      <c r="B1786" s="6">
        <v>45810</v>
      </c>
      <c r="C1786" s="2" t="s">
        <v>44</v>
      </c>
      <c r="D1786" s="2" t="s">
        <v>89</v>
      </c>
      <c r="E1786" s="2">
        <v>3</v>
      </c>
      <c r="F1786" s="7">
        <v>399</v>
      </c>
      <c r="G1786" s="8">
        <v>0.05</v>
      </c>
      <c r="H1786" s="9" t="str">
        <f>INDEX(Products!$B$2:$B$37, MATCH(D1786, Products!$A$2:$A$37, 0))</f>
        <v>Men's Kandura Premium</v>
      </c>
      <c r="I1786" t="str">
        <f>INDEX(Products!$C$2:$C$37, MATCH(D1786, Products!$A$2:$A$37, 0))</f>
        <v>Fashion</v>
      </c>
      <c r="J1786">
        <f>INDEX(Products!$E$2:$E$37, MATCH(D1786, Products!$A$2:$A$37, 0))</f>
        <v>210</v>
      </c>
      <c r="K1786" s="9">
        <f t="shared" si="108"/>
        <v>1137.1499999999999</v>
      </c>
      <c r="L1786">
        <f t="shared" si="109"/>
        <v>630</v>
      </c>
      <c r="M1786" s="9">
        <f t="shared" si="110"/>
        <v>507.14999999999986</v>
      </c>
      <c r="N1786" t="str">
        <f t="shared" si="111"/>
        <v>Jun</v>
      </c>
    </row>
    <row r="1787" spans="1:14" x14ac:dyDescent="0.3">
      <c r="A1787" s="2" t="s">
        <v>1853</v>
      </c>
      <c r="B1787" s="6">
        <v>45810</v>
      </c>
      <c r="C1787" s="2" t="s">
        <v>31</v>
      </c>
      <c r="D1787" s="2" t="s">
        <v>78</v>
      </c>
      <c r="E1787" s="2">
        <v>1</v>
      </c>
      <c r="F1787" s="7">
        <v>499</v>
      </c>
      <c r="G1787" s="8">
        <v>0.05</v>
      </c>
      <c r="H1787" s="9" t="str">
        <f>INDEX(Products!$B$2:$B$37, MATCH(D1787, Products!$A$2:$A$37, 0))</f>
        <v>Air Fryer 5L</v>
      </c>
      <c r="I1787" t="str">
        <f>INDEX(Products!$C$2:$C$37, MATCH(D1787, Products!$A$2:$A$37, 0))</f>
        <v>Home &amp; Kitchen</v>
      </c>
      <c r="J1787">
        <f>INDEX(Products!$E$2:$E$37, MATCH(D1787, Products!$A$2:$A$37, 0))</f>
        <v>290</v>
      </c>
      <c r="K1787" s="9">
        <f t="shared" si="108"/>
        <v>474.04999999999995</v>
      </c>
      <c r="L1787">
        <f t="shared" si="109"/>
        <v>290</v>
      </c>
      <c r="M1787" s="9">
        <f t="shared" si="110"/>
        <v>184.04999999999995</v>
      </c>
      <c r="N1787" t="str">
        <f t="shared" si="111"/>
        <v>Jun</v>
      </c>
    </row>
    <row r="1788" spans="1:14" x14ac:dyDescent="0.3">
      <c r="A1788" s="2" t="s">
        <v>1854</v>
      </c>
      <c r="B1788" s="6">
        <v>45810</v>
      </c>
      <c r="C1788" s="2" t="s">
        <v>41</v>
      </c>
      <c r="D1788" s="2" t="s">
        <v>92</v>
      </c>
      <c r="E1788" s="2">
        <v>2</v>
      </c>
      <c r="F1788" s="7">
        <v>349</v>
      </c>
      <c r="G1788" s="8">
        <v>0.1</v>
      </c>
      <c r="H1788" s="9" t="str">
        <f>INDEX(Products!$B$2:$B$37, MATCH(D1788, Products!$A$2:$A$37, 0))</f>
        <v>Non-stick Cookware Set</v>
      </c>
      <c r="I1788" t="str">
        <f>INDEX(Products!$C$2:$C$37, MATCH(D1788, Products!$A$2:$A$37, 0))</f>
        <v>Home &amp; Kitchen</v>
      </c>
      <c r="J1788">
        <f>INDEX(Products!$E$2:$E$37, MATCH(D1788, Products!$A$2:$A$37, 0))</f>
        <v>170</v>
      </c>
      <c r="K1788" s="9">
        <f t="shared" si="108"/>
        <v>628.20000000000005</v>
      </c>
      <c r="L1788">
        <f t="shared" si="109"/>
        <v>340</v>
      </c>
      <c r="M1788" s="9">
        <f t="shared" si="110"/>
        <v>288.20000000000005</v>
      </c>
      <c r="N1788" t="str">
        <f t="shared" si="111"/>
        <v>Jun</v>
      </c>
    </row>
    <row r="1789" spans="1:14" x14ac:dyDescent="0.3">
      <c r="A1789" s="2" t="s">
        <v>1855</v>
      </c>
      <c r="B1789" s="6">
        <v>45810</v>
      </c>
      <c r="C1789" s="2" t="s">
        <v>48</v>
      </c>
      <c r="D1789" s="2" t="s">
        <v>35</v>
      </c>
      <c r="E1789" s="2">
        <v>1</v>
      </c>
      <c r="F1789" s="7">
        <v>179</v>
      </c>
      <c r="G1789" s="8">
        <v>0</v>
      </c>
      <c r="H1789" s="9" t="str">
        <f>INDEX(Products!$B$2:$B$37, MATCH(D1789, Products!$A$2:$A$37, 0))</f>
        <v>Men's Linen Shirt</v>
      </c>
      <c r="I1789" t="str">
        <f>INDEX(Products!$C$2:$C$37, MATCH(D1789, Products!$A$2:$A$37, 0))</f>
        <v>Fashion</v>
      </c>
      <c r="J1789">
        <f>INDEX(Products!$E$2:$E$37, MATCH(D1789, Products!$A$2:$A$37, 0))</f>
        <v>70</v>
      </c>
      <c r="K1789" s="9">
        <f t="shared" si="108"/>
        <v>179</v>
      </c>
      <c r="L1789">
        <f t="shared" si="109"/>
        <v>70</v>
      </c>
      <c r="M1789" s="9">
        <f t="shared" si="110"/>
        <v>109</v>
      </c>
      <c r="N1789" t="str">
        <f t="shared" si="111"/>
        <v>Jun</v>
      </c>
    </row>
    <row r="1790" spans="1:14" x14ac:dyDescent="0.3">
      <c r="A1790" s="2" t="s">
        <v>1856</v>
      </c>
      <c r="B1790" s="6">
        <v>45810</v>
      </c>
      <c r="C1790" s="2" t="s">
        <v>31</v>
      </c>
      <c r="D1790" s="2" t="s">
        <v>115</v>
      </c>
      <c r="E1790" s="2">
        <v>1</v>
      </c>
      <c r="F1790" s="7">
        <v>129</v>
      </c>
      <c r="G1790" s="8">
        <v>0.1</v>
      </c>
      <c r="H1790" s="9" t="str">
        <f>INDEX(Products!$B$2:$B$37, MATCH(D1790, Products!$A$2:$A$37, 0))</f>
        <v>Electric Kettle</v>
      </c>
      <c r="I1790" t="str">
        <f>INDEX(Products!$C$2:$C$37, MATCH(D1790, Products!$A$2:$A$37, 0))</f>
        <v>Home &amp; Kitchen</v>
      </c>
      <c r="J1790">
        <f>INDEX(Products!$E$2:$E$37, MATCH(D1790, Products!$A$2:$A$37, 0))</f>
        <v>60</v>
      </c>
      <c r="K1790" s="9">
        <f t="shared" si="108"/>
        <v>116.10000000000001</v>
      </c>
      <c r="L1790">
        <f t="shared" si="109"/>
        <v>60</v>
      </c>
      <c r="M1790" s="9">
        <f t="shared" si="110"/>
        <v>56.100000000000009</v>
      </c>
      <c r="N1790" t="str">
        <f t="shared" si="111"/>
        <v>Jun</v>
      </c>
    </row>
    <row r="1791" spans="1:14" x14ac:dyDescent="0.3">
      <c r="A1791" s="2" t="s">
        <v>1857</v>
      </c>
      <c r="B1791" s="6">
        <v>45810</v>
      </c>
      <c r="C1791" s="2" t="s">
        <v>31</v>
      </c>
      <c r="D1791" s="2" t="s">
        <v>58</v>
      </c>
      <c r="E1791" s="2">
        <v>1</v>
      </c>
      <c r="F1791" s="7">
        <v>459</v>
      </c>
      <c r="G1791" s="8">
        <v>0.2</v>
      </c>
      <c r="H1791" s="9" t="str">
        <f>INDEX(Products!$B$2:$B$37, MATCH(D1791, Products!$A$2:$A$37, 0))</f>
        <v>Women's Abaya Classic</v>
      </c>
      <c r="I1791" t="str">
        <f>INDEX(Products!$C$2:$C$37, MATCH(D1791, Products!$A$2:$A$37, 0))</f>
        <v>Fashion</v>
      </c>
      <c r="J1791">
        <f>INDEX(Products!$E$2:$E$37, MATCH(D1791, Products!$A$2:$A$37, 0))</f>
        <v>190</v>
      </c>
      <c r="K1791" s="9">
        <f t="shared" si="108"/>
        <v>367.20000000000005</v>
      </c>
      <c r="L1791">
        <f t="shared" si="109"/>
        <v>190</v>
      </c>
      <c r="M1791" s="9">
        <f t="shared" si="110"/>
        <v>177.20000000000005</v>
      </c>
      <c r="N1791" t="str">
        <f t="shared" si="111"/>
        <v>Jun</v>
      </c>
    </row>
    <row r="1792" spans="1:14" x14ac:dyDescent="0.3">
      <c r="A1792" s="2" t="s">
        <v>1858</v>
      </c>
      <c r="B1792" s="6">
        <v>45810</v>
      </c>
      <c r="C1792" s="2" t="s">
        <v>31</v>
      </c>
      <c r="D1792" s="2" t="s">
        <v>52</v>
      </c>
      <c r="E1792" s="2">
        <v>1</v>
      </c>
      <c r="F1792" s="7">
        <v>299</v>
      </c>
      <c r="G1792" s="8">
        <v>0.25</v>
      </c>
      <c r="H1792" s="9" t="str">
        <f>INDEX(Products!$B$2:$B$37, MATCH(D1792, Products!$A$2:$A$37, 0))</f>
        <v>Hair Dryer Ionic</v>
      </c>
      <c r="I1792" t="str">
        <f>INDEX(Products!$C$2:$C$37, MATCH(D1792, Products!$A$2:$A$37, 0))</f>
        <v>Beauty</v>
      </c>
      <c r="J1792">
        <f>INDEX(Products!$E$2:$E$37, MATCH(D1792, Products!$A$2:$A$37, 0))</f>
        <v>240</v>
      </c>
      <c r="K1792" s="9">
        <f t="shared" si="108"/>
        <v>224.25</v>
      </c>
      <c r="L1792">
        <f t="shared" si="109"/>
        <v>240</v>
      </c>
      <c r="M1792" s="9">
        <f t="shared" si="110"/>
        <v>-15.75</v>
      </c>
      <c r="N1792" t="str">
        <f t="shared" si="111"/>
        <v>Jun</v>
      </c>
    </row>
    <row r="1793" spans="1:14" x14ac:dyDescent="0.3">
      <c r="A1793" s="2" t="s">
        <v>1859</v>
      </c>
      <c r="B1793" s="6">
        <v>45810</v>
      </c>
      <c r="C1793" s="2" t="s">
        <v>41</v>
      </c>
      <c r="D1793" s="2" t="s">
        <v>46</v>
      </c>
      <c r="E1793" s="2">
        <v>1</v>
      </c>
      <c r="F1793" s="7">
        <v>189</v>
      </c>
      <c r="G1793" s="8">
        <v>0</v>
      </c>
      <c r="H1793" s="9" t="str">
        <f>INDEX(Products!$B$2:$B$37, MATCH(D1793, Products!$A$2:$A$37, 0))</f>
        <v>Makeup Palette</v>
      </c>
      <c r="I1793" t="str">
        <f>INDEX(Products!$C$2:$C$37, MATCH(D1793, Products!$A$2:$A$37, 0))</f>
        <v>Beauty</v>
      </c>
      <c r="J1793">
        <f>INDEX(Products!$E$2:$E$37, MATCH(D1793, Products!$A$2:$A$37, 0))</f>
        <v>85</v>
      </c>
      <c r="K1793" s="9">
        <f t="shared" si="108"/>
        <v>189</v>
      </c>
      <c r="L1793">
        <f t="shared" si="109"/>
        <v>85</v>
      </c>
      <c r="M1793" s="9">
        <f t="shared" si="110"/>
        <v>104</v>
      </c>
      <c r="N1793" t="str">
        <f t="shared" si="111"/>
        <v>Jun</v>
      </c>
    </row>
    <row r="1794" spans="1:14" x14ac:dyDescent="0.3">
      <c r="A1794" s="2" t="s">
        <v>1860</v>
      </c>
      <c r="B1794" s="6">
        <v>45810</v>
      </c>
      <c r="C1794" s="2" t="s">
        <v>28</v>
      </c>
      <c r="D1794" s="2" t="s">
        <v>80</v>
      </c>
      <c r="E1794" s="2">
        <v>1</v>
      </c>
      <c r="F1794" s="7">
        <v>149</v>
      </c>
      <c r="G1794" s="8">
        <v>0</v>
      </c>
      <c r="H1794" s="9" t="str">
        <f>INDEX(Products!$B$2:$B$37, MATCH(D1794, Products!$A$2:$A$37, 0))</f>
        <v>Vitamin C Serum</v>
      </c>
      <c r="I1794" t="str">
        <f>INDEX(Products!$C$2:$C$37, MATCH(D1794, Products!$A$2:$A$37, 0))</f>
        <v>Beauty</v>
      </c>
      <c r="J1794">
        <f>INDEX(Products!$E$2:$E$37, MATCH(D1794, Products!$A$2:$A$37, 0))</f>
        <v>55</v>
      </c>
      <c r="K1794" s="9">
        <f t="shared" ref="K1794:K1857" si="112">E1794*F1794*(1-G1794)</f>
        <v>149</v>
      </c>
      <c r="L1794">
        <f t="shared" ref="L1794:L1857" si="113">E1794*J1794</f>
        <v>55</v>
      </c>
      <c r="M1794" s="9">
        <f t="shared" ref="M1794:M1857" si="114">K1794-L1794</f>
        <v>94</v>
      </c>
      <c r="N1794" t="str">
        <f t="shared" ref="N1794:N1857" si="115">TEXT(B1794,"mmm")</f>
        <v>Jun</v>
      </c>
    </row>
    <row r="1795" spans="1:14" x14ac:dyDescent="0.3">
      <c r="A1795" s="2" t="s">
        <v>1861</v>
      </c>
      <c r="B1795" s="6">
        <v>45810</v>
      </c>
      <c r="C1795" s="2" t="s">
        <v>41</v>
      </c>
      <c r="D1795" s="2" t="s">
        <v>29</v>
      </c>
      <c r="E1795" s="2">
        <v>1</v>
      </c>
      <c r="F1795" s="7">
        <v>229</v>
      </c>
      <c r="G1795" s="8">
        <v>0.15</v>
      </c>
      <c r="H1795" s="9" t="str">
        <f>INDEX(Products!$B$2:$B$37, MATCH(D1795, Products!$A$2:$A$37, 0))</f>
        <v>Women's Summer Dress</v>
      </c>
      <c r="I1795" t="str">
        <f>INDEX(Products!$C$2:$C$37, MATCH(D1795, Products!$A$2:$A$37, 0))</f>
        <v>Fashion</v>
      </c>
      <c r="J1795">
        <f>INDEX(Products!$E$2:$E$37, MATCH(D1795, Products!$A$2:$A$37, 0))</f>
        <v>120</v>
      </c>
      <c r="K1795" s="9">
        <f t="shared" si="112"/>
        <v>194.65</v>
      </c>
      <c r="L1795">
        <f t="shared" si="113"/>
        <v>120</v>
      </c>
      <c r="M1795" s="9">
        <f t="shared" si="114"/>
        <v>74.650000000000006</v>
      </c>
      <c r="N1795" t="str">
        <f t="shared" si="115"/>
        <v>Jun</v>
      </c>
    </row>
    <row r="1796" spans="1:14" x14ac:dyDescent="0.3">
      <c r="A1796" s="2" t="s">
        <v>1862</v>
      </c>
      <c r="B1796" s="6">
        <v>45810</v>
      </c>
      <c r="C1796" s="2" t="s">
        <v>44</v>
      </c>
      <c r="D1796" s="2" t="s">
        <v>75</v>
      </c>
      <c r="E1796" s="2">
        <v>1</v>
      </c>
      <c r="F1796" s="7">
        <v>549</v>
      </c>
      <c r="G1796" s="8">
        <v>0.3</v>
      </c>
      <c r="H1796" s="9" t="str">
        <f>INDEX(Products!$B$2:$B$37, MATCH(D1796, Products!$A$2:$A$37, 0))</f>
        <v>Oud Perfume 100ml</v>
      </c>
      <c r="I1796" t="str">
        <f>INDEX(Products!$C$2:$C$37, MATCH(D1796, Products!$A$2:$A$37, 0))</f>
        <v>Beauty</v>
      </c>
      <c r="J1796">
        <f>INDEX(Products!$E$2:$E$37, MATCH(D1796, Products!$A$2:$A$37, 0))</f>
        <v>250</v>
      </c>
      <c r="K1796" s="9">
        <f t="shared" si="112"/>
        <v>384.29999999999995</v>
      </c>
      <c r="L1796">
        <f t="shared" si="113"/>
        <v>250</v>
      </c>
      <c r="M1796" s="9">
        <f t="shared" si="114"/>
        <v>134.29999999999995</v>
      </c>
      <c r="N1796" t="str">
        <f t="shared" si="115"/>
        <v>Jun</v>
      </c>
    </row>
    <row r="1797" spans="1:14" x14ac:dyDescent="0.3">
      <c r="A1797" s="2" t="s">
        <v>1863</v>
      </c>
      <c r="B1797" s="6">
        <v>45810</v>
      </c>
      <c r="C1797" s="2" t="s">
        <v>28</v>
      </c>
      <c r="D1797" s="2" t="s">
        <v>65</v>
      </c>
      <c r="E1797" s="2">
        <v>3</v>
      </c>
      <c r="F1797" s="7">
        <v>129</v>
      </c>
      <c r="G1797" s="8">
        <v>0</v>
      </c>
      <c r="H1797" s="9" t="str">
        <f>INDEX(Products!$B$2:$B$37, MATCH(D1797, Products!$A$2:$A$37, 0))</f>
        <v>Yoga Mat Premium</v>
      </c>
      <c r="I1797" t="str">
        <f>INDEX(Products!$C$2:$C$37, MATCH(D1797, Products!$A$2:$A$37, 0))</f>
        <v>Sports</v>
      </c>
      <c r="J1797">
        <f>INDEX(Products!$E$2:$E$37, MATCH(D1797, Products!$A$2:$A$37, 0))</f>
        <v>60</v>
      </c>
      <c r="K1797" s="9">
        <f t="shared" si="112"/>
        <v>387</v>
      </c>
      <c r="L1797">
        <f t="shared" si="113"/>
        <v>180</v>
      </c>
      <c r="M1797" s="9">
        <f t="shared" si="114"/>
        <v>207</v>
      </c>
      <c r="N1797" t="str">
        <f t="shared" si="115"/>
        <v>Jun</v>
      </c>
    </row>
    <row r="1798" spans="1:14" x14ac:dyDescent="0.3">
      <c r="A1798" s="2" t="s">
        <v>1864</v>
      </c>
      <c r="B1798" s="6">
        <v>45811</v>
      </c>
      <c r="C1798" s="2" t="s">
        <v>44</v>
      </c>
      <c r="D1798" s="2" t="s">
        <v>42</v>
      </c>
      <c r="E1798" s="2">
        <v>1</v>
      </c>
      <c r="F1798" s="7">
        <v>399</v>
      </c>
      <c r="G1798" s="8">
        <v>0.05</v>
      </c>
      <c r="H1798" s="9" t="str">
        <f>INDEX(Products!$B$2:$B$37, MATCH(D1798, Products!$A$2:$A$37, 0))</f>
        <v>Wireless Earbuds Pro</v>
      </c>
      <c r="I1798" t="str">
        <f>INDEX(Products!$C$2:$C$37, MATCH(D1798, Products!$A$2:$A$37, 0))</f>
        <v>Electronics</v>
      </c>
      <c r="J1798">
        <f>INDEX(Products!$E$2:$E$37, MATCH(D1798, Products!$A$2:$A$37, 0))</f>
        <v>230</v>
      </c>
      <c r="K1798" s="9">
        <f t="shared" si="112"/>
        <v>379.04999999999995</v>
      </c>
      <c r="L1798">
        <f t="shared" si="113"/>
        <v>230</v>
      </c>
      <c r="M1798" s="9">
        <f t="shared" si="114"/>
        <v>149.04999999999995</v>
      </c>
      <c r="N1798" t="str">
        <f t="shared" si="115"/>
        <v>Jun</v>
      </c>
    </row>
    <row r="1799" spans="1:14" x14ac:dyDescent="0.3">
      <c r="A1799" s="2" t="s">
        <v>1865</v>
      </c>
      <c r="B1799" s="6">
        <v>45811</v>
      </c>
      <c r="C1799" s="2" t="s">
        <v>44</v>
      </c>
      <c r="D1799" s="2" t="s">
        <v>68</v>
      </c>
      <c r="E1799" s="2">
        <v>2</v>
      </c>
      <c r="F1799" s="7">
        <v>249</v>
      </c>
      <c r="G1799" s="8">
        <v>0.2</v>
      </c>
      <c r="H1799" s="9" t="str">
        <f>INDEX(Products!$B$2:$B$37, MATCH(D1799, Products!$A$2:$A$37, 0))</f>
        <v>Bluetooth Speaker Mini</v>
      </c>
      <c r="I1799" t="str">
        <f>INDEX(Products!$C$2:$C$37, MATCH(D1799, Products!$A$2:$A$37, 0))</f>
        <v>Electronics</v>
      </c>
      <c r="J1799">
        <f>INDEX(Products!$E$2:$E$37, MATCH(D1799, Products!$A$2:$A$37, 0))</f>
        <v>150</v>
      </c>
      <c r="K1799" s="9">
        <f t="shared" si="112"/>
        <v>398.40000000000003</v>
      </c>
      <c r="L1799">
        <f t="shared" si="113"/>
        <v>300</v>
      </c>
      <c r="M1799" s="9">
        <f t="shared" si="114"/>
        <v>98.400000000000034</v>
      </c>
      <c r="N1799" t="str">
        <f t="shared" si="115"/>
        <v>Jun</v>
      </c>
    </row>
    <row r="1800" spans="1:14" x14ac:dyDescent="0.3">
      <c r="A1800" s="2" t="s">
        <v>1866</v>
      </c>
      <c r="B1800" s="6">
        <v>45811</v>
      </c>
      <c r="C1800" s="2" t="s">
        <v>44</v>
      </c>
      <c r="D1800" s="2" t="s">
        <v>60</v>
      </c>
      <c r="E1800" s="2">
        <v>3</v>
      </c>
      <c r="F1800" s="7">
        <v>99</v>
      </c>
      <c r="G1800" s="8">
        <v>0.2</v>
      </c>
      <c r="H1800" s="9" t="str">
        <f>INDEX(Products!$B$2:$B$37, MATCH(D1800, Products!$A$2:$A$37, 0))</f>
        <v>Football Size 5</v>
      </c>
      <c r="I1800" t="str">
        <f>INDEX(Products!$C$2:$C$37, MATCH(D1800, Products!$A$2:$A$37, 0))</f>
        <v>Sports</v>
      </c>
      <c r="J1800">
        <f>INDEX(Products!$E$2:$E$37, MATCH(D1800, Products!$A$2:$A$37, 0))</f>
        <v>45</v>
      </c>
      <c r="K1800" s="9">
        <f t="shared" si="112"/>
        <v>237.60000000000002</v>
      </c>
      <c r="L1800">
        <f t="shared" si="113"/>
        <v>135</v>
      </c>
      <c r="M1800" s="9">
        <f t="shared" si="114"/>
        <v>102.60000000000002</v>
      </c>
      <c r="N1800" t="str">
        <f t="shared" si="115"/>
        <v>Jun</v>
      </c>
    </row>
    <row r="1801" spans="1:14" x14ac:dyDescent="0.3">
      <c r="A1801" s="2" t="s">
        <v>1867</v>
      </c>
      <c r="B1801" s="6">
        <v>45811</v>
      </c>
      <c r="C1801" s="2" t="s">
        <v>31</v>
      </c>
      <c r="D1801" s="2" t="s">
        <v>89</v>
      </c>
      <c r="E1801" s="2">
        <v>2</v>
      </c>
      <c r="F1801" s="7">
        <v>399</v>
      </c>
      <c r="G1801" s="8">
        <v>0.1</v>
      </c>
      <c r="H1801" s="9" t="str">
        <f>INDEX(Products!$B$2:$B$37, MATCH(D1801, Products!$A$2:$A$37, 0))</f>
        <v>Men's Kandura Premium</v>
      </c>
      <c r="I1801" t="str">
        <f>INDEX(Products!$C$2:$C$37, MATCH(D1801, Products!$A$2:$A$37, 0))</f>
        <v>Fashion</v>
      </c>
      <c r="J1801">
        <f>INDEX(Products!$E$2:$E$37, MATCH(D1801, Products!$A$2:$A$37, 0))</f>
        <v>210</v>
      </c>
      <c r="K1801" s="9">
        <f t="shared" si="112"/>
        <v>718.2</v>
      </c>
      <c r="L1801">
        <f t="shared" si="113"/>
        <v>420</v>
      </c>
      <c r="M1801" s="9">
        <f t="shared" si="114"/>
        <v>298.20000000000005</v>
      </c>
      <c r="N1801" t="str">
        <f t="shared" si="115"/>
        <v>Jun</v>
      </c>
    </row>
    <row r="1802" spans="1:14" x14ac:dyDescent="0.3">
      <c r="A1802" s="2" t="s">
        <v>1868</v>
      </c>
      <c r="B1802" s="6">
        <v>45811</v>
      </c>
      <c r="C1802" s="2" t="s">
        <v>31</v>
      </c>
      <c r="D1802" s="2" t="s">
        <v>80</v>
      </c>
      <c r="E1802" s="2">
        <v>1</v>
      </c>
      <c r="F1802" s="7">
        <v>149</v>
      </c>
      <c r="G1802" s="8">
        <v>0</v>
      </c>
      <c r="H1802" s="9" t="str">
        <f>INDEX(Products!$B$2:$B$37, MATCH(D1802, Products!$A$2:$A$37, 0))</f>
        <v>Vitamin C Serum</v>
      </c>
      <c r="I1802" t="str">
        <f>INDEX(Products!$C$2:$C$37, MATCH(D1802, Products!$A$2:$A$37, 0))</f>
        <v>Beauty</v>
      </c>
      <c r="J1802">
        <f>INDEX(Products!$E$2:$E$37, MATCH(D1802, Products!$A$2:$A$37, 0))</f>
        <v>55</v>
      </c>
      <c r="K1802" s="9">
        <f t="shared" si="112"/>
        <v>149</v>
      </c>
      <c r="L1802">
        <f t="shared" si="113"/>
        <v>55</v>
      </c>
      <c r="M1802" s="9">
        <f t="shared" si="114"/>
        <v>94</v>
      </c>
      <c r="N1802" t="str">
        <f t="shared" si="115"/>
        <v>Jun</v>
      </c>
    </row>
    <row r="1803" spans="1:14" x14ac:dyDescent="0.3">
      <c r="A1803" s="2" t="s">
        <v>1869</v>
      </c>
      <c r="B1803" s="6">
        <v>45811</v>
      </c>
      <c r="C1803" s="2" t="s">
        <v>28</v>
      </c>
      <c r="D1803" s="2" t="s">
        <v>56</v>
      </c>
      <c r="E1803" s="2">
        <v>1</v>
      </c>
      <c r="F1803" s="7">
        <v>289</v>
      </c>
      <c r="G1803" s="8">
        <v>0.2</v>
      </c>
      <c r="H1803" s="9" t="str">
        <f>INDEX(Products!$B$2:$B$37, MATCH(D1803, Products!$A$2:$A$37, 0))</f>
        <v>Ceramic Dinner Set</v>
      </c>
      <c r="I1803" t="str">
        <f>INDEX(Products!$C$2:$C$37, MATCH(D1803, Products!$A$2:$A$37, 0))</f>
        <v>Home &amp; Kitchen</v>
      </c>
      <c r="J1803">
        <f>INDEX(Products!$E$2:$E$37, MATCH(D1803, Products!$A$2:$A$37, 0))</f>
        <v>140</v>
      </c>
      <c r="K1803" s="9">
        <f t="shared" si="112"/>
        <v>231.20000000000002</v>
      </c>
      <c r="L1803">
        <f t="shared" si="113"/>
        <v>140</v>
      </c>
      <c r="M1803" s="9">
        <f t="shared" si="114"/>
        <v>91.200000000000017</v>
      </c>
      <c r="N1803" t="str">
        <f t="shared" si="115"/>
        <v>Jun</v>
      </c>
    </row>
    <row r="1804" spans="1:14" x14ac:dyDescent="0.3">
      <c r="A1804" s="2" t="s">
        <v>1870</v>
      </c>
      <c r="B1804" s="6">
        <v>45811</v>
      </c>
      <c r="C1804" s="2" t="s">
        <v>41</v>
      </c>
      <c r="D1804" s="2" t="s">
        <v>35</v>
      </c>
      <c r="E1804" s="2">
        <v>1</v>
      </c>
      <c r="F1804" s="7">
        <v>179</v>
      </c>
      <c r="G1804" s="8">
        <v>0.15</v>
      </c>
      <c r="H1804" s="9" t="str">
        <f>INDEX(Products!$B$2:$B$37, MATCH(D1804, Products!$A$2:$A$37, 0))</f>
        <v>Men's Linen Shirt</v>
      </c>
      <c r="I1804" t="str">
        <f>INDEX(Products!$C$2:$C$37, MATCH(D1804, Products!$A$2:$A$37, 0))</f>
        <v>Fashion</v>
      </c>
      <c r="J1804">
        <f>INDEX(Products!$E$2:$E$37, MATCH(D1804, Products!$A$2:$A$37, 0))</f>
        <v>70</v>
      </c>
      <c r="K1804" s="9">
        <f t="shared" si="112"/>
        <v>152.15</v>
      </c>
      <c r="L1804">
        <f t="shared" si="113"/>
        <v>70</v>
      </c>
      <c r="M1804" s="9">
        <f t="shared" si="114"/>
        <v>82.15</v>
      </c>
      <c r="N1804" t="str">
        <f t="shared" si="115"/>
        <v>Jun</v>
      </c>
    </row>
    <row r="1805" spans="1:14" x14ac:dyDescent="0.3">
      <c r="A1805" s="2" t="s">
        <v>1871</v>
      </c>
      <c r="B1805" s="6">
        <v>45812</v>
      </c>
      <c r="C1805" s="2" t="s">
        <v>41</v>
      </c>
      <c r="D1805" s="2" t="s">
        <v>33</v>
      </c>
      <c r="E1805" s="2">
        <v>1</v>
      </c>
      <c r="F1805" s="7">
        <v>199</v>
      </c>
      <c r="G1805" s="8">
        <v>0.2</v>
      </c>
      <c r="H1805" s="9" t="str">
        <f>INDEX(Products!$B$2:$B$37, MATCH(D1805, Products!$A$2:$A$37, 0))</f>
        <v>Fitness Band Lite</v>
      </c>
      <c r="I1805" t="str">
        <f>INDEX(Products!$C$2:$C$37, MATCH(D1805, Products!$A$2:$A$37, 0))</f>
        <v>Electronics</v>
      </c>
      <c r="J1805">
        <f>INDEX(Products!$E$2:$E$37, MATCH(D1805, Products!$A$2:$A$37, 0))</f>
        <v>175</v>
      </c>
      <c r="K1805" s="9">
        <f t="shared" si="112"/>
        <v>159.20000000000002</v>
      </c>
      <c r="L1805">
        <f t="shared" si="113"/>
        <v>175</v>
      </c>
      <c r="M1805" s="9">
        <f t="shared" si="114"/>
        <v>-15.799999999999983</v>
      </c>
      <c r="N1805" t="str">
        <f t="shared" si="115"/>
        <v>Jun</v>
      </c>
    </row>
    <row r="1806" spans="1:14" x14ac:dyDescent="0.3">
      <c r="A1806" s="2" t="s">
        <v>1872</v>
      </c>
      <c r="B1806" s="6">
        <v>45812</v>
      </c>
      <c r="C1806" s="2" t="s">
        <v>31</v>
      </c>
      <c r="D1806" s="2" t="s">
        <v>37</v>
      </c>
      <c r="E1806" s="2">
        <v>2</v>
      </c>
      <c r="F1806" s="7">
        <v>249</v>
      </c>
      <c r="G1806" s="8">
        <v>0.3</v>
      </c>
      <c r="H1806" s="9" t="str">
        <f>INDEX(Products!$B$2:$B$37, MATCH(D1806, Products!$A$2:$A$37, 0))</f>
        <v>Sunglasses Polarised</v>
      </c>
      <c r="I1806" t="str">
        <f>INDEX(Products!$C$2:$C$37, MATCH(D1806, Products!$A$2:$A$37, 0))</f>
        <v>Fashion</v>
      </c>
      <c r="J1806">
        <f>INDEX(Products!$E$2:$E$37, MATCH(D1806, Products!$A$2:$A$37, 0))</f>
        <v>95</v>
      </c>
      <c r="K1806" s="9">
        <f t="shared" si="112"/>
        <v>348.59999999999997</v>
      </c>
      <c r="L1806">
        <f t="shared" si="113"/>
        <v>190</v>
      </c>
      <c r="M1806" s="9">
        <f t="shared" si="114"/>
        <v>158.59999999999997</v>
      </c>
      <c r="N1806" t="str">
        <f t="shared" si="115"/>
        <v>Jun</v>
      </c>
    </row>
    <row r="1807" spans="1:14" x14ac:dyDescent="0.3">
      <c r="A1807" s="2" t="s">
        <v>1873</v>
      </c>
      <c r="B1807" s="6">
        <v>45812</v>
      </c>
      <c r="C1807" s="2" t="s">
        <v>41</v>
      </c>
      <c r="D1807" s="2" t="s">
        <v>42</v>
      </c>
      <c r="E1807" s="2">
        <v>1</v>
      </c>
      <c r="F1807" s="7">
        <v>399</v>
      </c>
      <c r="G1807" s="8">
        <v>0.05</v>
      </c>
      <c r="H1807" s="9" t="str">
        <f>INDEX(Products!$B$2:$B$37, MATCH(D1807, Products!$A$2:$A$37, 0))</f>
        <v>Wireless Earbuds Pro</v>
      </c>
      <c r="I1807" t="str">
        <f>INDEX(Products!$C$2:$C$37, MATCH(D1807, Products!$A$2:$A$37, 0))</f>
        <v>Electronics</v>
      </c>
      <c r="J1807">
        <f>INDEX(Products!$E$2:$E$37, MATCH(D1807, Products!$A$2:$A$37, 0))</f>
        <v>230</v>
      </c>
      <c r="K1807" s="9">
        <f t="shared" si="112"/>
        <v>379.04999999999995</v>
      </c>
      <c r="L1807">
        <f t="shared" si="113"/>
        <v>230</v>
      </c>
      <c r="M1807" s="9">
        <f t="shared" si="114"/>
        <v>149.04999999999995</v>
      </c>
      <c r="N1807" t="str">
        <f t="shared" si="115"/>
        <v>Jun</v>
      </c>
    </row>
    <row r="1808" spans="1:14" x14ac:dyDescent="0.3">
      <c r="A1808" s="2" t="s">
        <v>1874</v>
      </c>
      <c r="B1808" s="6">
        <v>45812</v>
      </c>
      <c r="C1808" s="2" t="s">
        <v>28</v>
      </c>
      <c r="D1808" s="2" t="s">
        <v>49</v>
      </c>
      <c r="E1808" s="2">
        <v>1</v>
      </c>
      <c r="F1808" s="7">
        <v>149</v>
      </c>
      <c r="G1808" s="8">
        <v>0.15</v>
      </c>
      <c r="H1808" s="9" t="str">
        <f>INDEX(Products!$B$2:$B$37, MATCH(D1808, Products!$A$2:$A$37, 0))</f>
        <v>Kids' Sneakers</v>
      </c>
      <c r="I1808" t="str">
        <f>INDEX(Products!$C$2:$C$37, MATCH(D1808, Products!$A$2:$A$37, 0))</f>
        <v>Fashion</v>
      </c>
      <c r="J1808">
        <f>INDEX(Products!$E$2:$E$37, MATCH(D1808, Products!$A$2:$A$37, 0))</f>
        <v>80</v>
      </c>
      <c r="K1808" s="9">
        <f t="shared" si="112"/>
        <v>126.64999999999999</v>
      </c>
      <c r="L1808">
        <f t="shared" si="113"/>
        <v>80</v>
      </c>
      <c r="M1808" s="9">
        <f t="shared" si="114"/>
        <v>46.649999999999991</v>
      </c>
      <c r="N1808" t="str">
        <f t="shared" si="115"/>
        <v>Jun</v>
      </c>
    </row>
    <row r="1809" spans="1:14" x14ac:dyDescent="0.3">
      <c r="A1809" s="2" t="s">
        <v>1875</v>
      </c>
      <c r="B1809" s="6">
        <v>45812</v>
      </c>
      <c r="C1809" s="2" t="s">
        <v>28</v>
      </c>
      <c r="D1809" s="2" t="s">
        <v>39</v>
      </c>
      <c r="E1809" s="2">
        <v>2</v>
      </c>
      <c r="F1809" s="7">
        <v>199</v>
      </c>
      <c r="G1809" s="8">
        <v>0</v>
      </c>
      <c r="H1809" s="9" t="str">
        <f>INDEX(Products!$B$2:$B$37, MATCH(D1809, Products!$A$2:$A$37, 0))</f>
        <v>Bakhoor Gift Set</v>
      </c>
      <c r="I1809" t="str">
        <f>INDEX(Products!$C$2:$C$37, MATCH(D1809, Products!$A$2:$A$37, 0))</f>
        <v>Beauty</v>
      </c>
      <c r="J1809">
        <f>INDEX(Products!$E$2:$E$37, MATCH(D1809, Products!$A$2:$A$37, 0))</f>
        <v>90</v>
      </c>
      <c r="K1809" s="9">
        <f t="shared" si="112"/>
        <v>398</v>
      </c>
      <c r="L1809">
        <f t="shared" si="113"/>
        <v>180</v>
      </c>
      <c r="M1809" s="9">
        <f t="shared" si="114"/>
        <v>218</v>
      </c>
      <c r="N1809" t="str">
        <f t="shared" si="115"/>
        <v>Jun</v>
      </c>
    </row>
    <row r="1810" spans="1:14" x14ac:dyDescent="0.3">
      <c r="A1810" s="2" t="s">
        <v>1876</v>
      </c>
      <c r="B1810" s="6">
        <v>45812</v>
      </c>
      <c r="C1810" s="2" t="s">
        <v>44</v>
      </c>
      <c r="D1810" s="2" t="s">
        <v>115</v>
      </c>
      <c r="E1810" s="2">
        <v>2</v>
      </c>
      <c r="F1810" s="7">
        <v>129</v>
      </c>
      <c r="G1810" s="8">
        <v>0</v>
      </c>
      <c r="H1810" s="9" t="str">
        <f>INDEX(Products!$B$2:$B$37, MATCH(D1810, Products!$A$2:$A$37, 0))</f>
        <v>Electric Kettle</v>
      </c>
      <c r="I1810" t="str">
        <f>INDEX(Products!$C$2:$C$37, MATCH(D1810, Products!$A$2:$A$37, 0))</f>
        <v>Home &amp; Kitchen</v>
      </c>
      <c r="J1810">
        <f>INDEX(Products!$E$2:$E$37, MATCH(D1810, Products!$A$2:$A$37, 0))</f>
        <v>60</v>
      </c>
      <c r="K1810" s="9">
        <f t="shared" si="112"/>
        <v>258</v>
      </c>
      <c r="L1810">
        <f t="shared" si="113"/>
        <v>120</v>
      </c>
      <c r="M1810" s="9">
        <f t="shared" si="114"/>
        <v>138</v>
      </c>
      <c r="N1810" t="str">
        <f t="shared" si="115"/>
        <v>Jun</v>
      </c>
    </row>
    <row r="1811" spans="1:14" x14ac:dyDescent="0.3">
      <c r="A1811" s="2" t="s">
        <v>1877</v>
      </c>
      <c r="B1811" s="6">
        <v>45813</v>
      </c>
      <c r="C1811" s="2" t="s">
        <v>41</v>
      </c>
      <c r="D1811" s="2" t="s">
        <v>49</v>
      </c>
      <c r="E1811" s="2">
        <v>1</v>
      </c>
      <c r="F1811" s="7">
        <v>149</v>
      </c>
      <c r="G1811" s="8">
        <v>0.2</v>
      </c>
      <c r="H1811" s="9" t="str">
        <f>INDEX(Products!$B$2:$B$37, MATCH(D1811, Products!$A$2:$A$37, 0))</f>
        <v>Kids' Sneakers</v>
      </c>
      <c r="I1811" t="str">
        <f>INDEX(Products!$C$2:$C$37, MATCH(D1811, Products!$A$2:$A$37, 0))</f>
        <v>Fashion</v>
      </c>
      <c r="J1811">
        <f>INDEX(Products!$E$2:$E$37, MATCH(D1811, Products!$A$2:$A$37, 0))</f>
        <v>80</v>
      </c>
      <c r="K1811" s="9">
        <f t="shared" si="112"/>
        <v>119.2</v>
      </c>
      <c r="L1811">
        <f t="shared" si="113"/>
        <v>80</v>
      </c>
      <c r="M1811" s="9">
        <f t="shared" si="114"/>
        <v>39.200000000000003</v>
      </c>
      <c r="N1811" t="str">
        <f t="shared" si="115"/>
        <v>Jun</v>
      </c>
    </row>
    <row r="1812" spans="1:14" x14ac:dyDescent="0.3">
      <c r="A1812" s="2" t="s">
        <v>1878</v>
      </c>
      <c r="B1812" s="6">
        <v>45813</v>
      </c>
      <c r="C1812" s="2" t="s">
        <v>48</v>
      </c>
      <c r="D1812" s="2" t="s">
        <v>68</v>
      </c>
      <c r="E1812" s="2">
        <v>1</v>
      </c>
      <c r="F1812" s="7">
        <v>249</v>
      </c>
      <c r="G1812" s="8">
        <v>0</v>
      </c>
      <c r="H1812" s="9" t="str">
        <f>INDEX(Products!$B$2:$B$37, MATCH(D1812, Products!$A$2:$A$37, 0))</f>
        <v>Bluetooth Speaker Mini</v>
      </c>
      <c r="I1812" t="str">
        <f>INDEX(Products!$C$2:$C$37, MATCH(D1812, Products!$A$2:$A$37, 0))</f>
        <v>Electronics</v>
      </c>
      <c r="J1812">
        <f>INDEX(Products!$E$2:$E$37, MATCH(D1812, Products!$A$2:$A$37, 0))</f>
        <v>150</v>
      </c>
      <c r="K1812" s="9">
        <f t="shared" si="112"/>
        <v>249</v>
      </c>
      <c r="L1812">
        <f t="shared" si="113"/>
        <v>150</v>
      </c>
      <c r="M1812" s="9">
        <f t="shared" si="114"/>
        <v>99</v>
      </c>
      <c r="N1812" t="str">
        <f t="shared" si="115"/>
        <v>Jun</v>
      </c>
    </row>
    <row r="1813" spans="1:14" x14ac:dyDescent="0.3">
      <c r="A1813" s="2" t="s">
        <v>1879</v>
      </c>
      <c r="B1813" s="6">
        <v>45813</v>
      </c>
      <c r="C1813" s="2" t="s">
        <v>44</v>
      </c>
      <c r="D1813" s="2" t="s">
        <v>65</v>
      </c>
      <c r="E1813" s="2">
        <v>1</v>
      </c>
      <c r="F1813" s="7">
        <v>129</v>
      </c>
      <c r="G1813" s="8">
        <v>0.05</v>
      </c>
      <c r="H1813" s="9" t="str">
        <f>INDEX(Products!$B$2:$B$37, MATCH(D1813, Products!$A$2:$A$37, 0))</f>
        <v>Yoga Mat Premium</v>
      </c>
      <c r="I1813" t="str">
        <f>INDEX(Products!$C$2:$C$37, MATCH(D1813, Products!$A$2:$A$37, 0))</f>
        <v>Sports</v>
      </c>
      <c r="J1813">
        <f>INDEX(Products!$E$2:$E$37, MATCH(D1813, Products!$A$2:$A$37, 0))</f>
        <v>60</v>
      </c>
      <c r="K1813" s="9">
        <f t="shared" si="112"/>
        <v>122.55</v>
      </c>
      <c r="L1813">
        <f t="shared" si="113"/>
        <v>60</v>
      </c>
      <c r="M1813" s="9">
        <f t="shared" si="114"/>
        <v>62.55</v>
      </c>
      <c r="N1813" t="str">
        <f t="shared" si="115"/>
        <v>Jun</v>
      </c>
    </row>
    <row r="1814" spans="1:14" x14ac:dyDescent="0.3">
      <c r="A1814" s="2" t="s">
        <v>1880</v>
      </c>
      <c r="B1814" s="6">
        <v>45813</v>
      </c>
      <c r="C1814" s="2" t="s">
        <v>28</v>
      </c>
      <c r="D1814" s="2" t="s">
        <v>35</v>
      </c>
      <c r="E1814" s="2">
        <v>3</v>
      </c>
      <c r="F1814" s="7">
        <v>179</v>
      </c>
      <c r="G1814" s="8">
        <v>0</v>
      </c>
      <c r="H1814" s="9" t="str">
        <f>INDEX(Products!$B$2:$B$37, MATCH(D1814, Products!$A$2:$A$37, 0))</f>
        <v>Men's Linen Shirt</v>
      </c>
      <c r="I1814" t="str">
        <f>INDEX(Products!$C$2:$C$37, MATCH(D1814, Products!$A$2:$A$37, 0))</f>
        <v>Fashion</v>
      </c>
      <c r="J1814">
        <f>INDEX(Products!$E$2:$E$37, MATCH(D1814, Products!$A$2:$A$37, 0))</f>
        <v>70</v>
      </c>
      <c r="K1814" s="9">
        <f t="shared" si="112"/>
        <v>537</v>
      </c>
      <c r="L1814">
        <f t="shared" si="113"/>
        <v>210</v>
      </c>
      <c r="M1814" s="9">
        <f t="shared" si="114"/>
        <v>327</v>
      </c>
      <c r="N1814" t="str">
        <f t="shared" si="115"/>
        <v>Jun</v>
      </c>
    </row>
    <row r="1815" spans="1:14" x14ac:dyDescent="0.3">
      <c r="A1815" s="2" t="s">
        <v>1881</v>
      </c>
      <c r="B1815" s="6">
        <v>45813</v>
      </c>
      <c r="C1815" s="2" t="s">
        <v>41</v>
      </c>
      <c r="D1815" s="2" t="s">
        <v>103</v>
      </c>
      <c r="E1815" s="2">
        <v>2</v>
      </c>
      <c r="F1815" s="7">
        <v>89</v>
      </c>
      <c r="G1815" s="8">
        <v>0</v>
      </c>
      <c r="H1815" s="9" t="str">
        <f>INDEX(Products!$B$2:$B$37, MATCH(D1815, Products!$A$2:$A$37, 0))</f>
        <v>Sunscreen SPF50</v>
      </c>
      <c r="I1815" t="str">
        <f>INDEX(Products!$C$2:$C$37, MATCH(D1815, Products!$A$2:$A$37, 0))</f>
        <v>Beauty</v>
      </c>
      <c r="J1815">
        <f>INDEX(Products!$E$2:$E$37, MATCH(D1815, Products!$A$2:$A$37, 0))</f>
        <v>40</v>
      </c>
      <c r="K1815" s="9">
        <f t="shared" si="112"/>
        <v>178</v>
      </c>
      <c r="L1815">
        <f t="shared" si="113"/>
        <v>80</v>
      </c>
      <c r="M1815" s="9">
        <f t="shared" si="114"/>
        <v>98</v>
      </c>
      <c r="N1815" t="str">
        <f t="shared" si="115"/>
        <v>Jun</v>
      </c>
    </row>
    <row r="1816" spans="1:14" x14ac:dyDescent="0.3">
      <c r="A1816" s="2" t="s">
        <v>1882</v>
      </c>
      <c r="B1816" s="6">
        <v>45813</v>
      </c>
      <c r="C1816" s="2" t="s">
        <v>48</v>
      </c>
      <c r="D1816" s="2" t="s">
        <v>165</v>
      </c>
      <c r="E1816" s="2">
        <v>4</v>
      </c>
      <c r="F1816" s="7">
        <v>69</v>
      </c>
      <c r="G1816" s="8">
        <v>0.2</v>
      </c>
      <c r="H1816" s="9" t="str">
        <f>INDEX(Products!$B$2:$B$37, MATCH(D1816, Products!$A$2:$A$37, 0))</f>
        <v>Swim Goggles</v>
      </c>
      <c r="I1816" t="str">
        <f>INDEX(Products!$C$2:$C$37, MATCH(D1816, Products!$A$2:$A$37, 0))</f>
        <v>Sports</v>
      </c>
      <c r="J1816">
        <f>INDEX(Products!$E$2:$E$37, MATCH(D1816, Products!$A$2:$A$37, 0))</f>
        <v>25</v>
      </c>
      <c r="K1816" s="9">
        <f t="shared" si="112"/>
        <v>220.8</v>
      </c>
      <c r="L1816">
        <f t="shared" si="113"/>
        <v>100</v>
      </c>
      <c r="M1816" s="9">
        <f t="shared" si="114"/>
        <v>120.80000000000001</v>
      </c>
      <c r="N1816" t="str">
        <f t="shared" si="115"/>
        <v>Jun</v>
      </c>
    </row>
    <row r="1817" spans="1:14" x14ac:dyDescent="0.3">
      <c r="A1817" s="2" t="s">
        <v>1883</v>
      </c>
      <c r="B1817" s="6">
        <v>45813</v>
      </c>
      <c r="C1817" s="2" t="s">
        <v>41</v>
      </c>
      <c r="D1817" s="2" t="s">
        <v>129</v>
      </c>
      <c r="E1817" s="2">
        <v>1</v>
      </c>
      <c r="F1817" s="7">
        <v>149</v>
      </c>
      <c r="G1817" s="8">
        <v>0</v>
      </c>
      <c r="H1817" s="9" t="str">
        <f>INDEX(Products!$B$2:$B$37, MATCH(D1817, Products!$A$2:$A$37, 0))</f>
        <v>Power Bank 20000mAh</v>
      </c>
      <c r="I1817" t="str">
        <f>INDEX(Products!$C$2:$C$37, MATCH(D1817, Products!$A$2:$A$37, 0))</f>
        <v>Electronics</v>
      </c>
      <c r="J1817">
        <f>INDEX(Products!$E$2:$E$37, MATCH(D1817, Products!$A$2:$A$37, 0))</f>
        <v>70</v>
      </c>
      <c r="K1817" s="9">
        <f t="shared" si="112"/>
        <v>149</v>
      </c>
      <c r="L1817">
        <f t="shared" si="113"/>
        <v>70</v>
      </c>
      <c r="M1817" s="9">
        <f t="shared" si="114"/>
        <v>79</v>
      </c>
      <c r="N1817" t="str">
        <f t="shared" si="115"/>
        <v>Jun</v>
      </c>
    </row>
    <row r="1818" spans="1:14" x14ac:dyDescent="0.3">
      <c r="A1818" s="2" t="s">
        <v>1884</v>
      </c>
      <c r="B1818" s="6">
        <v>45813</v>
      </c>
      <c r="C1818" s="2" t="s">
        <v>44</v>
      </c>
      <c r="D1818" s="2" t="s">
        <v>131</v>
      </c>
      <c r="E1818" s="2">
        <v>1</v>
      </c>
      <c r="F1818" s="7">
        <v>899</v>
      </c>
      <c r="G1818" s="8">
        <v>0</v>
      </c>
      <c r="H1818" s="9" t="str">
        <f>INDEX(Products!$B$2:$B$37, MATCH(D1818, Products!$A$2:$A$37, 0))</f>
        <v>4K Action Camera</v>
      </c>
      <c r="I1818" t="str">
        <f>INDEX(Products!$C$2:$C$37, MATCH(D1818, Products!$A$2:$A$37, 0))</f>
        <v>Electronics</v>
      </c>
      <c r="J1818">
        <f>INDEX(Products!$E$2:$E$37, MATCH(D1818, Products!$A$2:$A$37, 0))</f>
        <v>610</v>
      </c>
      <c r="K1818" s="9">
        <f t="shared" si="112"/>
        <v>899</v>
      </c>
      <c r="L1818">
        <f t="shared" si="113"/>
        <v>610</v>
      </c>
      <c r="M1818" s="9">
        <f t="shared" si="114"/>
        <v>289</v>
      </c>
      <c r="N1818" t="str">
        <f t="shared" si="115"/>
        <v>Jun</v>
      </c>
    </row>
    <row r="1819" spans="1:14" x14ac:dyDescent="0.3">
      <c r="A1819" s="2" t="s">
        <v>1885</v>
      </c>
      <c r="B1819" s="6">
        <v>45813</v>
      </c>
      <c r="C1819" s="2" t="s">
        <v>31</v>
      </c>
      <c r="D1819" s="2" t="s">
        <v>95</v>
      </c>
      <c r="E1819" s="2">
        <v>3</v>
      </c>
      <c r="F1819" s="7">
        <v>259</v>
      </c>
      <c r="G1819" s="8">
        <v>0.15</v>
      </c>
      <c r="H1819" s="9" t="str">
        <f>INDEX(Products!$B$2:$B$37, MATCH(D1819, Products!$A$2:$A$37, 0))</f>
        <v>Bed Linen Set (King)</v>
      </c>
      <c r="I1819" t="str">
        <f>INDEX(Products!$C$2:$C$37, MATCH(D1819, Products!$A$2:$A$37, 0))</f>
        <v>Home &amp; Kitchen</v>
      </c>
      <c r="J1819">
        <f>INDEX(Products!$E$2:$E$37, MATCH(D1819, Products!$A$2:$A$37, 0))</f>
        <v>115</v>
      </c>
      <c r="K1819" s="9">
        <f t="shared" si="112"/>
        <v>660.44999999999993</v>
      </c>
      <c r="L1819">
        <f t="shared" si="113"/>
        <v>345</v>
      </c>
      <c r="M1819" s="9">
        <f t="shared" si="114"/>
        <v>315.44999999999993</v>
      </c>
      <c r="N1819" t="str">
        <f t="shared" si="115"/>
        <v>Jun</v>
      </c>
    </row>
    <row r="1820" spans="1:14" x14ac:dyDescent="0.3">
      <c r="A1820" s="2" t="s">
        <v>1886</v>
      </c>
      <c r="B1820" s="6">
        <v>45813</v>
      </c>
      <c r="C1820" s="2" t="s">
        <v>44</v>
      </c>
      <c r="D1820" s="2" t="s">
        <v>58</v>
      </c>
      <c r="E1820" s="2">
        <v>1</v>
      </c>
      <c r="F1820" s="7">
        <v>459</v>
      </c>
      <c r="G1820" s="8">
        <v>0.1</v>
      </c>
      <c r="H1820" s="9" t="str">
        <f>INDEX(Products!$B$2:$B$37, MATCH(D1820, Products!$A$2:$A$37, 0))</f>
        <v>Women's Abaya Classic</v>
      </c>
      <c r="I1820" t="str">
        <f>INDEX(Products!$C$2:$C$37, MATCH(D1820, Products!$A$2:$A$37, 0))</f>
        <v>Fashion</v>
      </c>
      <c r="J1820">
        <f>INDEX(Products!$E$2:$E$37, MATCH(D1820, Products!$A$2:$A$37, 0))</f>
        <v>190</v>
      </c>
      <c r="K1820" s="9">
        <f t="shared" si="112"/>
        <v>413.1</v>
      </c>
      <c r="L1820">
        <f t="shared" si="113"/>
        <v>190</v>
      </c>
      <c r="M1820" s="9">
        <f t="shared" si="114"/>
        <v>223.10000000000002</v>
      </c>
      <c r="N1820" t="str">
        <f t="shared" si="115"/>
        <v>Jun</v>
      </c>
    </row>
    <row r="1821" spans="1:14" x14ac:dyDescent="0.3">
      <c r="A1821" s="2" t="s">
        <v>1887</v>
      </c>
      <c r="B1821" s="6">
        <v>45813</v>
      </c>
      <c r="C1821" s="2" t="s">
        <v>44</v>
      </c>
      <c r="D1821" s="2" t="s">
        <v>149</v>
      </c>
      <c r="E1821" s="2">
        <v>3</v>
      </c>
      <c r="F1821" s="7">
        <v>399</v>
      </c>
      <c r="G1821" s="8">
        <v>0</v>
      </c>
      <c r="H1821" s="9" t="str">
        <f>INDEX(Products!$B$2:$B$37, MATCH(D1821, Products!$A$2:$A$37, 0))</f>
        <v>Blender Pro 1200W</v>
      </c>
      <c r="I1821" t="str">
        <f>INDEX(Products!$C$2:$C$37, MATCH(D1821, Products!$A$2:$A$37, 0))</f>
        <v>Home &amp; Kitchen</v>
      </c>
      <c r="J1821">
        <f>INDEX(Products!$E$2:$E$37, MATCH(D1821, Products!$A$2:$A$37, 0))</f>
        <v>250</v>
      </c>
      <c r="K1821" s="9">
        <f t="shared" si="112"/>
        <v>1197</v>
      </c>
      <c r="L1821">
        <f t="shared" si="113"/>
        <v>750</v>
      </c>
      <c r="M1821" s="9">
        <f t="shared" si="114"/>
        <v>447</v>
      </c>
      <c r="N1821" t="str">
        <f t="shared" si="115"/>
        <v>Jun</v>
      </c>
    </row>
    <row r="1822" spans="1:14" x14ac:dyDescent="0.3">
      <c r="A1822" s="2" t="s">
        <v>1888</v>
      </c>
      <c r="B1822" s="6">
        <v>45813</v>
      </c>
      <c r="C1822" s="2" t="s">
        <v>41</v>
      </c>
      <c r="D1822" s="2" t="s">
        <v>83</v>
      </c>
      <c r="E1822" s="2">
        <v>1</v>
      </c>
      <c r="F1822" s="7">
        <v>229</v>
      </c>
      <c r="G1822" s="8">
        <v>0</v>
      </c>
      <c r="H1822" s="9" t="str">
        <f>INDEX(Products!$B$2:$B$37, MATCH(D1822, Products!$A$2:$A$37, 0))</f>
        <v>Cycling Helmet</v>
      </c>
      <c r="I1822" t="str">
        <f>INDEX(Products!$C$2:$C$37, MATCH(D1822, Products!$A$2:$A$37, 0))</f>
        <v>Sports</v>
      </c>
      <c r="J1822">
        <f>INDEX(Products!$E$2:$E$37, MATCH(D1822, Products!$A$2:$A$37, 0))</f>
        <v>120</v>
      </c>
      <c r="K1822" s="9">
        <f t="shared" si="112"/>
        <v>229</v>
      </c>
      <c r="L1822">
        <f t="shared" si="113"/>
        <v>120</v>
      </c>
      <c r="M1822" s="9">
        <f t="shared" si="114"/>
        <v>109</v>
      </c>
      <c r="N1822" t="str">
        <f t="shared" si="115"/>
        <v>Jun</v>
      </c>
    </row>
    <row r="1823" spans="1:14" x14ac:dyDescent="0.3">
      <c r="A1823" s="2" t="s">
        <v>1889</v>
      </c>
      <c r="B1823" s="6">
        <v>45813</v>
      </c>
      <c r="C1823" s="2" t="s">
        <v>44</v>
      </c>
      <c r="D1823" s="2" t="s">
        <v>29</v>
      </c>
      <c r="E1823" s="2">
        <v>2</v>
      </c>
      <c r="F1823" s="7">
        <v>229</v>
      </c>
      <c r="G1823" s="8">
        <v>0</v>
      </c>
      <c r="H1823" s="9" t="str">
        <f>INDEX(Products!$B$2:$B$37, MATCH(D1823, Products!$A$2:$A$37, 0))</f>
        <v>Women's Summer Dress</v>
      </c>
      <c r="I1823" t="str">
        <f>INDEX(Products!$C$2:$C$37, MATCH(D1823, Products!$A$2:$A$37, 0))</f>
        <v>Fashion</v>
      </c>
      <c r="J1823">
        <f>INDEX(Products!$E$2:$E$37, MATCH(D1823, Products!$A$2:$A$37, 0))</f>
        <v>120</v>
      </c>
      <c r="K1823" s="9">
        <f t="shared" si="112"/>
        <v>458</v>
      </c>
      <c r="L1823">
        <f t="shared" si="113"/>
        <v>240</v>
      </c>
      <c r="M1823" s="9">
        <f t="shared" si="114"/>
        <v>218</v>
      </c>
      <c r="N1823" t="str">
        <f t="shared" si="115"/>
        <v>Jun</v>
      </c>
    </row>
    <row r="1824" spans="1:14" x14ac:dyDescent="0.3">
      <c r="A1824" s="2" t="s">
        <v>1890</v>
      </c>
      <c r="B1824" s="6">
        <v>45813</v>
      </c>
      <c r="C1824" s="2" t="s">
        <v>31</v>
      </c>
      <c r="D1824" s="2" t="s">
        <v>37</v>
      </c>
      <c r="E1824" s="2">
        <v>1</v>
      </c>
      <c r="F1824" s="7">
        <v>249</v>
      </c>
      <c r="G1824" s="8">
        <v>0.05</v>
      </c>
      <c r="H1824" s="9" t="str">
        <f>INDEX(Products!$B$2:$B$37, MATCH(D1824, Products!$A$2:$A$37, 0))</f>
        <v>Sunglasses Polarised</v>
      </c>
      <c r="I1824" t="str">
        <f>INDEX(Products!$C$2:$C$37, MATCH(D1824, Products!$A$2:$A$37, 0))</f>
        <v>Fashion</v>
      </c>
      <c r="J1824">
        <f>INDEX(Products!$E$2:$E$37, MATCH(D1824, Products!$A$2:$A$37, 0))</f>
        <v>95</v>
      </c>
      <c r="K1824" s="9">
        <f t="shared" si="112"/>
        <v>236.54999999999998</v>
      </c>
      <c r="L1824">
        <f t="shared" si="113"/>
        <v>95</v>
      </c>
      <c r="M1824" s="9">
        <f t="shared" si="114"/>
        <v>141.54999999999998</v>
      </c>
      <c r="N1824" t="str">
        <f t="shared" si="115"/>
        <v>Jun</v>
      </c>
    </row>
    <row r="1825" spans="1:14" x14ac:dyDescent="0.3">
      <c r="A1825" s="2" t="s">
        <v>1891</v>
      </c>
      <c r="B1825" s="6">
        <v>45813</v>
      </c>
      <c r="C1825" s="2" t="s">
        <v>41</v>
      </c>
      <c r="D1825" s="2" t="s">
        <v>194</v>
      </c>
      <c r="E1825" s="2">
        <v>1</v>
      </c>
      <c r="F1825" s="7">
        <v>699</v>
      </c>
      <c r="G1825" s="8">
        <v>0</v>
      </c>
      <c r="H1825" s="9" t="str">
        <f>INDEX(Products!$B$2:$B$37, MATCH(D1825, Products!$A$2:$A$37, 0))</f>
        <v>Leather Handbag</v>
      </c>
      <c r="I1825" t="str">
        <f>INDEX(Products!$C$2:$C$37, MATCH(D1825, Products!$A$2:$A$37, 0))</f>
        <v>Fashion</v>
      </c>
      <c r="J1825">
        <f>INDEX(Products!$E$2:$E$37, MATCH(D1825, Products!$A$2:$A$37, 0))</f>
        <v>380</v>
      </c>
      <c r="K1825" s="9">
        <f t="shared" si="112"/>
        <v>699</v>
      </c>
      <c r="L1825">
        <f t="shared" si="113"/>
        <v>380</v>
      </c>
      <c r="M1825" s="9">
        <f t="shared" si="114"/>
        <v>319</v>
      </c>
      <c r="N1825" t="str">
        <f t="shared" si="115"/>
        <v>Jun</v>
      </c>
    </row>
    <row r="1826" spans="1:14" x14ac:dyDescent="0.3">
      <c r="A1826" s="2" t="s">
        <v>1892</v>
      </c>
      <c r="B1826" s="6">
        <v>45813</v>
      </c>
      <c r="C1826" s="2" t="s">
        <v>44</v>
      </c>
      <c r="D1826" s="2" t="s">
        <v>95</v>
      </c>
      <c r="E1826" s="2">
        <v>3</v>
      </c>
      <c r="F1826" s="7">
        <v>259</v>
      </c>
      <c r="G1826" s="8">
        <v>0.15</v>
      </c>
      <c r="H1826" s="9" t="str">
        <f>INDEX(Products!$B$2:$B$37, MATCH(D1826, Products!$A$2:$A$37, 0))</f>
        <v>Bed Linen Set (King)</v>
      </c>
      <c r="I1826" t="str">
        <f>INDEX(Products!$C$2:$C$37, MATCH(D1826, Products!$A$2:$A$37, 0))</f>
        <v>Home &amp; Kitchen</v>
      </c>
      <c r="J1826">
        <f>INDEX(Products!$E$2:$E$37, MATCH(D1826, Products!$A$2:$A$37, 0))</f>
        <v>115</v>
      </c>
      <c r="K1826" s="9">
        <f t="shared" si="112"/>
        <v>660.44999999999993</v>
      </c>
      <c r="L1826">
        <f t="shared" si="113"/>
        <v>345</v>
      </c>
      <c r="M1826" s="9">
        <f t="shared" si="114"/>
        <v>315.44999999999993</v>
      </c>
      <c r="N1826" t="str">
        <f t="shared" si="115"/>
        <v>Jun</v>
      </c>
    </row>
    <row r="1827" spans="1:14" x14ac:dyDescent="0.3">
      <c r="A1827" s="2" t="s">
        <v>1893</v>
      </c>
      <c r="B1827" s="6">
        <v>45813</v>
      </c>
      <c r="C1827" s="2" t="s">
        <v>44</v>
      </c>
      <c r="D1827" s="2" t="s">
        <v>92</v>
      </c>
      <c r="E1827" s="2">
        <v>1</v>
      </c>
      <c r="F1827" s="7">
        <v>349</v>
      </c>
      <c r="G1827" s="8">
        <v>0</v>
      </c>
      <c r="H1827" s="9" t="str">
        <f>INDEX(Products!$B$2:$B$37, MATCH(D1827, Products!$A$2:$A$37, 0))</f>
        <v>Non-stick Cookware Set</v>
      </c>
      <c r="I1827" t="str">
        <f>INDEX(Products!$C$2:$C$37, MATCH(D1827, Products!$A$2:$A$37, 0))</f>
        <v>Home &amp; Kitchen</v>
      </c>
      <c r="J1827">
        <f>INDEX(Products!$E$2:$E$37, MATCH(D1827, Products!$A$2:$A$37, 0))</f>
        <v>170</v>
      </c>
      <c r="K1827" s="9">
        <f t="shared" si="112"/>
        <v>349</v>
      </c>
      <c r="L1827">
        <f t="shared" si="113"/>
        <v>170</v>
      </c>
      <c r="M1827" s="9">
        <f t="shared" si="114"/>
        <v>179</v>
      </c>
      <c r="N1827" t="str">
        <f t="shared" si="115"/>
        <v>Jun</v>
      </c>
    </row>
    <row r="1828" spans="1:14" x14ac:dyDescent="0.3">
      <c r="A1828" s="2" t="s">
        <v>1894</v>
      </c>
      <c r="B1828" s="6">
        <v>45813</v>
      </c>
      <c r="C1828" s="2" t="s">
        <v>31</v>
      </c>
      <c r="D1828" s="2" t="s">
        <v>83</v>
      </c>
      <c r="E1828" s="2">
        <v>1</v>
      </c>
      <c r="F1828" s="7">
        <v>229</v>
      </c>
      <c r="G1828" s="8">
        <v>0</v>
      </c>
      <c r="H1828" s="9" t="str">
        <f>INDEX(Products!$B$2:$B$37, MATCH(D1828, Products!$A$2:$A$37, 0))</f>
        <v>Cycling Helmet</v>
      </c>
      <c r="I1828" t="str">
        <f>INDEX(Products!$C$2:$C$37, MATCH(D1828, Products!$A$2:$A$37, 0))</f>
        <v>Sports</v>
      </c>
      <c r="J1828">
        <f>INDEX(Products!$E$2:$E$37, MATCH(D1828, Products!$A$2:$A$37, 0))</f>
        <v>120</v>
      </c>
      <c r="K1828" s="9">
        <f t="shared" si="112"/>
        <v>229</v>
      </c>
      <c r="L1828">
        <f t="shared" si="113"/>
        <v>120</v>
      </c>
      <c r="M1828" s="9">
        <f t="shared" si="114"/>
        <v>109</v>
      </c>
      <c r="N1828" t="str">
        <f t="shared" si="115"/>
        <v>Jun</v>
      </c>
    </row>
    <row r="1829" spans="1:14" x14ac:dyDescent="0.3">
      <c r="A1829" s="2" t="s">
        <v>1895</v>
      </c>
      <c r="B1829" s="6">
        <v>45813</v>
      </c>
      <c r="C1829" s="2" t="s">
        <v>48</v>
      </c>
      <c r="D1829" s="2" t="s">
        <v>70</v>
      </c>
      <c r="E1829" s="2">
        <v>1</v>
      </c>
      <c r="F1829" s="7">
        <v>429</v>
      </c>
      <c r="G1829" s="8">
        <v>0.1</v>
      </c>
      <c r="H1829" s="9" t="str">
        <f>INDEX(Products!$B$2:$B$37, MATCH(D1829, Products!$A$2:$A$37, 0))</f>
        <v>Running Shoes Elite</v>
      </c>
      <c r="I1829" t="str">
        <f>INDEX(Products!$C$2:$C$37, MATCH(D1829, Products!$A$2:$A$37, 0))</f>
        <v>Fashion</v>
      </c>
      <c r="J1829">
        <f>INDEX(Products!$E$2:$E$37, MATCH(D1829, Products!$A$2:$A$37, 0))</f>
        <v>300</v>
      </c>
      <c r="K1829" s="9">
        <f t="shared" si="112"/>
        <v>386.1</v>
      </c>
      <c r="L1829">
        <f t="shared" si="113"/>
        <v>300</v>
      </c>
      <c r="M1829" s="9">
        <f t="shared" si="114"/>
        <v>86.100000000000023</v>
      </c>
      <c r="N1829" t="str">
        <f t="shared" si="115"/>
        <v>Jun</v>
      </c>
    </row>
    <row r="1830" spans="1:14" x14ac:dyDescent="0.3">
      <c r="A1830" s="2" t="s">
        <v>1896</v>
      </c>
      <c r="B1830" s="6">
        <v>45813</v>
      </c>
      <c r="C1830" s="2" t="s">
        <v>44</v>
      </c>
      <c r="D1830" s="2" t="s">
        <v>56</v>
      </c>
      <c r="E1830" s="2">
        <v>1</v>
      </c>
      <c r="F1830" s="7">
        <v>289</v>
      </c>
      <c r="G1830" s="8">
        <v>0</v>
      </c>
      <c r="H1830" s="9" t="str">
        <f>INDEX(Products!$B$2:$B$37, MATCH(D1830, Products!$A$2:$A$37, 0))</f>
        <v>Ceramic Dinner Set</v>
      </c>
      <c r="I1830" t="str">
        <f>INDEX(Products!$C$2:$C$37, MATCH(D1830, Products!$A$2:$A$37, 0))</f>
        <v>Home &amp; Kitchen</v>
      </c>
      <c r="J1830">
        <f>INDEX(Products!$E$2:$E$37, MATCH(D1830, Products!$A$2:$A$37, 0))</f>
        <v>140</v>
      </c>
      <c r="K1830" s="9">
        <f t="shared" si="112"/>
        <v>289</v>
      </c>
      <c r="L1830">
        <f t="shared" si="113"/>
        <v>140</v>
      </c>
      <c r="M1830" s="9">
        <f t="shared" si="114"/>
        <v>149</v>
      </c>
      <c r="N1830" t="str">
        <f t="shared" si="115"/>
        <v>Jun</v>
      </c>
    </row>
    <row r="1831" spans="1:14" x14ac:dyDescent="0.3">
      <c r="A1831" s="2" t="s">
        <v>1897</v>
      </c>
      <c r="B1831" s="6">
        <v>45814</v>
      </c>
      <c r="C1831" s="2" t="s">
        <v>41</v>
      </c>
      <c r="D1831" s="2" t="s">
        <v>68</v>
      </c>
      <c r="E1831" s="2">
        <v>1</v>
      </c>
      <c r="F1831" s="7">
        <v>249</v>
      </c>
      <c r="G1831" s="8">
        <v>0.15</v>
      </c>
      <c r="H1831" s="9" t="str">
        <f>INDEX(Products!$B$2:$B$37, MATCH(D1831, Products!$A$2:$A$37, 0))</f>
        <v>Bluetooth Speaker Mini</v>
      </c>
      <c r="I1831" t="str">
        <f>INDEX(Products!$C$2:$C$37, MATCH(D1831, Products!$A$2:$A$37, 0))</f>
        <v>Electronics</v>
      </c>
      <c r="J1831">
        <f>INDEX(Products!$E$2:$E$37, MATCH(D1831, Products!$A$2:$A$37, 0))</f>
        <v>150</v>
      </c>
      <c r="K1831" s="9">
        <f t="shared" si="112"/>
        <v>211.65</v>
      </c>
      <c r="L1831">
        <f t="shared" si="113"/>
        <v>150</v>
      </c>
      <c r="M1831" s="9">
        <f t="shared" si="114"/>
        <v>61.650000000000006</v>
      </c>
      <c r="N1831" t="str">
        <f t="shared" si="115"/>
        <v>Jun</v>
      </c>
    </row>
    <row r="1832" spans="1:14" x14ac:dyDescent="0.3">
      <c r="A1832" s="2" t="s">
        <v>1898</v>
      </c>
      <c r="B1832" s="6">
        <v>45814</v>
      </c>
      <c r="C1832" s="2" t="s">
        <v>44</v>
      </c>
      <c r="D1832" s="2" t="s">
        <v>95</v>
      </c>
      <c r="E1832" s="2">
        <v>1</v>
      </c>
      <c r="F1832" s="7">
        <v>259</v>
      </c>
      <c r="G1832" s="8">
        <v>0.1</v>
      </c>
      <c r="H1832" s="9" t="str">
        <f>INDEX(Products!$B$2:$B$37, MATCH(D1832, Products!$A$2:$A$37, 0))</f>
        <v>Bed Linen Set (King)</v>
      </c>
      <c r="I1832" t="str">
        <f>INDEX(Products!$C$2:$C$37, MATCH(D1832, Products!$A$2:$A$37, 0))</f>
        <v>Home &amp; Kitchen</v>
      </c>
      <c r="J1832">
        <f>INDEX(Products!$E$2:$E$37, MATCH(D1832, Products!$A$2:$A$37, 0))</f>
        <v>115</v>
      </c>
      <c r="K1832" s="9">
        <f t="shared" si="112"/>
        <v>233.1</v>
      </c>
      <c r="L1832">
        <f t="shared" si="113"/>
        <v>115</v>
      </c>
      <c r="M1832" s="9">
        <f t="shared" si="114"/>
        <v>118.1</v>
      </c>
      <c r="N1832" t="str">
        <f t="shared" si="115"/>
        <v>Jun</v>
      </c>
    </row>
    <row r="1833" spans="1:14" x14ac:dyDescent="0.3">
      <c r="A1833" s="2" t="s">
        <v>1899</v>
      </c>
      <c r="B1833" s="6">
        <v>45814</v>
      </c>
      <c r="C1833" s="2" t="s">
        <v>28</v>
      </c>
      <c r="D1833" s="2" t="s">
        <v>129</v>
      </c>
      <c r="E1833" s="2">
        <v>1</v>
      </c>
      <c r="F1833" s="7">
        <v>149</v>
      </c>
      <c r="G1833" s="8">
        <v>0</v>
      </c>
      <c r="H1833" s="9" t="str">
        <f>INDEX(Products!$B$2:$B$37, MATCH(D1833, Products!$A$2:$A$37, 0))</f>
        <v>Power Bank 20000mAh</v>
      </c>
      <c r="I1833" t="str">
        <f>INDEX(Products!$C$2:$C$37, MATCH(D1833, Products!$A$2:$A$37, 0))</f>
        <v>Electronics</v>
      </c>
      <c r="J1833">
        <f>INDEX(Products!$E$2:$E$37, MATCH(D1833, Products!$A$2:$A$37, 0))</f>
        <v>70</v>
      </c>
      <c r="K1833" s="9">
        <f t="shared" si="112"/>
        <v>149</v>
      </c>
      <c r="L1833">
        <f t="shared" si="113"/>
        <v>70</v>
      </c>
      <c r="M1833" s="9">
        <f t="shared" si="114"/>
        <v>79</v>
      </c>
      <c r="N1833" t="str">
        <f t="shared" si="115"/>
        <v>Jun</v>
      </c>
    </row>
    <row r="1834" spans="1:14" x14ac:dyDescent="0.3">
      <c r="A1834" s="2" t="s">
        <v>1900</v>
      </c>
      <c r="B1834" s="6">
        <v>45814</v>
      </c>
      <c r="C1834" s="2" t="s">
        <v>28</v>
      </c>
      <c r="D1834" s="2" t="s">
        <v>115</v>
      </c>
      <c r="E1834" s="2">
        <v>2</v>
      </c>
      <c r="F1834" s="7">
        <v>129</v>
      </c>
      <c r="G1834" s="8">
        <v>0.2</v>
      </c>
      <c r="H1834" s="9" t="str">
        <f>INDEX(Products!$B$2:$B$37, MATCH(D1834, Products!$A$2:$A$37, 0))</f>
        <v>Electric Kettle</v>
      </c>
      <c r="I1834" t="str">
        <f>INDEX(Products!$C$2:$C$37, MATCH(D1834, Products!$A$2:$A$37, 0))</f>
        <v>Home &amp; Kitchen</v>
      </c>
      <c r="J1834">
        <f>INDEX(Products!$E$2:$E$37, MATCH(D1834, Products!$A$2:$A$37, 0))</f>
        <v>60</v>
      </c>
      <c r="K1834" s="9">
        <f t="shared" si="112"/>
        <v>206.4</v>
      </c>
      <c r="L1834">
        <f t="shared" si="113"/>
        <v>120</v>
      </c>
      <c r="M1834" s="9">
        <f t="shared" si="114"/>
        <v>86.4</v>
      </c>
      <c r="N1834" t="str">
        <f t="shared" si="115"/>
        <v>Jun</v>
      </c>
    </row>
    <row r="1835" spans="1:14" x14ac:dyDescent="0.3">
      <c r="A1835" s="2" t="s">
        <v>1901</v>
      </c>
      <c r="B1835" s="6">
        <v>45814</v>
      </c>
      <c r="C1835" s="2" t="s">
        <v>41</v>
      </c>
      <c r="D1835" s="2" t="s">
        <v>103</v>
      </c>
      <c r="E1835" s="2">
        <v>1</v>
      </c>
      <c r="F1835" s="7">
        <v>89</v>
      </c>
      <c r="G1835" s="8">
        <v>0.1</v>
      </c>
      <c r="H1835" s="9" t="str">
        <f>INDEX(Products!$B$2:$B$37, MATCH(D1835, Products!$A$2:$A$37, 0))</f>
        <v>Sunscreen SPF50</v>
      </c>
      <c r="I1835" t="str">
        <f>INDEX(Products!$C$2:$C$37, MATCH(D1835, Products!$A$2:$A$37, 0))</f>
        <v>Beauty</v>
      </c>
      <c r="J1835">
        <f>INDEX(Products!$E$2:$E$37, MATCH(D1835, Products!$A$2:$A$37, 0))</f>
        <v>40</v>
      </c>
      <c r="K1835" s="9">
        <f t="shared" si="112"/>
        <v>80.100000000000009</v>
      </c>
      <c r="L1835">
        <f t="shared" si="113"/>
        <v>40</v>
      </c>
      <c r="M1835" s="9">
        <f t="shared" si="114"/>
        <v>40.100000000000009</v>
      </c>
      <c r="N1835" t="str">
        <f t="shared" si="115"/>
        <v>Jun</v>
      </c>
    </row>
    <row r="1836" spans="1:14" x14ac:dyDescent="0.3">
      <c r="A1836" s="2" t="s">
        <v>1902</v>
      </c>
      <c r="B1836" s="6">
        <v>45814</v>
      </c>
      <c r="C1836" s="2" t="s">
        <v>28</v>
      </c>
      <c r="D1836" s="2" t="s">
        <v>103</v>
      </c>
      <c r="E1836" s="2">
        <v>1</v>
      </c>
      <c r="F1836" s="7">
        <v>89</v>
      </c>
      <c r="G1836" s="8">
        <v>0</v>
      </c>
      <c r="H1836" s="9" t="str">
        <f>INDEX(Products!$B$2:$B$37, MATCH(D1836, Products!$A$2:$A$37, 0))</f>
        <v>Sunscreen SPF50</v>
      </c>
      <c r="I1836" t="str">
        <f>INDEX(Products!$C$2:$C$37, MATCH(D1836, Products!$A$2:$A$37, 0))</f>
        <v>Beauty</v>
      </c>
      <c r="J1836">
        <f>INDEX(Products!$E$2:$E$37, MATCH(D1836, Products!$A$2:$A$37, 0))</f>
        <v>40</v>
      </c>
      <c r="K1836" s="9">
        <f t="shared" si="112"/>
        <v>89</v>
      </c>
      <c r="L1836">
        <f t="shared" si="113"/>
        <v>40</v>
      </c>
      <c r="M1836" s="9">
        <f t="shared" si="114"/>
        <v>49</v>
      </c>
      <c r="N1836" t="str">
        <f t="shared" si="115"/>
        <v>Jun</v>
      </c>
    </row>
    <row r="1837" spans="1:14" x14ac:dyDescent="0.3">
      <c r="A1837" s="2" t="s">
        <v>1903</v>
      </c>
      <c r="B1837" s="6">
        <v>45814</v>
      </c>
      <c r="C1837" s="2" t="s">
        <v>48</v>
      </c>
      <c r="D1837" s="2" t="s">
        <v>60</v>
      </c>
      <c r="E1837" s="2">
        <v>1</v>
      </c>
      <c r="F1837" s="7">
        <v>99</v>
      </c>
      <c r="G1837" s="8">
        <v>0.2</v>
      </c>
      <c r="H1837" s="9" t="str">
        <f>INDEX(Products!$B$2:$B$37, MATCH(D1837, Products!$A$2:$A$37, 0))</f>
        <v>Football Size 5</v>
      </c>
      <c r="I1837" t="str">
        <f>INDEX(Products!$C$2:$C$37, MATCH(D1837, Products!$A$2:$A$37, 0))</f>
        <v>Sports</v>
      </c>
      <c r="J1837">
        <f>INDEX(Products!$E$2:$E$37, MATCH(D1837, Products!$A$2:$A$37, 0))</f>
        <v>45</v>
      </c>
      <c r="K1837" s="9">
        <f t="shared" si="112"/>
        <v>79.2</v>
      </c>
      <c r="L1837">
        <f t="shared" si="113"/>
        <v>45</v>
      </c>
      <c r="M1837" s="9">
        <f t="shared" si="114"/>
        <v>34.200000000000003</v>
      </c>
      <c r="N1837" t="str">
        <f t="shared" si="115"/>
        <v>Jun</v>
      </c>
    </row>
    <row r="1838" spans="1:14" x14ac:dyDescent="0.3">
      <c r="A1838" s="2" t="s">
        <v>1904</v>
      </c>
      <c r="B1838" s="6">
        <v>45814</v>
      </c>
      <c r="C1838" s="2" t="s">
        <v>41</v>
      </c>
      <c r="D1838" s="2" t="s">
        <v>70</v>
      </c>
      <c r="E1838" s="2">
        <v>1</v>
      </c>
      <c r="F1838" s="7">
        <v>429</v>
      </c>
      <c r="G1838" s="8">
        <v>0.05</v>
      </c>
      <c r="H1838" s="9" t="str">
        <f>INDEX(Products!$B$2:$B$37, MATCH(D1838, Products!$A$2:$A$37, 0))</f>
        <v>Running Shoes Elite</v>
      </c>
      <c r="I1838" t="str">
        <f>INDEX(Products!$C$2:$C$37, MATCH(D1838, Products!$A$2:$A$37, 0))</f>
        <v>Fashion</v>
      </c>
      <c r="J1838">
        <f>INDEX(Products!$E$2:$E$37, MATCH(D1838, Products!$A$2:$A$37, 0))</f>
        <v>300</v>
      </c>
      <c r="K1838" s="9">
        <f t="shared" si="112"/>
        <v>407.54999999999995</v>
      </c>
      <c r="L1838">
        <f t="shared" si="113"/>
        <v>300</v>
      </c>
      <c r="M1838" s="9">
        <f t="shared" si="114"/>
        <v>107.54999999999995</v>
      </c>
      <c r="N1838" t="str">
        <f t="shared" si="115"/>
        <v>Jun</v>
      </c>
    </row>
    <row r="1839" spans="1:14" x14ac:dyDescent="0.3">
      <c r="A1839" s="2" t="s">
        <v>1905</v>
      </c>
      <c r="B1839" s="6">
        <v>45814</v>
      </c>
      <c r="C1839" s="2" t="s">
        <v>41</v>
      </c>
      <c r="D1839" s="2" t="s">
        <v>126</v>
      </c>
      <c r="E1839" s="2">
        <v>1</v>
      </c>
      <c r="F1839" s="7">
        <v>89</v>
      </c>
      <c r="G1839" s="8">
        <v>0.15</v>
      </c>
      <c r="H1839" s="9" t="str">
        <f>INDEX(Products!$B$2:$B$37, MATCH(D1839, Products!$A$2:$A$37, 0))</f>
        <v>USB-C Fast Charger</v>
      </c>
      <c r="I1839" t="str">
        <f>INDEX(Products!$C$2:$C$37, MATCH(D1839, Products!$A$2:$A$37, 0))</f>
        <v>Electronics</v>
      </c>
      <c r="J1839">
        <f>INDEX(Products!$E$2:$E$37, MATCH(D1839, Products!$A$2:$A$37, 0))</f>
        <v>35</v>
      </c>
      <c r="K1839" s="9">
        <f t="shared" si="112"/>
        <v>75.649999999999991</v>
      </c>
      <c r="L1839">
        <f t="shared" si="113"/>
        <v>35</v>
      </c>
      <c r="M1839" s="9">
        <f t="shared" si="114"/>
        <v>40.649999999999991</v>
      </c>
      <c r="N1839" t="str">
        <f t="shared" si="115"/>
        <v>Jun</v>
      </c>
    </row>
    <row r="1840" spans="1:14" x14ac:dyDescent="0.3">
      <c r="A1840" s="2" t="s">
        <v>1906</v>
      </c>
      <c r="B1840" s="6">
        <v>45814</v>
      </c>
      <c r="C1840" s="2" t="s">
        <v>28</v>
      </c>
      <c r="D1840" s="2" t="s">
        <v>56</v>
      </c>
      <c r="E1840" s="2">
        <v>3</v>
      </c>
      <c r="F1840" s="7">
        <v>289</v>
      </c>
      <c r="G1840" s="8">
        <v>0.1</v>
      </c>
      <c r="H1840" s="9" t="str">
        <f>INDEX(Products!$B$2:$B$37, MATCH(D1840, Products!$A$2:$A$37, 0))</f>
        <v>Ceramic Dinner Set</v>
      </c>
      <c r="I1840" t="str">
        <f>INDEX(Products!$C$2:$C$37, MATCH(D1840, Products!$A$2:$A$37, 0))</f>
        <v>Home &amp; Kitchen</v>
      </c>
      <c r="J1840">
        <f>INDEX(Products!$E$2:$E$37, MATCH(D1840, Products!$A$2:$A$37, 0))</f>
        <v>140</v>
      </c>
      <c r="K1840" s="9">
        <f t="shared" si="112"/>
        <v>780.30000000000007</v>
      </c>
      <c r="L1840">
        <f t="shared" si="113"/>
        <v>420</v>
      </c>
      <c r="M1840" s="9">
        <f t="shared" si="114"/>
        <v>360.30000000000007</v>
      </c>
      <c r="N1840" t="str">
        <f t="shared" si="115"/>
        <v>Jun</v>
      </c>
    </row>
    <row r="1841" spans="1:14" x14ac:dyDescent="0.3">
      <c r="A1841" s="2" t="s">
        <v>1907</v>
      </c>
      <c r="B1841" s="6">
        <v>45815</v>
      </c>
      <c r="C1841" s="2" t="s">
        <v>41</v>
      </c>
      <c r="D1841" s="2" t="s">
        <v>46</v>
      </c>
      <c r="E1841" s="2">
        <v>2</v>
      </c>
      <c r="F1841" s="7">
        <v>189</v>
      </c>
      <c r="G1841" s="8">
        <v>0.3</v>
      </c>
      <c r="H1841" s="9" t="str">
        <f>INDEX(Products!$B$2:$B$37, MATCH(D1841, Products!$A$2:$A$37, 0))</f>
        <v>Makeup Palette</v>
      </c>
      <c r="I1841" t="str">
        <f>INDEX(Products!$C$2:$C$37, MATCH(D1841, Products!$A$2:$A$37, 0))</f>
        <v>Beauty</v>
      </c>
      <c r="J1841">
        <f>INDEX(Products!$E$2:$E$37, MATCH(D1841, Products!$A$2:$A$37, 0))</f>
        <v>85</v>
      </c>
      <c r="K1841" s="9">
        <f t="shared" si="112"/>
        <v>264.59999999999997</v>
      </c>
      <c r="L1841">
        <f t="shared" si="113"/>
        <v>170</v>
      </c>
      <c r="M1841" s="9">
        <f t="shared" si="114"/>
        <v>94.599999999999966</v>
      </c>
      <c r="N1841" t="str">
        <f t="shared" si="115"/>
        <v>Jun</v>
      </c>
    </row>
    <row r="1842" spans="1:14" x14ac:dyDescent="0.3">
      <c r="A1842" s="2" t="s">
        <v>1908</v>
      </c>
      <c r="B1842" s="6">
        <v>45815</v>
      </c>
      <c r="C1842" s="2" t="s">
        <v>44</v>
      </c>
      <c r="D1842" s="2" t="s">
        <v>87</v>
      </c>
      <c r="E1842" s="2">
        <v>2</v>
      </c>
      <c r="F1842" s="7">
        <v>799</v>
      </c>
      <c r="G1842" s="8">
        <v>0.25</v>
      </c>
      <c r="H1842" s="9" t="str">
        <f>INDEX(Products!$B$2:$B$37, MATCH(D1842, Products!$A$2:$A$37, 0))</f>
        <v>Adjustable Dumbbells</v>
      </c>
      <c r="I1842" t="str">
        <f>INDEX(Products!$C$2:$C$37, MATCH(D1842, Products!$A$2:$A$37, 0))</f>
        <v>Sports</v>
      </c>
      <c r="J1842">
        <f>INDEX(Products!$E$2:$E$37, MATCH(D1842, Products!$A$2:$A$37, 0))</f>
        <v>700</v>
      </c>
      <c r="K1842" s="9">
        <f t="shared" si="112"/>
        <v>1198.5</v>
      </c>
      <c r="L1842">
        <f t="shared" si="113"/>
        <v>1400</v>
      </c>
      <c r="M1842" s="9">
        <f t="shared" si="114"/>
        <v>-201.5</v>
      </c>
      <c r="N1842" t="str">
        <f t="shared" si="115"/>
        <v>Jun</v>
      </c>
    </row>
    <row r="1843" spans="1:14" x14ac:dyDescent="0.3">
      <c r="A1843" s="2" t="s">
        <v>1909</v>
      </c>
      <c r="B1843" s="6">
        <v>45815</v>
      </c>
      <c r="C1843" s="2" t="s">
        <v>48</v>
      </c>
      <c r="D1843" s="2" t="s">
        <v>129</v>
      </c>
      <c r="E1843" s="2">
        <v>2</v>
      </c>
      <c r="F1843" s="7">
        <v>149</v>
      </c>
      <c r="G1843" s="8">
        <v>0.2</v>
      </c>
      <c r="H1843" s="9" t="str">
        <f>INDEX(Products!$B$2:$B$37, MATCH(D1843, Products!$A$2:$A$37, 0))</f>
        <v>Power Bank 20000mAh</v>
      </c>
      <c r="I1843" t="str">
        <f>INDEX(Products!$C$2:$C$37, MATCH(D1843, Products!$A$2:$A$37, 0))</f>
        <v>Electronics</v>
      </c>
      <c r="J1843">
        <f>INDEX(Products!$E$2:$E$37, MATCH(D1843, Products!$A$2:$A$37, 0))</f>
        <v>70</v>
      </c>
      <c r="K1843" s="9">
        <f t="shared" si="112"/>
        <v>238.4</v>
      </c>
      <c r="L1843">
        <f t="shared" si="113"/>
        <v>140</v>
      </c>
      <c r="M1843" s="9">
        <f t="shared" si="114"/>
        <v>98.4</v>
      </c>
      <c r="N1843" t="str">
        <f t="shared" si="115"/>
        <v>Jun</v>
      </c>
    </row>
    <row r="1844" spans="1:14" x14ac:dyDescent="0.3">
      <c r="A1844" s="2" t="s">
        <v>1910</v>
      </c>
      <c r="B1844" s="6">
        <v>45815</v>
      </c>
      <c r="C1844" s="2" t="s">
        <v>44</v>
      </c>
      <c r="D1844" s="2" t="s">
        <v>131</v>
      </c>
      <c r="E1844" s="2">
        <v>1</v>
      </c>
      <c r="F1844" s="7">
        <v>899</v>
      </c>
      <c r="G1844" s="8">
        <v>0</v>
      </c>
      <c r="H1844" s="9" t="str">
        <f>INDEX(Products!$B$2:$B$37, MATCH(D1844, Products!$A$2:$A$37, 0))</f>
        <v>4K Action Camera</v>
      </c>
      <c r="I1844" t="str">
        <f>INDEX(Products!$C$2:$C$37, MATCH(D1844, Products!$A$2:$A$37, 0))</f>
        <v>Electronics</v>
      </c>
      <c r="J1844">
        <f>INDEX(Products!$E$2:$E$37, MATCH(D1844, Products!$A$2:$A$37, 0))</f>
        <v>610</v>
      </c>
      <c r="K1844" s="9">
        <f t="shared" si="112"/>
        <v>899</v>
      </c>
      <c r="L1844">
        <f t="shared" si="113"/>
        <v>610</v>
      </c>
      <c r="M1844" s="9">
        <f t="shared" si="114"/>
        <v>289</v>
      </c>
      <c r="N1844" t="str">
        <f t="shared" si="115"/>
        <v>Jun</v>
      </c>
    </row>
    <row r="1845" spans="1:14" x14ac:dyDescent="0.3">
      <c r="A1845" s="2" t="s">
        <v>1911</v>
      </c>
      <c r="B1845" s="6">
        <v>45815</v>
      </c>
      <c r="C1845" s="2" t="s">
        <v>41</v>
      </c>
      <c r="D1845" s="2" t="s">
        <v>113</v>
      </c>
      <c r="E1845" s="2">
        <v>2</v>
      </c>
      <c r="F1845" s="7">
        <v>1199</v>
      </c>
      <c r="G1845" s="8">
        <v>0.1</v>
      </c>
      <c r="H1845" s="9" t="str">
        <f>INDEX(Products!$B$2:$B$37, MATCH(D1845, Products!$A$2:$A$37, 0))</f>
        <v>Robot Vacuum S3</v>
      </c>
      <c r="I1845" t="str">
        <f>INDEX(Products!$C$2:$C$37, MATCH(D1845, Products!$A$2:$A$37, 0))</f>
        <v>Home &amp; Kitchen</v>
      </c>
      <c r="J1845">
        <f>INDEX(Products!$E$2:$E$37, MATCH(D1845, Products!$A$2:$A$37, 0))</f>
        <v>1080</v>
      </c>
      <c r="K1845" s="9">
        <f t="shared" si="112"/>
        <v>2158.2000000000003</v>
      </c>
      <c r="L1845">
        <f t="shared" si="113"/>
        <v>2160</v>
      </c>
      <c r="M1845" s="9">
        <f t="shared" si="114"/>
        <v>-1.7999999999997272</v>
      </c>
      <c r="N1845" t="str">
        <f t="shared" si="115"/>
        <v>Jun</v>
      </c>
    </row>
    <row r="1846" spans="1:14" x14ac:dyDescent="0.3">
      <c r="A1846" s="2" t="s">
        <v>1912</v>
      </c>
      <c r="B1846" s="6">
        <v>45815</v>
      </c>
      <c r="C1846" s="2" t="s">
        <v>41</v>
      </c>
      <c r="D1846" s="2" t="s">
        <v>95</v>
      </c>
      <c r="E1846" s="2">
        <v>2</v>
      </c>
      <c r="F1846" s="7">
        <v>259</v>
      </c>
      <c r="G1846" s="8">
        <v>0</v>
      </c>
      <c r="H1846" s="9" t="str">
        <f>INDEX(Products!$B$2:$B$37, MATCH(D1846, Products!$A$2:$A$37, 0))</f>
        <v>Bed Linen Set (King)</v>
      </c>
      <c r="I1846" t="str">
        <f>INDEX(Products!$C$2:$C$37, MATCH(D1846, Products!$A$2:$A$37, 0))</f>
        <v>Home &amp; Kitchen</v>
      </c>
      <c r="J1846">
        <f>INDEX(Products!$E$2:$E$37, MATCH(D1846, Products!$A$2:$A$37, 0))</f>
        <v>115</v>
      </c>
      <c r="K1846" s="9">
        <f t="shared" si="112"/>
        <v>518</v>
      </c>
      <c r="L1846">
        <f t="shared" si="113"/>
        <v>230</v>
      </c>
      <c r="M1846" s="9">
        <f t="shared" si="114"/>
        <v>288</v>
      </c>
      <c r="N1846" t="str">
        <f t="shared" si="115"/>
        <v>Jun</v>
      </c>
    </row>
    <row r="1847" spans="1:14" x14ac:dyDescent="0.3">
      <c r="A1847" s="2" t="s">
        <v>1913</v>
      </c>
      <c r="B1847" s="6">
        <v>45815</v>
      </c>
      <c r="C1847" s="2" t="s">
        <v>48</v>
      </c>
      <c r="D1847" s="2" t="s">
        <v>33</v>
      </c>
      <c r="E1847" s="2">
        <v>1</v>
      </c>
      <c r="F1847" s="7">
        <v>199</v>
      </c>
      <c r="G1847" s="8">
        <v>0.25</v>
      </c>
      <c r="H1847" s="9" t="str">
        <f>INDEX(Products!$B$2:$B$37, MATCH(D1847, Products!$A$2:$A$37, 0))</f>
        <v>Fitness Band Lite</v>
      </c>
      <c r="I1847" t="str">
        <f>INDEX(Products!$C$2:$C$37, MATCH(D1847, Products!$A$2:$A$37, 0))</f>
        <v>Electronics</v>
      </c>
      <c r="J1847">
        <f>INDEX(Products!$E$2:$E$37, MATCH(D1847, Products!$A$2:$A$37, 0))</f>
        <v>175</v>
      </c>
      <c r="K1847" s="9">
        <f t="shared" si="112"/>
        <v>149.25</v>
      </c>
      <c r="L1847">
        <f t="shared" si="113"/>
        <v>175</v>
      </c>
      <c r="M1847" s="9">
        <f t="shared" si="114"/>
        <v>-25.75</v>
      </c>
      <c r="N1847" t="str">
        <f t="shared" si="115"/>
        <v>Jun</v>
      </c>
    </row>
    <row r="1848" spans="1:14" x14ac:dyDescent="0.3">
      <c r="A1848" s="2" t="s">
        <v>1914</v>
      </c>
      <c r="B1848" s="6">
        <v>45815</v>
      </c>
      <c r="C1848" s="2" t="s">
        <v>31</v>
      </c>
      <c r="D1848" s="2" t="s">
        <v>58</v>
      </c>
      <c r="E1848" s="2">
        <v>1</v>
      </c>
      <c r="F1848" s="7">
        <v>459</v>
      </c>
      <c r="G1848" s="8">
        <v>0</v>
      </c>
      <c r="H1848" s="9" t="str">
        <f>INDEX(Products!$B$2:$B$37, MATCH(D1848, Products!$A$2:$A$37, 0))</f>
        <v>Women's Abaya Classic</v>
      </c>
      <c r="I1848" t="str">
        <f>INDEX(Products!$C$2:$C$37, MATCH(D1848, Products!$A$2:$A$37, 0))</f>
        <v>Fashion</v>
      </c>
      <c r="J1848">
        <f>INDEX(Products!$E$2:$E$37, MATCH(D1848, Products!$A$2:$A$37, 0))</f>
        <v>190</v>
      </c>
      <c r="K1848" s="9">
        <f t="shared" si="112"/>
        <v>459</v>
      </c>
      <c r="L1848">
        <f t="shared" si="113"/>
        <v>190</v>
      </c>
      <c r="M1848" s="9">
        <f t="shared" si="114"/>
        <v>269</v>
      </c>
      <c r="N1848" t="str">
        <f t="shared" si="115"/>
        <v>Jun</v>
      </c>
    </row>
    <row r="1849" spans="1:14" x14ac:dyDescent="0.3">
      <c r="A1849" s="2" t="s">
        <v>1915</v>
      </c>
      <c r="B1849" s="6">
        <v>45815</v>
      </c>
      <c r="C1849" s="2" t="s">
        <v>48</v>
      </c>
      <c r="D1849" s="2" t="s">
        <v>99</v>
      </c>
      <c r="E1849" s="2">
        <v>1</v>
      </c>
      <c r="F1849" s="7">
        <v>459</v>
      </c>
      <c r="G1849" s="8">
        <v>0.15</v>
      </c>
      <c r="H1849" s="9" t="str">
        <f>INDEX(Products!$B$2:$B$37, MATCH(D1849, Products!$A$2:$A$37, 0))</f>
        <v>Gaming Headset X</v>
      </c>
      <c r="I1849" t="str">
        <f>INDEX(Products!$C$2:$C$37, MATCH(D1849, Products!$A$2:$A$37, 0))</f>
        <v>Electronics</v>
      </c>
      <c r="J1849">
        <f>INDEX(Products!$E$2:$E$37, MATCH(D1849, Products!$A$2:$A$37, 0))</f>
        <v>300</v>
      </c>
      <c r="K1849" s="9">
        <f t="shared" si="112"/>
        <v>390.15</v>
      </c>
      <c r="L1849">
        <f t="shared" si="113"/>
        <v>300</v>
      </c>
      <c r="M1849" s="9">
        <f t="shared" si="114"/>
        <v>90.149999999999977</v>
      </c>
      <c r="N1849" t="str">
        <f t="shared" si="115"/>
        <v>Jun</v>
      </c>
    </row>
    <row r="1850" spans="1:14" x14ac:dyDescent="0.3">
      <c r="A1850" s="2" t="s">
        <v>1916</v>
      </c>
      <c r="B1850" s="6">
        <v>45815</v>
      </c>
      <c r="C1850" s="2" t="s">
        <v>44</v>
      </c>
      <c r="D1850" s="2" t="s">
        <v>92</v>
      </c>
      <c r="E1850" s="2">
        <v>2</v>
      </c>
      <c r="F1850" s="7">
        <v>349</v>
      </c>
      <c r="G1850" s="8">
        <v>0.2</v>
      </c>
      <c r="H1850" s="9" t="str">
        <f>INDEX(Products!$B$2:$B$37, MATCH(D1850, Products!$A$2:$A$37, 0))</f>
        <v>Non-stick Cookware Set</v>
      </c>
      <c r="I1850" t="str">
        <f>INDEX(Products!$C$2:$C$37, MATCH(D1850, Products!$A$2:$A$37, 0))</f>
        <v>Home &amp; Kitchen</v>
      </c>
      <c r="J1850">
        <f>INDEX(Products!$E$2:$E$37, MATCH(D1850, Products!$A$2:$A$37, 0))</f>
        <v>170</v>
      </c>
      <c r="K1850" s="9">
        <f t="shared" si="112"/>
        <v>558.4</v>
      </c>
      <c r="L1850">
        <f t="shared" si="113"/>
        <v>340</v>
      </c>
      <c r="M1850" s="9">
        <f t="shared" si="114"/>
        <v>218.39999999999998</v>
      </c>
      <c r="N1850" t="str">
        <f t="shared" si="115"/>
        <v>Jun</v>
      </c>
    </row>
    <row r="1851" spans="1:14" x14ac:dyDescent="0.3">
      <c r="A1851" s="2" t="s">
        <v>1917</v>
      </c>
      <c r="B1851" s="6">
        <v>45815</v>
      </c>
      <c r="C1851" s="2" t="s">
        <v>28</v>
      </c>
      <c r="D1851" s="2" t="s">
        <v>35</v>
      </c>
      <c r="E1851" s="2">
        <v>2</v>
      </c>
      <c r="F1851" s="7">
        <v>179</v>
      </c>
      <c r="G1851" s="8">
        <v>0.1</v>
      </c>
      <c r="H1851" s="9" t="str">
        <f>INDEX(Products!$B$2:$B$37, MATCH(D1851, Products!$A$2:$A$37, 0))</f>
        <v>Men's Linen Shirt</v>
      </c>
      <c r="I1851" t="str">
        <f>INDEX(Products!$C$2:$C$37, MATCH(D1851, Products!$A$2:$A$37, 0))</f>
        <v>Fashion</v>
      </c>
      <c r="J1851">
        <f>INDEX(Products!$E$2:$E$37, MATCH(D1851, Products!$A$2:$A$37, 0))</f>
        <v>70</v>
      </c>
      <c r="K1851" s="9">
        <f t="shared" si="112"/>
        <v>322.2</v>
      </c>
      <c r="L1851">
        <f t="shared" si="113"/>
        <v>140</v>
      </c>
      <c r="M1851" s="9">
        <f t="shared" si="114"/>
        <v>182.2</v>
      </c>
      <c r="N1851" t="str">
        <f t="shared" si="115"/>
        <v>Jun</v>
      </c>
    </row>
    <row r="1852" spans="1:14" x14ac:dyDescent="0.3">
      <c r="A1852" s="2" t="s">
        <v>1918</v>
      </c>
      <c r="B1852" s="6">
        <v>45816</v>
      </c>
      <c r="C1852" s="2" t="s">
        <v>31</v>
      </c>
      <c r="D1852" s="2" t="s">
        <v>29</v>
      </c>
      <c r="E1852" s="2">
        <v>1</v>
      </c>
      <c r="F1852" s="7">
        <v>229</v>
      </c>
      <c r="G1852" s="8">
        <v>0.2</v>
      </c>
      <c r="H1852" s="9" t="str">
        <f>INDEX(Products!$B$2:$B$37, MATCH(D1852, Products!$A$2:$A$37, 0))</f>
        <v>Women's Summer Dress</v>
      </c>
      <c r="I1852" t="str">
        <f>INDEX(Products!$C$2:$C$37, MATCH(D1852, Products!$A$2:$A$37, 0))</f>
        <v>Fashion</v>
      </c>
      <c r="J1852">
        <f>INDEX(Products!$E$2:$E$37, MATCH(D1852, Products!$A$2:$A$37, 0))</f>
        <v>120</v>
      </c>
      <c r="K1852" s="9">
        <f t="shared" si="112"/>
        <v>183.20000000000002</v>
      </c>
      <c r="L1852">
        <f t="shared" si="113"/>
        <v>120</v>
      </c>
      <c r="M1852" s="9">
        <f t="shared" si="114"/>
        <v>63.200000000000017</v>
      </c>
      <c r="N1852" t="str">
        <f t="shared" si="115"/>
        <v>Jun</v>
      </c>
    </row>
    <row r="1853" spans="1:14" x14ac:dyDescent="0.3">
      <c r="A1853" s="2" t="s">
        <v>1919</v>
      </c>
      <c r="B1853" s="6">
        <v>45816</v>
      </c>
      <c r="C1853" s="2" t="s">
        <v>48</v>
      </c>
      <c r="D1853" s="2" t="s">
        <v>29</v>
      </c>
      <c r="E1853" s="2">
        <v>1</v>
      </c>
      <c r="F1853" s="7">
        <v>229</v>
      </c>
      <c r="G1853" s="8">
        <v>0</v>
      </c>
      <c r="H1853" s="9" t="str">
        <f>INDEX(Products!$B$2:$B$37, MATCH(D1853, Products!$A$2:$A$37, 0))</f>
        <v>Women's Summer Dress</v>
      </c>
      <c r="I1853" t="str">
        <f>INDEX(Products!$C$2:$C$37, MATCH(D1853, Products!$A$2:$A$37, 0))</f>
        <v>Fashion</v>
      </c>
      <c r="J1853">
        <f>INDEX(Products!$E$2:$E$37, MATCH(D1853, Products!$A$2:$A$37, 0))</f>
        <v>120</v>
      </c>
      <c r="K1853" s="9">
        <f t="shared" si="112"/>
        <v>229</v>
      </c>
      <c r="L1853">
        <f t="shared" si="113"/>
        <v>120</v>
      </c>
      <c r="M1853" s="9">
        <f t="shared" si="114"/>
        <v>109</v>
      </c>
      <c r="N1853" t="str">
        <f t="shared" si="115"/>
        <v>Jun</v>
      </c>
    </row>
    <row r="1854" spans="1:14" x14ac:dyDescent="0.3">
      <c r="A1854" s="2" t="s">
        <v>1920</v>
      </c>
      <c r="B1854" s="6">
        <v>45816</v>
      </c>
      <c r="C1854" s="2" t="s">
        <v>28</v>
      </c>
      <c r="D1854" s="2" t="s">
        <v>68</v>
      </c>
      <c r="E1854" s="2">
        <v>1</v>
      </c>
      <c r="F1854" s="7">
        <v>249</v>
      </c>
      <c r="G1854" s="8">
        <v>0.05</v>
      </c>
      <c r="H1854" s="9" t="str">
        <f>INDEX(Products!$B$2:$B$37, MATCH(D1854, Products!$A$2:$A$37, 0))</f>
        <v>Bluetooth Speaker Mini</v>
      </c>
      <c r="I1854" t="str">
        <f>INDEX(Products!$C$2:$C$37, MATCH(D1854, Products!$A$2:$A$37, 0))</f>
        <v>Electronics</v>
      </c>
      <c r="J1854">
        <f>INDEX(Products!$E$2:$E$37, MATCH(D1854, Products!$A$2:$A$37, 0))</f>
        <v>150</v>
      </c>
      <c r="K1854" s="9">
        <f t="shared" si="112"/>
        <v>236.54999999999998</v>
      </c>
      <c r="L1854">
        <f t="shared" si="113"/>
        <v>150</v>
      </c>
      <c r="M1854" s="9">
        <f t="shared" si="114"/>
        <v>86.549999999999983</v>
      </c>
      <c r="N1854" t="str">
        <f t="shared" si="115"/>
        <v>Jun</v>
      </c>
    </row>
    <row r="1855" spans="1:14" x14ac:dyDescent="0.3">
      <c r="A1855" s="2" t="s">
        <v>1921</v>
      </c>
      <c r="B1855" s="6">
        <v>45816</v>
      </c>
      <c r="C1855" s="2" t="s">
        <v>28</v>
      </c>
      <c r="D1855" s="2" t="s">
        <v>109</v>
      </c>
      <c r="E1855" s="2">
        <v>2</v>
      </c>
      <c r="F1855" s="7">
        <v>1499</v>
      </c>
      <c r="G1855" s="8">
        <v>0.15</v>
      </c>
      <c r="H1855" s="9" t="str">
        <f>INDEX(Products!$B$2:$B$37, MATCH(D1855, Products!$A$2:$A$37, 0))</f>
        <v>Espresso Machine</v>
      </c>
      <c r="I1855" t="str">
        <f>INDEX(Products!$C$2:$C$37, MATCH(D1855, Products!$A$2:$A$37, 0))</f>
        <v>Home &amp; Kitchen</v>
      </c>
      <c r="J1855">
        <f>INDEX(Products!$E$2:$E$37, MATCH(D1855, Products!$A$2:$A$37, 0))</f>
        <v>1050</v>
      </c>
      <c r="K1855" s="9">
        <f t="shared" si="112"/>
        <v>2548.2999999999997</v>
      </c>
      <c r="L1855">
        <f t="shared" si="113"/>
        <v>2100</v>
      </c>
      <c r="M1855" s="9">
        <f t="shared" si="114"/>
        <v>448.29999999999973</v>
      </c>
      <c r="N1855" t="str">
        <f t="shared" si="115"/>
        <v>Jun</v>
      </c>
    </row>
    <row r="1856" spans="1:14" x14ac:dyDescent="0.3">
      <c r="A1856" s="2" t="s">
        <v>1922</v>
      </c>
      <c r="B1856" s="6">
        <v>45816</v>
      </c>
      <c r="C1856" s="2" t="s">
        <v>31</v>
      </c>
      <c r="D1856" s="2" t="s">
        <v>37</v>
      </c>
      <c r="E1856" s="2">
        <v>1</v>
      </c>
      <c r="F1856" s="7">
        <v>249</v>
      </c>
      <c r="G1856" s="8">
        <v>0</v>
      </c>
      <c r="H1856" s="9" t="str">
        <f>INDEX(Products!$B$2:$B$37, MATCH(D1856, Products!$A$2:$A$37, 0))</f>
        <v>Sunglasses Polarised</v>
      </c>
      <c r="I1856" t="str">
        <f>INDEX(Products!$C$2:$C$37, MATCH(D1856, Products!$A$2:$A$37, 0))</f>
        <v>Fashion</v>
      </c>
      <c r="J1856">
        <f>INDEX(Products!$E$2:$E$37, MATCH(D1856, Products!$A$2:$A$37, 0))</f>
        <v>95</v>
      </c>
      <c r="K1856" s="9">
        <f t="shared" si="112"/>
        <v>249</v>
      </c>
      <c r="L1856">
        <f t="shared" si="113"/>
        <v>95</v>
      </c>
      <c r="M1856" s="9">
        <f t="shared" si="114"/>
        <v>154</v>
      </c>
      <c r="N1856" t="str">
        <f t="shared" si="115"/>
        <v>Jun</v>
      </c>
    </row>
    <row r="1857" spans="1:14" x14ac:dyDescent="0.3">
      <c r="A1857" s="2" t="s">
        <v>1923</v>
      </c>
      <c r="B1857" s="6">
        <v>45816</v>
      </c>
      <c r="C1857" s="2" t="s">
        <v>44</v>
      </c>
      <c r="D1857" s="2" t="s">
        <v>87</v>
      </c>
      <c r="E1857" s="2">
        <v>2</v>
      </c>
      <c r="F1857" s="7">
        <v>799</v>
      </c>
      <c r="G1857" s="8">
        <v>0.25</v>
      </c>
      <c r="H1857" s="9" t="str">
        <f>INDEX(Products!$B$2:$B$37, MATCH(D1857, Products!$A$2:$A$37, 0))</f>
        <v>Adjustable Dumbbells</v>
      </c>
      <c r="I1857" t="str">
        <f>INDEX(Products!$C$2:$C$37, MATCH(D1857, Products!$A$2:$A$37, 0))</f>
        <v>Sports</v>
      </c>
      <c r="J1857">
        <f>INDEX(Products!$E$2:$E$37, MATCH(D1857, Products!$A$2:$A$37, 0))</f>
        <v>700</v>
      </c>
      <c r="K1857" s="9">
        <f t="shared" si="112"/>
        <v>1198.5</v>
      </c>
      <c r="L1857">
        <f t="shared" si="113"/>
        <v>1400</v>
      </c>
      <c r="M1857" s="9">
        <f t="shared" si="114"/>
        <v>-201.5</v>
      </c>
      <c r="N1857" t="str">
        <f t="shared" si="115"/>
        <v>Jun</v>
      </c>
    </row>
    <row r="1858" spans="1:14" x14ac:dyDescent="0.3">
      <c r="A1858" s="2" t="s">
        <v>1924</v>
      </c>
      <c r="B1858" s="6">
        <v>45816</v>
      </c>
      <c r="C1858" s="2" t="s">
        <v>28</v>
      </c>
      <c r="D1858" s="2" t="s">
        <v>83</v>
      </c>
      <c r="E1858" s="2">
        <v>4</v>
      </c>
      <c r="F1858" s="7">
        <v>229</v>
      </c>
      <c r="G1858" s="8">
        <v>0</v>
      </c>
      <c r="H1858" s="9" t="str">
        <f>INDEX(Products!$B$2:$B$37, MATCH(D1858, Products!$A$2:$A$37, 0))</f>
        <v>Cycling Helmet</v>
      </c>
      <c r="I1858" t="str">
        <f>INDEX(Products!$C$2:$C$37, MATCH(D1858, Products!$A$2:$A$37, 0))</f>
        <v>Sports</v>
      </c>
      <c r="J1858">
        <f>INDEX(Products!$E$2:$E$37, MATCH(D1858, Products!$A$2:$A$37, 0))</f>
        <v>120</v>
      </c>
      <c r="K1858" s="9">
        <f t="shared" ref="K1858:K1921" si="116">E1858*F1858*(1-G1858)</f>
        <v>916</v>
      </c>
      <c r="L1858">
        <f t="shared" ref="L1858:L1921" si="117">E1858*J1858</f>
        <v>480</v>
      </c>
      <c r="M1858" s="9">
        <f t="shared" ref="M1858:M1921" si="118">K1858-L1858</f>
        <v>436</v>
      </c>
      <c r="N1858" t="str">
        <f t="shared" ref="N1858:N1921" si="119">TEXT(B1858,"mmm")</f>
        <v>Jun</v>
      </c>
    </row>
    <row r="1859" spans="1:14" x14ac:dyDescent="0.3">
      <c r="A1859" s="2" t="s">
        <v>1925</v>
      </c>
      <c r="B1859" s="6">
        <v>45816</v>
      </c>
      <c r="C1859" s="2" t="s">
        <v>41</v>
      </c>
      <c r="D1859" s="2" t="s">
        <v>165</v>
      </c>
      <c r="E1859" s="2">
        <v>2</v>
      </c>
      <c r="F1859" s="7">
        <v>69</v>
      </c>
      <c r="G1859" s="8">
        <v>0</v>
      </c>
      <c r="H1859" s="9" t="str">
        <f>INDEX(Products!$B$2:$B$37, MATCH(D1859, Products!$A$2:$A$37, 0))</f>
        <v>Swim Goggles</v>
      </c>
      <c r="I1859" t="str">
        <f>INDEX(Products!$C$2:$C$37, MATCH(D1859, Products!$A$2:$A$37, 0))</f>
        <v>Sports</v>
      </c>
      <c r="J1859">
        <f>INDEX(Products!$E$2:$E$37, MATCH(D1859, Products!$A$2:$A$37, 0))</f>
        <v>25</v>
      </c>
      <c r="K1859" s="9">
        <f t="shared" si="116"/>
        <v>138</v>
      </c>
      <c r="L1859">
        <f t="shared" si="117"/>
        <v>50</v>
      </c>
      <c r="M1859" s="9">
        <f t="shared" si="118"/>
        <v>88</v>
      </c>
      <c r="N1859" t="str">
        <f t="shared" si="119"/>
        <v>Jun</v>
      </c>
    </row>
    <row r="1860" spans="1:14" x14ac:dyDescent="0.3">
      <c r="A1860" s="2" t="s">
        <v>1926</v>
      </c>
      <c r="B1860" s="6">
        <v>45816</v>
      </c>
      <c r="C1860" s="2" t="s">
        <v>41</v>
      </c>
      <c r="D1860" s="2" t="s">
        <v>89</v>
      </c>
      <c r="E1860" s="2">
        <v>1</v>
      </c>
      <c r="F1860" s="7">
        <v>399</v>
      </c>
      <c r="G1860" s="8">
        <v>0</v>
      </c>
      <c r="H1860" s="9" t="str">
        <f>INDEX(Products!$B$2:$B$37, MATCH(D1860, Products!$A$2:$A$37, 0))</f>
        <v>Men's Kandura Premium</v>
      </c>
      <c r="I1860" t="str">
        <f>INDEX(Products!$C$2:$C$37, MATCH(D1860, Products!$A$2:$A$37, 0))</f>
        <v>Fashion</v>
      </c>
      <c r="J1860">
        <f>INDEX(Products!$E$2:$E$37, MATCH(D1860, Products!$A$2:$A$37, 0))</f>
        <v>210</v>
      </c>
      <c r="K1860" s="9">
        <f t="shared" si="116"/>
        <v>399</v>
      </c>
      <c r="L1860">
        <f t="shared" si="117"/>
        <v>210</v>
      </c>
      <c r="M1860" s="9">
        <f t="shared" si="118"/>
        <v>189</v>
      </c>
      <c r="N1860" t="str">
        <f t="shared" si="119"/>
        <v>Jun</v>
      </c>
    </row>
    <row r="1861" spans="1:14" x14ac:dyDescent="0.3">
      <c r="A1861" s="2" t="s">
        <v>1927</v>
      </c>
      <c r="B1861" s="6">
        <v>45816</v>
      </c>
      <c r="C1861" s="2" t="s">
        <v>28</v>
      </c>
      <c r="D1861" s="2" t="s">
        <v>68</v>
      </c>
      <c r="E1861" s="2">
        <v>2</v>
      </c>
      <c r="F1861" s="7">
        <v>249</v>
      </c>
      <c r="G1861" s="8">
        <v>0</v>
      </c>
      <c r="H1861" s="9" t="str">
        <f>INDEX(Products!$B$2:$B$37, MATCH(D1861, Products!$A$2:$A$37, 0))</f>
        <v>Bluetooth Speaker Mini</v>
      </c>
      <c r="I1861" t="str">
        <f>INDEX(Products!$C$2:$C$37, MATCH(D1861, Products!$A$2:$A$37, 0))</f>
        <v>Electronics</v>
      </c>
      <c r="J1861">
        <f>INDEX(Products!$E$2:$E$37, MATCH(D1861, Products!$A$2:$A$37, 0))</f>
        <v>150</v>
      </c>
      <c r="K1861" s="9">
        <f t="shared" si="116"/>
        <v>498</v>
      </c>
      <c r="L1861">
        <f t="shared" si="117"/>
        <v>300</v>
      </c>
      <c r="M1861" s="9">
        <f t="shared" si="118"/>
        <v>198</v>
      </c>
      <c r="N1861" t="str">
        <f t="shared" si="119"/>
        <v>Jun</v>
      </c>
    </row>
    <row r="1862" spans="1:14" x14ac:dyDescent="0.3">
      <c r="A1862" s="2" t="s">
        <v>1928</v>
      </c>
      <c r="B1862" s="6">
        <v>45816</v>
      </c>
      <c r="C1862" s="2" t="s">
        <v>48</v>
      </c>
      <c r="D1862" s="2" t="s">
        <v>37</v>
      </c>
      <c r="E1862" s="2">
        <v>1</v>
      </c>
      <c r="F1862" s="7">
        <v>249</v>
      </c>
      <c r="G1862" s="8">
        <v>0.3</v>
      </c>
      <c r="H1862" s="9" t="str">
        <f>INDEX(Products!$B$2:$B$37, MATCH(D1862, Products!$A$2:$A$37, 0))</f>
        <v>Sunglasses Polarised</v>
      </c>
      <c r="I1862" t="str">
        <f>INDEX(Products!$C$2:$C$37, MATCH(D1862, Products!$A$2:$A$37, 0))</f>
        <v>Fashion</v>
      </c>
      <c r="J1862">
        <f>INDEX(Products!$E$2:$E$37, MATCH(D1862, Products!$A$2:$A$37, 0))</f>
        <v>95</v>
      </c>
      <c r="K1862" s="9">
        <f t="shared" si="116"/>
        <v>174.29999999999998</v>
      </c>
      <c r="L1862">
        <f t="shared" si="117"/>
        <v>95</v>
      </c>
      <c r="M1862" s="9">
        <f t="shared" si="118"/>
        <v>79.299999999999983</v>
      </c>
      <c r="N1862" t="str">
        <f t="shared" si="119"/>
        <v>Jun</v>
      </c>
    </row>
    <row r="1863" spans="1:14" x14ac:dyDescent="0.3">
      <c r="A1863" s="2" t="s">
        <v>1929</v>
      </c>
      <c r="B1863" s="6">
        <v>45816</v>
      </c>
      <c r="C1863" s="2" t="s">
        <v>31</v>
      </c>
      <c r="D1863" s="2" t="s">
        <v>68</v>
      </c>
      <c r="E1863" s="2">
        <v>1</v>
      </c>
      <c r="F1863" s="7">
        <v>249</v>
      </c>
      <c r="G1863" s="8">
        <v>0.2</v>
      </c>
      <c r="H1863" s="9" t="str">
        <f>INDEX(Products!$B$2:$B$37, MATCH(D1863, Products!$A$2:$A$37, 0))</f>
        <v>Bluetooth Speaker Mini</v>
      </c>
      <c r="I1863" t="str">
        <f>INDEX(Products!$C$2:$C$37, MATCH(D1863, Products!$A$2:$A$37, 0))</f>
        <v>Electronics</v>
      </c>
      <c r="J1863">
        <f>INDEX(Products!$E$2:$E$37, MATCH(D1863, Products!$A$2:$A$37, 0))</f>
        <v>150</v>
      </c>
      <c r="K1863" s="9">
        <f t="shared" si="116"/>
        <v>199.20000000000002</v>
      </c>
      <c r="L1863">
        <f t="shared" si="117"/>
        <v>150</v>
      </c>
      <c r="M1863" s="9">
        <f t="shared" si="118"/>
        <v>49.200000000000017</v>
      </c>
      <c r="N1863" t="str">
        <f t="shared" si="119"/>
        <v>Jun</v>
      </c>
    </row>
    <row r="1864" spans="1:14" x14ac:dyDescent="0.3">
      <c r="A1864" s="2" t="s">
        <v>1930</v>
      </c>
      <c r="B1864" s="6">
        <v>45816</v>
      </c>
      <c r="C1864" s="2" t="s">
        <v>44</v>
      </c>
      <c r="D1864" s="2" t="s">
        <v>39</v>
      </c>
      <c r="E1864" s="2">
        <v>1</v>
      </c>
      <c r="F1864" s="7">
        <v>199</v>
      </c>
      <c r="G1864" s="8">
        <v>0.1</v>
      </c>
      <c r="H1864" s="9" t="str">
        <f>INDEX(Products!$B$2:$B$37, MATCH(D1864, Products!$A$2:$A$37, 0))</f>
        <v>Bakhoor Gift Set</v>
      </c>
      <c r="I1864" t="str">
        <f>INDEX(Products!$C$2:$C$37, MATCH(D1864, Products!$A$2:$A$37, 0))</f>
        <v>Beauty</v>
      </c>
      <c r="J1864">
        <f>INDEX(Products!$E$2:$E$37, MATCH(D1864, Products!$A$2:$A$37, 0))</f>
        <v>90</v>
      </c>
      <c r="K1864" s="9">
        <f t="shared" si="116"/>
        <v>179.1</v>
      </c>
      <c r="L1864">
        <f t="shared" si="117"/>
        <v>90</v>
      </c>
      <c r="M1864" s="9">
        <f t="shared" si="118"/>
        <v>89.1</v>
      </c>
      <c r="N1864" t="str">
        <f t="shared" si="119"/>
        <v>Jun</v>
      </c>
    </row>
    <row r="1865" spans="1:14" x14ac:dyDescent="0.3">
      <c r="A1865" s="2" t="s">
        <v>1931</v>
      </c>
      <c r="B1865" s="6">
        <v>45816</v>
      </c>
      <c r="C1865" s="2" t="s">
        <v>44</v>
      </c>
      <c r="D1865" s="2" t="s">
        <v>35</v>
      </c>
      <c r="E1865" s="2">
        <v>1</v>
      </c>
      <c r="F1865" s="7">
        <v>179</v>
      </c>
      <c r="G1865" s="8">
        <v>0.15</v>
      </c>
      <c r="H1865" s="9" t="str">
        <f>INDEX(Products!$B$2:$B$37, MATCH(D1865, Products!$A$2:$A$37, 0))</f>
        <v>Men's Linen Shirt</v>
      </c>
      <c r="I1865" t="str">
        <f>INDEX(Products!$C$2:$C$37, MATCH(D1865, Products!$A$2:$A$37, 0))</f>
        <v>Fashion</v>
      </c>
      <c r="J1865">
        <f>INDEX(Products!$E$2:$E$37, MATCH(D1865, Products!$A$2:$A$37, 0))</f>
        <v>70</v>
      </c>
      <c r="K1865" s="9">
        <f t="shared" si="116"/>
        <v>152.15</v>
      </c>
      <c r="L1865">
        <f t="shared" si="117"/>
        <v>70</v>
      </c>
      <c r="M1865" s="9">
        <f t="shared" si="118"/>
        <v>82.15</v>
      </c>
      <c r="N1865" t="str">
        <f t="shared" si="119"/>
        <v>Jun</v>
      </c>
    </row>
    <row r="1866" spans="1:14" x14ac:dyDescent="0.3">
      <c r="A1866" s="2" t="s">
        <v>1932</v>
      </c>
      <c r="B1866" s="6">
        <v>45816</v>
      </c>
      <c r="C1866" s="2" t="s">
        <v>31</v>
      </c>
      <c r="D1866" s="2" t="s">
        <v>83</v>
      </c>
      <c r="E1866" s="2">
        <v>1</v>
      </c>
      <c r="F1866" s="7">
        <v>229</v>
      </c>
      <c r="G1866" s="8">
        <v>0.05</v>
      </c>
      <c r="H1866" s="9" t="str">
        <f>INDEX(Products!$B$2:$B$37, MATCH(D1866, Products!$A$2:$A$37, 0))</f>
        <v>Cycling Helmet</v>
      </c>
      <c r="I1866" t="str">
        <f>INDEX(Products!$C$2:$C$37, MATCH(D1866, Products!$A$2:$A$37, 0))</f>
        <v>Sports</v>
      </c>
      <c r="J1866">
        <f>INDEX(Products!$E$2:$E$37, MATCH(D1866, Products!$A$2:$A$37, 0))</f>
        <v>120</v>
      </c>
      <c r="K1866" s="9">
        <f t="shared" si="116"/>
        <v>217.54999999999998</v>
      </c>
      <c r="L1866">
        <f t="shared" si="117"/>
        <v>120</v>
      </c>
      <c r="M1866" s="9">
        <f t="shared" si="118"/>
        <v>97.549999999999983</v>
      </c>
      <c r="N1866" t="str">
        <f t="shared" si="119"/>
        <v>Jun</v>
      </c>
    </row>
    <row r="1867" spans="1:14" x14ac:dyDescent="0.3">
      <c r="A1867" s="2" t="s">
        <v>1933</v>
      </c>
      <c r="B1867" s="6">
        <v>45816</v>
      </c>
      <c r="C1867" s="2" t="s">
        <v>44</v>
      </c>
      <c r="D1867" s="2" t="s">
        <v>115</v>
      </c>
      <c r="E1867" s="2">
        <v>1</v>
      </c>
      <c r="F1867" s="7">
        <v>129</v>
      </c>
      <c r="G1867" s="8">
        <v>0.1</v>
      </c>
      <c r="H1867" s="9" t="str">
        <f>INDEX(Products!$B$2:$B$37, MATCH(D1867, Products!$A$2:$A$37, 0))</f>
        <v>Electric Kettle</v>
      </c>
      <c r="I1867" t="str">
        <f>INDEX(Products!$C$2:$C$37, MATCH(D1867, Products!$A$2:$A$37, 0))</f>
        <v>Home &amp; Kitchen</v>
      </c>
      <c r="J1867">
        <f>INDEX(Products!$E$2:$E$37, MATCH(D1867, Products!$A$2:$A$37, 0))</f>
        <v>60</v>
      </c>
      <c r="K1867" s="9">
        <f t="shared" si="116"/>
        <v>116.10000000000001</v>
      </c>
      <c r="L1867">
        <f t="shared" si="117"/>
        <v>60</v>
      </c>
      <c r="M1867" s="9">
        <f t="shared" si="118"/>
        <v>56.100000000000009</v>
      </c>
      <c r="N1867" t="str">
        <f t="shared" si="119"/>
        <v>Jun</v>
      </c>
    </row>
    <row r="1868" spans="1:14" x14ac:dyDescent="0.3">
      <c r="A1868" s="2" t="s">
        <v>1934</v>
      </c>
      <c r="B1868" s="6">
        <v>45816</v>
      </c>
      <c r="C1868" s="2" t="s">
        <v>28</v>
      </c>
      <c r="D1868" s="2" t="s">
        <v>49</v>
      </c>
      <c r="E1868" s="2">
        <v>1</v>
      </c>
      <c r="F1868" s="7">
        <v>149</v>
      </c>
      <c r="G1868" s="8">
        <v>0.3</v>
      </c>
      <c r="H1868" s="9" t="str">
        <f>INDEX(Products!$B$2:$B$37, MATCH(D1868, Products!$A$2:$A$37, 0))</f>
        <v>Kids' Sneakers</v>
      </c>
      <c r="I1868" t="str">
        <f>INDEX(Products!$C$2:$C$37, MATCH(D1868, Products!$A$2:$A$37, 0))</f>
        <v>Fashion</v>
      </c>
      <c r="J1868">
        <f>INDEX(Products!$E$2:$E$37, MATCH(D1868, Products!$A$2:$A$37, 0))</f>
        <v>80</v>
      </c>
      <c r="K1868" s="9">
        <f t="shared" si="116"/>
        <v>104.3</v>
      </c>
      <c r="L1868">
        <f t="shared" si="117"/>
        <v>80</v>
      </c>
      <c r="M1868" s="9">
        <f t="shared" si="118"/>
        <v>24.299999999999997</v>
      </c>
      <c r="N1868" t="str">
        <f t="shared" si="119"/>
        <v>Jun</v>
      </c>
    </row>
    <row r="1869" spans="1:14" x14ac:dyDescent="0.3">
      <c r="A1869" s="2" t="s">
        <v>1935</v>
      </c>
      <c r="B1869" s="6">
        <v>45816</v>
      </c>
      <c r="C1869" s="2" t="s">
        <v>41</v>
      </c>
      <c r="D1869" s="2" t="s">
        <v>99</v>
      </c>
      <c r="E1869" s="2">
        <v>3</v>
      </c>
      <c r="F1869" s="7">
        <v>459</v>
      </c>
      <c r="G1869" s="8">
        <v>0.2</v>
      </c>
      <c r="H1869" s="9" t="str">
        <f>INDEX(Products!$B$2:$B$37, MATCH(D1869, Products!$A$2:$A$37, 0))</f>
        <v>Gaming Headset X</v>
      </c>
      <c r="I1869" t="str">
        <f>INDEX(Products!$C$2:$C$37, MATCH(D1869, Products!$A$2:$A$37, 0))</f>
        <v>Electronics</v>
      </c>
      <c r="J1869">
        <f>INDEX(Products!$E$2:$E$37, MATCH(D1869, Products!$A$2:$A$37, 0))</f>
        <v>300</v>
      </c>
      <c r="K1869" s="9">
        <f t="shared" si="116"/>
        <v>1101.6000000000001</v>
      </c>
      <c r="L1869">
        <f t="shared" si="117"/>
        <v>900</v>
      </c>
      <c r="M1869" s="9">
        <f t="shared" si="118"/>
        <v>201.60000000000014</v>
      </c>
      <c r="N1869" t="str">
        <f t="shared" si="119"/>
        <v>Jun</v>
      </c>
    </row>
    <row r="1870" spans="1:14" x14ac:dyDescent="0.3">
      <c r="A1870" s="2" t="s">
        <v>1936</v>
      </c>
      <c r="B1870" s="6">
        <v>45816</v>
      </c>
      <c r="C1870" s="2" t="s">
        <v>28</v>
      </c>
      <c r="D1870" s="2" t="s">
        <v>92</v>
      </c>
      <c r="E1870" s="2">
        <v>1</v>
      </c>
      <c r="F1870" s="7">
        <v>349</v>
      </c>
      <c r="G1870" s="8">
        <v>0.05</v>
      </c>
      <c r="H1870" s="9" t="str">
        <f>INDEX(Products!$B$2:$B$37, MATCH(D1870, Products!$A$2:$A$37, 0))</f>
        <v>Non-stick Cookware Set</v>
      </c>
      <c r="I1870" t="str">
        <f>INDEX(Products!$C$2:$C$37, MATCH(D1870, Products!$A$2:$A$37, 0))</f>
        <v>Home &amp; Kitchen</v>
      </c>
      <c r="J1870">
        <f>INDEX(Products!$E$2:$E$37, MATCH(D1870, Products!$A$2:$A$37, 0))</f>
        <v>170</v>
      </c>
      <c r="K1870" s="9">
        <f t="shared" si="116"/>
        <v>331.55</v>
      </c>
      <c r="L1870">
        <f t="shared" si="117"/>
        <v>170</v>
      </c>
      <c r="M1870" s="9">
        <f t="shared" si="118"/>
        <v>161.55000000000001</v>
      </c>
      <c r="N1870" t="str">
        <f t="shared" si="119"/>
        <v>Jun</v>
      </c>
    </row>
    <row r="1871" spans="1:14" x14ac:dyDescent="0.3">
      <c r="A1871" s="2" t="s">
        <v>1937</v>
      </c>
      <c r="B1871" s="6">
        <v>45817</v>
      </c>
      <c r="C1871" s="2" t="s">
        <v>28</v>
      </c>
      <c r="D1871" s="2" t="s">
        <v>56</v>
      </c>
      <c r="E1871" s="2">
        <v>1</v>
      </c>
      <c r="F1871" s="7">
        <v>289</v>
      </c>
      <c r="G1871" s="8">
        <v>0.3</v>
      </c>
      <c r="H1871" s="9" t="str">
        <f>INDEX(Products!$B$2:$B$37, MATCH(D1871, Products!$A$2:$A$37, 0))</f>
        <v>Ceramic Dinner Set</v>
      </c>
      <c r="I1871" t="str">
        <f>INDEX(Products!$C$2:$C$37, MATCH(D1871, Products!$A$2:$A$37, 0))</f>
        <v>Home &amp; Kitchen</v>
      </c>
      <c r="J1871">
        <f>INDEX(Products!$E$2:$E$37, MATCH(D1871, Products!$A$2:$A$37, 0))</f>
        <v>140</v>
      </c>
      <c r="K1871" s="9">
        <f t="shared" si="116"/>
        <v>202.29999999999998</v>
      </c>
      <c r="L1871">
        <f t="shared" si="117"/>
        <v>140</v>
      </c>
      <c r="M1871" s="9">
        <f t="shared" si="118"/>
        <v>62.299999999999983</v>
      </c>
      <c r="N1871" t="str">
        <f t="shared" si="119"/>
        <v>Jun</v>
      </c>
    </row>
    <row r="1872" spans="1:14" x14ac:dyDescent="0.3">
      <c r="A1872" s="2" t="s">
        <v>1938</v>
      </c>
      <c r="B1872" s="6">
        <v>45817</v>
      </c>
      <c r="C1872" s="2" t="s">
        <v>44</v>
      </c>
      <c r="D1872" s="2" t="s">
        <v>52</v>
      </c>
      <c r="E1872" s="2">
        <v>2</v>
      </c>
      <c r="F1872" s="7">
        <v>299</v>
      </c>
      <c r="G1872" s="8">
        <v>0.15</v>
      </c>
      <c r="H1872" s="9" t="str">
        <f>INDEX(Products!$B$2:$B$37, MATCH(D1872, Products!$A$2:$A$37, 0))</f>
        <v>Hair Dryer Ionic</v>
      </c>
      <c r="I1872" t="str">
        <f>INDEX(Products!$C$2:$C$37, MATCH(D1872, Products!$A$2:$A$37, 0))</f>
        <v>Beauty</v>
      </c>
      <c r="J1872">
        <f>INDEX(Products!$E$2:$E$37, MATCH(D1872, Products!$A$2:$A$37, 0))</f>
        <v>240</v>
      </c>
      <c r="K1872" s="9">
        <f t="shared" si="116"/>
        <v>508.3</v>
      </c>
      <c r="L1872">
        <f t="shared" si="117"/>
        <v>480</v>
      </c>
      <c r="M1872" s="9">
        <f t="shared" si="118"/>
        <v>28.300000000000011</v>
      </c>
      <c r="N1872" t="str">
        <f t="shared" si="119"/>
        <v>Jun</v>
      </c>
    </row>
    <row r="1873" spans="1:14" x14ac:dyDescent="0.3">
      <c r="A1873" s="2" t="s">
        <v>1939</v>
      </c>
      <c r="B1873" s="6">
        <v>45817</v>
      </c>
      <c r="C1873" s="2" t="s">
        <v>41</v>
      </c>
      <c r="D1873" s="2" t="s">
        <v>95</v>
      </c>
      <c r="E1873" s="2">
        <v>1</v>
      </c>
      <c r="F1873" s="7">
        <v>259</v>
      </c>
      <c r="G1873" s="8">
        <v>0.05</v>
      </c>
      <c r="H1873" s="9" t="str">
        <f>INDEX(Products!$B$2:$B$37, MATCH(D1873, Products!$A$2:$A$37, 0))</f>
        <v>Bed Linen Set (King)</v>
      </c>
      <c r="I1873" t="str">
        <f>INDEX(Products!$C$2:$C$37, MATCH(D1873, Products!$A$2:$A$37, 0))</f>
        <v>Home &amp; Kitchen</v>
      </c>
      <c r="J1873">
        <f>INDEX(Products!$E$2:$E$37, MATCH(D1873, Products!$A$2:$A$37, 0))</f>
        <v>115</v>
      </c>
      <c r="K1873" s="9">
        <f t="shared" si="116"/>
        <v>246.04999999999998</v>
      </c>
      <c r="L1873">
        <f t="shared" si="117"/>
        <v>115</v>
      </c>
      <c r="M1873" s="9">
        <f t="shared" si="118"/>
        <v>131.04999999999998</v>
      </c>
      <c r="N1873" t="str">
        <f t="shared" si="119"/>
        <v>Jun</v>
      </c>
    </row>
    <row r="1874" spans="1:14" x14ac:dyDescent="0.3">
      <c r="A1874" s="2" t="s">
        <v>1940</v>
      </c>
      <c r="B1874" s="6">
        <v>45817</v>
      </c>
      <c r="C1874" s="2" t="s">
        <v>48</v>
      </c>
      <c r="D1874" s="2" t="s">
        <v>65</v>
      </c>
      <c r="E1874" s="2">
        <v>2</v>
      </c>
      <c r="F1874" s="7">
        <v>129</v>
      </c>
      <c r="G1874" s="8">
        <v>0</v>
      </c>
      <c r="H1874" s="9" t="str">
        <f>INDEX(Products!$B$2:$B$37, MATCH(D1874, Products!$A$2:$A$37, 0))</f>
        <v>Yoga Mat Premium</v>
      </c>
      <c r="I1874" t="str">
        <f>INDEX(Products!$C$2:$C$37, MATCH(D1874, Products!$A$2:$A$37, 0))</f>
        <v>Sports</v>
      </c>
      <c r="J1874">
        <f>INDEX(Products!$E$2:$E$37, MATCH(D1874, Products!$A$2:$A$37, 0))</f>
        <v>60</v>
      </c>
      <c r="K1874" s="9">
        <f t="shared" si="116"/>
        <v>258</v>
      </c>
      <c r="L1874">
        <f t="shared" si="117"/>
        <v>120</v>
      </c>
      <c r="M1874" s="9">
        <f t="shared" si="118"/>
        <v>138</v>
      </c>
      <c r="N1874" t="str">
        <f t="shared" si="119"/>
        <v>Jun</v>
      </c>
    </row>
    <row r="1875" spans="1:14" x14ac:dyDescent="0.3">
      <c r="A1875" s="2" t="s">
        <v>1941</v>
      </c>
      <c r="B1875" s="6">
        <v>45817</v>
      </c>
      <c r="C1875" s="2" t="s">
        <v>44</v>
      </c>
      <c r="D1875" s="2" t="s">
        <v>126</v>
      </c>
      <c r="E1875" s="2">
        <v>1</v>
      </c>
      <c r="F1875" s="7">
        <v>89</v>
      </c>
      <c r="G1875" s="8">
        <v>0.3</v>
      </c>
      <c r="H1875" s="9" t="str">
        <f>INDEX(Products!$B$2:$B$37, MATCH(D1875, Products!$A$2:$A$37, 0))</f>
        <v>USB-C Fast Charger</v>
      </c>
      <c r="I1875" t="str">
        <f>INDEX(Products!$C$2:$C$37, MATCH(D1875, Products!$A$2:$A$37, 0))</f>
        <v>Electronics</v>
      </c>
      <c r="J1875">
        <f>INDEX(Products!$E$2:$E$37, MATCH(D1875, Products!$A$2:$A$37, 0))</f>
        <v>35</v>
      </c>
      <c r="K1875" s="9">
        <f t="shared" si="116"/>
        <v>62.3</v>
      </c>
      <c r="L1875">
        <f t="shared" si="117"/>
        <v>35</v>
      </c>
      <c r="M1875" s="9">
        <f t="shared" si="118"/>
        <v>27.299999999999997</v>
      </c>
      <c r="N1875" t="str">
        <f t="shared" si="119"/>
        <v>Jun</v>
      </c>
    </row>
    <row r="1876" spans="1:14" x14ac:dyDescent="0.3">
      <c r="A1876" s="2" t="s">
        <v>1942</v>
      </c>
      <c r="B1876" s="6">
        <v>45817</v>
      </c>
      <c r="C1876" s="2" t="s">
        <v>41</v>
      </c>
      <c r="D1876" s="2" t="s">
        <v>33</v>
      </c>
      <c r="E1876" s="2">
        <v>1</v>
      </c>
      <c r="F1876" s="7">
        <v>199</v>
      </c>
      <c r="G1876" s="8">
        <v>0.15</v>
      </c>
      <c r="H1876" s="9" t="str">
        <f>INDEX(Products!$B$2:$B$37, MATCH(D1876, Products!$A$2:$A$37, 0))</f>
        <v>Fitness Band Lite</v>
      </c>
      <c r="I1876" t="str">
        <f>INDEX(Products!$C$2:$C$37, MATCH(D1876, Products!$A$2:$A$37, 0))</f>
        <v>Electronics</v>
      </c>
      <c r="J1876">
        <f>INDEX(Products!$E$2:$E$37, MATCH(D1876, Products!$A$2:$A$37, 0))</f>
        <v>175</v>
      </c>
      <c r="K1876" s="9">
        <f t="shared" si="116"/>
        <v>169.15</v>
      </c>
      <c r="L1876">
        <f t="shared" si="117"/>
        <v>175</v>
      </c>
      <c r="M1876" s="9">
        <f t="shared" si="118"/>
        <v>-5.8499999999999943</v>
      </c>
      <c r="N1876" t="str">
        <f t="shared" si="119"/>
        <v>Jun</v>
      </c>
    </row>
    <row r="1877" spans="1:14" x14ac:dyDescent="0.3">
      <c r="A1877" s="2" t="s">
        <v>1943</v>
      </c>
      <c r="B1877" s="6">
        <v>45817</v>
      </c>
      <c r="C1877" s="2" t="s">
        <v>28</v>
      </c>
      <c r="D1877" s="2" t="s">
        <v>129</v>
      </c>
      <c r="E1877" s="2">
        <v>3</v>
      </c>
      <c r="F1877" s="7">
        <v>149</v>
      </c>
      <c r="G1877" s="8">
        <v>0</v>
      </c>
      <c r="H1877" s="9" t="str">
        <f>INDEX(Products!$B$2:$B$37, MATCH(D1877, Products!$A$2:$A$37, 0))</f>
        <v>Power Bank 20000mAh</v>
      </c>
      <c r="I1877" t="str">
        <f>INDEX(Products!$C$2:$C$37, MATCH(D1877, Products!$A$2:$A$37, 0))</f>
        <v>Electronics</v>
      </c>
      <c r="J1877">
        <f>INDEX(Products!$E$2:$E$37, MATCH(D1877, Products!$A$2:$A$37, 0))</f>
        <v>70</v>
      </c>
      <c r="K1877" s="9">
        <f t="shared" si="116"/>
        <v>447</v>
      </c>
      <c r="L1877">
        <f t="shared" si="117"/>
        <v>210</v>
      </c>
      <c r="M1877" s="9">
        <f t="shared" si="118"/>
        <v>237</v>
      </c>
      <c r="N1877" t="str">
        <f t="shared" si="119"/>
        <v>Jun</v>
      </c>
    </row>
    <row r="1878" spans="1:14" x14ac:dyDescent="0.3">
      <c r="A1878" s="2" t="s">
        <v>1944</v>
      </c>
      <c r="B1878" s="6">
        <v>45817</v>
      </c>
      <c r="C1878" s="2" t="s">
        <v>44</v>
      </c>
      <c r="D1878" s="2" t="s">
        <v>113</v>
      </c>
      <c r="E1878" s="2">
        <v>1</v>
      </c>
      <c r="F1878" s="7">
        <v>1199</v>
      </c>
      <c r="G1878" s="8">
        <v>0.25</v>
      </c>
      <c r="H1878" s="9" t="str">
        <f>INDEX(Products!$B$2:$B$37, MATCH(D1878, Products!$A$2:$A$37, 0))</f>
        <v>Robot Vacuum S3</v>
      </c>
      <c r="I1878" t="str">
        <f>INDEX(Products!$C$2:$C$37, MATCH(D1878, Products!$A$2:$A$37, 0))</f>
        <v>Home &amp; Kitchen</v>
      </c>
      <c r="J1878">
        <f>INDEX(Products!$E$2:$E$37, MATCH(D1878, Products!$A$2:$A$37, 0))</f>
        <v>1080</v>
      </c>
      <c r="K1878" s="9">
        <f t="shared" si="116"/>
        <v>899.25</v>
      </c>
      <c r="L1878">
        <f t="shared" si="117"/>
        <v>1080</v>
      </c>
      <c r="M1878" s="9">
        <f t="shared" si="118"/>
        <v>-180.75</v>
      </c>
      <c r="N1878" t="str">
        <f t="shared" si="119"/>
        <v>Jun</v>
      </c>
    </row>
    <row r="1879" spans="1:14" x14ac:dyDescent="0.3">
      <c r="A1879" s="2" t="s">
        <v>1945</v>
      </c>
      <c r="B1879" s="6">
        <v>45817</v>
      </c>
      <c r="C1879" s="2" t="s">
        <v>28</v>
      </c>
      <c r="D1879" s="2" t="s">
        <v>75</v>
      </c>
      <c r="E1879" s="2">
        <v>1</v>
      </c>
      <c r="F1879" s="7">
        <v>549</v>
      </c>
      <c r="G1879" s="8">
        <v>0.05</v>
      </c>
      <c r="H1879" s="9" t="str">
        <f>INDEX(Products!$B$2:$B$37, MATCH(D1879, Products!$A$2:$A$37, 0))</f>
        <v>Oud Perfume 100ml</v>
      </c>
      <c r="I1879" t="str">
        <f>INDEX(Products!$C$2:$C$37, MATCH(D1879, Products!$A$2:$A$37, 0))</f>
        <v>Beauty</v>
      </c>
      <c r="J1879">
        <f>INDEX(Products!$E$2:$E$37, MATCH(D1879, Products!$A$2:$A$37, 0))</f>
        <v>250</v>
      </c>
      <c r="K1879" s="9">
        <f t="shared" si="116"/>
        <v>521.54999999999995</v>
      </c>
      <c r="L1879">
        <f t="shared" si="117"/>
        <v>250</v>
      </c>
      <c r="M1879" s="9">
        <f t="shared" si="118"/>
        <v>271.54999999999995</v>
      </c>
      <c r="N1879" t="str">
        <f t="shared" si="119"/>
        <v>Jun</v>
      </c>
    </row>
    <row r="1880" spans="1:14" x14ac:dyDescent="0.3">
      <c r="A1880" s="2" t="s">
        <v>1946</v>
      </c>
      <c r="B1880" s="6">
        <v>45817</v>
      </c>
      <c r="C1880" s="2" t="s">
        <v>41</v>
      </c>
      <c r="D1880" s="2" t="s">
        <v>163</v>
      </c>
      <c r="E1880" s="2">
        <v>1</v>
      </c>
      <c r="F1880" s="7">
        <v>2499</v>
      </c>
      <c r="G1880" s="8">
        <v>0.25</v>
      </c>
      <c r="H1880" s="9" t="str">
        <f>INDEX(Products!$B$2:$B$37, MATCH(D1880, Products!$A$2:$A$37, 0))</f>
        <v>Treadmill Compact</v>
      </c>
      <c r="I1880" t="str">
        <f>INDEX(Products!$C$2:$C$37, MATCH(D1880, Products!$A$2:$A$37, 0))</f>
        <v>Sports</v>
      </c>
      <c r="J1880">
        <f>INDEX(Products!$E$2:$E$37, MATCH(D1880, Products!$A$2:$A$37, 0))</f>
        <v>2150</v>
      </c>
      <c r="K1880" s="9">
        <f t="shared" si="116"/>
        <v>1874.25</v>
      </c>
      <c r="L1880">
        <f t="shared" si="117"/>
        <v>2150</v>
      </c>
      <c r="M1880" s="9">
        <f t="shared" si="118"/>
        <v>-275.75</v>
      </c>
      <c r="N1880" t="str">
        <f t="shared" si="119"/>
        <v>Jun</v>
      </c>
    </row>
    <row r="1881" spans="1:14" x14ac:dyDescent="0.3">
      <c r="A1881" s="2" t="s">
        <v>1947</v>
      </c>
      <c r="B1881" s="6">
        <v>45817</v>
      </c>
      <c r="C1881" s="2" t="s">
        <v>28</v>
      </c>
      <c r="D1881" s="2" t="s">
        <v>129</v>
      </c>
      <c r="E1881" s="2">
        <v>1</v>
      </c>
      <c r="F1881" s="7">
        <v>149</v>
      </c>
      <c r="G1881" s="8">
        <v>0.1</v>
      </c>
      <c r="H1881" s="9" t="str">
        <f>INDEX(Products!$B$2:$B$37, MATCH(D1881, Products!$A$2:$A$37, 0))</f>
        <v>Power Bank 20000mAh</v>
      </c>
      <c r="I1881" t="str">
        <f>INDEX(Products!$C$2:$C$37, MATCH(D1881, Products!$A$2:$A$37, 0))</f>
        <v>Electronics</v>
      </c>
      <c r="J1881">
        <f>INDEX(Products!$E$2:$E$37, MATCH(D1881, Products!$A$2:$A$37, 0))</f>
        <v>70</v>
      </c>
      <c r="K1881" s="9">
        <f t="shared" si="116"/>
        <v>134.1</v>
      </c>
      <c r="L1881">
        <f t="shared" si="117"/>
        <v>70</v>
      </c>
      <c r="M1881" s="9">
        <f t="shared" si="118"/>
        <v>64.099999999999994</v>
      </c>
      <c r="N1881" t="str">
        <f t="shared" si="119"/>
        <v>Jun</v>
      </c>
    </row>
    <row r="1882" spans="1:14" x14ac:dyDescent="0.3">
      <c r="A1882" s="2" t="s">
        <v>1948</v>
      </c>
      <c r="B1882" s="6">
        <v>45817</v>
      </c>
      <c r="C1882" s="2" t="s">
        <v>44</v>
      </c>
      <c r="D1882" s="2" t="s">
        <v>113</v>
      </c>
      <c r="E1882" s="2">
        <v>1</v>
      </c>
      <c r="F1882" s="7">
        <v>1199</v>
      </c>
      <c r="G1882" s="8">
        <v>0.1</v>
      </c>
      <c r="H1882" s="9" t="str">
        <f>INDEX(Products!$B$2:$B$37, MATCH(D1882, Products!$A$2:$A$37, 0))</f>
        <v>Robot Vacuum S3</v>
      </c>
      <c r="I1882" t="str">
        <f>INDEX(Products!$C$2:$C$37, MATCH(D1882, Products!$A$2:$A$37, 0))</f>
        <v>Home &amp; Kitchen</v>
      </c>
      <c r="J1882">
        <f>INDEX(Products!$E$2:$E$37, MATCH(D1882, Products!$A$2:$A$37, 0))</f>
        <v>1080</v>
      </c>
      <c r="K1882" s="9">
        <f t="shared" si="116"/>
        <v>1079.1000000000001</v>
      </c>
      <c r="L1882">
        <f t="shared" si="117"/>
        <v>1080</v>
      </c>
      <c r="M1882" s="9">
        <f t="shared" si="118"/>
        <v>-0.89999999999986358</v>
      </c>
      <c r="N1882" t="str">
        <f t="shared" si="119"/>
        <v>Jun</v>
      </c>
    </row>
    <row r="1883" spans="1:14" x14ac:dyDescent="0.3">
      <c r="A1883" s="2" t="s">
        <v>1949</v>
      </c>
      <c r="B1883" s="6">
        <v>45817</v>
      </c>
      <c r="C1883" s="2" t="s">
        <v>44</v>
      </c>
      <c r="D1883" s="2" t="s">
        <v>129</v>
      </c>
      <c r="E1883" s="2">
        <v>3</v>
      </c>
      <c r="F1883" s="7">
        <v>149</v>
      </c>
      <c r="G1883" s="8">
        <v>0.05</v>
      </c>
      <c r="H1883" s="9" t="str">
        <f>INDEX(Products!$B$2:$B$37, MATCH(D1883, Products!$A$2:$A$37, 0))</f>
        <v>Power Bank 20000mAh</v>
      </c>
      <c r="I1883" t="str">
        <f>INDEX(Products!$C$2:$C$37, MATCH(D1883, Products!$A$2:$A$37, 0))</f>
        <v>Electronics</v>
      </c>
      <c r="J1883">
        <f>INDEX(Products!$E$2:$E$37, MATCH(D1883, Products!$A$2:$A$37, 0))</f>
        <v>70</v>
      </c>
      <c r="K1883" s="9">
        <f t="shared" si="116"/>
        <v>424.65</v>
      </c>
      <c r="L1883">
        <f t="shared" si="117"/>
        <v>210</v>
      </c>
      <c r="M1883" s="9">
        <f t="shared" si="118"/>
        <v>214.64999999999998</v>
      </c>
      <c r="N1883" t="str">
        <f t="shared" si="119"/>
        <v>Jun</v>
      </c>
    </row>
    <row r="1884" spans="1:14" x14ac:dyDescent="0.3">
      <c r="A1884" s="2" t="s">
        <v>1950</v>
      </c>
      <c r="B1884" s="6">
        <v>45818</v>
      </c>
      <c r="C1884" s="2" t="s">
        <v>28</v>
      </c>
      <c r="D1884" s="2" t="s">
        <v>60</v>
      </c>
      <c r="E1884" s="2">
        <v>1</v>
      </c>
      <c r="F1884" s="7">
        <v>99</v>
      </c>
      <c r="G1884" s="8">
        <v>0.2</v>
      </c>
      <c r="H1884" s="9" t="str">
        <f>INDEX(Products!$B$2:$B$37, MATCH(D1884, Products!$A$2:$A$37, 0))</f>
        <v>Football Size 5</v>
      </c>
      <c r="I1884" t="str">
        <f>INDEX(Products!$C$2:$C$37, MATCH(D1884, Products!$A$2:$A$37, 0))</f>
        <v>Sports</v>
      </c>
      <c r="J1884">
        <f>INDEX(Products!$E$2:$E$37, MATCH(D1884, Products!$A$2:$A$37, 0))</f>
        <v>45</v>
      </c>
      <c r="K1884" s="9">
        <f t="shared" si="116"/>
        <v>79.2</v>
      </c>
      <c r="L1884">
        <f t="shared" si="117"/>
        <v>45</v>
      </c>
      <c r="M1884" s="9">
        <f t="shared" si="118"/>
        <v>34.200000000000003</v>
      </c>
      <c r="N1884" t="str">
        <f t="shared" si="119"/>
        <v>Jun</v>
      </c>
    </row>
    <row r="1885" spans="1:14" x14ac:dyDescent="0.3">
      <c r="A1885" s="2" t="s">
        <v>1951</v>
      </c>
      <c r="B1885" s="6">
        <v>45818</v>
      </c>
      <c r="C1885" s="2" t="s">
        <v>48</v>
      </c>
      <c r="D1885" s="2" t="s">
        <v>99</v>
      </c>
      <c r="E1885" s="2">
        <v>1</v>
      </c>
      <c r="F1885" s="7">
        <v>459</v>
      </c>
      <c r="G1885" s="8">
        <v>0.2</v>
      </c>
      <c r="H1885" s="9" t="str">
        <f>INDEX(Products!$B$2:$B$37, MATCH(D1885, Products!$A$2:$A$37, 0))</f>
        <v>Gaming Headset X</v>
      </c>
      <c r="I1885" t="str">
        <f>INDEX(Products!$C$2:$C$37, MATCH(D1885, Products!$A$2:$A$37, 0))</f>
        <v>Electronics</v>
      </c>
      <c r="J1885">
        <f>INDEX(Products!$E$2:$E$37, MATCH(D1885, Products!$A$2:$A$37, 0))</f>
        <v>300</v>
      </c>
      <c r="K1885" s="9">
        <f t="shared" si="116"/>
        <v>367.20000000000005</v>
      </c>
      <c r="L1885">
        <f t="shared" si="117"/>
        <v>300</v>
      </c>
      <c r="M1885" s="9">
        <f t="shared" si="118"/>
        <v>67.200000000000045</v>
      </c>
      <c r="N1885" t="str">
        <f t="shared" si="119"/>
        <v>Jun</v>
      </c>
    </row>
    <row r="1886" spans="1:14" x14ac:dyDescent="0.3">
      <c r="A1886" s="2" t="s">
        <v>1952</v>
      </c>
      <c r="B1886" s="6">
        <v>45818</v>
      </c>
      <c r="C1886" s="2" t="s">
        <v>28</v>
      </c>
      <c r="D1886" s="2" t="s">
        <v>70</v>
      </c>
      <c r="E1886" s="2">
        <v>1</v>
      </c>
      <c r="F1886" s="7">
        <v>429</v>
      </c>
      <c r="G1886" s="8">
        <v>0.2</v>
      </c>
      <c r="H1886" s="9" t="str">
        <f>INDEX(Products!$B$2:$B$37, MATCH(D1886, Products!$A$2:$A$37, 0))</f>
        <v>Running Shoes Elite</v>
      </c>
      <c r="I1886" t="str">
        <f>INDEX(Products!$C$2:$C$37, MATCH(D1886, Products!$A$2:$A$37, 0))</f>
        <v>Fashion</v>
      </c>
      <c r="J1886">
        <f>INDEX(Products!$E$2:$E$37, MATCH(D1886, Products!$A$2:$A$37, 0))</f>
        <v>300</v>
      </c>
      <c r="K1886" s="9">
        <f t="shared" si="116"/>
        <v>343.20000000000005</v>
      </c>
      <c r="L1886">
        <f t="shared" si="117"/>
        <v>300</v>
      </c>
      <c r="M1886" s="9">
        <f t="shared" si="118"/>
        <v>43.200000000000045</v>
      </c>
      <c r="N1886" t="str">
        <f t="shared" si="119"/>
        <v>Jun</v>
      </c>
    </row>
    <row r="1887" spans="1:14" x14ac:dyDescent="0.3">
      <c r="A1887" s="2" t="s">
        <v>1953</v>
      </c>
      <c r="B1887" s="6">
        <v>45818</v>
      </c>
      <c r="C1887" s="2" t="s">
        <v>48</v>
      </c>
      <c r="D1887" s="2" t="s">
        <v>109</v>
      </c>
      <c r="E1887" s="2">
        <v>1</v>
      </c>
      <c r="F1887" s="7">
        <v>1499</v>
      </c>
      <c r="G1887" s="8">
        <v>0</v>
      </c>
      <c r="H1887" s="9" t="str">
        <f>INDEX(Products!$B$2:$B$37, MATCH(D1887, Products!$A$2:$A$37, 0))</f>
        <v>Espresso Machine</v>
      </c>
      <c r="I1887" t="str">
        <f>INDEX(Products!$C$2:$C$37, MATCH(D1887, Products!$A$2:$A$37, 0))</f>
        <v>Home &amp; Kitchen</v>
      </c>
      <c r="J1887">
        <f>INDEX(Products!$E$2:$E$37, MATCH(D1887, Products!$A$2:$A$37, 0))</f>
        <v>1050</v>
      </c>
      <c r="K1887" s="9">
        <f t="shared" si="116"/>
        <v>1499</v>
      </c>
      <c r="L1887">
        <f t="shared" si="117"/>
        <v>1050</v>
      </c>
      <c r="M1887" s="9">
        <f t="shared" si="118"/>
        <v>449</v>
      </c>
      <c r="N1887" t="str">
        <f t="shared" si="119"/>
        <v>Jun</v>
      </c>
    </row>
    <row r="1888" spans="1:14" x14ac:dyDescent="0.3">
      <c r="A1888" s="2" t="s">
        <v>1954</v>
      </c>
      <c r="B1888" s="6">
        <v>45818</v>
      </c>
      <c r="C1888" s="2" t="s">
        <v>41</v>
      </c>
      <c r="D1888" s="2" t="s">
        <v>49</v>
      </c>
      <c r="E1888" s="2">
        <v>2</v>
      </c>
      <c r="F1888" s="7">
        <v>149</v>
      </c>
      <c r="G1888" s="8">
        <v>0</v>
      </c>
      <c r="H1888" s="9" t="str">
        <f>INDEX(Products!$B$2:$B$37, MATCH(D1888, Products!$A$2:$A$37, 0))</f>
        <v>Kids' Sneakers</v>
      </c>
      <c r="I1888" t="str">
        <f>INDEX(Products!$C$2:$C$37, MATCH(D1888, Products!$A$2:$A$37, 0))</f>
        <v>Fashion</v>
      </c>
      <c r="J1888">
        <f>INDEX(Products!$E$2:$E$37, MATCH(D1888, Products!$A$2:$A$37, 0))</f>
        <v>80</v>
      </c>
      <c r="K1888" s="9">
        <f t="shared" si="116"/>
        <v>298</v>
      </c>
      <c r="L1888">
        <f t="shared" si="117"/>
        <v>160</v>
      </c>
      <c r="M1888" s="9">
        <f t="shared" si="118"/>
        <v>138</v>
      </c>
      <c r="N1888" t="str">
        <f t="shared" si="119"/>
        <v>Jun</v>
      </c>
    </row>
    <row r="1889" spans="1:14" x14ac:dyDescent="0.3">
      <c r="A1889" s="2" t="s">
        <v>1955</v>
      </c>
      <c r="B1889" s="6">
        <v>45818</v>
      </c>
      <c r="C1889" s="2" t="s">
        <v>41</v>
      </c>
      <c r="D1889" s="2" t="s">
        <v>58</v>
      </c>
      <c r="E1889" s="2">
        <v>1</v>
      </c>
      <c r="F1889" s="7">
        <v>459</v>
      </c>
      <c r="G1889" s="8">
        <v>0</v>
      </c>
      <c r="H1889" s="9" t="str">
        <f>INDEX(Products!$B$2:$B$37, MATCH(D1889, Products!$A$2:$A$37, 0))</f>
        <v>Women's Abaya Classic</v>
      </c>
      <c r="I1889" t="str">
        <f>INDEX(Products!$C$2:$C$37, MATCH(D1889, Products!$A$2:$A$37, 0))</f>
        <v>Fashion</v>
      </c>
      <c r="J1889">
        <f>INDEX(Products!$E$2:$E$37, MATCH(D1889, Products!$A$2:$A$37, 0))</f>
        <v>190</v>
      </c>
      <c r="K1889" s="9">
        <f t="shared" si="116"/>
        <v>459</v>
      </c>
      <c r="L1889">
        <f t="shared" si="117"/>
        <v>190</v>
      </c>
      <c r="M1889" s="9">
        <f t="shared" si="118"/>
        <v>269</v>
      </c>
      <c r="N1889" t="str">
        <f t="shared" si="119"/>
        <v>Jun</v>
      </c>
    </row>
    <row r="1890" spans="1:14" x14ac:dyDescent="0.3">
      <c r="A1890" s="2" t="s">
        <v>1956</v>
      </c>
      <c r="B1890" s="6">
        <v>45819</v>
      </c>
      <c r="C1890" s="2" t="s">
        <v>28</v>
      </c>
      <c r="D1890" s="2" t="s">
        <v>39</v>
      </c>
      <c r="E1890" s="2">
        <v>2</v>
      </c>
      <c r="F1890" s="7">
        <v>199</v>
      </c>
      <c r="G1890" s="8">
        <v>0.3</v>
      </c>
      <c r="H1890" s="9" t="str">
        <f>INDEX(Products!$B$2:$B$37, MATCH(D1890, Products!$A$2:$A$37, 0))</f>
        <v>Bakhoor Gift Set</v>
      </c>
      <c r="I1890" t="str">
        <f>INDEX(Products!$C$2:$C$37, MATCH(D1890, Products!$A$2:$A$37, 0))</f>
        <v>Beauty</v>
      </c>
      <c r="J1890">
        <f>INDEX(Products!$E$2:$E$37, MATCH(D1890, Products!$A$2:$A$37, 0))</f>
        <v>90</v>
      </c>
      <c r="K1890" s="9">
        <f t="shared" si="116"/>
        <v>278.59999999999997</v>
      </c>
      <c r="L1890">
        <f t="shared" si="117"/>
        <v>180</v>
      </c>
      <c r="M1890" s="9">
        <f t="shared" si="118"/>
        <v>98.599999999999966</v>
      </c>
      <c r="N1890" t="str">
        <f t="shared" si="119"/>
        <v>Jun</v>
      </c>
    </row>
    <row r="1891" spans="1:14" x14ac:dyDescent="0.3">
      <c r="A1891" s="2" t="s">
        <v>1957</v>
      </c>
      <c r="B1891" s="6">
        <v>45819</v>
      </c>
      <c r="C1891" s="2" t="s">
        <v>48</v>
      </c>
      <c r="D1891" s="2" t="s">
        <v>49</v>
      </c>
      <c r="E1891" s="2">
        <v>1</v>
      </c>
      <c r="F1891" s="7">
        <v>149</v>
      </c>
      <c r="G1891" s="8">
        <v>0</v>
      </c>
      <c r="H1891" s="9" t="str">
        <f>INDEX(Products!$B$2:$B$37, MATCH(D1891, Products!$A$2:$A$37, 0))</f>
        <v>Kids' Sneakers</v>
      </c>
      <c r="I1891" t="str">
        <f>INDEX(Products!$C$2:$C$37, MATCH(D1891, Products!$A$2:$A$37, 0))</f>
        <v>Fashion</v>
      </c>
      <c r="J1891">
        <f>INDEX(Products!$E$2:$E$37, MATCH(D1891, Products!$A$2:$A$37, 0))</f>
        <v>80</v>
      </c>
      <c r="K1891" s="9">
        <f t="shared" si="116"/>
        <v>149</v>
      </c>
      <c r="L1891">
        <f t="shared" si="117"/>
        <v>80</v>
      </c>
      <c r="M1891" s="9">
        <f t="shared" si="118"/>
        <v>69</v>
      </c>
      <c r="N1891" t="str">
        <f t="shared" si="119"/>
        <v>Jun</v>
      </c>
    </row>
    <row r="1892" spans="1:14" x14ac:dyDescent="0.3">
      <c r="A1892" s="2" t="s">
        <v>1958</v>
      </c>
      <c r="B1892" s="6">
        <v>45819</v>
      </c>
      <c r="C1892" s="2" t="s">
        <v>28</v>
      </c>
      <c r="D1892" s="2" t="s">
        <v>65</v>
      </c>
      <c r="E1892" s="2">
        <v>1</v>
      </c>
      <c r="F1892" s="7">
        <v>129</v>
      </c>
      <c r="G1892" s="8">
        <v>0</v>
      </c>
      <c r="H1892" s="9" t="str">
        <f>INDEX(Products!$B$2:$B$37, MATCH(D1892, Products!$A$2:$A$37, 0))</f>
        <v>Yoga Mat Premium</v>
      </c>
      <c r="I1892" t="str">
        <f>INDEX(Products!$C$2:$C$37, MATCH(D1892, Products!$A$2:$A$37, 0))</f>
        <v>Sports</v>
      </c>
      <c r="J1892">
        <f>INDEX(Products!$E$2:$E$37, MATCH(D1892, Products!$A$2:$A$37, 0))</f>
        <v>60</v>
      </c>
      <c r="K1892" s="9">
        <f t="shared" si="116"/>
        <v>129</v>
      </c>
      <c r="L1892">
        <f t="shared" si="117"/>
        <v>60</v>
      </c>
      <c r="M1892" s="9">
        <f t="shared" si="118"/>
        <v>69</v>
      </c>
      <c r="N1892" t="str">
        <f t="shared" si="119"/>
        <v>Jun</v>
      </c>
    </row>
    <row r="1893" spans="1:14" x14ac:dyDescent="0.3">
      <c r="A1893" s="2" t="s">
        <v>1959</v>
      </c>
      <c r="B1893" s="6">
        <v>45819</v>
      </c>
      <c r="C1893" s="2" t="s">
        <v>48</v>
      </c>
      <c r="D1893" s="2" t="s">
        <v>46</v>
      </c>
      <c r="E1893" s="2">
        <v>1</v>
      </c>
      <c r="F1893" s="7">
        <v>189</v>
      </c>
      <c r="G1893" s="8">
        <v>0</v>
      </c>
      <c r="H1893" s="9" t="str">
        <f>INDEX(Products!$B$2:$B$37, MATCH(D1893, Products!$A$2:$A$37, 0))</f>
        <v>Makeup Palette</v>
      </c>
      <c r="I1893" t="str">
        <f>INDEX(Products!$C$2:$C$37, MATCH(D1893, Products!$A$2:$A$37, 0))</f>
        <v>Beauty</v>
      </c>
      <c r="J1893">
        <f>INDEX(Products!$E$2:$E$37, MATCH(D1893, Products!$A$2:$A$37, 0))</f>
        <v>85</v>
      </c>
      <c r="K1893" s="9">
        <f t="shared" si="116"/>
        <v>189</v>
      </c>
      <c r="L1893">
        <f t="shared" si="117"/>
        <v>85</v>
      </c>
      <c r="M1893" s="9">
        <f t="shared" si="118"/>
        <v>104</v>
      </c>
      <c r="N1893" t="str">
        <f t="shared" si="119"/>
        <v>Jun</v>
      </c>
    </row>
    <row r="1894" spans="1:14" x14ac:dyDescent="0.3">
      <c r="A1894" s="2" t="s">
        <v>1960</v>
      </c>
      <c r="B1894" s="6">
        <v>45820</v>
      </c>
      <c r="C1894" s="2" t="s">
        <v>28</v>
      </c>
      <c r="D1894" s="2" t="s">
        <v>80</v>
      </c>
      <c r="E1894" s="2">
        <v>4</v>
      </c>
      <c r="F1894" s="7">
        <v>149</v>
      </c>
      <c r="G1894" s="8">
        <v>0.3</v>
      </c>
      <c r="H1894" s="9" t="str">
        <f>INDEX(Products!$B$2:$B$37, MATCH(D1894, Products!$A$2:$A$37, 0))</f>
        <v>Vitamin C Serum</v>
      </c>
      <c r="I1894" t="str">
        <f>INDEX(Products!$C$2:$C$37, MATCH(D1894, Products!$A$2:$A$37, 0))</f>
        <v>Beauty</v>
      </c>
      <c r="J1894">
        <f>INDEX(Products!$E$2:$E$37, MATCH(D1894, Products!$A$2:$A$37, 0))</f>
        <v>55</v>
      </c>
      <c r="K1894" s="9">
        <f t="shared" si="116"/>
        <v>417.2</v>
      </c>
      <c r="L1894">
        <f t="shared" si="117"/>
        <v>220</v>
      </c>
      <c r="M1894" s="9">
        <f t="shared" si="118"/>
        <v>197.2</v>
      </c>
      <c r="N1894" t="str">
        <f t="shared" si="119"/>
        <v>Jun</v>
      </c>
    </row>
    <row r="1895" spans="1:14" x14ac:dyDescent="0.3">
      <c r="A1895" s="2" t="s">
        <v>1961</v>
      </c>
      <c r="B1895" s="6">
        <v>45820</v>
      </c>
      <c r="C1895" s="2" t="s">
        <v>41</v>
      </c>
      <c r="D1895" s="2" t="s">
        <v>37</v>
      </c>
      <c r="E1895" s="2">
        <v>1</v>
      </c>
      <c r="F1895" s="7">
        <v>249</v>
      </c>
      <c r="G1895" s="8">
        <v>0</v>
      </c>
      <c r="H1895" s="9" t="str">
        <f>INDEX(Products!$B$2:$B$37, MATCH(D1895, Products!$A$2:$A$37, 0))</f>
        <v>Sunglasses Polarised</v>
      </c>
      <c r="I1895" t="str">
        <f>INDEX(Products!$C$2:$C$37, MATCH(D1895, Products!$A$2:$A$37, 0))</f>
        <v>Fashion</v>
      </c>
      <c r="J1895">
        <f>INDEX(Products!$E$2:$E$37, MATCH(D1895, Products!$A$2:$A$37, 0))</f>
        <v>95</v>
      </c>
      <c r="K1895" s="9">
        <f t="shared" si="116"/>
        <v>249</v>
      </c>
      <c r="L1895">
        <f t="shared" si="117"/>
        <v>95</v>
      </c>
      <c r="M1895" s="9">
        <f t="shared" si="118"/>
        <v>154</v>
      </c>
      <c r="N1895" t="str">
        <f t="shared" si="119"/>
        <v>Jun</v>
      </c>
    </row>
    <row r="1896" spans="1:14" x14ac:dyDescent="0.3">
      <c r="A1896" s="2" t="s">
        <v>1962</v>
      </c>
      <c r="B1896" s="6">
        <v>45820</v>
      </c>
      <c r="C1896" s="2" t="s">
        <v>48</v>
      </c>
      <c r="D1896" s="2" t="s">
        <v>33</v>
      </c>
      <c r="E1896" s="2">
        <v>1</v>
      </c>
      <c r="F1896" s="7">
        <v>199</v>
      </c>
      <c r="G1896" s="8">
        <v>0.2</v>
      </c>
      <c r="H1896" s="9" t="str">
        <f>INDEX(Products!$B$2:$B$37, MATCH(D1896, Products!$A$2:$A$37, 0))</f>
        <v>Fitness Band Lite</v>
      </c>
      <c r="I1896" t="str">
        <f>INDEX(Products!$C$2:$C$37, MATCH(D1896, Products!$A$2:$A$37, 0))</f>
        <v>Electronics</v>
      </c>
      <c r="J1896">
        <f>INDEX(Products!$E$2:$E$37, MATCH(D1896, Products!$A$2:$A$37, 0))</f>
        <v>175</v>
      </c>
      <c r="K1896" s="9">
        <f t="shared" si="116"/>
        <v>159.20000000000002</v>
      </c>
      <c r="L1896">
        <f t="shared" si="117"/>
        <v>175</v>
      </c>
      <c r="M1896" s="9">
        <f t="shared" si="118"/>
        <v>-15.799999999999983</v>
      </c>
      <c r="N1896" t="str">
        <f t="shared" si="119"/>
        <v>Jun</v>
      </c>
    </row>
    <row r="1897" spans="1:14" x14ac:dyDescent="0.3">
      <c r="A1897" s="2" t="s">
        <v>1963</v>
      </c>
      <c r="B1897" s="6">
        <v>45820</v>
      </c>
      <c r="C1897" s="2" t="s">
        <v>48</v>
      </c>
      <c r="D1897" s="2" t="s">
        <v>95</v>
      </c>
      <c r="E1897" s="2">
        <v>2</v>
      </c>
      <c r="F1897" s="7">
        <v>259</v>
      </c>
      <c r="G1897" s="8">
        <v>0.1</v>
      </c>
      <c r="H1897" s="9" t="str">
        <f>INDEX(Products!$B$2:$B$37, MATCH(D1897, Products!$A$2:$A$37, 0))</f>
        <v>Bed Linen Set (King)</v>
      </c>
      <c r="I1897" t="str">
        <f>INDEX(Products!$C$2:$C$37, MATCH(D1897, Products!$A$2:$A$37, 0))</f>
        <v>Home &amp; Kitchen</v>
      </c>
      <c r="J1897">
        <f>INDEX(Products!$E$2:$E$37, MATCH(D1897, Products!$A$2:$A$37, 0))</f>
        <v>115</v>
      </c>
      <c r="K1897" s="9">
        <f t="shared" si="116"/>
        <v>466.2</v>
      </c>
      <c r="L1897">
        <f t="shared" si="117"/>
        <v>230</v>
      </c>
      <c r="M1897" s="9">
        <f t="shared" si="118"/>
        <v>236.2</v>
      </c>
      <c r="N1897" t="str">
        <f t="shared" si="119"/>
        <v>Jun</v>
      </c>
    </row>
    <row r="1898" spans="1:14" x14ac:dyDescent="0.3">
      <c r="A1898" s="2" t="s">
        <v>1964</v>
      </c>
      <c r="B1898" s="6">
        <v>45820</v>
      </c>
      <c r="C1898" s="2" t="s">
        <v>41</v>
      </c>
      <c r="D1898" s="2" t="s">
        <v>46</v>
      </c>
      <c r="E1898" s="2">
        <v>1</v>
      </c>
      <c r="F1898" s="7">
        <v>189</v>
      </c>
      <c r="G1898" s="8">
        <v>0</v>
      </c>
      <c r="H1898" s="9" t="str">
        <f>INDEX(Products!$B$2:$B$37, MATCH(D1898, Products!$A$2:$A$37, 0))</f>
        <v>Makeup Palette</v>
      </c>
      <c r="I1898" t="str">
        <f>INDEX(Products!$C$2:$C$37, MATCH(D1898, Products!$A$2:$A$37, 0))</f>
        <v>Beauty</v>
      </c>
      <c r="J1898">
        <f>INDEX(Products!$E$2:$E$37, MATCH(D1898, Products!$A$2:$A$37, 0))</f>
        <v>85</v>
      </c>
      <c r="K1898" s="9">
        <f t="shared" si="116"/>
        <v>189</v>
      </c>
      <c r="L1898">
        <f t="shared" si="117"/>
        <v>85</v>
      </c>
      <c r="M1898" s="9">
        <f t="shared" si="118"/>
        <v>104</v>
      </c>
      <c r="N1898" t="str">
        <f t="shared" si="119"/>
        <v>Jun</v>
      </c>
    </row>
    <row r="1899" spans="1:14" x14ac:dyDescent="0.3">
      <c r="A1899" s="2" t="s">
        <v>1965</v>
      </c>
      <c r="B1899" s="6">
        <v>45820</v>
      </c>
      <c r="C1899" s="2" t="s">
        <v>44</v>
      </c>
      <c r="D1899" s="2" t="s">
        <v>70</v>
      </c>
      <c r="E1899" s="2">
        <v>4</v>
      </c>
      <c r="F1899" s="7">
        <v>429</v>
      </c>
      <c r="G1899" s="8">
        <v>0</v>
      </c>
      <c r="H1899" s="9" t="str">
        <f>INDEX(Products!$B$2:$B$37, MATCH(D1899, Products!$A$2:$A$37, 0))</f>
        <v>Running Shoes Elite</v>
      </c>
      <c r="I1899" t="str">
        <f>INDEX(Products!$C$2:$C$37, MATCH(D1899, Products!$A$2:$A$37, 0))</f>
        <v>Fashion</v>
      </c>
      <c r="J1899">
        <f>INDEX(Products!$E$2:$E$37, MATCH(D1899, Products!$A$2:$A$37, 0))</f>
        <v>300</v>
      </c>
      <c r="K1899" s="9">
        <f t="shared" si="116"/>
        <v>1716</v>
      </c>
      <c r="L1899">
        <f t="shared" si="117"/>
        <v>1200</v>
      </c>
      <c r="M1899" s="9">
        <f t="shared" si="118"/>
        <v>516</v>
      </c>
      <c r="N1899" t="str">
        <f t="shared" si="119"/>
        <v>Jun</v>
      </c>
    </row>
    <row r="1900" spans="1:14" x14ac:dyDescent="0.3">
      <c r="A1900" s="2" t="s">
        <v>1966</v>
      </c>
      <c r="B1900" s="6">
        <v>45820</v>
      </c>
      <c r="C1900" s="2" t="s">
        <v>44</v>
      </c>
      <c r="D1900" s="2" t="s">
        <v>129</v>
      </c>
      <c r="E1900" s="2">
        <v>1</v>
      </c>
      <c r="F1900" s="7">
        <v>149</v>
      </c>
      <c r="G1900" s="8">
        <v>0.3</v>
      </c>
      <c r="H1900" s="9" t="str">
        <f>INDEX(Products!$B$2:$B$37, MATCH(D1900, Products!$A$2:$A$37, 0))</f>
        <v>Power Bank 20000mAh</v>
      </c>
      <c r="I1900" t="str">
        <f>INDEX(Products!$C$2:$C$37, MATCH(D1900, Products!$A$2:$A$37, 0))</f>
        <v>Electronics</v>
      </c>
      <c r="J1900">
        <f>INDEX(Products!$E$2:$E$37, MATCH(D1900, Products!$A$2:$A$37, 0))</f>
        <v>70</v>
      </c>
      <c r="K1900" s="9">
        <f t="shared" si="116"/>
        <v>104.3</v>
      </c>
      <c r="L1900">
        <f t="shared" si="117"/>
        <v>70</v>
      </c>
      <c r="M1900" s="9">
        <f t="shared" si="118"/>
        <v>34.299999999999997</v>
      </c>
      <c r="N1900" t="str">
        <f t="shared" si="119"/>
        <v>Jun</v>
      </c>
    </row>
    <row r="1901" spans="1:14" x14ac:dyDescent="0.3">
      <c r="A1901" s="2" t="s">
        <v>1967</v>
      </c>
      <c r="B1901" s="6">
        <v>45820</v>
      </c>
      <c r="C1901" s="2" t="s">
        <v>28</v>
      </c>
      <c r="D1901" s="2" t="s">
        <v>129</v>
      </c>
      <c r="E1901" s="2">
        <v>1</v>
      </c>
      <c r="F1901" s="7">
        <v>149</v>
      </c>
      <c r="G1901" s="8">
        <v>0</v>
      </c>
      <c r="H1901" s="9" t="str">
        <f>INDEX(Products!$B$2:$B$37, MATCH(D1901, Products!$A$2:$A$37, 0))</f>
        <v>Power Bank 20000mAh</v>
      </c>
      <c r="I1901" t="str">
        <f>INDEX(Products!$C$2:$C$37, MATCH(D1901, Products!$A$2:$A$37, 0))</f>
        <v>Electronics</v>
      </c>
      <c r="J1901">
        <f>INDEX(Products!$E$2:$E$37, MATCH(D1901, Products!$A$2:$A$37, 0))</f>
        <v>70</v>
      </c>
      <c r="K1901" s="9">
        <f t="shared" si="116"/>
        <v>149</v>
      </c>
      <c r="L1901">
        <f t="shared" si="117"/>
        <v>70</v>
      </c>
      <c r="M1901" s="9">
        <f t="shared" si="118"/>
        <v>79</v>
      </c>
      <c r="N1901" t="str">
        <f t="shared" si="119"/>
        <v>Jun</v>
      </c>
    </row>
    <row r="1902" spans="1:14" x14ac:dyDescent="0.3">
      <c r="A1902" s="2" t="s">
        <v>1968</v>
      </c>
      <c r="B1902" s="6">
        <v>45820</v>
      </c>
      <c r="C1902" s="2" t="s">
        <v>48</v>
      </c>
      <c r="D1902" s="2" t="s">
        <v>46</v>
      </c>
      <c r="E1902" s="2">
        <v>3</v>
      </c>
      <c r="F1902" s="7">
        <v>189</v>
      </c>
      <c r="G1902" s="8">
        <v>0.1</v>
      </c>
      <c r="H1902" s="9" t="str">
        <f>INDEX(Products!$B$2:$B$37, MATCH(D1902, Products!$A$2:$A$37, 0))</f>
        <v>Makeup Palette</v>
      </c>
      <c r="I1902" t="str">
        <f>INDEX(Products!$C$2:$C$37, MATCH(D1902, Products!$A$2:$A$37, 0))</f>
        <v>Beauty</v>
      </c>
      <c r="J1902">
        <f>INDEX(Products!$E$2:$E$37, MATCH(D1902, Products!$A$2:$A$37, 0))</f>
        <v>85</v>
      </c>
      <c r="K1902" s="9">
        <f t="shared" si="116"/>
        <v>510.3</v>
      </c>
      <c r="L1902">
        <f t="shared" si="117"/>
        <v>255</v>
      </c>
      <c r="M1902" s="9">
        <f t="shared" si="118"/>
        <v>255.3</v>
      </c>
      <c r="N1902" t="str">
        <f t="shared" si="119"/>
        <v>Jun</v>
      </c>
    </row>
    <row r="1903" spans="1:14" x14ac:dyDescent="0.3">
      <c r="A1903" s="2" t="s">
        <v>1969</v>
      </c>
      <c r="B1903" s="6">
        <v>45820</v>
      </c>
      <c r="C1903" s="2" t="s">
        <v>31</v>
      </c>
      <c r="D1903" s="2" t="s">
        <v>83</v>
      </c>
      <c r="E1903" s="2">
        <v>1</v>
      </c>
      <c r="F1903" s="7">
        <v>229</v>
      </c>
      <c r="G1903" s="8">
        <v>0.05</v>
      </c>
      <c r="H1903" s="9" t="str">
        <f>INDEX(Products!$B$2:$B$37, MATCH(D1903, Products!$A$2:$A$37, 0))</f>
        <v>Cycling Helmet</v>
      </c>
      <c r="I1903" t="str">
        <f>INDEX(Products!$C$2:$C$37, MATCH(D1903, Products!$A$2:$A$37, 0))</f>
        <v>Sports</v>
      </c>
      <c r="J1903">
        <f>INDEX(Products!$E$2:$E$37, MATCH(D1903, Products!$A$2:$A$37, 0))</f>
        <v>120</v>
      </c>
      <c r="K1903" s="9">
        <f t="shared" si="116"/>
        <v>217.54999999999998</v>
      </c>
      <c r="L1903">
        <f t="shared" si="117"/>
        <v>120</v>
      </c>
      <c r="M1903" s="9">
        <f t="shared" si="118"/>
        <v>97.549999999999983</v>
      </c>
      <c r="N1903" t="str">
        <f t="shared" si="119"/>
        <v>Jun</v>
      </c>
    </row>
    <row r="1904" spans="1:14" x14ac:dyDescent="0.3">
      <c r="A1904" s="2" t="s">
        <v>1970</v>
      </c>
      <c r="B1904" s="6">
        <v>45820</v>
      </c>
      <c r="C1904" s="2" t="s">
        <v>44</v>
      </c>
      <c r="D1904" s="2" t="s">
        <v>65</v>
      </c>
      <c r="E1904" s="2">
        <v>2</v>
      </c>
      <c r="F1904" s="7">
        <v>129</v>
      </c>
      <c r="G1904" s="8">
        <v>0</v>
      </c>
      <c r="H1904" s="9" t="str">
        <f>INDEX(Products!$B$2:$B$37, MATCH(D1904, Products!$A$2:$A$37, 0))</f>
        <v>Yoga Mat Premium</v>
      </c>
      <c r="I1904" t="str">
        <f>INDEX(Products!$C$2:$C$37, MATCH(D1904, Products!$A$2:$A$37, 0))</f>
        <v>Sports</v>
      </c>
      <c r="J1904">
        <f>INDEX(Products!$E$2:$E$37, MATCH(D1904, Products!$A$2:$A$37, 0))</f>
        <v>60</v>
      </c>
      <c r="K1904" s="9">
        <f t="shared" si="116"/>
        <v>258</v>
      </c>
      <c r="L1904">
        <f t="shared" si="117"/>
        <v>120</v>
      </c>
      <c r="M1904" s="9">
        <f t="shared" si="118"/>
        <v>138</v>
      </c>
      <c r="N1904" t="str">
        <f t="shared" si="119"/>
        <v>Jun</v>
      </c>
    </row>
    <row r="1905" spans="1:14" x14ac:dyDescent="0.3">
      <c r="A1905" s="2" t="s">
        <v>1971</v>
      </c>
      <c r="B1905" s="6">
        <v>45820</v>
      </c>
      <c r="C1905" s="2" t="s">
        <v>41</v>
      </c>
      <c r="D1905" s="2" t="s">
        <v>109</v>
      </c>
      <c r="E1905" s="2">
        <v>3</v>
      </c>
      <c r="F1905" s="7">
        <v>1499</v>
      </c>
      <c r="G1905" s="8">
        <v>0.15</v>
      </c>
      <c r="H1905" s="9" t="str">
        <f>INDEX(Products!$B$2:$B$37, MATCH(D1905, Products!$A$2:$A$37, 0))</f>
        <v>Espresso Machine</v>
      </c>
      <c r="I1905" t="str">
        <f>INDEX(Products!$C$2:$C$37, MATCH(D1905, Products!$A$2:$A$37, 0))</f>
        <v>Home &amp; Kitchen</v>
      </c>
      <c r="J1905">
        <f>INDEX(Products!$E$2:$E$37, MATCH(D1905, Products!$A$2:$A$37, 0))</f>
        <v>1050</v>
      </c>
      <c r="K1905" s="9">
        <f t="shared" si="116"/>
        <v>3822.45</v>
      </c>
      <c r="L1905">
        <f t="shared" si="117"/>
        <v>3150</v>
      </c>
      <c r="M1905" s="9">
        <f t="shared" si="118"/>
        <v>672.44999999999982</v>
      </c>
      <c r="N1905" t="str">
        <f t="shared" si="119"/>
        <v>Jun</v>
      </c>
    </row>
    <row r="1906" spans="1:14" x14ac:dyDescent="0.3">
      <c r="A1906" s="2" t="s">
        <v>1972</v>
      </c>
      <c r="B1906" s="6">
        <v>45820</v>
      </c>
      <c r="C1906" s="2" t="s">
        <v>41</v>
      </c>
      <c r="D1906" s="2" t="s">
        <v>75</v>
      </c>
      <c r="E1906" s="2">
        <v>2</v>
      </c>
      <c r="F1906" s="7">
        <v>549</v>
      </c>
      <c r="G1906" s="8">
        <v>0</v>
      </c>
      <c r="H1906" s="9" t="str">
        <f>INDEX(Products!$B$2:$B$37, MATCH(D1906, Products!$A$2:$A$37, 0))</f>
        <v>Oud Perfume 100ml</v>
      </c>
      <c r="I1906" t="str">
        <f>INDEX(Products!$C$2:$C$37, MATCH(D1906, Products!$A$2:$A$37, 0))</f>
        <v>Beauty</v>
      </c>
      <c r="J1906">
        <f>INDEX(Products!$E$2:$E$37, MATCH(D1906, Products!$A$2:$A$37, 0))</f>
        <v>250</v>
      </c>
      <c r="K1906" s="9">
        <f t="shared" si="116"/>
        <v>1098</v>
      </c>
      <c r="L1906">
        <f t="shared" si="117"/>
        <v>500</v>
      </c>
      <c r="M1906" s="9">
        <f t="shared" si="118"/>
        <v>598</v>
      </c>
      <c r="N1906" t="str">
        <f t="shared" si="119"/>
        <v>Jun</v>
      </c>
    </row>
    <row r="1907" spans="1:14" x14ac:dyDescent="0.3">
      <c r="A1907" s="2" t="s">
        <v>1973</v>
      </c>
      <c r="B1907" s="6">
        <v>45820</v>
      </c>
      <c r="C1907" s="2" t="s">
        <v>41</v>
      </c>
      <c r="D1907" s="2" t="s">
        <v>149</v>
      </c>
      <c r="E1907" s="2">
        <v>1</v>
      </c>
      <c r="F1907" s="7">
        <v>399</v>
      </c>
      <c r="G1907" s="8">
        <v>0</v>
      </c>
      <c r="H1907" s="9" t="str">
        <f>INDEX(Products!$B$2:$B$37, MATCH(D1907, Products!$A$2:$A$37, 0))</f>
        <v>Blender Pro 1200W</v>
      </c>
      <c r="I1907" t="str">
        <f>INDEX(Products!$C$2:$C$37, MATCH(D1907, Products!$A$2:$A$37, 0))</f>
        <v>Home &amp; Kitchen</v>
      </c>
      <c r="J1907">
        <f>INDEX(Products!$E$2:$E$37, MATCH(D1907, Products!$A$2:$A$37, 0))</f>
        <v>250</v>
      </c>
      <c r="K1907" s="9">
        <f t="shared" si="116"/>
        <v>399</v>
      </c>
      <c r="L1907">
        <f t="shared" si="117"/>
        <v>250</v>
      </c>
      <c r="M1907" s="9">
        <f t="shared" si="118"/>
        <v>149</v>
      </c>
      <c r="N1907" t="str">
        <f t="shared" si="119"/>
        <v>Jun</v>
      </c>
    </row>
    <row r="1908" spans="1:14" x14ac:dyDescent="0.3">
      <c r="A1908" s="2" t="s">
        <v>1974</v>
      </c>
      <c r="B1908" s="6">
        <v>45820</v>
      </c>
      <c r="C1908" s="2" t="s">
        <v>31</v>
      </c>
      <c r="D1908" s="2" t="s">
        <v>58</v>
      </c>
      <c r="E1908" s="2">
        <v>1</v>
      </c>
      <c r="F1908" s="7">
        <v>459</v>
      </c>
      <c r="G1908" s="8">
        <v>0</v>
      </c>
      <c r="H1908" s="9" t="str">
        <f>INDEX(Products!$B$2:$B$37, MATCH(D1908, Products!$A$2:$A$37, 0))</f>
        <v>Women's Abaya Classic</v>
      </c>
      <c r="I1908" t="str">
        <f>INDEX(Products!$C$2:$C$37, MATCH(D1908, Products!$A$2:$A$37, 0))</f>
        <v>Fashion</v>
      </c>
      <c r="J1908">
        <f>INDEX(Products!$E$2:$E$37, MATCH(D1908, Products!$A$2:$A$37, 0))</f>
        <v>190</v>
      </c>
      <c r="K1908" s="9">
        <f t="shared" si="116"/>
        <v>459</v>
      </c>
      <c r="L1908">
        <f t="shared" si="117"/>
        <v>190</v>
      </c>
      <c r="M1908" s="9">
        <f t="shared" si="118"/>
        <v>269</v>
      </c>
      <c r="N1908" t="str">
        <f t="shared" si="119"/>
        <v>Jun</v>
      </c>
    </row>
    <row r="1909" spans="1:14" x14ac:dyDescent="0.3">
      <c r="A1909" s="2" t="s">
        <v>1975</v>
      </c>
      <c r="B1909" s="6">
        <v>45820</v>
      </c>
      <c r="C1909" s="2" t="s">
        <v>44</v>
      </c>
      <c r="D1909" s="2" t="s">
        <v>83</v>
      </c>
      <c r="E1909" s="2">
        <v>3</v>
      </c>
      <c r="F1909" s="7">
        <v>229</v>
      </c>
      <c r="G1909" s="8">
        <v>0</v>
      </c>
      <c r="H1909" s="9" t="str">
        <f>INDEX(Products!$B$2:$B$37, MATCH(D1909, Products!$A$2:$A$37, 0))</f>
        <v>Cycling Helmet</v>
      </c>
      <c r="I1909" t="str">
        <f>INDEX(Products!$C$2:$C$37, MATCH(D1909, Products!$A$2:$A$37, 0))</f>
        <v>Sports</v>
      </c>
      <c r="J1909">
        <f>INDEX(Products!$E$2:$E$37, MATCH(D1909, Products!$A$2:$A$37, 0))</f>
        <v>120</v>
      </c>
      <c r="K1909" s="9">
        <f t="shared" si="116"/>
        <v>687</v>
      </c>
      <c r="L1909">
        <f t="shared" si="117"/>
        <v>360</v>
      </c>
      <c r="M1909" s="9">
        <f t="shared" si="118"/>
        <v>327</v>
      </c>
      <c r="N1909" t="str">
        <f t="shared" si="119"/>
        <v>Jun</v>
      </c>
    </row>
    <row r="1910" spans="1:14" x14ac:dyDescent="0.3">
      <c r="A1910" s="2" t="s">
        <v>1976</v>
      </c>
      <c r="B1910" s="6">
        <v>45820</v>
      </c>
      <c r="C1910" s="2" t="s">
        <v>48</v>
      </c>
      <c r="D1910" s="2" t="s">
        <v>92</v>
      </c>
      <c r="E1910" s="2">
        <v>1</v>
      </c>
      <c r="F1910" s="7">
        <v>349</v>
      </c>
      <c r="G1910" s="8">
        <v>0.1</v>
      </c>
      <c r="H1910" s="9" t="str">
        <f>INDEX(Products!$B$2:$B$37, MATCH(D1910, Products!$A$2:$A$37, 0))</f>
        <v>Non-stick Cookware Set</v>
      </c>
      <c r="I1910" t="str">
        <f>INDEX(Products!$C$2:$C$37, MATCH(D1910, Products!$A$2:$A$37, 0))</f>
        <v>Home &amp; Kitchen</v>
      </c>
      <c r="J1910">
        <f>INDEX(Products!$E$2:$E$37, MATCH(D1910, Products!$A$2:$A$37, 0))</f>
        <v>170</v>
      </c>
      <c r="K1910" s="9">
        <f t="shared" si="116"/>
        <v>314.10000000000002</v>
      </c>
      <c r="L1910">
        <f t="shared" si="117"/>
        <v>170</v>
      </c>
      <c r="M1910" s="9">
        <f t="shared" si="118"/>
        <v>144.10000000000002</v>
      </c>
      <c r="N1910" t="str">
        <f t="shared" si="119"/>
        <v>Jun</v>
      </c>
    </row>
    <row r="1911" spans="1:14" x14ac:dyDescent="0.3">
      <c r="A1911" s="2" t="s">
        <v>1977</v>
      </c>
      <c r="B1911" s="6">
        <v>45820</v>
      </c>
      <c r="C1911" s="2" t="s">
        <v>28</v>
      </c>
      <c r="D1911" s="2" t="s">
        <v>37</v>
      </c>
      <c r="E1911" s="2">
        <v>1</v>
      </c>
      <c r="F1911" s="7">
        <v>249</v>
      </c>
      <c r="G1911" s="8">
        <v>0.05</v>
      </c>
      <c r="H1911" s="9" t="str">
        <f>INDEX(Products!$B$2:$B$37, MATCH(D1911, Products!$A$2:$A$37, 0))</f>
        <v>Sunglasses Polarised</v>
      </c>
      <c r="I1911" t="str">
        <f>INDEX(Products!$C$2:$C$37, MATCH(D1911, Products!$A$2:$A$37, 0))</f>
        <v>Fashion</v>
      </c>
      <c r="J1911">
        <f>INDEX(Products!$E$2:$E$37, MATCH(D1911, Products!$A$2:$A$37, 0))</f>
        <v>95</v>
      </c>
      <c r="K1911" s="9">
        <f t="shared" si="116"/>
        <v>236.54999999999998</v>
      </c>
      <c r="L1911">
        <f t="shared" si="117"/>
        <v>95</v>
      </c>
      <c r="M1911" s="9">
        <f t="shared" si="118"/>
        <v>141.54999999999998</v>
      </c>
      <c r="N1911" t="str">
        <f t="shared" si="119"/>
        <v>Jun</v>
      </c>
    </row>
    <row r="1912" spans="1:14" x14ac:dyDescent="0.3">
      <c r="A1912" s="2" t="s">
        <v>1978</v>
      </c>
      <c r="B1912" s="6">
        <v>45820</v>
      </c>
      <c r="C1912" s="2" t="s">
        <v>44</v>
      </c>
      <c r="D1912" s="2" t="s">
        <v>165</v>
      </c>
      <c r="E1912" s="2">
        <v>4</v>
      </c>
      <c r="F1912" s="7">
        <v>69</v>
      </c>
      <c r="G1912" s="8">
        <v>0</v>
      </c>
      <c r="H1912" s="9" t="str">
        <f>INDEX(Products!$B$2:$B$37, MATCH(D1912, Products!$A$2:$A$37, 0))</f>
        <v>Swim Goggles</v>
      </c>
      <c r="I1912" t="str">
        <f>INDEX(Products!$C$2:$C$37, MATCH(D1912, Products!$A$2:$A$37, 0))</f>
        <v>Sports</v>
      </c>
      <c r="J1912">
        <f>INDEX(Products!$E$2:$E$37, MATCH(D1912, Products!$A$2:$A$37, 0))</f>
        <v>25</v>
      </c>
      <c r="K1912" s="9">
        <f t="shared" si="116"/>
        <v>276</v>
      </c>
      <c r="L1912">
        <f t="shared" si="117"/>
        <v>100</v>
      </c>
      <c r="M1912" s="9">
        <f t="shared" si="118"/>
        <v>176</v>
      </c>
      <c r="N1912" t="str">
        <f t="shared" si="119"/>
        <v>Jun</v>
      </c>
    </row>
    <row r="1913" spans="1:14" x14ac:dyDescent="0.3">
      <c r="A1913" s="2" t="s">
        <v>1979</v>
      </c>
      <c r="B1913" s="6">
        <v>45820</v>
      </c>
      <c r="C1913" s="2" t="s">
        <v>44</v>
      </c>
      <c r="D1913" s="2" t="s">
        <v>46</v>
      </c>
      <c r="E1913" s="2">
        <v>1</v>
      </c>
      <c r="F1913" s="7">
        <v>189</v>
      </c>
      <c r="G1913" s="8">
        <v>0</v>
      </c>
      <c r="H1913" s="9" t="str">
        <f>INDEX(Products!$B$2:$B$37, MATCH(D1913, Products!$A$2:$A$37, 0))</f>
        <v>Makeup Palette</v>
      </c>
      <c r="I1913" t="str">
        <f>INDEX(Products!$C$2:$C$37, MATCH(D1913, Products!$A$2:$A$37, 0))</f>
        <v>Beauty</v>
      </c>
      <c r="J1913">
        <f>INDEX(Products!$E$2:$E$37, MATCH(D1913, Products!$A$2:$A$37, 0))</f>
        <v>85</v>
      </c>
      <c r="K1913" s="9">
        <f t="shared" si="116"/>
        <v>189</v>
      </c>
      <c r="L1913">
        <f t="shared" si="117"/>
        <v>85</v>
      </c>
      <c r="M1913" s="9">
        <f t="shared" si="118"/>
        <v>104</v>
      </c>
      <c r="N1913" t="str">
        <f t="shared" si="119"/>
        <v>Jun</v>
      </c>
    </row>
    <row r="1914" spans="1:14" x14ac:dyDescent="0.3">
      <c r="A1914" s="2" t="s">
        <v>1980</v>
      </c>
      <c r="B1914" s="6">
        <v>45821</v>
      </c>
      <c r="C1914" s="2" t="s">
        <v>31</v>
      </c>
      <c r="D1914" s="2" t="s">
        <v>65</v>
      </c>
      <c r="E1914" s="2">
        <v>2</v>
      </c>
      <c r="F1914" s="7">
        <v>129</v>
      </c>
      <c r="G1914" s="8">
        <v>0.3</v>
      </c>
      <c r="H1914" s="9" t="str">
        <f>INDEX(Products!$B$2:$B$37, MATCH(D1914, Products!$A$2:$A$37, 0))</f>
        <v>Yoga Mat Premium</v>
      </c>
      <c r="I1914" t="str">
        <f>INDEX(Products!$C$2:$C$37, MATCH(D1914, Products!$A$2:$A$37, 0))</f>
        <v>Sports</v>
      </c>
      <c r="J1914">
        <f>INDEX(Products!$E$2:$E$37, MATCH(D1914, Products!$A$2:$A$37, 0))</f>
        <v>60</v>
      </c>
      <c r="K1914" s="9">
        <f t="shared" si="116"/>
        <v>180.6</v>
      </c>
      <c r="L1914">
        <f t="shared" si="117"/>
        <v>120</v>
      </c>
      <c r="M1914" s="9">
        <f t="shared" si="118"/>
        <v>60.599999999999994</v>
      </c>
      <c r="N1914" t="str">
        <f t="shared" si="119"/>
        <v>Jun</v>
      </c>
    </row>
    <row r="1915" spans="1:14" x14ac:dyDescent="0.3">
      <c r="A1915" s="2" t="s">
        <v>1981</v>
      </c>
      <c r="B1915" s="6">
        <v>45821</v>
      </c>
      <c r="C1915" s="2" t="s">
        <v>41</v>
      </c>
      <c r="D1915" s="2" t="s">
        <v>115</v>
      </c>
      <c r="E1915" s="2">
        <v>1</v>
      </c>
      <c r="F1915" s="7">
        <v>129</v>
      </c>
      <c r="G1915" s="8">
        <v>0.1</v>
      </c>
      <c r="H1915" s="9" t="str">
        <f>INDEX(Products!$B$2:$B$37, MATCH(D1915, Products!$A$2:$A$37, 0))</f>
        <v>Electric Kettle</v>
      </c>
      <c r="I1915" t="str">
        <f>INDEX(Products!$C$2:$C$37, MATCH(D1915, Products!$A$2:$A$37, 0))</f>
        <v>Home &amp; Kitchen</v>
      </c>
      <c r="J1915">
        <f>INDEX(Products!$E$2:$E$37, MATCH(D1915, Products!$A$2:$A$37, 0))</f>
        <v>60</v>
      </c>
      <c r="K1915" s="9">
        <f t="shared" si="116"/>
        <v>116.10000000000001</v>
      </c>
      <c r="L1915">
        <f t="shared" si="117"/>
        <v>60</v>
      </c>
      <c r="M1915" s="9">
        <f t="shared" si="118"/>
        <v>56.100000000000009</v>
      </c>
      <c r="N1915" t="str">
        <f t="shared" si="119"/>
        <v>Jun</v>
      </c>
    </row>
    <row r="1916" spans="1:14" x14ac:dyDescent="0.3">
      <c r="A1916" s="2" t="s">
        <v>1982</v>
      </c>
      <c r="B1916" s="6">
        <v>45821</v>
      </c>
      <c r="C1916" s="2" t="s">
        <v>28</v>
      </c>
      <c r="D1916" s="2" t="s">
        <v>37</v>
      </c>
      <c r="E1916" s="2">
        <v>2</v>
      </c>
      <c r="F1916" s="7">
        <v>249</v>
      </c>
      <c r="G1916" s="8">
        <v>0</v>
      </c>
      <c r="H1916" s="9" t="str">
        <f>INDEX(Products!$B$2:$B$37, MATCH(D1916, Products!$A$2:$A$37, 0))</f>
        <v>Sunglasses Polarised</v>
      </c>
      <c r="I1916" t="str">
        <f>INDEX(Products!$C$2:$C$37, MATCH(D1916, Products!$A$2:$A$37, 0))</f>
        <v>Fashion</v>
      </c>
      <c r="J1916">
        <f>INDEX(Products!$E$2:$E$37, MATCH(D1916, Products!$A$2:$A$37, 0))</f>
        <v>95</v>
      </c>
      <c r="K1916" s="9">
        <f t="shared" si="116"/>
        <v>498</v>
      </c>
      <c r="L1916">
        <f t="shared" si="117"/>
        <v>190</v>
      </c>
      <c r="M1916" s="9">
        <f t="shared" si="118"/>
        <v>308</v>
      </c>
      <c r="N1916" t="str">
        <f t="shared" si="119"/>
        <v>Jun</v>
      </c>
    </row>
    <row r="1917" spans="1:14" x14ac:dyDescent="0.3">
      <c r="A1917" s="2" t="s">
        <v>1983</v>
      </c>
      <c r="B1917" s="6">
        <v>45821</v>
      </c>
      <c r="C1917" s="2" t="s">
        <v>28</v>
      </c>
      <c r="D1917" s="2" t="s">
        <v>115</v>
      </c>
      <c r="E1917" s="2">
        <v>2</v>
      </c>
      <c r="F1917" s="7">
        <v>129</v>
      </c>
      <c r="G1917" s="8">
        <v>0</v>
      </c>
      <c r="H1917" s="9" t="str">
        <f>INDEX(Products!$B$2:$B$37, MATCH(D1917, Products!$A$2:$A$37, 0))</f>
        <v>Electric Kettle</v>
      </c>
      <c r="I1917" t="str">
        <f>INDEX(Products!$C$2:$C$37, MATCH(D1917, Products!$A$2:$A$37, 0))</f>
        <v>Home &amp; Kitchen</v>
      </c>
      <c r="J1917">
        <f>INDEX(Products!$E$2:$E$37, MATCH(D1917, Products!$A$2:$A$37, 0))</f>
        <v>60</v>
      </c>
      <c r="K1917" s="9">
        <f t="shared" si="116"/>
        <v>258</v>
      </c>
      <c r="L1917">
        <f t="shared" si="117"/>
        <v>120</v>
      </c>
      <c r="M1917" s="9">
        <f t="shared" si="118"/>
        <v>138</v>
      </c>
      <c r="N1917" t="str">
        <f t="shared" si="119"/>
        <v>Jun</v>
      </c>
    </row>
    <row r="1918" spans="1:14" x14ac:dyDescent="0.3">
      <c r="A1918" s="2" t="s">
        <v>1984</v>
      </c>
      <c r="B1918" s="6">
        <v>45821</v>
      </c>
      <c r="C1918" s="2" t="s">
        <v>48</v>
      </c>
      <c r="D1918" s="2" t="s">
        <v>49</v>
      </c>
      <c r="E1918" s="2">
        <v>3</v>
      </c>
      <c r="F1918" s="7">
        <v>149</v>
      </c>
      <c r="G1918" s="8">
        <v>0.1</v>
      </c>
      <c r="H1918" s="9" t="str">
        <f>INDEX(Products!$B$2:$B$37, MATCH(D1918, Products!$A$2:$A$37, 0))</f>
        <v>Kids' Sneakers</v>
      </c>
      <c r="I1918" t="str">
        <f>INDEX(Products!$C$2:$C$37, MATCH(D1918, Products!$A$2:$A$37, 0))</f>
        <v>Fashion</v>
      </c>
      <c r="J1918">
        <f>INDEX(Products!$E$2:$E$37, MATCH(D1918, Products!$A$2:$A$37, 0))</f>
        <v>80</v>
      </c>
      <c r="K1918" s="9">
        <f t="shared" si="116"/>
        <v>402.3</v>
      </c>
      <c r="L1918">
        <f t="shared" si="117"/>
        <v>240</v>
      </c>
      <c r="M1918" s="9">
        <f t="shared" si="118"/>
        <v>162.30000000000001</v>
      </c>
      <c r="N1918" t="str">
        <f t="shared" si="119"/>
        <v>Jun</v>
      </c>
    </row>
    <row r="1919" spans="1:14" x14ac:dyDescent="0.3">
      <c r="A1919" s="2" t="s">
        <v>1985</v>
      </c>
      <c r="B1919" s="6">
        <v>45821</v>
      </c>
      <c r="C1919" s="2" t="s">
        <v>41</v>
      </c>
      <c r="D1919" s="2" t="s">
        <v>80</v>
      </c>
      <c r="E1919" s="2">
        <v>1</v>
      </c>
      <c r="F1919" s="7">
        <v>149</v>
      </c>
      <c r="G1919" s="8">
        <v>0.05</v>
      </c>
      <c r="H1919" s="9" t="str">
        <f>INDEX(Products!$B$2:$B$37, MATCH(D1919, Products!$A$2:$A$37, 0))</f>
        <v>Vitamin C Serum</v>
      </c>
      <c r="I1919" t="str">
        <f>INDEX(Products!$C$2:$C$37, MATCH(D1919, Products!$A$2:$A$37, 0))</f>
        <v>Beauty</v>
      </c>
      <c r="J1919">
        <f>INDEX(Products!$E$2:$E$37, MATCH(D1919, Products!$A$2:$A$37, 0))</f>
        <v>55</v>
      </c>
      <c r="K1919" s="9">
        <f t="shared" si="116"/>
        <v>141.54999999999998</v>
      </c>
      <c r="L1919">
        <f t="shared" si="117"/>
        <v>55</v>
      </c>
      <c r="M1919" s="9">
        <f t="shared" si="118"/>
        <v>86.549999999999983</v>
      </c>
      <c r="N1919" t="str">
        <f t="shared" si="119"/>
        <v>Jun</v>
      </c>
    </row>
    <row r="1920" spans="1:14" x14ac:dyDescent="0.3">
      <c r="A1920" s="2" t="s">
        <v>1986</v>
      </c>
      <c r="B1920" s="6">
        <v>45821</v>
      </c>
      <c r="C1920" s="2" t="s">
        <v>44</v>
      </c>
      <c r="D1920" s="2" t="s">
        <v>37</v>
      </c>
      <c r="E1920" s="2">
        <v>1</v>
      </c>
      <c r="F1920" s="7">
        <v>249</v>
      </c>
      <c r="G1920" s="8">
        <v>0.1</v>
      </c>
      <c r="H1920" s="9" t="str">
        <f>INDEX(Products!$B$2:$B$37, MATCH(D1920, Products!$A$2:$A$37, 0))</f>
        <v>Sunglasses Polarised</v>
      </c>
      <c r="I1920" t="str">
        <f>INDEX(Products!$C$2:$C$37, MATCH(D1920, Products!$A$2:$A$37, 0))</f>
        <v>Fashion</v>
      </c>
      <c r="J1920">
        <f>INDEX(Products!$E$2:$E$37, MATCH(D1920, Products!$A$2:$A$37, 0))</f>
        <v>95</v>
      </c>
      <c r="K1920" s="9">
        <f t="shared" si="116"/>
        <v>224.1</v>
      </c>
      <c r="L1920">
        <f t="shared" si="117"/>
        <v>95</v>
      </c>
      <c r="M1920" s="9">
        <f t="shared" si="118"/>
        <v>129.1</v>
      </c>
      <c r="N1920" t="str">
        <f t="shared" si="119"/>
        <v>Jun</v>
      </c>
    </row>
    <row r="1921" spans="1:14" x14ac:dyDescent="0.3">
      <c r="A1921" s="2" t="s">
        <v>1987</v>
      </c>
      <c r="B1921" s="6">
        <v>45821</v>
      </c>
      <c r="C1921" s="2" t="s">
        <v>44</v>
      </c>
      <c r="D1921" s="2" t="s">
        <v>87</v>
      </c>
      <c r="E1921" s="2">
        <v>1</v>
      </c>
      <c r="F1921" s="7">
        <v>799</v>
      </c>
      <c r="G1921" s="8">
        <v>0.2</v>
      </c>
      <c r="H1921" s="9" t="str">
        <f>INDEX(Products!$B$2:$B$37, MATCH(D1921, Products!$A$2:$A$37, 0))</f>
        <v>Adjustable Dumbbells</v>
      </c>
      <c r="I1921" t="str">
        <f>INDEX(Products!$C$2:$C$37, MATCH(D1921, Products!$A$2:$A$37, 0))</f>
        <v>Sports</v>
      </c>
      <c r="J1921">
        <f>INDEX(Products!$E$2:$E$37, MATCH(D1921, Products!$A$2:$A$37, 0))</f>
        <v>700</v>
      </c>
      <c r="K1921" s="9">
        <f t="shared" si="116"/>
        <v>639.20000000000005</v>
      </c>
      <c r="L1921">
        <f t="shared" si="117"/>
        <v>700</v>
      </c>
      <c r="M1921" s="9">
        <f t="shared" si="118"/>
        <v>-60.799999999999955</v>
      </c>
      <c r="N1921" t="str">
        <f t="shared" si="119"/>
        <v>Jun</v>
      </c>
    </row>
    <row r="1922" spans="1:14" x14ac:dyDescent="0.3">
      <c r="A1922" s="2" t="s">
        <v>1988</v>
      </c>
      <c r="B1922" s="6">
        <v>45821</v>
      </c>
      <c r="C1922" s="2" t="s">
        <v>41</v>
      </c>
      <c r="D1922" s="2" t="s">
        <v>70</v>
      </c>
      <c r="E1922" s="2">
        <v>1</v>
      </c>
      <c r="F1922" s="7">
        <v>429</v>
      </c>
      <c r="G1922" s="8">
        <v>0.2</v>
      </c>
      <c r="H1922" s="9" t="str">
        <f>INDEX(Products!$B$2:$B$37, MATCH(D1922, Products!$A$2:$A$37, 0))</f>
        <v>Running Shoes Elite</v>
      </c>
      <c r="I1922" t="str">
        <f>INDEX(Products!$C$2:$C$37, MATCH(D1922, Products!$A$2:$A$37, 0))</f>
        <v>Fashion</v>
      </c>
      <c r="J1922">
        <f>INDEX(Products!$E$2:$E$37, MATCH(D1922, Products!$A$2:$A$37, 0))</f>
        <v>300</v>
      </c>
      <c r="K1922" s="9">
        <f t="shared" ref="K1922:K1985" si="120">E1922*F1922*(1-G1922)</f>
        <v>343.20000000000005</v>
      </c>
      <c r="L1922">
        <f t="shared" ref="L1922:L1985" si="121">E1922*J1922</f>
        <v>300</v>
      </c>
      <c r="M1922" s="9">
        <f t="shared" ref="M1922:M1985" si="122">K1922-L1922</f>
        <v>43.200000000000045</v>
      </c>
      <c r="N1922" t="str">
        <f t="shared" ref="N1922:N1985" si="123">TEXT(B1922,"mmm")</f>
        <v>Jun</v>
      </c>
    </row>
    <row r="1923" spans="1:14" x14ac:dyDescent="0.3">
      <c r="A1923" s="2" t="s">
        <v>1989</v>
      </c>
      <c r="B1923" s="6">
        <v>45821</v>
      </c>
      <c r="C1923" s="2" t="s">
        <v>31</v>
      </c>
      <c r="D1923" s="2" t="s">
        <v>149</v>
      </c>
      <c r="E1923" s="2">
        <v>4</v>
      </c>
      <c r="F1923" s="7">
        <v>399</v>
      </c>
      <c r="G1923" s="8">
        <v>0.2</v>
      </c>
      <c r="H1923" s="9" t="str">
        <f>INDEX(Products!$B$2:$B$37, MATCH(D1923, Products!$A$2:$A$37, 0))</f>
        <v>Blender Pro 1200W</v>
      </c>
      <c r="I1923" t="str">
        <f>INDEX(Products!$C$2:$C$37, MATCH(D1923, Products!$A$2:$A$37, 0))</f>
        <v>Home &amp; Kitchen</v>
      </c>
      <c r="J1923">
        <f>INDEX(Products!$E$2:$E$37, MATCH(D1923, Products!$A$2:$A$37, 0))</f>
        <v>250</v>
      </c>
      <c r="K1923" s="9">
        <f t="shared" si="120"/>
        <v>1276.8000000000002</v>
      </c>
      <c r="L1923">
        <f t="shared" si="121"/>
        <v>1000</v>
      </c>
      <c r="M1923" s="9">
        <f t="shared" si="122"/>
        <v>276.80000000000018</v>
      </c>
      <c r="N1923" t="str">
        <f t="shared" si="123"/>
        <v>Jun</v>
      </c>
    </row>
    <row r="1924" spans="1:14" x14ac:dyDescent="0.3">
      <c r="A1924" s="2" t="s">
        <v>1990</v>
      </c>
      <c r="B1924" s="6">
        <v>45821</v>
      </c>
      <c r="C1924" s="2" t="s">
        <v>31</v>
      </c>
      <c r="D1924" s="2" t="s">
        <v>115</v>
      </c>
      <c r="E1924" s="2">
        <v>1</v>
      </c>
      <c r="F1924" s="7">
        <v>129</v>
      </c>
      <c r="G1924" s="8">
        <v>0.15</v>
      </c>
      <c r="H1924" s="9" t="str">
        <f>INDEX(Products!$B$2:$B$37, MATCH(D1924, Products!$A$2:$A$37, 0))</f>
        <v>Electric Kettle</v>
      </c>
      <c r="I1924" t="str">
        <f>INDEX(Products!$C$2:$C$37, MATCH(D1924, Products!$A$2:$A$37, 0))</f>
        <v>Home &amp; Kitchen</v>
      </c>
      <c r="J1924">
        <f>INDEX(Products!$E$2:$E$37, MATCH(D1924, Products!$A$2:$A$37, 0))</f>
        <v>60</v>
      </c>
      <c r="K1924" s="9">
        <f t="shared" si="120"/>
        <v>109.64999999999999</v>
      </c>
      <c r="L1924">
        <f t="shared" si="121"/>
        <v>60</v>
      </c>
      <c r="M1924" s="9">
        <f t="shared" si="122"/>
        <v>49.649999999999991</v>
      </c>
      <c r="N1924" t="str">
        <f t="shared" si="123"/>
        <v>Jun</v>
      </c>
    </row>
    <row r="1925" spans="1:14" x14ac:dyDescent="0.3">
      <c r="A1925" s="2" t="s">
        <v>1991</v>
      </c>
      <c r="B1925" s="6">
        <v>45821</v>
      </c>
      <c r="C1925" s="2" t="s">
        <v>41</v>
      </c>
      <c r="D1925" s="2" t="s">
        <v>83</v>
      </c>
      <c r="E1925" s="2">
        <v>4</v>
      </c>
      <c r="F1925" s="7">
        <v>229</v>
      </c>
      <c r="G1925" s="8">
        <v>0.2</v>
      </c>
      <c r="H1925" s="9" t="str">
        <f>INDEX(Products!$B$2:$B$37, MATCH(D1925, Products!$A$2:$A$37, 0))</f>
        <v>Cycling Helmet</v>
      </c>
      <c r="I1925" t="str">
        <f>INDEX(Products!$C$2:$C$37, MATCH(D1925, Products!$A$2:$A$37, 0))</f>
        <v>Sports</v>
      </c>
      <c r="J1925">
        <f>INDEX(Products!$E$2:$E$37, MATCH(D1925, Products!$A$2:$A$37, 0))</f>
        <v>120</v>
      </c>
      <c r="K1925" s="9">
        <f t="shared" si="120"/>
        <v>732.80000000000007</v>
      </c>
      <c r="L1925">
        <f t="shared" si="121"/>
        <v>480</v>
      </c>
      <c r="M1925" s="9">
        <f t="shared" si="122"/>
        <v>252.80000000000007</v>
      </c>
      <c r="N1925" t="str">
        <f t="shared" si="123"/>
        <v>Jun</v>
      </c>
    </row>
    <row r="1926" spans="1:14" x14ac:dyDescent="0.3">
      <c r="A1926" s="2" t="s">
        <v>1992</v>
      </c>
      <c r="B1926" s="6">
        <v>45821</v>
      </c>
      <c r="C1926" s="2" t="s">
        <v>28</v>
      </c>
      <c r="D1926" s="2" t="s">
        <v>103</v>
      </c>
      <c r="E1926" s="2">
        <v>2</v>
      </c>
      <c r="F1926" s="7">
        <v>89</v>
      </c>
      <c r="G1926" s="8">
        <v>0.15</v>
      </c>
      <c r="H1926" s="9" t="str">
        <f>INDEX(Products!$B$2:$B$37, MATCH(D1926, Products!$A$2:$A$37, 0))</f>
        <v>Sunscreen SPF50</v>
      </c>
      <c r="I1926" t="str">
        <f>INDEX(Products!$C$2:$C$37, MATCH(D1926, Products!$A$2:$A$37, 0))</f>
        <v>Beauty</v>
      </c>
      <c r="J1926">
        <f>INDEX(Products!$E$2:$E$37, MATCH(D1926, Products!$A$2:$A$37, 0))</f>
        <v>40</v>
      </c>
      <c r="K1926" s="9">
        <f t="shared" si="120"/>
        <v>151.29999999999998</v>
      </c>
      <c r="L1926">
        <f t="shared" si="121"/>
        <v>80</v>
      </c>
      <c r="M1926" s="9">
        <f t="shared" si="122"/>
        <v>71.299999999999983</v>
      </c>
      <c r="N1926" t="str">
        <f t="shared" si="123"/>
        <v>Jun</v>
      </c>
    </row>
    <row r="1927" spans="1:14" x14ac:dyDescent="0.3">
      <c r="A1927" s="2" t="s">
        <v>1993</v>
      </c>
      <c r="B1927" s="6">
        <v>45821</v>
      </c>
      <c r="C1927" s="2" t="s">
        <v>41</v>
      </c>
      <c r="D1927" s="2" t="s">
        <v>103</v>
      </c>
      <c r="E1927" s="2">
        <v>1</v>
      </c>
      <c r="F1927" s="7">
        <v>89</v>
      </c>
      <c r="G1927" s="8">
        <v>0.1</v>
      </c>
      <c r="H1927" s="9" t="str">
        <f>INDEX(Products!$B$2:$B$37, MATCH(D1927, Products!$A$2:$A$37, 0))</f>
        <v>Sunscreen SPF50</v>
      </c>
      <c r="I1927" t="str">
        <f>INDEX(Products!$C$2:$C$37, MATCH(D1927, Products!$A$2:$A$37, 0))</f>
        <v>Beauty</v>
      </c>
      <c r="J1927">
        <f>INDEX(Products!$E$2:$E$37, MATCH(D1927, Products!$A$2:$A$37, 0))</f>
        <v>40</v>
      </c>
      <c r="K1927" s="9">
        <f t="shared" si="120"/>
        <v>80.100000000000009</v>
      </c>
      <c r="L1927">
        <f t="shared" si="121"/>
        <v>40</v>
      </c>
      <c r="M1927" s="9">
        <f t="shared" si="122"/>
        <v>40.100000000000009</v>
      </c>
      <c r="N1927" t="str">
        <f t="shared" si="123"/>
        <v>Jun</v>
      </c>
    </row>
    <row r="1928" spans="1:14" x14ac:dyDescent="0.3">
      <c r="A1928" s="2" t="s">
        <v>1994</v>
      </c>
      <c r="B1928" s="6">
        <v>45821</v>
      </c>
      <c r="C1928" s="2" t="s">
        <v>31</v>
      </c>
      <c r="D1928" s="2" t="s">
        <v>33</v>
      </c>
      <c r="E1928" s="2">
        <v>2</v>
      </c>
      <c r="F1928" s="7">
        <v>199</v>
      </c>
      <c r="G1928" s="8">
        <v>0.2</v>
      </c>
      <c r="H1928" s="9" t="str">
        <f>INDEX(Products!$B$2:$B$37, MATCH(D1928, Products!$A$2:$A$37, 0))</f>
        <v>Fitness Band Lite</v>
      </c>
      <c r="I1928" t="str">
        <f>INDEX(Products!$C$2:$C$37, MATCH(D1928, Products!$A$2:$A$37, 0))</f>
        <v>Electronics</v>
      </c>
      <c r="J1928">
        <f>INDEX(Products!$E$2:$E$37, MATCH(D1928, Products!$A$2:$A$37, 0))</f>
        <v>175</v>
      </c>
      <c r="K1928" s="9">
        <f t="shared" si="120"/>
        <v>318.40000000000003</v>
      </c>
      <c r="L1928">
        <f t="shared" si="121"/>
        <v>350</v>
      </c>
      <c r="M1928" s="9">
        <f t="shared" si="122"/>
        <v>-31.599999999999966</v>
      </c>
      <c r="N1928" t="str">
        <f t="shared" si="123"/>
        <v>Jun</v>
      </c>
    </row>
    <row r="1929" spans="1:14" x14ac:dyDescent="0.3">
      <c r="A1929" s="2" t="s">
        <v>1995</v>
      </c>
      <c r="B1929" s="6">
        <v>45821</v>
      </c>
      <c r="C1929" s="2" t="s">
        <v>31</v>
      </c>
      <c r="D1929" s="2" t="s">
        <v>46</v>
      </c>
      <c r="E1929" s="2">
        <v>1</v>
      </c>
      <c r="F1929" s="7">
        <v>189</v>
      </c>
      <c r="G1929" s="8">
        <v>0.1</v>
      </c>
      <c r="H1929" s="9" t="str">
        <f>INDEX(Products!$B$2:$B$37, MATCH(D1929, Products!$A$2:$A$37, 0))</f>
        <v>Makeup Palette</v>
      </c>
      <c r="I1929" t="str">
        <f>INDEX(Products!$C$2:$C$37, MATCH(D1929, Products!$A$2:$A$37, 0))</f>
        <v>Beauty</v>
      </c>
      <c r="J1929">
        <f>INDEX(Products!$E$2:$E$37, MATCH(D1929, Products!$A$2:$A$37, 0))</f>
        <v>85</v>
      </c>
      <c r="K1929" s="9">
        <f t="shared" si="120"/>
        <v>170.1</v>
      </c>
      <c r="L1929">
        <f t="shared" si="121"/>
        <v>85</v>
      </c>
      <c r="M1929" s="9">
        <f t="shared" si="122"/>
        <v>85.1</v>
      </c>
      <c r="N1929" t="str">
        <f t="shared" si="123"/>
        <v>Jun</v>
      </c>
    </row>
    <row r="1930" spans="1:14" x14ac:dyDescent="0.3">
      <c r="A1930" s="2" t="s">
        <v>1996</v>
      </c>
      <c r="B1930" s="6">
        <v>45822</v>
      </c>
      <c r="C1930" s="2" t="s">
        <v>31</v>
      </c>
      <c r="D1930" s="2" t="s">
        <v>78</v>
      </c>
      <c r="E1930" s="2">
        <v>1</v>
      </c>
      <c r="F1930" s="7">
        <v>499</v>
      </c>
      <c r="G1930" s="8">
        <v>0.05</v>
      </c>
      <c r="H1930" s="9" t="str">
        <f>INDEX(Products!$B$2:$B$37, MATCH(D1930, Products!$A$2:$A$37, 0))</f>
        <v>Air Fryer 5L</v>
      </c>
      <c r="I1930" t="str">
        <f>INDEX(Products!$C$2:$C$37, MATCH(D1930, Products!$A$2:$A$37, 0))</f>
        <v>Home &amp; Kitchen</v>
      </c>
      <c r="J1930">
        <f>INDEX(Products!$E$2:$E$37, MATCH(D1930, Products!$A$2:$A$37, 0))</f>
        <v>290</v>
      </c>
      <c r="K1930" s="9">
        <f t="shared" si="120"/>
        <v>474.04999999999995</v>
      </c>
      <c r="L1930">
        <f t="shared" si="121"/>
        <v>290</v>
      </c>
      <c r="M1930" s="9">
        <f t="shared" si="122"/>
        <v>184.04999999999995</v>
      </c>
      <c r="N1930" t="str">
        <f t="shared" si="123"/>
        <v>Jun</v>
      </c>
    </row>
    <row r="1931" spans="1:14" x14ac:dyDescent="0.3">
      <c r="A1931" s="2" t="s">
        <v>1997</v>
      </c>
      <c r="B1931" s="6">
        <v>45822</v>
      </c>
      <c r="C1931" s="2" t="s">
        <v>28</v>
      </c>
      <c r="D1931" s="2" t="s">
        <v>126</v>
      </c>
      <c r="E1931" s="2">
        <v>1</v>
      </c>
      <c r="F1931" s="7">
        <v>89</v>
      </c>
      <c r="G1931" s="8">
        <v>0.3</v>
      </c>
      <c r="H1931" s="9" t="str">
        <f>INDEX(Products!$B$2:$B$37, MATCH(D1931, Products!$A$2:$A$37, 0))</f>
        <v>USB-C Fast Charger</v>
      </c>
      <c r="I1931" t="str">
        <f>INDEX(Products!$C$2:$C$37, MATCH(D1931, Products!$A$2:$A$37, 0))</f>
        <v>Electronics</v>
      </c>
      <c r="J1931">
        <f>INDEX(Products!$E$2:$E$37, MATCH(D1931, Products!$A$2:$A$37, 0))</f>
        <v>35</v>
      </c>
      <c r="K1931" s="9">
        <f t="shared" si="120"/>
        <v>62.3</v>
      </c>
      <c r="L1931">
        <f t="shared" si="121"/>
        <v>35</v>
      </c>
      <c r="M1931" s="9">
        <f t="shared" si="122"/>
        <v>27.299999999999997</v>
      </c>
      <c r="N1931" t="str">
        <f t="shared" si="123"/>
        <v>Jun</v>
      </c>
    </row>
    <row r="1932" spans="1:14" x14ac:dyDescent="0.3">
      <c r="A1932" s="2" t="s">
        <v>1998</v>
      </c>
      <c r="B1932" s="6">
        <v>45822</v>
      </c>
      <c r="C1932" s="2" t="s">
        <v>41</v>
      </c>
      <c r="D1932" s="2" t="s">
        <v>129</v>
      </c>
      <c r="E1932" s="2">
        <v>2</v>
      </c>
      <c r="F1932" s="7">
        <v>149</v>
      </c>
      <c r="G1932" s="8">
        <v>0</v>
      </c>
      <c r="H1932" s="9" t="str">
        <f>INDEX(Products!$B$2:$B$37, MATCH(D1932, Products!$A$2:$A$37, 0))</f>
        <v>Power Bank 20000mAh</v>
      </c>
      <c r="I1932" t="str">
        <f>INDEX(Products!$C$2:$C$37, MATCH(D1932, Products!$A$2:$A$37, 0))</f>
        <v>Electronics</v>
      </c>
      <c r="J1932">
        <f>INDEX(Products!$E$2:$E$37, MATCH(D1932, Products!$A$2:$A$37, 0))</f>
        <v>70</v>
      </c>
      <c r="K1932" s="9">
        <f t="shared" si="120"/>
        <v>298</v>
      </c>
      <c r="L1932">
        <f t="shared" si="121"/>
        <v>140</v>
      </c>
      <c r="M1932" s="9">
        <f t="shared" si="122"/>
        <v>158</v>
      </c>
      <c r="N1932" t="str">
        <f t="shared" si="123"/>
        <v>Jun</v>
      </c>
    </row>
    <row r="1933" spans="1:14" x14ac:dyDescent="0.3">
      <c r="A1933" s="2" t="s">
        <v>1999</v>
      </c>
      <c r="B1933" s="6">
        <v>45822</v>
      </c>
      <c r="C1933" s="2" t="s">
        <v>28</v>
      </c>
      <c r="D1933" s="2" t="s">
        <v>103</v>
      </c>
      <c r="E1933" s="2">
        <v>3</v>
      </c>
      <c r="F1933" s="7">
        <v>89</v>
      </c>
      <c r="G1933" s="8">
        <v>0</v>
      </c>
      <c r="H1933" s="9" t="str">
        <f>INDEX(Products!$B$2:$B$37, MATCH(D1933, Products!$A$2:$A$37, 0))</f>
        <v>Sunscreen SPF50</v>
      </c>
      <c r="I1933" t="str">
        <f>INDEX(Products!$C$2:$C$37, MATCH(D1933, Products!$A$2:$A$37, 0))</f>
        <v>Beauty</v>
      </c>
      <c r="J1933">
        <f>INDEX(Products!$E$2:$E$37, MATCH(D1933, Products!$A$2:$A$37, 0))</f>
        <v>40</v>
      </c>
      <c r="K1933" s="9">
        <f t="shared" si="120"/>
        <v>267</v>
      </c>
      <c r="L1933">
        <f t="shared" si="121"/>
        <v>120</v>
      </c>
      <c r="M1933" s="9">
        <f t="shared" si="122"/>
        <v>147</v>
      </c>
      <c r="N1933" t="str">
        <f t="shared" si="123"/>
        <v>Jun</v>
      </c>
    </row>
    <row r="1934" spans="1:14" x14ac:dyDescent="0.3">
      <c r="A1934" s="2" t="s">
        <v>2000</v>
      </c>
      <c r="B1934" s="6">
        <v>45822</v>
      </c>
      <c r="C1934" s="2" t="s">
        <v>44</v>
      </c>
      <c r="D1934" s="2" t="s">
        <v>129</v>
      </c>
      <c r="E1934" s="2">
        <v>1</v>
      </c>
      <c r="F1934" s="7">
        <v>149</v>
      </c>
      <c r="G1934" s="8">
        <v>0.05</v>
      </c>
      <c r="H1934" s="9" t="str">
        <f>INDEX(Products!$B$2:$B$37, MATCH(D1934, Products!$A$2:$A$37, 0))</f>
        <v>Power Bank 20000mAh</v>
      </c>
      <c r="I1934" t="str">
        <f>INDEX(Products!$C$2:$C$37, MATCH(D1934, Products!$A$2:$A$37, 0))</f>
        <v>Electronics</v>
      </c>
      <c r="J1934">
        <f>INDEX(Products!$E$2:$E$37, MATCH(D1934, Products!$A$2:$A$37, 0))</f>
        <v>70</v>
      </c>
      <c r="K1934" s="9">
        <f t="shared" si="120"/>
        <v>141.54999999999998</v>
      </c>
      <c r="L1934">
        <f t="shared" si="121"/>
        <v>70</v>
      </c>
      <c r="M1934" s="9">
        <f t="shared" si="122"/>
        <v>71.549999999999983</v>
      </c>
      <c r="N1934" t="str">
        <f t="shared" si="123"/>
        <v>Jun</v>
      </c>
    </row>
    <row r="1935" spans="1:14" x14ac:dyDescent="0.3">
      <c r="A1935" s="2" t="s">
        <v>2001</v>
      </c>
      <c r="B1935" s="6">
        <v>45822</v>
      </c>
      <c r="C1935" s="2" t="s">
        <v>41</v>
      </c>
      <c r="D1935" s="2" t="s">
        <v>46</v>
      </c>
      <c r="E1935" s="2">
        <v>2</v>
      </c>
      <c r="F1935" s="7">
        <v>189</v>
      </c>
      <c r="G1935" s="8">
        <v>0</v>
      </c>
      <c r="H1935" s="9" t="str">
        <f>INDEX(Products!$B$2:$B$37, MATCH(D1935, Products!$A$2:$A$37, 0))</f>
        <v>Makeup Palette</v>
      </c>
      <c r="I1935" t="str">
        <f>INDEX(Products!$C$2:$C$37, MATCH(D1935, Products!$A$2:$A$37, 0))</f>
        <v>Beauty</v>
      </c>
      <c r="J1935">
        <f>INDEX(Products!$E$2:$E$37, MATCH(D1935, Products!$A$2:$A$37, 0))</f>
        <v>85</v>
      </c>
      <c r="K1935" s="9">
        <f t="shared" si="120"/>
        <v>378</v>
      </c>
      <c r="L1935">
        <f t="shared" si="121"/>
        <v>170</v>
      </c>
      <c r="M1935" s="9">
        <f t="shared" si="122"/>
        <v>208</v>
      </c>
      <c r="N1935" t="str">
        <f t="shared" si="123"/>
        <v>Jun</v>
      </c>
    </row>
    <row r="1936" spans="1:14" x14ac:dyDescent="0.3">
      <c r="A1936" s="2" t="s">
        <v>2002</v>
      </c>
      <c r="B1936" s="6">
        <v>45822</v>
      </c>
      <c r="C1936" s="2" t="s">
        <v>41</v>
      </c>
      <c r="D1936" s="2" t="s">
        <v>80</v>
      </c>
      <c r="E1936" s="2">
        <v>1</v>
      </c>
      <c r="F1936" s="7">
        <v>149</v>
      </c>
      <c r="G1936" s="8">
        <v>0</v>
      </c>
      <c r="H1936" s="9" t="str">
        <f>INDEX(Products!$B$2:$B$37, MATCH(D1936, Products!$A$2:$A$37, 0))</f>
        <v>Vitamin C Serum</v>
      </c>
      <c r="I1936" t="str">
        <f>INDEX(Products!$C$2:$C$37, MATCH(D1936, Products!$A$2:$A$37, 0))</f>
        <v>Beauty</v>
      </c>
      <c r="J1936">
        <f>INDEX(Products!$E$2:$E$37, MATCH(D1936, Products!$A$2:$A$37, 0))</f>
        <v>55</v>
      </c>
      <c r="K1936" s="9">
        <f t="shared" si="120"/>
        <v>149</v>
      </c>
      <c r="L1936">
        <f t="shared" si="121"/>
        <v>55</v>
      </c>
      <c r="M1936" s="9">
        <f t="shared" si="122"/>
        <v>94</v>
      </c>
      <c r="N1936" t="str">
        <f t="shared" si="123"/>
        <v>Jun</v>
      </c>
    </row>
    <row r="1937" spans="1:14" x14ac:dyDescent="0.3">
      <c r="A1937" s="2" t="s">
        <v>2003</v>
      </c>
      <c r="B1937" s="6">
        <v>45822</v>
      </c>
      <c r="C1937" s="2" t="s">
        <v>41</v>
      </c>
      <c r="D1937" s="2" t="s">
        <v>95</v>
      </c>
      <c r="E1937" s="2">
        <v>2</v>
      </c>
      <c r="F1937" s="7">
        <v>259</v>
      </c>
      <c r="G1937" s="8">
        <v>0</v>
      </c>
      <c r="H1937" s="9" t="str">
        <f>INDEX(Products!$B$2:$B$37, MATCH(D1937, Products!$A$2:$A$37, 0))</f>
        <v>Bed Linen Set (King)</v>
      </c>
      <c r="I1937" t="str">
        <f>INDEX(Products!$C$2:$C$37, MATCH(D1937, Products!$A$2:$A$37, 0))</f>
        <v>Home &amp; Kitchen</v>
      </c>
      <c r="J1937">
        <f>INDEX(Products!$E$2:$E$37, MATCH(D1937, Products!$A$2:$A$37, 0))</f>
        <v>115</v>
      </c>
      <c r="K1937" s="9">
        <f t="shared" si="120"/>
        <v>518</v>
      </c>
      <c r="L1937">
        <f t="shared" si="121"/>
        <v>230</v>
      </c>
      <c r="M1937" s="9">
        <f t="shared" si="122"/>
        <v>288</v>
      </c>
      <c r="N1937" t="str">
        <f t="shared" si="123"/>
        <v>Jun</v>
      </c>
    </row>
    <row r="1938" spans="1:14" x14ac:dyDescent="0.3">
      <c r="A1938" s="2" t="s">
        <v>2004</v>
      </c>
      <c r="B1938" s="6">
        <v>45822</v>
      </c>
      <c r="C1938" s="2" t="s">
        <v>31</v>
      </c>
      <c r="D1938" s="2" t="s">
        <v>83</v>
      </c>
      <c r="E1938" s="2">
        <v>1</v>
      </c>
      <c r="F1938" s="7">
        <v>229</v>
      </c>
      <c r="G1938" s="8">
        <v>0.05</v>
      </c>
      <c r="H1938" s="9" t="str">
        <f>INDEX(Products!$B$2:$B$37, MATCH(D1938, Products!$A$2:$A$37, 0))</f>
        <v>Cycling Helmet</v>
      </c>
      <c r="I1938" t="str">
        <f>INDEX(Products!$C$2:$C$37, MATCH(D1938, Products!$A$2:$A$37, 0))</f>
        <v>Sports</v>
      </c>
      <c r="J1938">
        <f>INDEX(Products!$E$2:$E$37, MATCH(D1938, Products!$A$2:$A$37, 0))</f>
        <v>120</v>
      </c>
      <c r="K1938" s="9">
        <f t="shared" si="120"/>
        <v>217.54999999999998</v>
      </c>
      <c r="L1938">
        <f t="shared" si="121"/>
        <v>120</v>
      </c>
      <c r="M1938" s="9">
        <f t="shared" si="122"/>
        <v>97.549999999999983</v>
      </c>
      <c r="N1938" t="str">
        <f t="shared" si="123"/>
        <v>Jun</v>
      </c>
    </row>
    <row r="1939" spans="1:14" x14ac:dyDescent="0.3">
      <c r="A1939" s="2" t="s">
        <v>2005</v>
      </c>
      <c r="B1939" s="6">
        <v>45822</v>
      </c>
      <c r="C1939" s="2" t="s">
        <v>44</v>
      </c>
      <c r="D1939" s="2" t="s">
        <v>75</v>
      </c>
      <c r="E1939" s="2">
        <v>1</v>
      </c>
      <c r="F1939" s="7">
        <v>549</v>
      </c>
      <c r="G1939" s="8">
        <v>0</v>
      </c>
      <c r="H1939" s="9" t="str">
        <f>INDEX(Products!$B$2:$B$37, MATCH(D1939, Products!$A$2:$A$37, 0))</f>
        <v>Oud Perfume 100ml</v>
      </c>
      <c r="I1939" t="str">
        <f>INDEX(Products!$C$2:$C$37, MATCH(D1939, Products!$A$2:$A$37, 0))</f>
        <v>Beauty</v>
      </c>
      <c r="J1939">
        <f>INDEX(Products!$E$2:$E$37, MATCH(D1939, Products!$A$2:$A$37, 0))</f>
        <v>250</v>
      </c>
      <c r="K1939" s="9">
        <f t="shared" si="120"/>
        <v>549</v>
      </c>
      <c r="L1939">
        <f t="shared" si="121"/>
        <v>250</v>
      </c>
      <c r="M1939" s="9">
        <f t="shared" si="122"/>
        <v>299</v>
      </c>
      <c r="N1939" t="str">
        <f t="shared" si="123"/>
        <v>Jun</v>
      </c>
    </row>
    <row r="1940" spans="1:14" x14ac:dyDescent="0.3">
      <c r="A1940" s="2" t="s">
        <v>2006</v>
      </c>
      <c r="B1940" s="6">
        <v>45822</v>
      </c>
      <c r="C1940" s="2" t="s">
        <v>48</v>
      </c>
      <c r="D1940" s="2" t="s">
        <v>35</v>
      </c>
      <c r="E1940" s="2">
        <v>2</v>
      </c>
      <c r="F1940" s="7">
        <v>179</v>
      </c>
      <c r="G1940" s="8">
        <v>0</v>
      </c>
      <c r="H1940" s="9" t="str">
        <f>INDEX(Products!$B$2:$B$37, MATCH(D1940, Products!$A$2:$A$37, 0))</f>
        <v>Men's Linen Shirt</v>
      </c>
      <c r="I1940" t="str">
        <f>INDEX(Products!$C$2:$C$37, MATCH(D1940, Products!$A$2:$A$37, 0))</f>
        <v>Fashion</v>
      </c>
      <c r="J1940">
        <f>INDEX(Products!$E$2:$E$37, MATCH(D1940, Products!$A$2:$A$37, 0))</f>
        <v>70</v>
      </c>
      <c r="K1940" s="9">
        <f t="shared" si="120"/>
        <v>358</v>
      </c>
      <c r="L1940">
        <f t="shared" si="121"/>
        <v>140</v>
      </c>
      <c r="M1940" s="9">
        <f t="shared" si="122"/>
        <v>218</v>
      </c>
      <c r="N1940" t="str">
        <f t="shared" si="123"/>
        <v>Jun</v>
      </c>
    </row>
    <row r="1941" spans="1:14" x14ac:dyDescent="0.3">
      <c r="A1941" s="2" t="s">
        <v>2007</v>
      </c>
      <c r="B1941" s="6">
        <v>45822</v>
      </c>
      <c r="C1941" s="2" t="s">
        <v>41</v>
      </c>
      <c r="D1941" s="2" t="s">
        <v>115</v>
      </c>
      <c r="E1941" s="2">
        <v>1</v>
      </c>
      <c r="F1941" s="7">
        <v>129</v>
      </c>
      <c r="G1941" s="8">
        <v>0</v>
      </c>
      <c r="H1941" s="9" t="str">
        <f>INDEX(Products!$B$2:$B$37, MATCH(D1941, Products!$A$2:$A$37, 0))</f>
        <v>Electric Kettle</v>
      </c>
      <c r="I1941" t="str">
        <f>INDEX(Products!$C$2:$C$37, MATCH(D1941, Products!$A$2:$A$37, 0))</f>
        <v>Home &amp; Kitchen</v>
      </c>
      <c r="J1941">
        <f>INDEX(Products!$E$2:$E$37, MATCH(D1941, Products!$A$2:$A$37, 0))</f>
        <v>60</v>
      </c>
      <c r="K1941" s="9">
        <f t="shared" si="120"/>
        <v>129</v>
      </c>
      <c r="L1941">
        <f t="shared" si="121"/>
        <v>60</v>
      </c>
      <c r="M1941" s="9">
        <f t="shared" si="122"/>
        <v>69</v>
      </c>
      <c r="N1941" t="str">
        <f t="shared" si="123"/>
        <v>Jun</v>
      </c>
    </row>
    <row r="1942" spans="1:14" x14ac:dyDescent="0.3">
      <c r="A1942" s="2" t="s">
        <v>2008</v>
      </c>
      <c r="B1942" s="6">
        <v>45822</v>
      </c>
      <c r="C1942" s="2" t="s">
        <v>44</v>
      </c>
      <c r="D1942" s="2" t="s">
        <v>49</v>
      </c>
      <c r="E1942" s="2">
        <v>1</v>
      </c>
      <c r="F1942" s="7">
        <v>149</v>
      </c>
      <c r="G1942" s="8">
        <v>0.1</v>
      </c>
      <c r="H1942" s="9" t="str">
        <f>INDEX(Products!$B$2:$B$37, MATCH(D1942, Products!$A$2:$A$37, 0))</f>
        <v>Kids' Sneakers</v>
      </c>
      <c r="I1942" t="str">
        <f>INDEX(Products!$C$2:$C$37, MATCH(D1942, Products!$A$2:$A$37, 0))</f>
        <v>Fashion</v>
      </c>
      <c r="J1942">
        <f>INDEX(Products!$E$2:$E$37, MATCH(D1942, Products!$A$2:$A$37, 0))</f>
        <v>80</v>
      </c>
      <c r="K1942" s="9">
        <f t="shared" si="120"/>
        <v>134.1</v>
      </c>
      <c r="L1942">
        <f t="shared" si="121"/>
        <v>80</v>
      </c>
      <c r="M1942" s="9">
        <f t="shared" si="122"/>
        <v>54.099999999999994</v>
      </c>
      <c r="N1942" t="str">
        <f t="shared" si="123"/>
        <v>Jun</v>
      </c>
    </row>
    <row r="1943" spans="1:14" x14ac:dyDescent="0.3">
      <c r="A1943" s="2" t="s">
        <v>2009</v>
      </c>
      <c r="B1943" s="6">
        <v>45823</v>
      </c>
      <c r="C1943" s="2" t="s">
        <v>28</v>
      </c>
      <c r="D1943" s="2" t="s">
        <v>68</v>
      </c>
      <c r="E1943" s="2">
        <v>4</v>
      </c>
      <c r="F1943" s="7">
        <v>249</v>
      </c>
      <c r="G1943" s="8">
        <v>0.1</v>
      </c>
      <c r="H1943" s="9" t="str">
        <f>INDEX(Products!$B$2:$B$37, MATCH(D1943, Products!$A$2:$A$37, 0))</f>
        <v>Bluetooth Speaker Mini</v>
      </c>
      <c r="I1943" t="str">
        <f>INDEX(Products!$C$2:$C$37, MATCH(D1943, Products!$A$2:$A$37, 0))</f>
        <v>Electronics</v>
      </c>
      <c r="J1943">
        <f>INDEX(Products!$E$2:$E$37, MATCH(D1943, Products!$A$2:$A$37, 0))</f>
        <v>150</v>
      </c>
      <c r="K1943" s="9">
        <f t="shared" si="120"/>
        <v>896.4</v>
      </c>
      <c r="L1943">
        <f t="shared" si="121"/>
        <v>600</v>
      </c>
      <c r="M1943" s="9">
        <f t="shared" si="122"/>
        <v>296.39999999999998</v>
      </c>
      <c r="N1943" t="str">
        <f t="shared" si="123"/>
        <v>Jun</v>
      </c>
    </row>
    <row r="1944" spans="1:14" x14ac:dyDescent="0.3">
      <c r="A1944" s="2" t="s">
        <v>2010</v>
      </c>
      <c r="B1944" s="6">
        <v>45823</v>
      </c>
      <c r="C1944" s="2" t="s">
        <v>31</v>
      </c>
      <c r="D1944" s="2" t="s">
        <v>33</v>
      </c>
      <c r="E1944" s="2">
        <v>1</v>
      </c>
      <c r="F1944" s="7">
        <v>199</v>
      </c>
      <c r="G1944" s="8">
        <v>0.15</v>
      </c>
      <c r="H1944" s="9" t="str">
        <f>INDEX(Products!$B$2:$B$37, MATCH(D1944, Products!$A$2:$A$37, 0))</f>
        <v>Fitness Band Lite</v>
      </c>
      <c r="I1944" t="str">
        <f>INDEX(Products!$C$2:$C$37, MATCH(D1944, Products!$A$2:$A$37, 0))</f>
        <v>Electronics</v>
      </c>
      <c r="J1944">
        <f>INDEX(Products!$E$2:$E$37, MATCH(D1944, Products!$A$2:$A$37, 0))</f>
        <v>175</v>
      </c>
      <c r="K1944" s="9">
        <f t="shared" si="120"/>
        <v>169.15</v>
      </c>
      <c r="L1944">
        <f t="shared" si="121"/>
        <v>175</v>
      </c>
      <c r="M1944" s="9">
        <f t="shared" si="122"/>
        <v>-5.8499999999999943</v>
      </c>
      <c r="N1944" t="str">
        <f t="shared" si="123"/>
        <v>Jun</v>
      </c>
    </row>
    <row r="1945" spans="1:14" x14ac:dyDescent="0.3">
      <c r="A1945" s="2" t="s">
        <v>2011</v>
      </c>
      <c r="B1945" s="6">
        <v>45823</v>
      </c>
      <c r="C1945" s="2" t="s">
        <v>48</v>
      </c>
      <c r="D1945" s="2" t="s">
        <v>99</v>
      </c>
      <c r="E1945" s="2">
        <v>2</v>
      </c>
      <c r="F1945" s="7">
        <v>459</v>
      </c>
      <c r="G1945" s="8">
        <v>0.2</v>
      </c>
      <c r="H1945" s="9" t="str">
        <f>INDEX(Products!$B$2:$B$37, MATCH(D1945, Products!$A$2:$A$37, 0))</f>
        <v>Gaming Headset X</v>
      </c>
      <c r="I1945" t="str">
        <f>INDEX(Products!$C$2:$C$37, MATCH(D1945, Products!$A$2:$A$37, 0))</f>
        <v>Electronics</v>
      </c>
      <c r="J1945">
        <f>INDEX(Products!$E$2:$E$37, MATCH(D1945, Products!$A$2:$A$37, 0))</f>
        <v>300</v>
      </c>
      <c r="K1945" s="9">
        <f t="shared" si="120"/>
        <v>734.40000000000009</v>
      </c>
      <c r="L1945">
        <f t="shared" si="121"/>
        <v>600</v>
      </c>
      <c r="M1945" s="9">
        <f t="shared" si="122"/>
        <v>134.40000000000009</v>
      </c>
      <c r="N1945" t="str">
        <f t="shared" si="123"/>
        <v>Jun</v>
      </c>
    </row>
    <row r="1946" spans="1:14" x14ac:dyDescent="0.3">
      <c r="A1946" s="2" t="s">
        <v>2012</v>
      </c>
      <c r="B1946" s="6">
        <v>45823</v>
      </c>
      <c r="C1946" s="2" t="s">
        <v>28</v>
      </c>
      <c r="D1946" s="2" t="s">
        <v>52</v>
      </c>
      <c r="E1946" s="2">
        <v>1</v>
      </c>
      <c r="F1946" s="7">
        <v>299</v>
      </c>
      <c r="G1946" s="8">
        <v>0.15</v>
      </c>
      <c r="H1946" s="9" t="str">
        <f>INDEX(Products!$B$2:$B$37, MATCH(D1946, Products!$A$2:$A$37, 0))</f>
        <v>Hair Dryer Ionic</v>
      </c>
      <c r="I1946" t="str">
        <f>INDEX(Products!$C$2:$C$37, MATCH(D1946, Products!$A$2:$A$37, 0))</f>
        <v>Beauty</v>
      </c>
      <c r="J1946">
        <f>INDEX(Products!$E$2:$E$37, MATCH(D1946, Products!$A$2:$A$37, 0))</f>
        <v>240</v>
      </c>
      <c r="K1946" s="9">
        <f t="shared" si="120"/>
        <v>254.15</v>
      </c>
      <c r="L1946">
        <f t="shared" si="121"/>
        <v>240</v>
      </c>
      <c r="M1946" s="9">
        <f t="shared" si="122"/>
        <v>14.150000000000006</v>
      </c>
      <c r="N1946" t="str">
        <f t="shared" si="123"/>
        <v>Jun</v>
      </c>
    </row>
    <row r="1947" spans="1:14" x14ac:dyDescent="0.3">
      <c r="A1947" s="2" t="s">
        <v>2013</v>
      </c>
      <c r="B1947" s="6">
        <v>45823</v>
      </c>
      <c r="C1947" s="2" t="s">
        <v>28</v>
      </c>
      <c r="D1947" s="2" t="s">
        <v>103</v>
      </c>
      <c r="E1947" s="2">
        <v>2</v>
      </c>
      <c r="F1947" s="7">
        <v>89</v>
      </c>
      <c r="G1947" s="8">
        <v>0.05</v>
      </c>
      <c r="H1947" s="9" t="str">
        <f>INDEX(Products!$B$2:$B$37, MATCH(D1947, Products!$A$2:$A$37, 0))</f>
        <v>Sunscreen SPF50</v>
      </c>
      <c r="I1947" t="str">
        <f>INDEX(Products!$C$2:$C$37, MATCH(D1947, Products!$A$2:$A$37, 0))</f>
        <v>Beauty</v>
      </c>
      <c r="J1947">
        <f>INDEX(Products!$E$2:$E$37, MATCH(D1947, Products!$A$2:$A$37, 0))</f>
        <v>40</v>
      </c>
      <c r="K1947" s="9">
        <f t="shared" si="120"/>
        <v>169.1</v>
      </c>
      <c r="L1947">
        <f t="shared" si="121"/>
        <v>80</v>
      </c>
      <c r="M1947" s="9">
        <f t="shared" si="122"/>
        <v>89.1</v>
      </c>
      <c r="N1947" t="str">
        <f t="shared" si="123"/>
        <v>Jun</v>
      </c>
    </row>
    <row r="1948" spans="1:14" x14ac:dyDescent="0.3">
      <c r="A1948" s="2" t="s">
        <v>2014</v>
      </c>
      <c r="B1948" s="6">
        <v>45823</v>
      </c>
      <c r="C1948" s="2" t="s">
        <v>44</v>
      </c>
      <c r="D1948" s="2" t="s">
        <v>37</v>
      </c>
      <c r="E1948" s="2">
        <v>2</v>
      </c>
      <c r="F1948" s="7">
        <v>249</v>
      </c>
      <c r="G1948" s="8">
        <v>0.1</v>
      </c>
      <c r="H1948" s="9" t="str">
        <f>INDEX(Products!$B$2:$B$37, MATCH(D1948, Products!$A$2:$A$37, 0))</f>
        <v>Sunglasses Polarised</v>
      </c>
      <c r="I1948" t="str">
        <f>INDEX(Products!$C$2:$C$37, MATCH(D1948, Products!$A$2:$A$37, 0))</f>
        <v>Fashion</v>
      </c>
      <c r="J1948">
        <f>INDEX(Products!$E$2:$E$37, MATCH(D1948, Products!$A$2:$A$37, 0))</f>
        <v>95</v>
      </c>
      <c r="K1948" s="9">
        <f t="shared" si="120"/>
        <v>448.2</v>
      </c>
      <c r="L1948">
        <f t="shared" si="121"/>
        <v>190</v>
      </c>
      <c r="M1948" s="9">
        <f t="shared" si="122"/>
        <v>258.2</v>
      </c>
      <c r="N1948" t="str">
        <f t="shared" si="123"/>
        <v>Jun</v>
      </c>
    </row>
    <row r="1949" spans="1:14" x14ac:dyDescent="0.3">
      <c r="A1949" s="2" t="s">
        <v>2015</v>
      </c>
      <c r="B1949" s="6">
        <v>45823</v>
      </c>
      <c r="C1949" s="2" t="s">
        <v>44</v>
      </c>
      <c r="D1949" s="2" t="s">
        <v>33</v>
      </c>
      <c r="E1949" s="2">
        <v>1</v>
      </c>
      <c r="F1949" s="7">
        <v>199</v>
      </c>
      <c r="G1949" s="8">
        <v>0.25</v>
      </c>
      <c r="H1949" s="9" t="str">
        <f>INDEX(Products!$B$2:$B$37, MATCH(D1949, Products!$A$2:$A$37, 0))</f>
        <v>Fitness Band Lite</v>
      </c>
      <c r="I1949" t="str">
        <f>INDEX(Products!$C$2:$C$37, MATCH(D1949, Products!$A$2:$A$37, 0))</f>
        <v>Electronics</v>
      </c>
      <c r="J1949">
        <f>INDEX(Products!$E$2:$E$37, MATCH(D1949, Products!$A$2:$A$37, 0))</f>
        <v>175</v>
      </c>
      <c r="K1949" s="9">
        <f t="shared" si="120"/>
        <v>149.25</v>
      </c>
      <c r="L1949">
        <f t="shared" si="121"/>
        <v>175</v>
      </c>
      <c r="M1949" s="9">
        <f t="shared" si="122"/>
        <v>-25.75</v>
      </c>
      <c r="N1949" t="str">
        <f t="shared" si="123"/>
        <v>Jun</v>
      </c>
    </row>
    <row r="1950" spans="1:14" x14ac:dyDescent="0.3">
      <c r="A1950" s="2" t="s">
        <v>2016</v>
      </c>
      <c r="B1950" s="6">
        <v>45823</v>
      </c>
      <c r="C1950" s="2" t="s">
        <v>28</v>
      </c>
      <c r="D1950" s="2" t="s">
        <v>103</v>
      </c>
      <c r="E1950" s="2">
        <v>3</v>
      </c>
      <c r="F1950" s="7">
        <v>89</v>
      </c>
      <c r="G1950" s="8">
        <v>0</v>
      </c>
      <c r="H1950" s="9" t="str">
        <f>INDEX(Products!$B$2:$B$37, MATCH(D1950, Products!$A$2:$A$37, 0))</f>
        <v>Sunscreen SPF50</v>
      </c>
      <c r="I1950" t="str">
        <f>INDEX(Products!$C$2:$C$37, MATCH(D1950, Products!$A$2:$A$37, 0))</f>
        <v>Beauty</v>
      </c>
      <c r="J1950">
        <f>INDEX(Products!$E$2:$E$37, MATCH(D1950, Products!$A$2:$A$37, 0))</f>
        <v>40</v>
      </c>
      <c r="K1950" s="9">
        <f t="shared" si="120"/>
        <v>267</v>
      </c>
      <c r="L1950">
        <f t="shared" si="121"/>
        <v>120</v>
      </c>
      <c r="M1950" s="9">
        <f t="shared" si="122"/>
        <v>147</v>
      </c>
      <c r="N1950" t="str">
        <f t="shared" si="123"/>
        <v>Jun</v>
      </c>
    </row>
    <row r="1951" spans="1:14" x14ac:dyDescent="0.3">
      <c r="A1951" s="2" t="s">
        <v>2017</v>
      </c>
      <c r="B1951" s="6">
        <v>45823</v>
      </c>
      <c r="C1951" s="2" t="s">
        <v>41</v>
      </c>
      <c r="D1951" s="2" t="s">
        <v>83</v>
      </c>
      <c r="E1951" s="2">
        <v>3</v>
      </c>
      <c r="F1951" s="7">
        <v>229</v>
      </c>
      <c r="G1951" s="8">
        <v>0.1</v>
      </c>
      <c r="H1951" s="9" t="str">
        <f>INDEX(Products!$B$2:$B$37, MATCH(D1951, Products!$A$2:$A$37, 0))</f>
        <v>Cycling Helmet</v>
      </c>
      <c r="I1951" t="str">
        <f>INDEX(Products!$C$2:$C$37, MATCH(D1951, Products!$A$2:$A$37, 0))</f>
        <v>Sports</v>
      </c>
      <c r="J1951">
        <f>INDEX(Products!$E$2:$E$37, MATCH(D1951, Products!$A$2:$A$37, 0))</f>
        <v>120</v>
      </c>
      <c r="K1951" s="9">
        <f t="shared" si="120"/>
        <v>618.30000000000007</v>
      </c>
      <c r="L1951">
        <f t="shared" si="121"/>
        <v>360</v>
      </c>
      <c r="M1951" s="9">
        <f t="shared" si="122"/>
        <v>258.30000000000007</v>
      </c>
      <c r="N1951" t="str">
        <f t="shared" si="123"/>
        <v>Jun</v>
      </c>
    </row>
    <row r="1952" spans="1:14" x14ac:dyDescent="0.3">
      <c r="A1952" s="2" t="s">
        <v>2018</v>
      </c>
      <c r="B1952" s="6">
        <v>45823</v>
      </c>
      <c r="C1952" s="2" t="s">
        <v>28</v>
      </c>
      <c r="D1952" s="2" t="s">
        <v>126</v>
      </c>
      <c r="E1952" s="2">
        <v>2</v>
      </c>
      <c r="F1952" s="7">
        <v>89</v>
      </c>
      <c r="G1952" s="8">
        <v>0</v>
      </c>
      <c r="H1952" s="9" t="str">
        <f>INDEX(Products!$B$2:$B$37, MATCH(D1952, Products!$A$2:$A$37, 0))</f>
        <v>USB-C Fast Charger</v>
      </c>
      <c r="I1952" t="str">
        <f>INDEX(Products!$C$2:$C$37, MATCH(D1952, Products!$A$2:$A$37, 0))</f>
        <v>Electronics</v>
      </c>
      <c r="J1952">
        <f>INDEX(Products!$E$2:$E$37, MATCH(D1952, Products!$A$2:$A$37, 0))</f>
        <v>35</v>
      </c>
      <c r="K1952" s="9">
        <f t="shared" si="120"/>
        <v>178</v>
      </c>
      <c r="L1952">
        <f t="shared" si="121"/>
        <v>70</v>
      </c>
      <c r="M1952" s="9">
        <f t="shared" si="122"/>
        <v>108</v>
      </c>
      <c r="N1952" t="str">
        <f t="shared" si="123"/>
        <v>Jun</v>
      </c>
    </row>
    <row r="1953" spans="1:14" x14ac:dyDescent="0.3">
      <c r="A1953" s="2" t="s">
        <v>2019</v>
      </c>
      <c r="B1953" s="6">
        <v>45823</v>
      </c>
      <c r="C1953" s="2" t="s">
        <v>44</v>
      </c>
      <c r="D1953" s="2" t="s">
        <v>80</v>
      </c>
      <c r="E1953" s="2">
        <v>2</v>
      </c>
      <c r="F1953" s="7">
        <v>149</v>
      </c>
      <c r="G1953" s="8">
        <v>0</v>
      </c>
      <c r="H1953" s="9" t="str">
        <f>INDEX(Products!$B$2:$B$37, MATCH(D1953, Products!$A$2:$A$37, 0))</f>
        <v>Vitamin C Serum</v>
      </c>
      <c r="I1953" t="str">
        <f>INDEX(Products!$C$2:$C$37, MATCH(D1953, Products!$A$2:$A$37, 0))</f>
        <v>Beauty</v>
      </c>
      <c r="J1953">
        <f>INDEX(Products!$E$2:$E$37, MATCH(D1953, Products!$A$2:$A$37, 0))</f>
        <v>55</v>
      </c>
      <c r="K1953" s="9">
        <f t="shared" si="120"/>
        <v>298</v>
      </c>
      <c r="L1953">
        <f t="shared" si="121"/>
        <v>110</v>
      </c>
      <c r="M1953" s="9">
        <f t="shared" si="122"/>
        <v>188</v>
      </c>
      <c r="N1953" t="str">
        <f t="shared" si="123"/>
        <v>Jun</v>
      </c>
    </row>
    <row r="1954" spans="1:14" x14ac:dyDescent="0.3">
      <c r="A1954" s="2" t="s">
        <v>2020</v>
      </c>
      <c r="B1954" s="6">
        <v>45824</v>
      </c>
      <c r="C1954" s="2" t="s">
        <v>28</v>
      </c>
      <c r="D1954" s="2" t="s">
        <v>29</v>
      </c>
      <c r="E1954" s="2">
        <v>1</v>
      </c>
      <c r="F1954" s="7">
        <v>229</v>
      </c>
      <c r="G1954" s="8">
        <v>0</v>
      </c>
      <c r="H1954" s="9" t="str">
        <f>INDEX(Products!$B$2:$B$37, MATCH(D1954, Products!$A$2:$A$37, 0))</f>
        <v>Women's Summer Dress</v>
      </c>
      <c r="I1954" t="str">
        <f>INDEX(Products!$C$2:$C$37, MATCH(D1954, Products!$A$2:$A$37, 0))</f>
        <v>Fashion</v>
      </c>
      <c r="J1954">
        <f>INDEX(Products!$E$2:$E$37, MATCH(D1954, Products!$A$2:$A$37, 0))</f>
        <v>120</v>
      </c>
      <c r="K1954" s="9">
        <f t="shared" si="120"/>
        <v>229</v>
      </c>
      <c r="L1954">
        <f t="shared" si="121"/>
        <v>120</v>
      </c>
      <c r="M1954" s="9">
        <f t="shared" si="122"/>
        <v>109</v>
      </c>
      <c r="N1954" t="str">
        <f t="shared" si="123"/>
        <v>Jun</v>
      </c>
    </row>
    <row r="1955" spans="1:14" x14ac:dyDescent="0.3">
      <c r="A1955" s="2" t="s">
        <v>2021</v>
      </c>
      <c r="B1955" s="6">
        <v>45824</v>
      </c>
      <c r="C1955" s="2" t="s">
        <v>44</v>
      </c>
      <c r="D1955" s="2" t="s">
        <v>109</v>
      </c>
      <c r="E1955" s="2">
        <v>2</v>
      </c>
      <c r="F1955" s="7">
        <v>1499</v>
      </c>
      <c r="G1955" s="8">
        <v>0.3</v>
      </c>
      <c r="H1955" s="9" t="str">
        <f>INDEX(Products!$B$2:$B$37, MATCH(D1955, Products!$A$2:$A$37, 0))</f>
        <v>Espresso Machine</v>
      </c>
      <c r="I1955" t="str">
        <f>INDEX(Products!$C$2:$C$37, MATCH(D1955, Products!$A$2:$A$37, 0))</f>
        <v>Home &amp; Kitchen</v>
      </c>
      <c r="J1955">
        <f>INDEX(Products!$E$2:$E$37, MATCH(D1955, Products!$A$2:$A$37, 0))</f>
        <v>1050</v>
      </c>
      <c r="K1955" s="9">
        <f t="shared" si="120"/>
        <v>2098.6</v>
      </c>
      <c r="L1955">
        <f t="shared" si="121"/>
        <v>2100</v>
      </c>
      <c r="M1955" s="9">
        <f t="shared" si="122"/>
        <v>-1.4000000000000909</v>
      </c>
      <c r="N1955" t="str">
        <f t="shared" si="123"/>
        <v>Jun</v>
      </c>
    </row>
    <row r="1956" spans="1:14" x14ac:dyDescent="0.3">
      <c r="A1956" s="2" t="s">
        <v>2022</v>
      </c>
      <c r="B1956" s="6">
        <v>45824</v>
      </c>
      <c r="C1956" s="2" t="s">
        <v>28</v>
      </c>
      <c r="D1956" s="2" t="s">
        <v>103</v>
      </c>
      <c r="E1956" s="2">
        <v>1</v>
      </c>
      <c r="F1956" s="7">
        <v>89</v>
      </c>
      <c r="G1956" s="8">
        <v>0.2</v>
      </c>
      <c r="H1956" s="9" t="str">
        <f>INDEX(Products!$B$2:$B$37, MATCH(D1956, Products!$A$2:$A$37, 0))</f>
        <v>Sunscreen SPF50</v>
      </c>
      <c r="I1956" t="str">
        <f>INDEX(Products!$C$2:$C$37, MATCH(D1956, Products!$A$2:$A$37, 0))</f>
        <v>Beauty</v>
      </c>
      <c r="J1956">
        <f>INDEX(Products!$E$2:$E$37, MATCH(D1956, Products!$A$2:$A$37, 0))</f>
        <v>40</v>
      </c>
      <c r="K1956" s="9">
        <f t="shared" si="120"/>
        <v>71.2</v>
      </c>
      <c r="L1956">
        <f t="shared" si="121"/>
        <v>40</v>
      </c>
      <c r="M1956" s="9">
        <f t="shared" si="122"/>
        <v>31.200000000000003</v>
      </c>
      <c r="N1956" t="str">
        <f t="shared" si="123"/>
        <v>Jun</v>
      </c>
    </row>
    <row r="1957" spans="1:14" x14ac:dyDescent="0.3">
      <c r="A1957" s="2" t="s">
        <v>2023</v>
      </c>
      <c r="B1957" s="6">
        <v>45824</v>
      </c>
      <c r="C1957" s="2" t="s">
        <v>41</v>
      </c>
      <c r="D1957" s="2" t="s">
        <v>33</v>
      </c>
      <c r="E1957" s="2">
        <v>1</v>
      </c>
      <c r="F1957" s="7">
        <v>199</v>
      </c>
      <c r="G1957" s="8">
        <v>0.15</v>
      </c>
      <c r="H1957" s="9" t="str">
        <f>INDEX(Products!$B$2:$B$37, MATCH(D1957, Products!$A$2:$A$37, 0))</f>
        <v>Fitness Band Lite</v>
      </c>
      <c r="I1957" t="str">
        <f>INDEX(Products!$C$2:$C$37, MATCH(D1957, Products!$A$2:$A$37, 0))</f>
        <v>Electronics</v>
      </c>
      <c r="J1957">
        <f>INDEX(Products!$E$2:$E$37, MATCH(D1957, Products!$A$2:$A$37, 0))</f>
        <v>175</v>
      </c>
      <c r="K1957" s="9">
        <f t="shared" si="120"/>
        <v>169.15</v>
      </c>
      <c r="L1957">
        <f t="shared" si="121"/>
        <v>175</v>
      </c>
      <c r="M1957" s="9">
        <f t="shared" si="122"/>
        <v>-5.8499999999999943</v>
      </c>
      <c r="N1957" t="str">
        <f t="shared" si="123"/>
        <v>Jun</v>
      </c>
    </row>
    <row r="1958" spans="1:14" x14ac:dyDescent="0.3">
      <c r="A1958" s="2" t="s">
        <v>2024</v>
      </c>
      <c r="B1958" s="6">
        <v>45824</v>
      </c>
      <c r="C1958" s="2" t="s">
        <v>28</v>
      </c>
      <c r="D1958" s="2" t="s">
        <v>83</v>
      </c>
      <c r="E1958" s="2">
        <v>1</v>
      </c>
      <c r="F1958" s="7">
        <v>229</v>
      </c>
      <c r="G1958" s="8">
        <v>0.15</v>
      </c>
      <c r="H1958" s="9" t="str">
        <f>INDEX(Products!$B$2:$B$37, MATCH(D1958, Products!$A$2:$A$37, 0))</f>
        <v>Cycling Helmet</v>
      </c>
      <c r="I1958" t="str">
        <f>INDEX(Products!$C$2:$C$37, MATCH(D1958, Products!$A$2:$A$37, 0))</f>
        <v>Sports</v>
      </c>
      <c r="J1958">
        <f>INDEX(Products!$E$2:$E$37, MATCH(D1958, Products!$A$2:$A$37, 0))</f>
        <v>120</v>
      </c>
      <c r="K1958" s="9">
        <f t="shared" si="120"/>
        <v>194.65</v>
      </c>
      <c r="L1958">
        <f t="shared" si="121"/>
        <v>120</v>
      </c>
      <c r="M1958" s="9">
        <f t="shared" si="122"/>
        <v>74.650000000000006</v>
      </c>
      <c r="N1958" t="str">
        <f t="shared" si="123"/>
        <v>Jun</v>
      </c>
    </row>
    <row r="1959" spans="1:14" x14ac:dyDescent="0.3">
      <c r="A1959" s="2" t="s">
        <v>2025</v>
      </c>
      <c r="B1959" s="6">
        <v>45824</v>
      </c>
      <c r="C1959" s="2" t="s">
        <v>44</v>
      </c>
      <c r="D1959" s="2" t="s">
        <v>78</v>
      </c>
      <c r="E1959" s="2">
        <v>1</v>
      </c>
      <c r="F1959" s="7">
        <v>499</v>
      </c>
      <c r="G1959" s="8">
        <v>0.15</v>
      </c>
      <c r="H1959" s="9" t="str">
        <f>INDEX(Products!$B$2:$B$37, MATCH(D1959, Products!$A$2:$A$37, 0))</f>
        <v>Air Fryer 5L</v>
      </c>
      <c r="I1959" t="str">
        <f>INDEX(Products!$C$2:$C$37, MATCH(D1959, Products!$A$2:$A$37, 0))</f>
        <v>Home &amp; Kitchen</v>
      </c>
      <c r="J1959">
        <f>INDEX(Products!$E$2:$E$37, MATCH(D1959, Products!$A$2:$A$37, 0))</f>
        <v>290</v>
      </c>
      <c r="K1959" s="9">
        <f t="shared" si="120"/>
        <v>424.15</v>
      </c>
      <c r="L1959">
        <f t="shared" si="121"/>
        <v>290</v>
      </c>
      <c r="M1959" s="9">
        <f t="shared" si="122"/>
        <v>134.14999999999998</v>
      </c>
      <c r="N1959" t="str">
        <f t="shared" si="123"/>
        <v>Jun</v>
      </c>
    </row>
    <row r="1960" spans="1:14" x14ac:dyDescent="0.3">
      <c r="A1960" s="2" t="s">
        <v>2026</v>
      </c>
      <c r="B1960" s="6">
        <v>45824</v>
      </c>
      <c r="C1960" s="2" t="s">
        <v>28</v>
      </c>
      <c r="D1960" s="2" t="s">
        <v>46</v>
      </c>
      <c r="E1960" s="2">
        <v>1</v>
      </c>
      <c r="F1960" s="7">
        <v>189</v>
      </c>
      <c r="G1960" s="8">
        <v>0</v>
      </c>
      <c r="H1960" s="9" t="str">
        <f>INDEX(Products!$B$2:$B$37, MATCH(D1960, Products!$A$2:$A$37, 0))</f>
        <v>Makeup Palette</v>
      </c>
      <c r="I1960" t="str">
        <f>INDEX(Products!$C$2:$C$37, MATCH(D1960, Products!$A$2:$A$37, 0))</f>
        <v>Beauty</v>
      </c>
      <c r="J1960">
        <f>INDEX(Products!$E$2:$E$37, MATCH(D1960, Products!$A$2:$A$37, 0))</f>
        <v>85</v>
      </c>
      <c r="K1960" s="9">
        <f t="shared" si="120"/>
        <v>189</v>
      </c>
      <c r="L1960">
        <f t="shared" si="121"/>
        <v>85</v>
      </c>
      <c r="M1960" s="9">
        <f t="shared" si="122"/>
        <v>104</v>
      </c>
      <c r="N1960" t="str">
        <f t="shared" si="123"/>
        <v>Jun</v>
      </c>
    </row>
    <row r="1961" spans="1:14" x14ac:dyDescent="0.3">
      <c r="A1961" s="2" t="s">
        <v>2027</v>
      </c>
      <c r="B1961" s="6">
        <v>45824</v>
      </c>
      <c r="C1961" s="2" t="s">
        <v>28</v>
      </c>
      <c r="D1961" s="2" t="s">
        <v>33</v>
      </c>
      <c r="E1961" s="2">
        <v>1</v>
      </c>
      <c r="F1961" s="7">
        <v>199</v>
      </c>
      <c r="G1961" s="8">
        <v>0.1</v>
      </c>
      <c r="H1961" s="9" t="str">
        <f>INDEX(Products!$B$2:$B$37, MATCH(D1961, Products!$A$2:$A$37, 0))</f>
        <v>Fitness Band Lite</v>
      </c>
      <c r="I1961" t="str">
        <f>INDEX(Products!$C$2:$C$37, MATCH(D1961, Products!$A$2:$A$37, 0))</f>
        <v>Electronics</v>
      </c>
      <c r="J1961">
        <f>INDEX(Products!$E$2:$E$37, MATCH(D1961, Products!$A$2:$A$37, 0))</f>
        <v>175</v>
      </c>
      <c r="K1961" s="9">
        <f t="shared" si="120"/>
        <v>179.1</v>
      </c>
      <c r="L1961">
        <f t="shared" si="121"/>
        <v>175</v>
      </c>
      <c r="M1961" s="9">
        <f t="shared" si="122"/>
        <v>4.0999999999999943</v>
      </c>
      <c r="N1961" t="str">
        <f t="shared" si="123"/>
        <v>Jun</v>
      </c>
    </row>
    <row r="1962" spans="1:14" x14ac:dyDescent="0.3">
      <c r="A1962" s="2" t="s">
        <v>2028</v>
      </c>
      <c r="B1962" s="6">
        <v>45824</v>
      </c>
      <c r="C1962" s="2" t="s">
        <v>31</v>
      </c>
      <c r="D1962" s="2" t="s">
        <v>115</v>
      </c>
      <c r="E1962" s="2">
        <v>2</v>
      </c>
      <c r="F1962" s="7">
        <v>129</v>
      </c>
      <c r="G1962" s="8">
        <v>0.15</v>
      </c>
      <c r="H1962" s="9" t="str">
        <f>INDEX(Products!$B$2:$B$37, MATCH(D1962, Products!$A$2:$A$37, 0))</f>
        <v>Electric Kettle</v>
      </c>
      <c r="I1962" t="str">
        <f>INDEX(Products!$C$2:$C$37, MATCH(D1962, Products!$A$2:$A$37, 0))</f>
        <v>Home &amp; Kitchen</v>
      </c>
      <c r="J1962">
        <f>INDEX(Products!$E$2:$E$37, MATCH(D1962, Products!$A$2:$A$37, 0))</f>
        <v>60</v>
      </c>
      <c r="K1962" s="9">
        <f t="shared" si="120"/>
        <v>219.29999999999998</v>
      </c>
      <c r="L1962">
        <f t="shared" si="121"/>
        <v>120</v>
      </c>
      <c r="M1962" s="9">
        <f t="shared" si="122"/>
        <v>99.299999999999983</v>
      </c>
      <c r="N1962" t="str">
        <f t="shared" si="123"/>
        <v>Jun</v>
      </c>
    </row>
    <row r="1963" spans="1:14" x14ac:dyDescent="0.3">
      <c r="A1963" s="2" t="s">
        <v>2029</v>
      </c>
      <c r="B1963" s="6">
        <v>45824</v>
      </c>
      <c r="C1963" s="2" t="s">
        <v>44</v>
      </c>
      <c r="D1963" s="2" t="s">
        <v>92</v>
      </c>
      <c r="E1963" s="2">
        <v>1</v>
      </c>
      <c r="F1963" s="7">
        <v>349</v>
      </c>
      <c r="G1963" s="8">
        <v>0.1</v>
      </c>
      <c r="H1963" s="9" t="str">
        <f>INDEX(Products!$B$2:$B$37, MATCH(D1963, Products!$A$2:$A$37, 0))</f>
        <v>Non-stick Cookware Set</v>
      </c>
      <c r="I1963" t="str">
        <f>INDEX(Products!$C$2:$C$37, MATCH(D1963, Products!$A$2:$A$37, 0))</f>
        <v>Home &amp; Kitchen</v>
      </c>
      <c r="J1963">
        <f>INDEX(Products!$E$2:$E$37, MATCH(D1963, Products!$A$2:$A$37, 0))</f>
        <v>170</v>
      </c>
      <c r="K1963" s="9">
        <f t="shared" si="120"/>
        <v>314.10000000000002</v>
      </c>
      <c r="L1963">
        <f t="shared" si="121"/>
        <v>170</v>
      </c>
      <c r="M1963" s="9">
        <f t="shared" si="122"/>
        <v>144.10000000000002</v>
      </c>
      <c r="N1963" t="str">
        <f t="shared" si="123"/>
        <v>Jun</v>
      </c>
    </row>
    <row r="1964" spans="1:14" x14ac:dyDescent="0.3">
      <c r="A1964" s="2" t="s">
        <v>2030</v>
      </c>
      <c r="B1964" s="6">
        <v>45825</v>
      </c>
      <c r="C1964" s="2" t="s">
        <v>44</v>
      </c>
      <c r="D1964" s="2" t="s">
        <v>42</v>
      </c>
      <c r="E1964" s="2">
        <v>1</v>
      </c>
      <c r="F1964" s="7">
        <v>399</v>
      </c>
      <c r="G1964" s="8">
        <v>0.05</v>
      </c>
      <c r="H1964" s="9" t="str">
        <f>INDEX(Products!$B$2:$B$37, MATCH(D1964, Products!$A$2:$A$37, 0))</f>
        <v>Wireless Earbuds Pro</v>
      </c>
      <c r="I1964" t="str">
        <f>INDEX(Products!$C$2:$C$37, MATCH(D1964, Products!$A$2:$A$37, 0))</f>
        <v>Electronics</v>
      </c>
      <c r="J1964">
        <f>INDEX(Products!$E$2:$E$37, MATCH(D1964, Products!$A$2:$A$37, 0))</f>
        <v>230</v>
      </c>
      <c r="K1964" s="9">
        <f t="shared" si="120"/>
        <v>379.04999999999995</v>
      </c>
      <c r="L1964">
        <f t="shared" si="121"/>
        <v>230</v>
      </c>
      <c r="M1964" s="9">
        <f t="shared" si="122"/>
        <v>149.04999999999995</v>
      </c>
      <c r="N1964" t="str">
        <f t="shared" si="123"/>
        <v>Jun</v>
      </c>
    </row>
    <row r="1965" spans="1:14" x14ac:dyDescent="0.3">
      <c r="A1965" s="2" t="s">
        <v>2031</v>
      </c>
      <c r="B1965" s="6">
        <v>45825</v>
      </c>
      <c r="C1965" s="2" t="s">
        <v>41</v>
      </c>
      <c r="D1965" s="2" t="s">
        <v>52</v>
      </c>
      <c r="E1965" s="2">
        <v>1</v>
      </c>
      <c r="F1965" s="7">
        <v>299</v>
      </c>
      <c r="G1965" s="8">
        <v>0.25</v>
      </c>
      <c r="H1965" s="9" t="str">
        <f>INDEX(Products!$B$2:$B$37, MATCH(D1965, Products!$A$2:$A$37, 0))</f>
        <v>Hair Dryer Ionic</v>
      </c>
      <c r="I1965" t="str">
        <f>INDEX(Products!$C$2:$C$37, MATCH(D1965, Products!$A$2:$A$37, 0))</f>
        <v>Beauty</v>
      </c>
      <c r="J1965">
        <f>INDEX(Products!$E$2:$E$37, MATCH(D1965, Products!$A$2:$A$37, 0))</f>
        <v>240</v>
      </c>
      <c r="K1965" s="9">
        <f t="shared" si="120"/>
        <v>224.25</v>
      </c>
      <c r="L1965">
        <f t="shared" si="121"/>
        <v>240</v>
      </c>
      <c r="M1965" s="9">
        <f t="shared" si="122"/>
        <v>-15.75</v>
      </c>
      <c r="N1965" t="str">
        <f t="shared" si="123"/>
        <v>Jun</v>
      </c>
    </row>
    <row r="1966" spans="1:14" x14ac:dyDescent="0.3">
      <c r="A1966" s="2" t="s">
        <v>2032</v>
      </c>
      <c r="B1966" s="6">
        <v>45825</v>
      </c>
      <c r="C1966" s="2" t="s">
        <v>44</v>
      </c>
      <c r="D1966" s="2" t="s">
        <v>58</v>
      </c>
      <c r="E1966" s="2">
        <v>2</v>
      </c>
      <c r="F1966" s="7">
        <v>459</v>
      </c>
      <c r="G1966" s="8">
        <v>0</v>
      </c>
      <c r="H1966" s="9" t="str">
        <f>INDEX(Products!$B$2:$B$37, MATCH(D1966, Products!$A$2:$A$37, 0))</f>
        <v>Women's Abaya Classic</v>
      </c>
      <c r="I1966" t="str">
        <f>INDEX(Products!$C$2:$C$37, MATCH(D1966, Products!$A$2:$A$37, 0))</f>
        <v>Fashion</v>
      </c>
      <c r="J1966">
        <f>INDEX(Products!$E$2:$E$37, MATCH(D1966, Products!$A$2:$A$37, 0))</f>
        <v>190</v>
      </c>
      <c r="K1966" s="9">
        <f t="shared" si="120"/>
        <v>918</v>
      </c>
      <c r="L1966">
        <f t="shared" si="121"/>
        <v>380</v>
      </c>
      <c r="M1966" s="9">
        <f t="shared" si="122"/>
        <v>538</v>
      </c>
      <c r="N1966" t="str">
        <f t="shared" si="123"/>
        <v>Jun</v>
      </c>
    </row>
    <row r="1967" spans="1:14" x14ac:dyDescent="0.3">
      <c r="A1967" s="2" t="s">
        <v>2033</v>
      </c>
      <c r="B1967" s="6">
        <v>45825</v>
      </c>
      <c r="C1967" s="2" t="s">
        <v>44</v>
      </c>
      <c r="D1967" s="2" t="s">
        <v>95</v>
      </c>
      <c r="E1967" s="2">
        <v>1</v>
      </c>
      <c r="F1967" s="7">
        <v>259</v>
      </c>
      <c r="G1967" s="8">
        <v>0.05</v>
      </c>
      <c r="H1967" s="9" t="str">
        <f>INDEX(Products!$B$2:$B$37, MATCH(D1967, Products!$A$2:$A$37, 0))</f>
        <v>Bed Linen Set (King)</v>
      </c>
      <c r="I1967" t="str">
        <f>INDEX(Products!$C$2:$C$37, MATCH(D1967, Products!$A$2:$A$37, 0))</f>
        <v>Home &amp; Kitchen</v>
      </c>
      <c r="J1967">
        <f>INDEX(Products!$E$2:$E$37, MATCH(D1967, Products!$A$2:$A$37, 0))</f>
        <v>115</v>
      </c>
      <c r="K1967" s="9">
        <f t="shared" si="120"/>
        <v>246.04999999999998</v>
      </c>
      <c r="L1967">
        <f t="shared" si="121"/>
        <v>115</v>
      </c>
      <c r="M1967" s="9">
        <f t="shared" si="122"/>
        <v>131.04999999999998</v>
      </c>
      <c r="N1967" t="str">
        <f t="shared" si="123"/>
        <v>Jun</v>
      </c>
    </row>
    <row r="1968" spans="1:14" x14ac:dyDescent="0.3">
      <c r="A1968" s="2" t="s">
        <v>2034</v>
      </c>
      <c r="B1968" s="6">
        <v>45825</v>
      </c>
      <c r="C1968" s="2" t="s">
        <v>41</v>
      </c>
      <c r="D1968" s="2" t="s">
        <v>29</v>
      </c>
      <c r="E1968" s="2">
        <v>2</v>
      </c>
      <c r="F1968" s="7">
        <v>229</v>
      </c>
      <c r="G1968" s="8">
        <v>0</v>
      </c>
      <c r="H1968" s="9" t="str">
        <f>INDEX(Products!$B$2:$B$37, MATCH(D1968, Products!$A$2:$A$37, 0))</f>
        <v>Women's Summer Dress</v>
      </c>
      <c r="I1968" t="str">
        <f>INDEX(Products!$C$2:$C$37, MATCH(D1968, Products!$A$2:$A$37, 0))</f>
        <v>Fashion</v>
      </c>
      <c r="J1968">
        <f>INDEX(Products!$E$2:$E$37, MATCH(D1968, Products!$A$2:$A$37, 0))</f>
        <v>120</v>
      </c>
      <c r="K1968" s="9">
        <f t="shared" si="120"/>
        <v>458</v>
      </c>
      <c r="L1968">
        <f t="shared" si="121"/>
        <v>240</v>
      </c>
      <c r="M1968" s="9">
        <f t="shared" si="122"/>
        <v>218</v>
      </c>
      <c r="N1968" t="str">
        <f t="shared" si="123"/>
        <v>Jun</v>
      </c>
    </row>
    <row r="1969" spans="1:14" x14ac:dyDescent="0.3">
      <c r="A1969" s="2" t="s">
        <v>2035</v>
      </c>
      <c r="B1969" s="6">
        <v>45825</v>
      </c>
      <c r="C1969" s="2" t="s">
        <v>44</v>
      </c>
      <c r="D1969" s="2" t="s">
        <v>131</v>
      </c>
      <c r="E1969" s="2">
        <v>1</v>
      </c>
      <c r="F1969" s="7">
        <v>899</v>
      </c>
      <c r="G1969" s="8">
        <v>0.1</v>
      </c>
      <c r="H1969" s="9" t="str">
        <f>INDEX(Products!$B$2:$B$37, MATCH(D1969, Products!$A$2:$A$37, 0))</f>
        <v>4K Action Camera</v>
      </c>
      <c r="I1969" t="str">
        <f>INDEX(Products!$C$2:$C$37, MATCH(D1969, Products!$A$2:$A$37, 0))</f>
        <v>Electronics</v>
      </c>
      <c r="J1969">
        <f>INDEX(Products!$E$2:$E$37, MATCH(D1969, Products!$A$2:$A$37, 0))</f>
        <v>610</v>
      </c>
      <c r="K1969" s="9">
        <f t="shared" si="120"/>
        <v>809.1</v>
      </c>
      <c r="L1969">
        <f t="shared" si="121"/>
        <v>610</v>
      </c>
      <c r="M1969" s="9">
        <f t="shared" si="122"/>
        <v>199.10000000000002</v>
      </c>
      <c r="N1969" t="str">
        <f t="shared" si="123"/>
        <v>Jun</v>
      </c>
    </row>
    <row r="1970" spans="1:14" x14ac:dyDescent="0.3">
      <c r="A1970" s="2" t="s">
        <v>2036</v>
      </c>
      <c r="B1970" s="6">
        <v>45825</v>
      </c>
      <c r="C1970" s="2" t="s">
        <v>41</v>
      </c>
      <c r="D1970" s="2" t="s">
        <v>39</v>
      </c>
      <c r="E1970" s="2">
        <v>4</v>
      </c>
      <c r="F1970" s="7">
        <v>199</v>
      </c>
      <c r="G1970" s="8">
        <v>0.15</v>
      </c>
      <c r="H1970" s="9" t="str">
        <f>INDEX(Products!$B$2:$B$37, MATCH(D1970, Products!$A$2:$A$37, 0))</f>
        <v>Bakhoor Gift Set</v>
      </c>
      <c r="I1970" t="str">
        <f>INDEX(Products!$C$2:$C$37, MATCH(D1970, Products!$A$2:$A$37, 0))</f>
        <v>Beauty</v>
      </c>
      <c r="J1970">
        <f>INDEX(Products!$E$2:$E$37, MATCH(D1970, Products!$A$2:$A$37, 0))</f>
        <v>90</v>
      </c>
      <c r="K1970" s="9">
        <f t="shared" si="120"/>
        <v>676.6</v>
      </c>
      <c r="L1970">
        <f t="shared" si="121"/>
        <v>360</v>
      </c>
      <c r="M1970" s="9">
        <f t="shared" si="122"/>
        <v>316.60000000000002</v>
      </c>
      <c r="N1970" t="str">
        <f t="shared" si="123"/>
        <v>Jun</v>
      </c>
    </row>
    <row r="1971" spans="1:14" x14ac:dyDescent="0.3">
      <c r="A1971" s="2" t="s">
        <v>2037</v>
      </c>
      <c r="B1971" s="6">
        <v>45825</v>
      </c>
      <c r="C1971" s="2" t="s">
        <v>41</v>
      </c>
      <c r="D1971" s="2" t="s">
        <v>87</v>
      </c>
      <c r="E1971" s="2">
        <v>1</v>
      </c>
      <c r="F1971" s="7">
        <v>799</v>
      </c>
      <c r="G1971" s="8">
        <v>0.25</v>
      </c>
      <c r="H1971" s="9" t="str">
        <f>INDEX(Products!$B$2:$B$37, MATCH(D1971, Products!$A$2:$A$37, 0))</f>
        <v>Adjustable Dumbbells</v>
      </c>
      <c r="I1971" t="str">
        <f>INDEX(Products!$C$2:$C$37, MATCH(D1971, Products!$A$2:$A$37, 0))</f>
        <v>Sports</v>
      </c>
      <c r="J1971">
        <f>INDEX(Products!$E$2:$E$37, MATCH(D1971, Products!$A$2:$A$37, 0))</f>
        <v>700</v>
      </c>
      <c r="K1971" s="9">
        <f t="shared" si="120"/>
        <v>599.25</v>
      </c>
      <c r="L1971">
        <f t="shared" si="121"/>
        <v>700</v>
      </c>
      <c r="M1971" s="9">
        <f t="shared" si="122"/>
        <v>-100.75</v>
      </c>
      <c r="N1971" t="str">
        <f t="shared" si="123"/>
        <v>Jun</v>
      </c>
    </row>
    <row r="1972" spans="1:14" x14ac:dyDescent="0.3">
      <c r="A1972" s="2" t="s">
        <v>2038</v>
      </c>
      <c r="B1972" s="6">
        <v>45825</v>
      </c>
      <c r="C1972" s="2" t="s">
        <v>28</v>
      </c>
      <c r="D1972" s="2" t="s">
        <v>106</v>
      </c>
      <c r="E1972" s="2">
        <v>1</v>
      </c>
      <c r="F1972" s="7">
        <v>1299</v>
      </c>
      <c r="G1972" s="8">
        <v>0.2</v>
      </c>
      <c r="H1972" s="9" t="str">
        <f>INDEX(Products!$B$2:$B$37, MATCH(D1972, Products!$A$2:$A$37, 0))</f>
        <v>Smart Watch Series 5</v>
      </c>
      <c r="I1972" t="str">
        <f>INDEX(Products!$C$2:$C$37, MATCH(D1972, Products!$A$2:$A$37, 0))</f>
        <v>Electronics</v>
      </c>
      <c r="J1972">
        <f>INDEX(Products!$E$2:$E$37, MATCH(D1972, Products!$A$2:$A$37, 0))</f>
        <v>820</v>
      </c>
      <c r="K1972" s="9">
        <f t="shared" si="120"/>
        <v>1039.2</v>
      </c>
      <c r="L1972">
        <f t="shared" si="121"/>
        <v>820</v>
      </c>
      <c r="M1972" s="9">
        <f t="shared" si="122"/>
        <v>219.20000000000005</v>
      </c>
      <c r="N1972" t="str">
        <f t="shared" si="123"/>
        <v>Jun</v>
      </c>
    </row>
    <row r="1973" spans="1:14" x14ac:dyDescent="0.3">
      <c r="A1973" s="2" t="s">
        <v>2039</v>
      </c>
      <c r="B1973" s="6">
        <v>45825</v>
      </c>
      <c r="C1973" s="2" t="s">
        <v>41</v>
      </c>
      <c r="D1973" s="2" t="s">
        <v>35</v>
      </c>
      <c r="E1973" s="2">
        <v>2</v>
      </c>
      <c r="F1973" s="7">
        <v>179</v>
      </c>
      <c r="G1973" s="8">
        <v>0</v>
      </c>
      <c r="H1973" s="9" t="str">
        <f>INDEX(Products!$B$2:$B$37, MATCH(D1973, Products!$A$2:$A$37, 0))</f>
        <v>Men's Linen Shirt</v>
      </c>
      <c r="I1973" t="str">
        <f>INDEX(Products!$C$2:$C$37, MATCH(D1973, Products!$A$2:$A$37, 0))</f>
        <v>Fashion</v>
      </c>
      <c r="J1973">
        <f>INDEX(Products!$E$2:$E$37, MATCH(D1973, Products!$A$2:$A$37, 0))</f>
        <v>70</v>
      </c>
      <c r="K1973" s="9">
        <f t="shared" si="120"/>
        <v>358</v>
      </c>
      <c r="L1973">
        <f t="shared" si="121"/>
        <v>140</v>
      </c>
      <c r="M1973" s="9">
        <f t="shared" si="122"/>
        <v>218</v>
      </c>
      <c r="N1973" t="str">
        <f t="shared" si="123"/>
        <v>Jun</v>
      </c>
    </row>
    <row r="1974" spans="1:14" x14ac:dyDescent="0.3">
      <c r="A1974" s="2" t="s">
        <v>2040</v>
      </c>
      <c r="B1974" s="6">
        <v>45825</v>
      </c>
      <c r="C1974" s="2" t="s">
        <v>41</v>
      </c>
      <c r="D1974" s="2" t="s">
        <v>58</v>
      </c>
      <c r="E1974" s="2">
        <v>3</v>
      </c>
      <c r="F1974" s="7">
        <v>459</v>
      </c>
      <c r="G1974" s="8">
        <v>0</v>
      </c>
      <c r="H1974" s="9" t="str">
        <f>INDEX(Products!$B$2:$B$37, MATCH(D1974, Products!$A$2:$A$37, 0))</f>
        <v>Women's Abaya Classic</v>
      </c>
      <c r="I1974" t="str">
        <f>INDEX(Products!$C$2:$C$37, MATCH(D1974, Products!$A$2:$A$37, 0))</f>
        <v>Fashion</v>
      </c>
      <c r="J1974">
        <f>INDEX(Products!$E$2:$E$37, MATCH(D1974, Products!$A$2:$A$37, 0))</f>
        <v>190</v>
      </c>
      <c r="K1974" s="9">
        <f t="shared" si="120"/>
        <v>1377</v>
      </c>
      <c r="L1974">
        <f t="shared" si="121"/>
        <v>570</v>
      </c>
      <c r="M1974" s="9">
        <f t="shared" si="122"/>
        <v>807</v>
      </c>
      <c r="N1974" t="str">
        <f t="shared" si="123"/>
        <v>Jun</v>
      </c>
    </row>
    <row r="1975" spans="1:14" x14ac:dyDescent="0.3">
      <c r="A1975" s="2" t="s">
        <v>2041</v>
      </c>
      <c r="B1975" s="6">
        <v>45826</v>
      </c>
      <c r="C1975" s="2" t="s">
        <v>31</v>
      </c>
      <c r="D1975" s="2" t="s">
        <v>92</v>
      </c>
      <c r="E1975" s="2">
        <v>1</v>
      </c>
      <c r="F1975" s="7">
        <v>349</v>
      </c>
      <c r="G1975" s="8">
        <v>0.2</v>
      </c>
      <c r="H1975" s="9" t="str">
        <f>INDEX(Products!$B$2:$B$37, MATCH(D1975, Products!$A$2:$A$37, 0))</f>
        <v>Non-stick Cookware Set</v>
      </c>
      <c r="I1975" t="str">
        <f>INDEX(Products!$C$2:$C$37, MATCH(D1975, Products!$A$2:$A$37, 0))</f>
        <v>Home &amp; Kitchen</v>
      </c>
      <c r="J1975">
        <f>INDEX(Products!$E$2:$E$37, MATCH(D1975, Products!$A$2:$A$37, 0))</f>
        <v>170</v>
      </c>
      <c r="K1975" s="9">
        <f t="shared" si="120"/>
        <v>279.2</v>
      </c>
      <c r="L1975">
        <f t="shared" si="121"/>
        <v>170</v>
      </c>
      <c r="M1975" s="9">
        <f t="shared" si="122"/>
        <v>109.19999999999999</v>
      </c>
      <c r="N1975" t="str">
        <f t="shared" si="123"/>
        <v>Jun</v>
      </c>
    </row>
    <row r="1976" spans="1:14" x14ac:dyDescent="0.3">
      <c r="A1976" s="2" t="s">
        <v>2042</v>
      </c>
      <c r="B1976" s="6">
        <v>45826</v>
      </c>
      <c r="C1976" s="2" t="s">
        <v>44</v>
      </c>
      <c r="D1976" s="2" t="s">
        <v>80</v>
      </c>
      <c r="E1976" s="2">
        <v>1</v>
      </c>
      <c r="F1976" s="7">
        <v>149</v>
      </c>
      <c r="G1976" s="8">
        <v>0</v>
      </c>
      <c r="H1976" s="9" t="str">
        <f>INDEX(Products!$B$2:$B$37, MATCH(D1976, Products!$A$2:$A$37, 0))</f>
        <v>Vitamin C Serum</v>
      </c>
      <c r="I1976" t="str">
        <f>INDEX(Products!$C$2:$C$37, MATCH(D1976, Products!$A$2:$A$37, 0))</f>
        <v>Beauty</v>
      </c>
      <c r="J1976">
        <f>INDEX(Products!$E$2:$E$37, MATCH(D1976, Products!$A$2:$A$37, 0))</f>
        <v>55</v>
      </c>
      <c r="K1976" s="9">
        <f t="shared" si="120"/>
        <v>149</v>
      </c>
      <c r="L1976">
        <f t="shared" si="121"/>
        <v>55</v>
      </c>
      <c r="M1976" s="9">
        <f t="shared" si="122"/>
        <v>94</v>
      </c>
      <c r="N1976" t="str">
        <f t="shared" si="123"/>
        <v>Jun</v>
      </c>
    </row>
    <row r="1977" spans="1:14" x14ac:dyDescent="0.3">
      <c r="A1977" s="2" t="s">
        <v>2043</v>
      </c>
      <c r="B1977" s="6">
        <v>45826</v>
      </c>
      <c r="C1977" s="2" t="s">
        <v>41</v>
      </c>
      <c r="D1977" s="2" t="s">
        <v>75</v>
      </c>
      <c r="E1977" s="2">
        <v>1</v>
      </c>
      <c r="F1977" s="7">
        <v>549</v>
      </c>
      <c r="G1977" s="8">
        <v>0.05</v>
      </c>
      <c r="H1977" s="9" t="str">
        <f>INDEX(Products!$B$2:$B$37, MATCH(D1977, Products!$A$2:$A$37, 0))</f>
        <v>Oud Perfume 100ml</v>
      </c>
      <c r="I1977" t="str">
        <f>INDEX(Products!$C$2:$C$37, MATCH(D1977, Products!$A$2:$A$37, 0))</f>
        <v>Beauty</v>
      </c>
      <c r="J1977">
        <f>INDEX(Products!$E$2:$E$37, MATCH(D1977, Products!$A$2:$A$37, 0))</f>
        <v>250</v>
      </c>
      <c r="K1977" s="9">
        <f t="shared" si="120"/>
        <v>521.54999999999995</v>
      </c>
      <c r="L1977">
        <f t="shared" si="121"/>
        <v>250</v>
      </c>
      <c r="M1977" s="9">
        <f t="shared" si="122"/>
        <v>271.54999999999995</v>
      </c>
      <c r="N1977" t="str">
        <f t="shared" si="123"/>
        <v>Jun</v>
      </c>
    </row>
    <row r="1978" spans="1:14" x14ac:dyDescent="0.3">
      <c r="A1978" s="2" t="s">
        <v>2044</v>
      </c>
      <c r="B1978" s="6">
        <v>45826</v>
      </c>
      <c r="C1978" s="2" t="s">
        <v>44</v>
      </c>
      <c r="D1978" s="2" t="s">
        <v>33</v>
      </c>
      <c r="E1978" s="2">
        <v>1</v>
      </c>
      <c r="F1978" s="7">
        <v>199</v>
      </c>
      <c r="G1978" s="8">
        <v>0.25</v>
      </c>
      <c r="H1978" s="9" t="str">
        <f>INDEX(Products!$B$2:$B$37, MATCH(D1978, Products!$A$2:$A$37, 0))</f>
        <v>Fitness Band Lite</v>
      </c>
      <c r="I1978" t="str">
        <f>INDEX(Products!$C$2:$C$37, MATCH(D1978, Products!$A$2:$A$37, 0))</f>
        <v>Electronics</v>
      </c>
      <c r="J1978">
        <f>INDEX(Products!$E$2:$E$37, MATCH(D1978, Products!$A$2:$A$37, 0))</f>
        <v>175</v>
      </c>
      <c r="K1978" s="9">
        <f t="shared" si="120"/>
        <v>149.25</v>
      </c>
      <c r="L1978">
        <f t="shared" si="121"/>
        <v>175</v>
      </c>
      <c r="M1978" s="9">
        <f t="shared" si="122"/>
        <v>-25.75</v>
      </c>
      <c r="N1978" t="str">
        <f t="shared" si="123"/>
        <v>Jun</v>
      </c>
    </row>
    <row r="1979" spans="1:14" x14ac:dyDescent="0.3">
      <c r="A1979" s="2" t="s">
        <v>2045</v>
      </c>
      <c r="B1979" s="6">
        <v>45826</v>
      </c>
      <c r="C1979" s="2" t="s">
        <v>48</v>
      </c>
      <c r="D1979" s="2" t="s">
        <v>52</v>
      </c>
      <c r="E1979" s="2">
        <v>1</v>
      </c>
      <c r="F1979" s="7">
        <v>299</v>
      </c>
      <c r="G1979" s="8">
        <v>0.2</v>
      </c>
      <c r="H1979" s="9" t="str">
        <f>INDEX(Products!$B$2:$B$37, MATCH(D1979, Products!$A$2:$A$37, 0))</f>
        <v>Hair Dryer Ionic</v>
      </c>
      <c r="I1979" t="str">
        <f>INDEX(Products!$C$2:$C$37, MATCH(D1979, Products!$A$2:$A$37, 0))</f>
        <v>Beauty</v>
      </c>
      <c r="J1979">
        <f>INDEX(Products!$E$2:$E$37, MATCH(D1979, Products!$A$2:$A$37, 0))</f>
        <v>240</v>
      </c>
      <c r="K1979" s="9">
        <f t="shared" si="120"/>
        <v>239.20000000000002</v>
      </c>
      <c r="L1979">
        <f t="shared" si="121"/>
        <v>240</v>
      </c>
      <c r="M1979" s="9">
        <f t="shared" si="122"/>
        <v>-0.79999999999998295</v>
      </c>
      <c r="N1979" t="str">
        <f t="shared" si="123"/>
        <v>Jun</v>
      </c>
    </row>
    <row r="1980" spans="1:14" x14ac:dyDescent="0.3">
      <c r="A1980" s="2" t="s">
        <v>2046</v>
      </c>
      <c r="B1980" s="6">
        <v>45826</v>
      </c>
      <c r="C1980" s="2" t="s">
        <v>41</v>
      </c>
      <c r="D1980" s="2" t="s">
        <v>35</v>
      </c>
      <c r="E1980" s="2">
        <v>1</v>
      </c>
      <c r="F1980" s="7">
        <v>179</v>
      </c>
      <c r="G1980" s="8">
        <v>0</v>
      </c>
      <c r="H1980" s="9" t="str">
        <f>INDEX(Products!$B$2:$B$37, MATCH(D1980, Products!$A$2:$A$37, 0))</f>
        <v>Men's Linen Shirt</v>
      </c>
      <c r="I1980" t="str">
        <f>INDEX(Products!$C$2:$C$37, MATCH(D1980, Products!$A$2:$A$37, 0))</f>
        <v>Fashion</v>
      </c>
      <c r="J1980">
        <f>INDEX(Products!$E$2:$E$37, MATCH(D1980, Products!$A$2:$A$37, 0))</f>
        <v>70</v>
      </c>
      <c r="K1980" s="9">
        <f t="shared" si="120"/>
        <v>179</v>
      </c>
      <c r="L1980">
        <f t="shared" si="121"/>
        <v>70</v>
      </c>
      <c r="M1980" s="9">
        <f t="shared" si="122"/>
        <v>109</v>
      </c>
      <c r="N1980" t="str">
        <f t="shared" si="123"/>
        <v>Jun</v>
      </c>
    </row>
    <row r="1981" spans="1:14" x14ac:dyDescent="0.3">
      <c r="A1981" s="2" t="s">
        <v>2047</v>
      </c>
      <c r="B1981" s="6">
        <v>45826</v>
      </c>
      <c r="C1981" s="2" t="s">
        <v>41</v>
      </c>
      <c r="D1981" s="2" t="s">
        <v>115</v>
      </c>
      <c r="E1981" s="2">
        <v>1</v>
      </c>
      <c r="F1981" s="7">
        <v>129</v>
      </c>
      <c r="G1981" s="8">
        <v>0</v>
      </c>
      <c r="H1981" s="9" t="str">
        <f>INDEX(Products!$B$2:$B$37, MATCH(D1981, Products!$A$2:$A$37, 0))</f>
        <v>Electric Kettle</v>
      </c>
      <c r="I1981" t="str">
        <f>INDEX(Products!$C$2:$C$37, MATCH(D1981, Products!$A$2:$A$37, 0))</f>
        <v>Home &amp; Kitchen</v>
      </c>
      <c r="J1981">
        <f>INDEX(Products!$E$2:$E$37, MATCH(D1981, Products!$A$2:$A$37, 0))</f>
        <v>60</v>
      </c>
      <c r="K1981" s="9">
        <f t="shared" si="120"/>
        <v>129</v>
      </c>
      <c r="L1981">
        <f t="shared" si="121"/>
        <v>60</v>
      </c>
      <c r="M1981" s="9">
        <f t="shared" si="122"/>
        <v>69</v>
      </c>
      <c r="N1981" t="str">
        <f t="shared" si="123"/>
        <v>Jun</v>
      </c>
    </row>
    <row r="1982" spans="1:14" x14ac:dyDescent="0.3">
      <c r="A1982" s="2" t="s">
        <v>2048</v>
      </c>
      <c r="B1982" s="6">
        <v>45827</v>
      </c>
      <c r="C1982" s="2" t="s">
        <v>28</v>
      </c>
      <c r="D1982" s="2" t="s">
        <v>33</v>
      </c>
      <c r="E1982" s="2">
        <v>1</v>
      </c>
      <c r="F1982" s="7">
        <v>199</v>
      </c>
      <c r="G1982" s="8">
        <v>0.15</v>
      </c>
      <c r="H1982" s="9" t="str">
        <f>INDEX(Products!$B$2:$B$37, MATCH(D1982, Products!$A$2:$A$37, 0))</f>
        <v>Fitness Band Lite</v>
      </c>
      <c r="I1982" t="str">
        <f>INDEX(Products!$C$2:$C$37, MATCH(D1982, Products!$A$2:$A$37, 0))</f>
        <v>Electronics</v>
      </c>
      <c r="J1982">
        <f>INDEX(Products!$E$2:$E$37, MATCH(D1982, Products!$A$2:$A$37, 0))</f>
        <v>175</v>
      </c>
      <c r="K1982" s="9">
        <f t="shared" si="120"/>
        <v>169.15</v>
      </c>
      <c r="L1982">
        <f t="shared" si="121"/>
        <v>175</v>
      </c>
      <c r="M1982" s="9">
        <f t="shared" si="122"/>
        <v>-5.8499999999999943</v>
      </c>
      <c r="N1982" t="str">
        <f t="shared" si="123"/>
        <v>Jun</v>
      </c>
    </row>
    <row r="1983" spans="1:14" x14ac:dyDescent="0.3">
      <c r="A1983" s="2" t="s">
        <v>2049</v>
      </c>
      <c r="B1983" s="6">
        <v>45827</v>
      </c>
      <c r="C1983" s="2" t="s">
        <v>31</v>
      </c>
      <c r="D1983" s="2" t="s">
        <v>49</v>
      </c>
      <c r="E1983" s="2">
        <v>1</v>
      </c>
      <c r="F1983" s="7">
        <v>149</v>
      </c>
      <c r="G1983" s="8">
        <v>0.1</v>
      </c>
      <c r="H1983" s="9" t="str">
        <f>INDEX(Products!$B$2:$B$37, MATCH(D1983, Products!$A$2:$A$37, 0))</f>
        <v>Kids' Sneakers</v>
      </c>
      <c r="I1983" t="str">
        <f>INDEX(Products!$C$2:$C$37, MATCH(D1983, Products!$A$2:$A$37, 0))</f>
        <v>Fashion</v>
      </c>
      <c r="J1983">
        <f>INDEX(Products!$E$2:$E$37, MATCH(D1983, Products!$A$2:$A$37, 0))</f>
        <v>80</v>
      </c>
      <c r="K1983" s="9">
        <f t="shared" si="120"/>
        <v>134.1</v>
      </c>
      <c r="L1983">
        <f t="shared" si="121"/>
        <v>80</v>
      </c>
      <c r="M1983" s="9">
        <f t="shared" si="122"/>
        <v>54.099999999999994</v>
      </c>
      <c r="N1983" t="str">
        <f t="shared" si="123"/>
        <v>Jun</v>
      </c>
    </row>
    <row r="1984" spans="1:14" x14ac:dyDescent="0.3">
      <c r="A1984" s="2" t="s">
        <v>2050</v>
      </c>
      <c r="B1984" s="6">
        <v>45827</v>
      </c>
      <c r="C1984" s="2" t="s">
        <v>31</v>
      </c>
      <c r="D1984" s="2" t="s">
        <v>80</v>
      </c>
      <c r="E1984" s="2">
        <v>1</v>
      </c>
      <c r="F1984" s="7">
        <v>149</v>
      </c>
      <c r="G1984" s="8">
        <v>0.1</v>
      </c>
      <c r="H1984" s="9" t="str">
        <f>INDEX(Products!$B$2:$B$37, MATCH(D1984, Products!$A$2:$A$37, 0))</f>
        <v>Vitamin C Serum</v>
      </c>
      <c r="I1984" t="str">
        <f>INDEX(Products!$C$2:$C$37, MATCH(D1984, Products!$A$2:$A$37, 0))</f>
        <v>Beauty</v>
      </c>
      <c r="J1984">
        <f>INDEX(Products!$E$2:$E$37, MATCH(D1984, Products!$A$2:$A$37, 0))</f>
        <v>55</v>
      </c>
      <c r="K1984" s="9">
        <f t="shared" si="120"/>
        <v>134.1</v>
      </c>
      <c r="L1984">
        <f t="shared" si="121"/>
        <v>55</v>
      </c>
      <c r="M1984" s="9">
        <f t="shared" si="122"/>
        <v>79.099999999999994</v>
      </c>
      <c r="N1984" t="str">
        <f t="shared" si="123"/>
        <v>Jun</v>
      </c>
    </row>
    <row r="1985" spans="1:14" x14ac:dyDescent="0.3">
      <c r="A1985" s="2" t="s">
        <v>2051</v>
      </c>
      <c r="B1985" s="6">
        <v>45827</v>
      </c>
      <c r="C1985" s="2" t="s">
        <v>28</v>
      </c>
      <c r="D1985" s="2" t="s">
        <v>109</v>
      </c>
      <c r="E1985" s="2">
        <v>1</v>
      </c>
      <c r="F1985" s="7">
        <v>1499</v>
      </c>
      <c r="G1985" s="8">
        <v>0.1</v>
      </c>
      <c r="H1985" s="9" t="str">
        <f>INDEX(Products!$B$2:$B$37, MATCH(D1985, Products!$A$2:$A$37, 0))</f>
        <v>Espresso Machine</v>
      </c>
      <c r="I1985" t="str">
        <f>INDEX(Products!$C$2:$C$37, MATCH(D1985, Products!$A$2:$A$37, 0))</f>
        <v>Home &amp; Kitchen</v>
      </c>
      <c r="J1985">
        <f>INDEX(Products!$E$2:$E$37, MATCH(D1985, Products!$A$2:$A$37, 0))</f>
        <v>1050</v>
      </c>
      <c r="K1985" s="9">
        <f t="shared" si="120"/>
        <v>1349.1000000000001</v>
      </c>
      <c r="L1985">
        <f t="shared" si="121"/>
        <v>1050</v>
      </c>
      <c r="M1985" s="9">
        <f t="shared" si="122"/>
        <v>299.10000000000014</v>
      </c>
      <c r="N1985" t="str">
        <f t="shared" si="123"/>
        <v>Jun</v>
      </c>
    </row>
    <row r="1986" spans="1:14" x14ac:dyDescent="0.3">
      <c r="A1986" s="2" t="s">
        <v>2052</v>
      </c>
      <c r="B1986" s="6">
        <v>45827</v>
      </c>
      <c r="C1986" s="2" t="s">
        <v>28</v>
      </c>
      <c r="D1986" s="2" t="s">
        <v>80</v>
      </c>
      <c r="E1986" s="2">
        <v>1</v>
      </c>
      <c r="F1986" s="7">
        <v>149</v>
      </c>
      <c r="G1986" s="8">
        <v>0</v>
      </c>
      <c r="H1986" s="9" t="str">
        <f>INDEX(Products!$B$2:$B$37, MATCH(D1986, Products!$A$2:$A$37, 0))</f>
        <v>Vitamin C Serum</v>
      </c>
      <c r="I1986" t="str">
        <f>INDEX(Products!$C$2:$C$37, MATCH(D1986, Products!$A$2:$A$37, 0))</f>
        <v>Beauty</v>
      </c>
      <c r="J1986">
        <f>INDEX(Products!$E$2:$E$37, MATCH(D1986, Products!$A$2:$A$37, 0))</f>
        <v>55</v>
      </c>
      <c r="K1986" s="9">
        <f t="shared" ref="K1986:K2049" si="124">E1986*F1986*(1-G1986)</f>
        <v>149</v>
      </c>
      <c r="L1986">
        <f t="shared" ref="L1986:L2049" si="125">E1986*J1986</f>
        <v>55</v>
      </c>
      <c r="M1986" s="9">
        <f t="shared" ref="M1986:M2049" si="126">K1986-L1986</f>
        <v>94</v>
      </c>
      <c r="N1986" t="str">
        <f t="shared" ref="N1986:N2049" si="127">TEXT(B1986,"mmm")</f>
        <v>Jun</v>
      </c>
    </row>
    <row r="1987" spans="1:14" x14ac:dyDescent="0.3">
      <c r="A1987" s="2" t="s">
        <v>2053</v>
      </c>
      <c r="B1987" s="6">
        <v>45827</v>
      </c>
      <c r="C1987" s="2" t="s">
        <v>48</v>
      </c>
      <c r="D1987" s="2" t="s">
        <v>115</v>
      </c>
      <c r="E1987" s="2">
        <v>1</v>
      </c>
      <c r="F1987" s="7">
        <v>129</v>
      </c>
      <c r="G1987" s="8">
        <v>0.05</v>
      </c>
      <c r="H1987" s="9" t="str">
        <f>INDEX(Products!$B$2:$B$37, MATCH(D1987, Products!$A$2:$A$37, 0))</f>
        <v>Electric Kettle</v>
      </c>
      <c r="I1987" t="str">
        <f>INDEX(Products!$C$2:$C$37, MATCH(D1987, Products!$A$2:$A$37, 0))</f>
        <v>Home &amp; Kitchen</v>
      </c>
      <c r="J1987">
        <f>INDEX(Products!$E$2:$E$37, MATCH(D1987, Products!$A$2:$A$37, 0))</f>
        <v>60</v>
      </c>
      <c r="K1987" s="9">
        <f t="shared" si="124"/>
        <v>122.55</v>
      </c>
      <c r="L1987">
        <f t="shared" si="125"/>
        <v>60</v>
      </c>
      <c r="M1987" s="9">
        <f t="shared" si="126"/>
        <v>62.55</v>
      </c>
      <c r="N1987" t="str">
        <f t="shared" si="127"/>
        <v>Jun</v>
      </c>
    </row>
    <row r="1988" spans="1:14" x14ac:dyDescent="0.3">
      <c r="A1988" s="2" t="s">
        <v>2054</v>
      </c>
      <c r="B1988" s="6">
        <v>45827</v>
      </c>
      <c r="C1988" s="2" t="s">
        <v>31</v>
      </c>
      <c r="D1988" s="2" t="s">
        <v>56</v>
      </c>
      <c r="E1988" s="2">
        <v>1</v>
      </c>
      <c r="F1988" s="7">
        <v>289</v>
      </c>
      <c r="G1988" s="8">
        <v>0</v>
      </c>
      <c r="H1988" s="9" t="str">
        <f>INDEX(Products!$B$2:$B$37, MATCH(D1988, Products!$A$2:$A$37, 0))</f>
        <v>Ceramic Dinner Set</v>
      </c>
      <c r="I1988" t="str">
        <f>INDEX(Products!$C$2:$C$37, MATCH(D1988, Products!$A$2:$A$37, 0))</f>
        <v>Home &amp; Kitchen</v>
      </c>
      <c r="J1988">
        <f>INDEX(Products!$E$2:$E$37, MATCH(D1988, Products!$A$2:$A$37, 0))</f>
        <v>140</v>
      </c>
      <c r="K1988" s="9">
        <f t="shared" si="124"/>
        <v>289</v>
      </c>
      <c r="L1988">
        <f t="shared" si="125"/>
        <v>140</v>
      </c>
      <c r="M1988" s="9">
        <f t="shared" si="126"/>
        <v>149</v>
      </c>
      <c r="N1988" t="str">
        <f t="shared" si="127"/>
        <v>Jun</v>
      </c>
    </row>
    <row r="1989" spans="1:14" x14ac:dyDescent="0.3">
      <c r="A1989" s="2" t="s">
        <v>2055</v>
      </c>
      <c r="B1989" s="6">
        <v>45827</v>
      </c>
      <c r="C1989" s="2" t="s">
        <v>44</v>
      </c>
      <c r="D1989" s="2" t="s">
        <v>95</v>
      </c>
      <c r="E1989" s="2">
        <v>2</v>
      </c>
      <c r="F1989" s="7">
        <v>259</v>
      </c>
      <c r="G1989" s="8">
        <v>0.15</v>
      </c>
      <c r="H1989" s="9" t="str">
        <f>INDEX(Products!$B$2:$B$37, MATCH(D1989, Products!$A$2:$A$37, 0))</f>
        <v>Bed Linen Set (King)</v>
      </c>
      <c r="I1989" t="str">
        <f>INDEX(Products!$C$2:$C$37, MATCH(D1989, Products!$A$2:$A$37, 0))</f>
        <v>Home &amp; Kitchen</v>
      </c>
      <c r="J1989">
        <f>INDEX(Products!$E$2:$E$37, MATCH(D1989, Products!$A$2:$A$37, 0))</f>
        <v>115</v>
      </c>
      <c r="K1989" s="9">
        <f t="shared" si="124"/>
        <v>440.3</v>
      </c>
      <c r="L1989">
        <f t="shared" si="125"/>
        <v>230</v>
      </c>
      <c r="M1989" s="9">
        <f t="shared" si="126"/>
        <v>210.3</v>
      </c>
      <c r="N1989" t="str">
        <f t="shared" si="127"/>
        <v>Jun</v>
      </c>
    </row>
    <row r="1990" spans="1:14" x14ac:dyDescent="0.3">
      <c r="A1990" s="2" t="s">
        <v>2056</v>
      </c>
      <c r="B1990" s="6">
        <v>45827</v>
      </c>
      <c r="C1990" s="2" t="s">
        <v>28</v>
      </c>
      <c r="D1990" s="2" t="s">
        <v>103</v>
      </c>
      <c r="E1990" s="2">
        <v>1</v>
      </c>
      <c r="F1990" s="7">
        <v>89</v>
      </c>
      <c r="G1990" s="8">
        <v>0</v>
      </c>
      <c r="H1990" s="9" t="str">
        <f>INDEX(Products!$B$2:$B$37, MATCH(D1990, Products!$A$2:$A$37, 0))</f>
        <v>Sunscreen SPF50</v>
      </c>
      <c r="I1990" t="str">
        <f>INDEX(Products!$C$2:$C$37, MATCH(D1990, Products!$A$2:$A$37, 0))</f>
        <v>Beauty</v>
      </c>
      <c r="J1990">
        <f>INDEX(Products!$E$2:$E$37, MATCH(D1990, Products!$A$2:$A$37, 0))</f>
        <v>40</v>
      </c>
      <c r="K1990" s="9">
        <f t="shared" si="124"/>
        <v>89</v>
      </c>
      <c r="L1990">
        <f t="shared" si="125"/>
        <v>40</v>
      </c>
      <c r="M1990" s="9">
        <f t="shared" si="126"/>
        <v>49</v>
      </c>
      <c r="N1990" t="str">
        <f t="shared" si="127"/>
        <v>Jun</v>
      </c>
    </row>
    <row r="1991" spans="1:14" x14ac:dyDescent="0.3">
      <c r="A1991" s="2" t="s">
        <v>2057</v>
      </c>
      <c r="B1991" s="6">
        <v>45827</v>
      </c>
      <c r="C1991" s="2" t="s">
        <v>31</v>
      </c>
      <c r="D1991" s="2" t="s">
        <v>56</v>
      </c>
      <c r="E1991" s="2">
        <v>1</v>
      </c>
      <c r="F1991" s="7">
        <v>289</v>
      </c>
      <c r="G1991" s="8">
        <v>0.05</v>
      </c>
      <c r="H1991" s="9" t="str">
        <f>INDEX(Products!$B$2:$B$37, MATCH(D1991, Products!$A$2:$A$37, 0))</f>
        <v>Ceramic Dinner Set</v>
      </c>
      <c r="I1991" t="str">
        <f>INDEX(Products!$C$2:$C$37, MATCH(D1991, Products!$A$2:$A$37, 0))</f>
        <v>Home &amp; Kitchen</v>
      </c>
      <c r="J1991">
        <f>INDEX(Products!$E$2:$E$37, MATCH(D1991, Products!$A$2:$A$37, 0))</f>
        <v>140</v>
      </c>
      <c r="K1991" s="9">
        <f t="shared" si="124"/>
        <v>274.55</v>
      </c>
      <c r="L1991">
        <f t="shared" si="125"/>
        <v>140</v>
      </c>
      <c r="M1991" s="9">
        <f t="shared" si="126"/>
        <v>134.55000000000001</v>
      </c>
      <c r="N1991" t="str">
        <f t="shared" si="127"/>
        <v>Jun</v>
      </c>
    </row>
    <row r="1992" spans="1:14" x14ac:dyDescent="0.3">
      <c r="A1992" s="2" t="s">
        <v>2058</v>
      </c>
      <c r="B1992" s="6">
        <v>45828</v>
      </c>
      <c r="C1992" s="2" t="s">
        <v>48</v>
      </c>
      <c r="D1992" s="2" t="s">
        <v>29</v>
      </c>
      <c r="E1992" s="2">
        <v>1</v>
      </c>
      <c r="F1992" s="7">
        <v>229</v>
      </c>
      <c r="G1992" s="8">
        <v>0.1</v>
      </c>
      <c r="H1992" s="9" t="str">
        <f>INDEX(Products!$B$2:$B$37, MATCH(D1992, Products!$A$2:$A$37, 0))</f>
        <v>Women's Summer Dress</v>
      </c>
      <c r="I1992" t="str">
        <f>INDEX(Products!$C$2:$C$37, MATCH(D1992, Products!$A$2:$A$37, 0))</f>
        <v>Fashion</v>
      </c>
      <c r="J1992">
        <f>INDEX(Products!$E$2:$E$37, MATCH(D1992, Products!$A$2:$A$37, 0))</f>
        <v>120</v>
      </c>
      <c r="K1992" s="9">
        <f t="shared" si="124"/>
        <v>206.1</v>
      </c>
      <c r="L1992">
        <f t="shared" si="125"/>
        <v>120</v>
      </c>
      <c r="M1992" s="9">
        <f t="shared" si="126"/>
        <v>86.1</v>
      </c>
      <c r="N1992" t="str">
        <f t="shared" si="127"/>
        <v>Jun</v>
      </c>
    </row>
    <row r="1993" spans="1:14" x14ac:dyDescent="0.3">
      <c r="A1993" s="2" t="s">
        <v>2059</v>
      </c>
      <c r="B1993" s="6">
        <v>45828</v>
      </c>
      <c r="C1993" s="2" t="s">
        <v>41</v>
      </c>
      <c r="D1993" s="2" t="s">
        <v>68</v>
      </c>
      <c r="E1993" s="2">
        <v>2</v>
      </c>
      <c r="F1993" s="7">
        <v>249</v>
      </c>
      <c r="G1993" s="8">
        <v>0.15</v>
      </c>
      <c r="H1993" s="9" t="str">
        <f>INDEX(Products!$B$2:$B$37, MATCH(D1993, Products!$A$2:$A$37, 0))</f>
        <v>Bluetooth Speaker Mini</v>
      </c>
      <c r="I1993" t="str">
        <f>INDEX(Products!$C$2:$C$37, MATCH(D1993, Products!$A$2:$A$37, 0))</f>
        <v>Electronics</v>
      </c>
      <c r="J1993">
        <f>INDEX(Products!$E$2:$E$37, MATCH(D1993, Products!$A$2:$A$37, 0))</f>
        <v>150</v>
      </c>
      <c r="K1993" s="9">
        <f t="shared" si="124"/>
        <v>423.3</v>
      </c>
      <c r="L1993">
        <f t="shared" si="125"/>
        <v>300</v>
      </c>
      <c r="M1993" s="9">
        <f t="shared" si="126"/>
        <v>123.30000000000001</v>
      </c>
      <c r="N1993" t="str">
        <f t="shared" si="127"/>
        <v>Jun</v>
      </c>
    </row>
    <row r="1994" spans="1:14" x14ac:dyDescent="0.3">
      <c r="A1994" s="2" t="s">
        <v>2060</v>
      </c>
      <c r="B1994" s="6">
        <v>45828</v>
      </c>
      <c r="C1994" s="2" t="s">
        <v>44</v>
      </c>
      <c r="D1994" s="2" t="s">
        <v>78</v>
      </c>
      <c r="E1994" s="2">
        <v>1</v>
      </c>
      <c r="F1994" s="7">
        <v>499</v>
      </c>
      <c r="G1994" s="8">
        <v>0.15</v>
      </c>
      <c r="H1994" s="9" t="str">
        <f>INDEX(Products!$B$2:$B$37, MATCH(D1994, Products!$A$2:$A$37, 0))</f>
        <v>Air Fryer 5L</v>
      </c>
      <c r="I1994" t="str">
        <f>INDEX(Products!$C$2:$C$37, MATCH(D1994, Products!$A$2:$A$37, 0))</f>
        <v>Home &amp; Kitchen</v>
      </c>
      <c r="J1994">
        <f>INDEX(Products!$E$2:$E$37, MATCH(D1994, Products!$A$2:$A$37, 0))</f>
        <v>290</v>
      </c>
      <c r="K1994" s="9">
        <f t="shared" si="124"/>
        <v>424.15</v>
      </c>
      <c r="L1994">
        <f t="shared" si="125"/>
        <v>290</v>
      </c>
      <c r="M1994" s="9">
        <f t="shared" si="126"/>
        <v>134.14999999999998</v>
      </c>
      <c r="N1994" t="str">
        <f t="shared" si="127"/>
        <v>Jun</v>
      </c>
    </row>
    <row r="1995" spans="1:14" x14ac:dyDescent="0.3">
      <c r="A1995" s="2" t="s">
        <v>2061</v>
      </c>
      <c r="B1995" s="6">
        <v>45828</v>
      </c>
      <c r="C1995" s="2" t="s">
        <v>44</v>
      </c>
      <c r="D1995" s="2" t="s">
        <v>103</v>
      </c>
      <c r="E1995" s="2">
        <v>1</v>
      </c>
      <c r="F1995" s="7">
        <v>89</v>
      </c>
      <c r="G1995" s="8">
        <v>0</v>
      </c>
      <c r="H1995" s="9" t="str">
        <f>INDEX(Products!$B$2:$B$37, MATCH(D1995, Products!$A$2:$A$37, 0))</f>
        <v>Sunscreen SPF50</v>
      </c>
      <c r="I1995" t="str">
        <f>INDEX(Products!$C$2:$C$37, MATCH(D1995, Products!$A$2:$A$37, 0))</f>
        <v>Beauty</v>
      </c>
      <c r="J1995">
        <f>INDEX(Products!$E$2:$E$37, MATCH(D1995, Products!$A$2:$A$37, 0))</f>
        <v>40</v>
      </c>
      <c r="K1995" s="9">
        <f t="shared" si="124"/>
        <v>89</v>
      </c>
      <c r="L1995">
        <f t="shared" si="125"/>
        <v>40</v>
      </c>
      <c r="M1995" s="9">
        <f t="shared" si="126"/>
        <v>49</v>
      </c>
      <c r="N1995" t="str">
        <f t="shared" si="127"/>
        <v>Jun</v>
      </c>
    </row>
    <row r="1996" spans="1:14" x14ac:dyDescent="0.3">
      <c r="A1996" s="2" t="s">
        <v>2062</v>
      </c>
      <c r="B1996" s="6">
        <v>45828</v>
      </c>
      <c r="C1996" s="2" t="s">
        <v>28</v>
      </c>
      <c r="D1996" s="2" t="s">
        <v>58</v>
      </c>
      <c r="E1996" s="2">
        <v>4</v>
      </c>
      <c r="F1996" s="7">
        <v>459</v>
      </c>
      <c r="G1996" s="8">
        <v>0</v>
      </c>
      <c r="H1996" s="9" t="str">
        <f>INDEX(Products!$B$2:$B$37, MATCH(D1996, Products!$A$2:$A$37, 0))</f>
        <v>Women's Abaya Classic</v>
      </c>
      <c r="I1996" t="str">
        <f>INDEX(Products!$C$2:$C$37, MATCH(D1996, Products!$A$2:$A$37, 0))</f>
        <v>Fashion</v>
      </c>
      <c r="J1996">
        <f>INDEX(Products!$E$2:$E$37, MATCH(D1996, Products!$A$2:$A$37, 0))</f>
        <v>190</v>
      </c>
      <c r="K1996" s="9">
        <f t="shared" si="124"/>
        <v>1836</v>
      </c>
      <c r="L1996">
        <f t="shared" si="125"/>
        <v>760</v>
      </c>
      <c r="M1996" s="9">
        <f t="shared" si="126"/>
        <v>1076</v>
      </c>
      <c r="N1996" t="str">
        <f t="shared" si="127"/>
        <v>Jun</v>
      </c>
    </row>
    <row r="1997" spans="1:14" x14ac:dyDescent="0.3">
      <c r="A1997" s="2" t="s">
        <v>2063</v>
      </c>
      <c r="B1997" s="6">
        <v>45828</v>
      </c>
      <c r="C1997" s="2" t="s">
        <v>28</v>
      </c>
      <c r="D1997" s="2" t="s">
        <v>46</v>
      </c>
      <c r="E1997" s="2">
        <v>2</v>
      </c>
      <c r="F1997" s="7">
        <v>189</v>
      </c>
      <c r="G1997" s="8">
        <v>0</v>
      </c>
      <c r="H1997" s="9" t="str">
        <f>INDEX(Products!$B$2:$B$37, MATCH(D1997, Products!$A$2:$A$37, 0))</f>
        <v>Makeup Palette</v>
      </c>
      <c r="I1997" t="str">
        <f>INDEX(Products!$C$2:$C$37, MATCH(D1997, Products!$A$2:$A$37, 0))</f>
        <v>Beauty</v>
      </c>
      <c r="J1997">
        <f>INDEX(Products!$E$2:$E$37, MATCH(D1997, Products!$A$2:$A$37, 0))</f>
        <v>85</v>
      </c>
      <c r="K1997" s="9">
        <f t="shared" si="124"/>
        <v>378</v>
      </c>
      <c r="L1997">
        <f t="shared" si="125"/>
        <v>170</v>
      </c>
      <c r="M1997" s="9">
        <f t="shared" si="126"/>
        <v>208</v>
      </c>
      <c r="N1997" t="str">
        <f t="shared" si="127"/>
        <v>Jun</v>
      </c>
    </row>
    <row r="1998" spans="1:14" x14ac:dyDescent="0.3">
      <c r="A1998" s="2" t="s">
        <v>2064</v>
      </c>
      <c r="B1998" s="6">
        <v>45828</v>
      </c>
      <c r="C1998" s="2" t="s">
        <v>41</v>
      </c>
      <c r="D1998" s="2" t="s">
        <v>75</v>
      </c>
      <c r="E1998" s="2">
        <v>1</v>
      </c>
      <c r="F1998" s="7">
        <v>549</v>
      </c>
      <c r="G1998" s="8">
        <v>0.15</v>
      </c>
      <c r="H1998" s="9" t="str">
        <f>INDEX(Products!$B$2:$B$37, MATCH(D1998, Products!$A$2:$A$37, 0))</f>
        <v>Oud Perfume 100ml</v>
      </c>
      <c r="I1998" t="str">
        <f>INDEX(Products!$C$2:$C$37, MATCH(D1998, Products!$A$2:$A$37, 0))</f>
        <v>Beauty</v>
      </c>
      <c r="J1998">
        <f>INDEX(Products!$E$2:$E$37, MATCH(D1998, Products!$A$2:$A$37, 0))</f>
        <v>250</v>
      </c>
      <c r="K1998" s="9">
        <f t="shared" si="124"/>
        <v>466.65</v>
      </c>
      <c r="L1998">
        <f t="shared" si="125"/>
        <v>250</v>
      </c>
      <c r="M1998" s="9">
        <f t="shared" si="126"/>
        <v>216.64999999999998</v>
      </c>
      <c r="N1998" t="str">
        <f t="shared" si="127"/>
        <v>Jun</v>
      </c>
    </row>
    <row r="1999" spans="1:14" x14ac:dyDescent="0.3">
      <c r="A1999" s="2" t="s">
        <v>2065</v>
      </c>
      <c r="B1999" s="6">
        <v>45828</v>
      </c>
      <c r="C1999" s="2" t="s">
        <v>41</v>
      </c>
      <c r="D1999" s="2" t="s">
        <v>37</v>
      </c>
      <c r="E1999" s="2">
        <v>2</v>
      </c>
      <c r="F1999" s="7">
        <v>249</v>
      </c>
      <c r="G1999" s="8">
        <v>0.2</v>
      </c>
      <c r="H1999" s="9" t="str">
        <f>INDEX(Products!$B$2:$B$37, MATCH(D1999, Products!$A$2:$A$37, 0))</f>
        <v>Sunglasses Polarised</v>
      </c>
      <c r="I1999" t="str">
        <f>INDEX(Products!$C$2:$C$37, MATCH(D1999, Products!$A$2:$A$37, 0))</f>
        <v>Fashion</v>
      </c>
      <c r="J1999">
        <f>INDEX(Products!$E$2:$E$37, MATCH(D1999, Products!$A$2:$A$37, 0))</f>
        <v>95</v>
      </c>
      <c r="K1999" s="9">
        <f t="shared" si="124"/>
        <v>398.40000000000003</v>
      </c>
      <c r="L1999">
        <f t="shared" si="125"/>
        <v>190</v>
      </c>
      <c r="M1999" s="9">
        <f t="shared" si="126"/>
        <v>208.40000000000003</v>
      </c>
      <c r="N1999" t="str">
        <f t="shared" si="127"/>
        <v>Jun</v>
      </c>
    </row>
    <row r="2000" spans="1:14" x14ac:dyDescent="0.3">
      <c r="A2000" s="2" t="s">
        <v>2066</v>
      </c>
      <c r="B2000" s="6">
        <v>45828</v>
      </c>
      <c r="C2000" s="2" t="s">
        <v>41</v>
      </c>
      <c r="D2000" s="2" t="s">
        <v>68</v>
      </c>
      <c r="E2000" s="2">
        <v>2</v>
      </c>
      <c r="F2000" s="7">
        <v>249</v>
      </c>
      <c r="G2000" s="8">
        <v>0.15</v>
      </c>
      <c r="H2000" s="9" t="str">
        <f>INDEX(Products!$B$2:$B$37, MATCH(D2000, Products!$A$2:$A$37, 0))</f>
        <v>Bluetooth Speaker Mini</v>
      </c>
      <c r="I2000" t="str">
        <f>INDEX(Products!$C$2:$C$37, MATCH(D2000, Products!$A$2:$A$37, 0))</f>
        <v>Electronics</v>
      </c>
      <c r="J2000">
        <f>INDEX(Products!$E$2:$E$37, MATCH(D2000, Products!$A$2:$A$37, 0))</f>
        <v>150</v>
      </c>
      <c r="K2000" s="9">
        <f t="shared" si="124"/>
        <v>423.3</v>
      </c>
      <c r="L2000">
        <f t="shared" si="125"/>
        <v>300</v>
      </c>
      <c r="M2000" s="9">
        <f t="shared" si="126"/>
        <v>123.30000000000001</v>
      </c>
      <c r="N2000" t="str">
        <f t="shared" si="127"/>
        <v>Jun</v>
      </c>
    </row>
    <row r="2001" spans="1:14" x14ac:dyDescent="0.3">
      <c r="A2001" s="2" t="s">
        <v>2067</v>
      </c>
      <c r="B2001" s="6">
        <v>45828</v>
      </c>
      <c r="C2001" s="2" t="s">
        <v>44</v>
      </c>
      <c r="D2001" s="2" t="s">
        <v>80</v>
      </c>
      <c r="E2001" s="2">
        <v>2</v>
      </c>
      <c r="F2001" s="7">
        <v>149</v>
      </c>
      <c r="G2001" s="8">
        <v>0</v>
      </c>
      <c r="H2001" s="9" t="str">
        <f>INDEX(Products!$B$2:$B$37, MATCH(D2001, Products!$A$2:$A$37, 0))</f>
        <v>Vitamin C Serum</v>
      </c>
      <c r="I2001" t="str">
        <f>INDEX(Products!$C$2:$C$37, MATCH(D2001, Products!$A$2:$A$37, 0))</f>
        <v>Beauty</v>
      </c>
      <c r="J2001">
        <f>INDEX(Products!$E$2:$E$37, MATCH(D2001, Products!$A$2:$A$37, 0))</f>
        <v>55</v>
      </c>
      <c r="K2001" s="9">
        <f t="shared" si="124"/>
        <v>298</v>
      </c>
      <c r="L2001">
        <f t="shared" si="125"/>
        <v>110</v>
      </c>
      <c r="M2001" s="9">
        <f t="shared" si="126"/>
        <v>188</v>
      </c>
      <c r="N2001" t="str">
        <f t="shared" si="127"/>
        <v>Jun</v>
      </c>
    </row>
    <row r="2002" spans="1:14" x14ac:dyDescent="0.3">
      <c r="A2002" s="2" t="s">
        <v>2068</v>
      </c>
      <c r="B2002" s="6">
        <v>45828</v>
      </c>
      <c r="C2002" s="2" t="s">
        <v>28</v>
      </c>
      <c r="D2002" s="2" t="s">
        <v>56</v>
      </c>
      <c r="E2002" s="2">
        <v>1</v>
      </c>
      <c r="F2002" s="7">
        <v>289</v>
      </c>
      <c r="G2002" s="8">
        <v>0</v>
      </c>
      <c r="H2002" s="9" t="str">
        <f>INDEX(Products!$B$2:$B$37, MATCH(D2002, Products!$A$2:$A$37, 0))</f>
        <v>Ceramic Dinner Set</v>
      </c>
      <c r="I2002" t="str">
        <f>INDEX(Products!$C$2:$C$37, MATCH(D2002, Products!$A$2:$A$37, 0))</f>
        <v>Home &amp; Kitchen</v>
      </c>
      <c r="J2002">
        <f>INDEX(Products!$E$2:$E$37, MATCH(D2002, Products!$A$2:$A$37, 0))</f>
        <v>140</v>
      </c>
      <c r="K2002" s="9">
        <f t="shared" si="124"/>
        <v>289</v>
      </c>
      <c r="L2002">
        <f t="shared" si="125"/>
        <v>140</v>
      </c>
      <c r="M2002" s="9">
        <f t="shared" si="126"/>
        <v>149</v>
      </c>
      <c r="N2002" t="str">
        <f t="shared" si="127"/>
        <v>Jun</v>
      </c>
    </row>
    <row r="2003" spans="1:14" x14ac:dyDescent="0.3">
      <c r="A2003" s="2" t="s">
        <v>2069</v>
      </c>
      <c r="B2003" s="6">
        <v>45828</v>
      </c>
      <c r="C2003" s="2" t="s">
        <v>28</v>
      </c>
      <c r="D2003" s="2" t="s">
        <v>95</v>
      </c>
      <c r="E2003" s="2">
        <v>1</v>
      </c>
      <c r="F2003" s="7">
        <v>259</v>
      </c>
      <c r="G2003" s="8">
        <v>0</v>
      </c>
      <c r="H2003" s="9" t="str">
        <f>INDEX(Products!$B$2:$B$37, MATCH(D2003, Products!$A$2:$A$37, 0))</f>
        <v>Bed Linen Set (King)</v>
      </c>
      <c r="I2003" t="str">
        <f>INDEX(Products!$C$2:$C$37, MATCH(D2003, Products!$A$2:$A$37, 0))</f>
        <v>Home &amp; Kitchen</v>
      </c>
      <c r="J2003">
        <f>INDEX(Products!$E$2:$E$37, MATCH(D2003, Products!$A$2:$A$37, 0))</f>
        <v>115</v>
      </c>
      <c r="K2003" s="9">
        <f t="shared" si="124"/>
        <v>259</v>
      </c>
      <c r="L2003">
        <f t="shared" si="125"/>
        <v>115</v>
      </c>
      <c r="M2003" s="9">
        <f t="shared" si="126"/>
        <v>144</v>
      </c>
      <c r="N2003" t="str">
        <f t="shared" si="127"/>
        <v>Jun</v>
      </c>
    </row>
    <row r="2004" spans="1:14" x14ac:dyDescent="0.3">
      <c r="A2004" s="2" t="s">
        <v>2070</v>
      </c>
      <c r="B2004" s="6">
        <v>45829</v>
      </c>
      <c r="C2004" s="2" t="s">
        <v>41</v>
      </c>
      <c r="D2004" s="2" t="s">
        <v>29</v>
      </c>
      <c r="E2004" s="2">
        <v>1</v>
      </c>
      <c r="F2004" s="7">
        <v>229</v>
      </c>
      <c r="G2004" s="8">
        <v>0</v>
      </c>
      <c r="H2004" s="9" t="str">
        <f>INDEX(Products!$B$2:$B$37, MATCH(D2004, Products!$A$2:$A$37, 0))</f>
        <v>Women's Summer Dress</v>
      </c>
      <c r="I2004" t="str">
        <f>INDEX(Products!$C$2:$C$37, MATCH(D2004, Products!$A$2:$A$37, 0))</f>
        <v>Fashion</v>
      </c>
      <c r="J2004">
        <f>INDEX(Products!$E$2:$E$37, MATCH(D2004, Products!$A$2:$A$37, 0))</f>
        <v>120</v>
      </c>
      <c r="K2004" s="9">
        <f t="shared" si="124"/>
        <v>229</v>
      </c>
      <c r="L2004">
        <f t="shared" si="125"/>
        <v>120</v>
      </c>
      <c r="M2004" s="9">
        <f t="shared" si="126"/>
        <v>109</v>
      </c>
      <c r="N2004" t="str">
        <f t="shared" si="127"/>
        <v>Jun</v>
      </c>
    </row>
    <row r="2005" spans="1:14" x14ac:dyDescent="0.3">
      <c r="A2005" s="2" t="s">
        <v>2071</v>
      </c>
      <c r="B2005" s="6">
        <v>45829</v>
      </c>
      <c r="C2005" s="2" t="s">
        <v>28</v>
      </c>
      <c r="D2005" s="2" t="s">
        <v>83</v>
      </c>
      <c r="E2005" s="2">
        <v>2</v>
      </c>
      <c r="F2005" s="7">
        <v>229</v>
      </c>
      <c r="G2005" s="8">
        <v>0.2</v>
      </c>
      <c r="H2005" s="9" t="str">
        <f>INDEX(Products!$B$2:$B$37, MATCH(D2005, Products!$A$2:$A$37, 0))</f>
        <v>Cycling Helmet</v>
      </c>
      <c r="I2005" t="str">
        <f>INDEX(Products!$C$2:$C$37, MATCH(D2005, Products!$A$2:$A$37, 0))</f>
        <v>Sports</v>
      </c>
      <c r="J2005">
        <f>INDEX(Products!$E$2:$E$37, MATCH(D2005, Products!$A$2:$A$37, 0))</f>
        <v>120</v>
      </c>
      <c r="K2005" s="9">
        <f t="shared" si="124"/>
        <v>366.40000000000003</v>
      </c>
      <c r="L2005">
        <f t="shared" si="125"/>
        <v>240</v>
      </c>
      <c r="M2005" s="9">
        <f t="shared" si="126"/>
        <v>126.40000000000003</v>
      </c>
      <c r="N2005" t="str">
        <f t="shared" si="127"/>
        <v>Jun</v>
      </c>
    </row>
    <row r="2006" spans="1:14" x14ac:dyDescent="0.3">
      <c r="A2006" s="2" t="s">
        <v>2072</v>
      </c>
      <c r="B2006" s="6">
        <v>45829</v>
      </c>
      <c r="C2006" s="2" t="s">
        <v>41</v>
      </c>
      <c r="D2006" s="2" t="s">
        <v>37</v>
      </c>
      <c r="E2006" s="2">
        <v>1</v>
      </c>
      <c r="F2006" s="7">
        <v>249</v>
      </c>
      <c r="G2006" s="8">
        <v>0</v>
      </c>
      <c r="H2006" s="9" t="str">
        <f>INDEX(Products!$B$2:$B$37, MATCH(D2006, Products!$A$2:$A$37, 0))</f>
        <v>Sunglasses Polarised</v>
      </c>
      <c r="I2006" t="str">
        <f>INDEX(Products!$C$2:$C$37, MATCH(D2006, Products!$A$2:$A$37, 0))</f>
        <v>Fashion</v>
      </c>
      <c r="J2006">
        <f>INDEX(Products!$E$2:$E$37, MATCH(D2006, Products!$A$2:$A$37, 0))</f>
        <v>95</v>
      </c>
      <c r="K2006" s="9">
        <f t="shared" si="124"/>
        <v>249</v>
      </c>
      <c r="L2006">
        <f t="shared" si="125"/>
        <v>95</v>
      </c>
      <c r="M2006" s="9">
        <f t="shared" si="126"/>
        <v>154</v>
      </c>
      <c r="N2006" t="str">
        <f t="shared" si="127"/>
        <v>Jun</v>
      </c>
    </row>
    <row r="2007" spans="1:14" x14ac:dyDescent="0.3">
      <c r="A2007" s="2" t="s">
        <v>2073</v>
      </c>
      <c r="B2007" s="6">
        <v>45829</v>
      </c>
      <c r="C2007" s="2" t="s">
        <v>31</v>
      </c>
      <c r="D2007" s="2" t="s">
        <v>29</v>
      </c>
      <c r="E2007" s="2">
        <v>1</v>
      </c>
      <c r="F2007" s="7">
        <v>229</v>
      </c>
      <c r="G2007" s="8">
        <v>0</v>
      </c>
      <c r="H2007" s="9" t="str">
        <f>INDEX(Products!$B$2:$B$37, MATCH(D2007, Products!$A$2:$A$37, 0))</f>
        <v>Women's Summer Dress</v>
      </c>
      <c r="I2007" t="str">
        <f>INDEX(Products!$C$2:$C$37, MATCH(D2007, Products!$A$2:$A$37, 0))</f>
        <v>Fashion</v>
      </c>
      <c r="J2007">
        <f>INDEX(Products!$E$2:$E$37, MATCH(D2007, Products!$A$2:$A$37, 0))</f>
        <v>120</v>
      </c>
      <c r="K2007" s="9">
        <f t="shared" si="124"/>
        <v>229</v>
      </c>
      <c r="L2007">
        <f t="shared" si="125"/>
        <v>120</v>
      </c>
      <c r="M2007" s="9">
        <f t="shared" si="126"/>
        <v>109</v>
      </c>
      <c r="N2007" t="str">
        <f t="shared" si="127"/>
        <v>Jun</v>
      </c>
    </row>
    <row r="2008" spans="1:14" x14ac:dyDescent="0.3">
      <c r="A2008" s="2" t="s">
        <v>2074</v>
      </c>
      <c r="B2008" s="6">
        <v>45829</v>
      </c>
      <c r="C2008" s="2" t="s">
        <v>44</v>
      </c>
      <c r="D2008" s="2" t="s">
        <v>35</v>
      </c>
      <c r="E2008" s="2">
        <v>1</v>
      </c>
      <c r="F2008" s="7">
        <v>179</v>
      </c>
      <c r="G2008" s="8">
        <v>0</v>
      </c>
      <c r="H2008" s="9" t="str">
        <f>INDEX(Products!$B$2:$B$37, MATCH(D2008, Products!$A$2:$A$37, 0))</f>
        <v>Men's Linen Shirt</v>
      </c>
      <c r="I2008" t="str">
        <f>INDEX(Products!$C$2:$C$37, MATCH(D2008, Products!$A$2:$A$37, 0))</f>
        <v>Fashion</v>
      </c>
      <c r="J2008">
        <f>INDEX(Products!$E$2:$E$37, MATCH(D2008, Products!$A$2:$A$37, 0))</f>
        <v>70</v>
      </c>
      <c r="K2008" s="9">
        <f t="shared" si="124"/>
        <v>179</v>
      </c>
      <c r="L2008">
        <f t="shared" si="125"/>
        <v>70</v>
      </c>
      <c r="M2008" s="9">
        <f t="shared" si="126"/>
        <v>109</v>
      </c>
      <c r="N2008" t="str">
        <f t="shared" si="127"/>
        <v>Jun</v>
      </c>
    </row>
    <row r="2009" spans="1:14" x14ac:dyDescent="0.3">
      <c r="A2009" s="2" t="s">
        <v>2075</v>
      </c>
      <c r="B2009" s="6">
        <v>45829</v>
      </c>
      <c r="C2009" s="2" t="s">
        <v>44</v>
      </c>
      <c r="D2009" s="2" t="s">
        <v>39</v>
      </c>
      <c r="E2009" s="2">
        <v>3</v>
      </c>
      <c r="F2009" s="7">
        <v>199</v>
      </c>
      <c r="G2009" s="8">
        <v>0.1</v>
      </c>
      <c r="H2009" s="9" t="str">
        <f>INDEX(Products!$B$2:$B$37, MATCH(D2009, Products!$A$2:$A$37, 0))</f>
        <v>Bakhoor Gift Set</v>
      </c>
      <c r="I2009" t="str">
        <f>INDEX(Products!$C$2:$C$37, MATCH(D2009, Products!$A$2:$A$37, 0))</f>
        <v>Beauty</v>
      </c>
      <c r="J2009">
        <f>INDEX(Products!$E$2:$E$37, MATCH(D2009, Products!$A$2:$A$37, 0))</f>
        <v>90</v>
      </c>
      <c r="K2009" s="9">
        <f t="shared" si="124"/>
        <v>537.30000000000007</v>
      </c>
      <c r="L2009">
        <f t="shared" si="125"/>
        <v>270</v>
      </c>
      <c r="M2009" s="9">
        <f t="shared" si="126"/>
        <v>267.30000000000007</v>
      </c>
      <c r="N2009" t="str">
        <f t="shared" si="127"/>
        <v>Jun</v>
      </c>
    </row>
    <row r="2010" spans="1:14" x14ac:dyDescent="0.3">
      <c r="A2010" s="2" t="s">
        <v>2076</v>
      </c>
      <c r="B2010" s="6">
        <v>45829</v>
      </c>
      <c r="C2010" s="2" t="s">
        <v>44</v>
      </c>
      <c r="D2010" s="2" t="s">
        <v>37</v>
      </c>
      <c r="E2010" s="2">
        <v>2</v>
      </c>
      <c r="F2010" s="7">
        <v>249</v>
      </c>
      <c r="G2010" s="8">
        <v>0.1</v>
      </c>
      <c r="H2010" s="9" t="str">
        <f>INDEX(Products!$B$2:$B$37, MATCH(D2010, Products!$A$2:$A$37, 0))</f>
        <v>Sunglasses Polarised</v>
      </c>
      <c r="I2010" t="str">
        <f>INDEX(Products!$C$2:$C$37, MATCH(D2010, Products!$A$2:$A$37, 0))</f>
        <v>Fashion</v>
      </c>
      <c r="J2010">
        <f>INDEX(Products!$E$2:$E$37, MATCH(D2010, Products!$A$2:$A$37, 0))</f>
        <v>95</v>
      </c>
      <c r="K2010" s="9">
        <f t="shared" si="124"/>
        <v>448.2</v>
      </c>
      <c r="L2010">
        <f t="shared" si="125"/>
        <v>190</v>
      </c>
      <c r="M2010" s="9">
        <f t="shared" si="126"/>
        <v>258.2</v>
      </c>
      <c r="N2010" t="str">
        <f t="shared" si="127"/>
        <v>Jun</v>
      </c>
    </row>
    <row r="2011" spans="1:14" x14ac:dyDescent="0.3">
      <c r="A2011" s="2" t="s">
        <v>2077</v>
      </c>
      <c r="B2011" s="6">
        <v>45829</v>
      </c>
      <c r="C2011" s="2" t="s">
        <v>48</v>
      </c>
      <c r="D2011" s="2" t="s">
        <v>194</v>
      </c>
      <c r="E2011" s="2">
        <v>1</v>
      </c>
      <c r="F2011" s="7">
        <v>699</v>
      </c>
      <c r="G2011" s="8">
        <v>0.15</v>
      </c>
      <c r="H2011" s="9" t="str">
        <f>INDEX(Products!$B$2:$B$37, MATCH(D2011, Products!$A$2:$A$37, 0))</f>
        <v>Leather Handbag</v>
      </c>
      <c r="I2011" t="str">
        <f>INDEX(Products!$C$2:$C$37, MATCH(D2011, Products!$A$2:$A$37, 0))</f>
        <v>Fashion</v>
      </c>
      <c r="J2011">
        <f>INDEX(Products!$E$2:$E$37, MATCH(D2011, Products!$A$2:$A$37, 0))</f>
        <v>380</v>
      </c>
      <c r="K2011" s="9">
        <f t="shared" si="124"/>
        <v>594.15</v>
      </c>
      <c r="L2011">
        <f t="shared" si="125"/>
        <v>380</v>
      </c>
      <c r="M2011" s="9">
        <f t="shared" si="126"/>
        <v>214.14999999999998</v>
      </c>
      <c r="N2011" t="str">
        <f t="shared" si="127"/>
        <v>Jun</v>
      </c>
    </row>
    <row r="2012" spans="1:14" x14ac:dyDescent="0.3">
      <c r="A2012" s="2" t="s">
        <v>2078</v>
      </c>
      <c r="B2012" s="6">
        <v>45829</v>
      </c>
      <c r="C2012" s="2" t="s">
        <v>44</v>
      </c>
      <c r="D2012" s="2" t="s">
        <v>129</v>
      </c>
      <c r="E2012" s="2">
        <v>1</v>
      </c>
      <c r="F2012" s="7">
        <v>149</v>
      </c>
      <c r="G2012" s="8">
        <v>0</v>
      </c>
      <c r="H2012" s="9" t="str">
        <f>INDEX(Products!$B$2:$B$37, MATCH(D2012, Products!$A$2:$A$37, 0))</f>
        <v>Power Bank 20000mAh</v>
      </c>
      <c r="I2012" t="str">
        <f>INDEX(Products!$C$2:$C$37, MATCH(D2012, Products!$A$2:$A$37, 0))</f>
        <v>Electronics</v>
      </c>
      <c r="J2012">
        <f>INDEX(Products!$E$2:$E$37, MATCH(D2012, Products!$A$2:$A$37, 0))</f>
        <v>70</v>
      </c>
      <c r="K2012" s="9">
        <f t="shared" si="124"/>
        <v>149</v>
      </c>
      <c r="L2012">
        <f t="shared" si="125"/>
        <v>70</v>
      </c>
      <c r="M2012" s="9">
        <f t="shared" si="126"/>
        <v>79</v>
      </c>
      <c r="N2012" t="str">
        <f t="shared" si="127"/>
        <v>Jun</v>
      </c>
    </row>
    <row r="2013" spans="1:14" x14ac:dyDescent="0.3">
      <c r="A2013" s="2" t="s">
        <v>2079</v>
      </c>
      <c r="B2013" s="6">
        <v>45829</v>
      </c>
      <c r="C2013" s="2" t="s">
        <v>31</v>
      </c>
      <c r="D2013" s="2" t="s">
        <v>115</v>
      </c>
      <c r="E2013" s="2">
        <v>1</v>
      </c>
      <c r="F2013" s="7">
        <v>129</v>
      </c>
      <c r="G2013" s="8">
        <v>0.05</v>
      </c>
      <c r="H2013" s="9" t="str">
        <f>INDEX(Products!$B$2:$B$37, MATCH(D2013, Products!$A$2:$A$37, 0))</f>
        <v>Electric Kettle</v>
      </c>
      <c r="I2013" t="str">
        <f>INDEX(Products!$C$2:$C$37, MATCH(D2013, Products!$A$2:$A$37, 0))</f>
        <v>Home &amp; Kitchen</v>
      </c>
      <c r="J2013">
        <f>INDEX(Products!$E$2:$E$37, MATCH(D2013, Products!$A$2:$A$37, 0))</f>
        <v>60</v>
      </c>
      <c r="K2013" s="9">
        <f t="shared" si="124"/>
        <v>122.55</v>
      </c>
      <c r="L2013">
        <f t="shared" si="125"/>
        <v>60</v>
      </c>
      <c r="M2013" s="9">
        <f t="shared" si="126"/>
        <v>62.55</v>
      </c>
      <c r="N2013" t="str">
        <f t="shared" si="127"/>
        <v>Jun</v>
      </c>
    </row>
    <row r="2014" spans="1:14" x14ac:dyDescent="0.3">
      <c r="A2014" s="2" t="s">
        <v>2080</v>
      </c>
      <c r="B2014" s="6">
        <v>45829</v>
      </c>
      <c r="C2014" s="2" t="s">
        <v>28</v>
      </c>
      <c r="D2014" s="2" t="s">
        <v>115</v>
      </c>
      <c r="E2014" s="2">
        <v>1</v>
      </c>
      <c r="F2014" s="7">
        <v>129</v>
      </c>
      <c r="G2014" s="8">
        <v>0</v>
      </c>
      <c r="H2014" s="9" t="str">
        <f>INDEX(Products!$B$2:$B$37, MATCH(D2014, Products!$A$2:$A$37, 0))</f>
        <v>Electric Kettle</v>
      </c>
      <c r="I2014" t="str">
        <f>INDEX(Products!$C$2:$C$37, MATCH(D2014, Products!$A$2:$A$37, 0))</f>
        <v>Home &amp; Kitchen</v>
      </c>
      <c r="J2014">
        <f>INDEX(Products!$E$2:$E$37, MATCH(D2014, Products!$A$2:$A$37, 0))</f>
        <v>60</v>
      </c>
      <c r="K2014" s="9">
        <f t="shared" si="124"/>
        <v>129</v>
      </c>
      <c r="L2014">
        <f t="shared" si="125"/>
        <v>60</v>
      </c>
      <c r="M2014" s="9">
        <f t="shared" si="126"/>
        <v>69</v>
      </c>
      <c r="N2014" t="str">
        <f t="shared" si="127"/>
        <v>Jun</v>
      </c>
    </row>
    <row r="2015" spans="1:14" x14ac:dyDescent="0.3">
      <c r="A2015" s="2" t="s">
        <v>2081</v>
      </c>
      <c r="B2015" s="6">
        <v>45829</v>
      </c>
      <c r="C2015" s="2" t="s">
        <v>44</v>
      </c>
      <c r="D2015" s="2" t="s">
        <v>78</v>
      </c>
      <c r="E2015" s="2">
        <v>1</v>
      </c>
      <c r="F2015" s="7">
        <v>499</v>
      </c>
      <c r="G2015" s="8">
        <v>0</v>
      </c>
      <c r="H2015" s="9" t="str">
        <f>INDEX(Products!$B$2:$B$37, MATCH(D2015, Products!$A$2:$A$37, 0))</f>
        <v>Air Fryer 5L</v>
      </c>
      <c r="I2015" t="str">
        <f>INDEX(Products!$C$2:$C$37, MATCH(D2015, Products!$A$2:$A$37, 0))</f>
        <v>Home &amp; Kitchen</v>
      </c>
      <c r="J2015">
        <f>INDEX(Products!$E$2:$E$37, MATCH(D2015, Products!$A$2:$A$37, 0))</f>
        <v>290</v>
      </c>
      <c r="K2015" s="9">
        <f t="shared" si="124"/>
        <v>499</v>
      </c>
      <c r="L2015">
        <f t="shared" si="125"/>
        <v>290</v>
      </c>
      <c r="M2015" s="9">
        <f t="shared" si="126"/>
        <v>209</v>
      </c>
      <c r="N2015" t="str">
        <f t="shared" si="127"/>
        <v>Jun</v>
      </c>
    </row>
    <row r="2016" spans="1:14" x14ac:dyDescent="0.3">
      <c r="A2016" s="2" t="s">
        <v>2082</v>
      </c>
      <c r="B2016" s="6">
        <v>45829</v>
      </c>
      <c r="C2016" s="2" t="s">
        <v>28</v>
      </c>
      <c r="D2016" s="2" t="s">
        <v>35</v>
      </c>
      <c r="E2016" s="2">
        <v>3</v>
      </c>
      <c r="F2016" s="7">
        <v>179</v>
      </c>
      <c r="G2016" s="8">
        <v>0.15</v>
      </c>
      <c r="H2016" s="9" t="str">
        <f>INDEX(Products!$B$2:$B$37, MATCH(D2016, Products!$A$2:$A$37, 0))</f>
        <v>Men's Linen Shirt</v>
      </c>
      <c r="I2016" t="str">
        <f>INDEX(Products!$C$2:$C$37, MATCH(D2016, Products!$A$2:$A$37, 0))</f>
        <v>Fashion</v>
      </c>
      <c r="J2016">
        <f>INDEX(Products!$E$2:$E$37, MATCH(D2016, Products!$A$2:$A$37, 0))</f>
        <v>70</v>
      </c>
      <c r="K2016" s="9">
        <f t="shared" si="124"/>
        <v>456.45</v>
      </c>
      <c r="L2016">
        <f t="shared" si="125"/>
        <v>210</v>
      </c>
      <c r="M2016" s="9">
        <f t="shared" si="126"/>
        <v>246.45</v>
      </c>
      <c r="N2016" t="str">
        <f t="shared" si="127"/>
        <v>Jun</v>
      </c>
    </row>
    <row r="2017" spans="1:14" x14ac:dyDescent="0.3">
      <c r="A2017" s="2" t="s">
        <v>2083</v>
      </c>
      <c r="B2017" s="6">
        <v>45830</v>
      </c>
      <c r="C2017" s="2" t="s">
        <v>48</v>
      </c>
      <c r="D2017" s="2" t="s">
        <v>80</v>
      </c>
      <c r="E2017" s="2">
        <v>1</v>
      </c>
      <c r="F2017" s="7">
        <v>149</v>
      </c>
      <c r="G2017" s="8">
        <v>0</v>
      </c>
      <c r="H2017" s="9" t="str">
        <f>INDEX(Products!$B$2:$B$37, MATCH(D2017, Products!$A$2:$A$37, 0))</f>
        <v>Vitamin C Serum</v>
      </c>
      <c r="I2017" t="str">
        <f>INDEX(Products!$C$2:$C$37, MATCH(D2017, Products!$A$2:$A$37, 0))</f>
        <v>Beauty</v>
      </c>
      <c r="J2017">
        <f>INDEX(Products!$E$2:$E$37, MATCH(D2017, Products!$A$2:$A$37, 0))</f>
        <v>55</v>
      </c>
      <c r="K2017" s="9">
        <f t="shared" si="124"/>
        <v>149</v>
      </c>
      <c r="L2017">
        <f t="shared" si="125"/>
        <v>55</v>
      </c>
      <c r="M2017" s="9">
        <f t="shared" si="126"/>
        <v>94</v>
      </c>
      <c r="N2017" t="str">
        <f t="shared" si="127"/>
        <v>Jun</v>
      </c>
    </row>
    <row r="2018" spans="1:14" x14ac:dyDescent="0.3">
      <c r="A2018" s="2" t="s">
        <v>2084</v>
      </c>
      <c r="B2018" s="6">
        <v>45830</v>
      </c>
      <c r="C2018" s="2" t="s">
        <v>41</v>
      </c>
      <c r="D2018" s="2" t="s">
        <v>165</v>
      </c>
      <c r="E2018" s="2">
        <v>2</v>
      </c>
      <c r="F2018" s="7">
        <v>69</v>
      </c>
      <c r="G2018" s="8">
        <v>0</v>
      </c>
      <c r="H2018" s="9" t="str">
        <f>INDEX(Products!$B$2:$B$37, MATCH(D2018, Products!$A$2:$A$37, 0))</f>
        <v>Swim Goggles</v>
      </c>
      <c r="I2018" t="str">
        <f>INDEX(Products!$C$2:$C$37, MATCH(D2018, Products!$A$2:$A$37, 0))</f>
        <v>Sports</v>
      </c>
      <c r="J2018">
        <f>INDEX(Products!$E$2:$E$37, MATCH(D2018, Products!$A$2:$A$37, 0))</f>
        <v>25</v>
      </c>
      <c r="K2018" s="9">
        <f t="shared" si="124"/>
        <v>138</v>
      </c>
      <c r="L2018">
        <f t="shared" si="125"/>
        <v>50</v>
      </c>
      <c r="M2018" s="9">
        <f t="shared" si="126"/>
        <v>88</v>
      </c>
      <c r="N2018" t="str">
        <f t="shared" si="127"/>
        <v>Jun</v>
      </c>
    </row>
    <row r="2019" spans="1:14" x14ac:dyDescent="0.3">
      <c r="A2019" s="2" t="s">
        <v>2085</v>
      </c>
      <c r="B2019" s="6">
        <v>45830</v>
      </c>
      <c r="C2019" s="2" t="s">
        <v>44</v>
      </c>
      <c r="D2019" s="2" t="s">
        <v>115</v>
      </c>
      <c r="E2019" s="2">
        <v>1</v>
      </c>
      <c r="F2019" s="7">
        <v>129</v>
      </c>
      <c r="G2019" s="8">
        <v>0.2</v>
      </c>
      <c r="H2019" s="9" t="str">
        <f>INDEX(Products!$B$2:$B$37, MATCH(D2019, Products!$A$2:$A$37, 0))</f>
        <v>Electric Kettle</v>
      </c>
      <c r="I2019" t="str">
        <f>INDEX(Products!$C$2:$C$37, MATCH(D2019, Products!$A$2:$A$37, 0))</f>
        <v>Home &amp; Kitchen</v>
      </c>
      <c r="J2019">
        <f>INDEX(Products!$E$2:$E$37, MATCH(D2019, Products!$A$2:$A$37, 0))</f>
        <v>60</v>
      </c>
      <c r="K2019" s="9">
        <f t="shared" si="124"/>
        <v>103.2</v>
      </c>
      <c r="L2019">
        <f t="shared" si="125"/>
        <v>60</v>
      </c>
      <c r="M2019" s="9">
        <f t="shared" si="126"/>
        <v>43.2</v>
      </c>
      <c r="N2019" t="str">
        <f t="shared" si="127"/>
        <v>Jun</v>
      </c>
    </row>
    <row r="2020" spans="1:14" x14ac:dyDescent="0.3">
      <c r="A2020" s="2" t="s">
        <v>2086</v>
      </c>
      <c r="B2020" s="6">
        <v>45830</v>
      </c>
      <c r="C2020" s="2" t="s">
        <v>31</v>
      </c>
      <c r="D2020" s="2" t="s">
        <v>29</v>
      </c>
      <c r="E2020" s="2">
        <v>1</v>
      </c>
      <c r="F2020" s="7">
        <v>229</v>
      </c>
      <c r="G2020" s="8">
        <v>0.1</v>
      </c>
      <c r="H2020" s="9" t="str">
        <f>INDEX(Products!$B$2:$B$37, MATCH(D2020, Products!$A$2:$A$37, 0))</f>
        <v>Women's Summer Dress</v>
      </c>
      <c r="I2020" t="str">
        <f>INDEX(Products!$C$2:$C$37, MATCH(D2020, Products!$A$2:$A$37, 0))</f>
        <v>Fashion</v>
      </c>
      <c r="J2020">
        <f>INDEX(Products!$E$2:$E$37, MATCH(D2020, Products!$A$2:$A$37, 0))</f>
        <v>120</v>
      </c>
      <c r="K2020" s="9">
        <f t="shared" si="124"/>
        <v>206.1</v>
      </c>
      <c r="L2020">
        <f t="shared" si="125"/>
        <v>120</v>
      </c>
      <c r="M2020" s="9">
        <f t="shared" si="126"/>
        <v>86.1</v>
      </c>
      <c r="N2020" t="str">
        <f t="shared" si="127"/>
        <v>Jun</v>
      </c>
    </row>
    <row r="2021" spans="1:14" x14ac:dyDescent="0.3">
      <c r="A2021" s="2" t="s">
        <v>2087</v>
      </c>
      <c r="B2021" s="6">
        <v>45830</v>
      </c>
      <c r="C2021" s="2" t="s">
        <v>41</v>
      </c>
      <c r="D2021" s="2" t="s">
        <v>29</v>
      </c>
      <c r="E2021" s="2">
        <v>1</v>
      </c>
      <c r="F2021" s="7">
        <v>229</v>
      </c>
      <c r="G2021" s="8">
        <v>0.05</v>
      </c>
      <c r="H2021" s="9" t="str">
        <f>INDEX(Products!$B$2:$B$37, MATCH(D2021, Products!$A$2:$A$37, 0))</f>
        <v>Women's Summer Dress</v>
      </c>
      <c r="I2021" t="str">
        <f>INDEX(Products!$C$2:$C$37, MATCH(D2021, Products!$A$2:$A$37, 0))</f>
        <v>Fashion</v>
      </c>
      <c r="J2021">
        <f>INDEX(Products!$E$2:$E$37, MATCH(D2021, Products!$A$2:$A$37, 0))</f>
        <v>120</v>
      </c>
      <c r="K2021" s="9">
        <f t="shared" si="124"/>
        <v>217.54999999999998</v>
      </c>
      <c r="L2021">
        <f t="shared" si="125"/>
        <v>120</v>
      </c>
      <c r="M2021" s="9">
        <f t="shared" si="126"/>
        <v>97.549999999999983</v>
      </c>
      <c r="N2021" t="str">
        <f t="shared" si="127"/>
        <v>Jun</v>
      </c>
    </row>
    <row r="2022" spans="1:14" x14ac:dyDescent="0.3">
      <c r="A2022" s="2" t="s">
        <v>2088</v>
      </c>
      <c r="B2022" s="6">
        <v>45830</v>
      </c>
      <c r="C2022" s="2" t="s">
        <v>48</v>
      </c>
      <c r="D2022" s="2" t="s">
        <v>58</v>
      </c>
      <c r="E2022" s="2">
        <v>1</v>
      </c>
      <c r="F2022" s="7">
        <v>459</v>
      </c>
      <c r="G2022" s="8">
        <v>0</v>
      </c>
      <c r="H2022" s="9" t="str">
        <f>INDEX(Products!$B$2:$B$37, MATCH(D2022, Products!$A$2:$A$37, 0))</f>
        <v>Women's Abaya Classic</v>
      </c>
      <c r="I2022" t="str">
        <f>INDEX(Products!$C$2:$C$37, MATCH(D2022, Products!$A$2:$A$37, 0))</f>
        <v>Fashion</v>
      </c>
      <c r="J2022">
        <f>INDEX(Products!$E$2:$E$37, MATCH(D2022, Products!$A$2:$A$37, 0))</f>
        <v>190</v>
      </c>
      <c r="K2022" s="9">
        <f t="shared" si="124"/>
        <v>459</v>
      </c>
      <c r="L2022">
        <f t="shared" si="125"/>
        <v>190</v>
      </c>
      <c r="M2022" s="9">
        <f t="shared" si="126"/>
        <v>269</v>
      </c>
      <c r="N2022" t="str">
        <f t="shared" si="127"/>
        <v>Jun</v>
      </c>
    </row>
    <row r="2023" spans="1:14" x14ac:dyDescent="0.3">
      <c r="A2023" s="2" t="s">
        <v>2089</v>
      </c>
      <c r="B2023" s="6">
        <v>45830</v>
      </c>
      <c r="C2023" s="2" t="s">
        <v>41</v>
      </c>
      <c r="D2023" s="2" t="s">
        <v>29</v>
      </c>
      <c r="E2023" s="2">
        <v>1</v>
      </c>
      <c r="F2023" s="7">
        <v>229</v>
      </c>
      <c r="G2023" s="8">
        <v>0</v>
      </c>
      <c r="H2023" s="9" t="str">
        <f>INDEX(Products!$B$2:$B$37, MATCH(D2023, Products!$A$2:$A$37, 0))</f>
        <v>Women's Summer Dress</v>
      </c>
      <c r="I2023" t="str">
        <f>INDEX(Products!$C$2:$C$37, MATCH(D2023, Products!$A$2:$A$37, 0))</f>
        <v>Fashion</v>
      </c>
      <c r="J2023">
        <f>INDEX(Products!$E$2:$E$37, MATCH(D2023, Products!$A$2:$A$37, 0))</f>
        <v>120</v>
      </c>
      <c r="K2023" s="9">
        <f t="shared" si="124"/>
        <v>229</v>
      </c>
      <c r="L2023">
        <f t="shared" si="125"/>
        <v>120</v>
      </c>
      <c r="M2023" s="9">
        <f t="shared" si="126"/>
        <v>109</v>
      </c>
      <c r="N2023" t="str">
        <f t="shared" si="127"/>
        <v>Jun</v>
      </c>
    </row>
    <row r="2024" spans="1:14" x14ac:dyDescent="0.3">
      <c r="A2024" s="2" t="s">
        <v>2090</v>
      </c>
      <c r="B2024" s="6">
        <v>45830</v>
      </c>
      <c r="C2024" s="2" t="s">
        <v>31</v>
      </c>
      <c r="D2024" s="2" t="s">
        <v>83</v>
      </c>
      <c r="E2024" s="2">
        <v>1</v>
      </c>
      <c r="F2024" s="7">
        <v>229</v>
      </c>
      <c r="G2024" s="8">
        <v>0</v>
      </c>
      <c r="H2024" s="9" t="str">
        <f>INDEX(Products!$B$2:$B$37, MATCH(D2024, Products!$A$2:$A$37, 0))</f>
        <v>Cycling Helmet</v>
      </c>
      <c r="I2024" t="str">
        <f>INDEX(Products!$C$2:$C$37, MATCH(D2024, Products!$A$2:$A$37, 0))</f>
        <v>Sports</v>
      </c>
      <c r="J2024">
        <f>INDEX(Products!$E$2:$E$37, MATCH(D2024, Products!$A$2:$A$37, 0))</f>
        <v>120</v>
      </c>
      <c r="K2024" s="9">
        <f t="shared" si="124"/>
        <v>229</v>
      </c>
      <c r="L2024">
        <f t="shared" si="125"/>
        <v>120</v>
      </c>
      <c r="M2024" s="9">
        <f t="shared" si="126"/>
        <v>109</v>
      </c>
      <c r="N2024" t="str">
        <f t="shared" si="127"/>
        <v>Jun</v>
      </c>
    </row>
    <row r="2025" spans="1:14" x14ac:dyDescent="0.3">
      <c r="A2025" s="2" t="s">
        <v>2091</v>
      </c>
      <c r="B2025" s="6">
        <v>45830</v>
      </c>
      <c r="C2025" s="2" t="s">
        <v>28</v>
      </c>
      <c r="D2025" s="2" t="s">
        <v>95</v>
      </c>
      <c r="E2025" s="2">
        <v>3</v>
      </c>
      <c r="F2025" s="7">
        <v>259</v>
      </c>
      <c r="G2025" s="8">
        <v>0.1</v>
      </c>
      <c r="H2025" s="9" t="str">
        <f>INDEX(Products!$B$2:$B$37, MATCH(D2025, Products!$A$2:$A$37, 0))</f>
        <v>Bed Linen Set (King)</v>
      </c>
      <c r="I2025" t="str">
        <f>INDEX(Products!$C$2:$C$37, MATCH(D2025, Products!$A$2:$A$37, 0))</f>
        <v>Home &amp; Kitchen</v>
      </c>
      <c r="J2025">
        <f>INDEX(Products!$E$2:$E$37, MATCH(D2025, Products!$A$2:$A$37, 0))</f>
        <v>115</v>
      </c>
      <c r="K2025" s="9">
        <f t="shared" si="124"/>
        <v>699.30000000000007</v>
      </c>
      <c r="L2025">
        <f t="shared" si="125"/>
        <v>345</v>
      </c>
      <c r="M2025" s="9">
        <f t="shared" si="126"/>
        <v>354.30000000000007</v>
      </c>
      <c r="N2025" t="str">
        <f t="shared" si="127"/>
        <v>Jun</v>
      </c>
    </row>
    <row r="2026" spans="1:14" x14ac:dyDescent="0.3">
      <c r="A2026" s="2" t="s">
        <v>2092</v>
      </c>
      <c r="B2026" s="6">
        <v>45830</v>
      </c>
      <c r="C2026" s="2" t="s">
        <v>44</v>
      </c>
      <c r="D2026" s="2" t="s">
        <v>37</v>
      </c>
      <c r="E2026" s="2">
        <v>2</v>
      </c>
      <c r="F2026" s="7">
        <v>249</v>
      </c>
      <c r="G2026" s="8">
        <v>0</v>
      </c>
      <c r="H2026" s="9" t="str">
        <f>INDEX(Products!$B$2:$B$37, MATCH(D2026, Products!$A$2:$A$37, 0))</f>
        <v>Sunglasses Polarised</v>
      </c>
      <c r="I2026" t="str">
        <f>INDEX(Products!$C$2:$C$37, MATCH(D2026, Products!$A$2:$A$37, 0))</f>
        <v>Fashion</v>
      </c>
      <c r="J2026">
        <f>INDEX(Products!$E$2:$E$37, MATCH(D2026, Products!$A$2:$A$37, 0))</f>
        <v>95</v>
      </c>
      <c r="K2026" s="9">
        <f t="shared" si="124"/>
        <v>498</v>
      </c>
      <c r="L2026">
        <f t="shared" si="125"/>
        <v>190</v>
      </c>
      <c r="M2026" s="9">
        <f t="shared" si="126"/>
        <v>308</v>
      </c>
      <c r="N2026" t="str">
        <f t="shared" si="127"/>
        <v>Jun</v>
      </c>
    </row>
    <row r="2027" spans="1:14" x14ac:dyDescent="0.3">
      <c r="A2027" s="2" t="s">
        <v>2093</v>
      </c>
      <c r="B2027" s="6">
        <v>45830</v>
      </c>
      <c r="C2027" s="2" t="s">
        <v>48</v>
      </c>
      <c r="D2027" s="2" t="s">
        <v>39</v>
      </c>
      <c r="E2027" s="2">
        <v>2</v>
      </c>
      <c r="F2027" s="7">
        <v>199</v>
      </c>
      <c r="G2027" s="8">
        <v>0</v>
      </c>
      <c r="H2027" s="9" t="str">
        <f>INDEX(Products!$B$2:$B$37, MATCH(D2027, Products!$A$2:$A$37, 0))</f>
        <v>Bakhoor Gift Set</v>
      </c>
      <c r="I2027" t="str">
        <f>INDEX(Products!$C$2:$C$37, MATCH(D2027, Products!$A$2:$A$37, 0))</f>
        <v>Beauty</v>
      </c>
      <c r="J2027">
        <f>INDEX(Products!$E$2:$E$37, MATCH(D2027, Products!$A$2:$A$37, 0))</f>
        <v>90</v>
      </c>
      <c r="K2027" s="9">
        <f t="shared" si="124"/>
        <v>398</v>
      </c>
      <c r="L2027">
        <f t="shared" si="125"/>
        <v>180</v>
      </c>
      <c r="M2027" s="9">
        <f t="shared" si="126"/>
        <v>218</v>
      </c>
      <c r="N2027" t="str">
        <f t="shared" si="127"/>
        <v>Jun</v>
      </c>
    </row>
    <row r="2028" spans="1:14" x14ac:dyDescent="0.3">
      <c r="A2028" s="2" t="s">
        <v>2094</v>
      </c>
      <c r="B2028" s="6">
        <v>45830</v>
      </c>
      <c r="C2028" s="2" t="s">
        <v>28</v>
      </c>
      <c r="D2028" s="2" t="s">
        <v>103</v>
      </c>
      <c r="E2028" s="2">
        <v>1</v>
      </c>
      <c r="F2028" s="7">
        <v>89</v>
      </c>
      <c r="G2028" s="8">
        <v>0</v>
      </c>
      <c r="H2028" s="9" t="str">
        <f>INDEX(Products!$B$2:$B$37, MATCH(D2028, Products!$A$2:$A$37, 0))</f>
        <v>Sunscreen SPF50</v>
      </c>
      <c r="I2028" t="str">
        <f>INDEX(Products!$C$2:$C$37, MATCH(D2028, Products!$A$2:$A$37, 0))</f>
        <v>Beauty</v>
      </c>
      <c r="J2028">
        <f>INDEX(Products!$E$2:$E$37, MATCH(D2028, Products!$A$2:$A$37, 0))</f>
        <v>40</v>
      </c>
      <c r="K2028" s="9">
        <f t="shared" si="124"/>
        <v>89</v>
      </c>
      <c r="L2028">
        <f t="shared" si="125"/>
        <v>40</v>
      </c>
      <c r="M2028" s="9">
        <f t="shared" si="126"/>
        <v>49</v>
      </c>
      <c r="N2028" t="str">
        <f t="shared" si="127"/>
        <v>Jun</v>
      </c>
    </row>
    <row r="2029" spans="1:14" x14ac:dyDescent="0.3">
      <c r="A2029" s="2" t="s">
        <v>2095</v>
      </c>
      <c r="B2029" s="6">
        <v>45830</v>
      </c>
      <c r="C2029" s="2" t="s">
        <v>41</v>
      </c>
      <c r="D2029" s="2" t="s">
        <v>60</v>
      </c>
      <c r="E2029" s="2">
        <v>1</v>
      </c>
      <c r="F2029" s="7">
        <v>99</v>
      </c>
      <c r="G2029" s="8">
        <v>0</v>
      </c>
      <c r="H2029" s="9" t="str">
        <f>INDEX(Products!$B$2:$B$37, MATCH(D2029, Products!$A$2:$A$37, 0))</f>
        <v>Football Size 5</v>
      </c>
      <c r="I2029" t="str">
        <f>INDEX(Products!$C$2:$C$37, MATCH(D2029, Products!$A$2:$A$37, 0))</f>
        <v>Sports</v>
      </c>
      <c r="J2029">
        <f>INDEX(Products!$E$2:$E$37, MATCH(D2029, Products!$A$2:$A$37, 0))</f>
        <v>45</v>
      </c>
      <c r="K2029" s="9">
        <f t="shared" si="124"/>
        <v>99</v>
      </c>
      <c r="L2029">
        <f t="shared" si="125"/>
        <v>45</v>
      </c>
      <c r="M2029" s="9">
        <f t="shared" si="126"/>
        <v>54</v>
      </c>
      <c r="N2029" t="str">
        <f t="shared" si="127"/>
        <v>Jun</v>
      </c>
    </row>
    <row r="2030" spans="1:14" x14ac:dyDescent="0.3">
      <c r="A2030" s="2" t="s">
        <v>2096</v>
      </c>
      <c r="B2030" s="6">
        <v>45830</v>
      </c>
      <c r="C2030" s="2" t="s">
        <v>28</v>
      </c>
      <c r="D2030" s="2" t="s">
        <v>29</v>
      </c>
      <c r="E2030" s="2">
        <v>1</v>
      </c>
      <c r="F2030" s="7">
        <v>229</v>
      </c>
      <c r="G2030" s="8">
        <v>0.1</v>
      </c>
      <c r="H2030" s="9" t="str">
        <f>INDEX(Products!$B$2:$B$37, MATCH(D2030, Products!$A$2:$A$37, 0))</f>
        <v>Women's Summer Dress</v>
      </c>
      <c r="I2030" t="str">
        <f>INDEX(Products!$C$2:$C$37, MATCH(D2030, Products!$A$2:$A$37, 0))</f>
        <v>Fashion</v>
      </c>
      <c r="J2030">
        <f>INDEX(Products!$E$2:$E$37, MATCH(D2030, Products!$A$2:$A$37, 0))</f>
        <v>120</v>
      </c>
      <c r="K2030" s="9">
        <f t="shared" si="124"/>
        <v>206.1</v>
      </c>
      <c r="L2030">
        <f t="shared" si="125"/>
        <v>120</v>
      </c>
      <c r="M2030" s="9">
        <f t="shared" si="126"/>
        <v>86.1</v>
      </c>
      <c r="N2030" t="str">
        <f t="shared" si="127"/>
        <v>Jun</v>
      </c>
    </row>
    <row r="2031" spans="1:14" x14ac:dyDescent="0.3">
      <c r="A2031" s="2" t="s">
        <v>2097</v>
      </c>
      <c r="B2031" s="6">
        <v>45830</v>
      </c>
      <c r="C2031" s="2" t="s">
        <v>31</v>
      </c>
      <c r="D2031" s="2" t="s">
        <v>70</v>
      </c>
      <c r="E2031" s="2">
        <v>3</v>
      </c>
      <c r="F2031" s="7">
        <v>429</v>
      </c>
      <c r="G2031" s="8">
        <v>0.1</v>
      </c>
      <c r="H2031" s="9" t="str">
        <f>INDEX(Products!$B$2:$B$37, MATCH(D2031, Products!$A$2:$A$37, 0))</f>
        <v>Running Shoes Elite</v>
      </c>
      <c r="I2031" t="str">
        <f>INDEX(Products!$C$2:$C$37, MATCH(D2031, Products!$A$2:$A$37, 0))</f>
        <v>Fashion</v>
      </c>
      <c r="J2031">
        <f>INDEX(Products!$E$2:$E$37, MATCH(D2031, Products!$A$2:$A$37, 0))</f>
        <v>300</v>
      </c>
      <c r="K2031" s="9">
        <f t="shared" si="124"/>
        <v>1158.3</v>
      </c>
      <c r="L2031">
        <f t="shared" si="125"/>
        <v>900</v>
      </c>
      <c r="M2031" s="9">
        <f t="shared" si="126"/>
        <v>258.29999999999995</v>
      </c>
      <c r="N2031" t="str">
        <f t="shared" si="127"/>
        <v>Jun</v>
      </c>
    </row>
    <row r="2032" spans="1:14" x14ac:dyDescent="0.3">
      <c r="A2032" s="2" t="s">
        <v>2098</v>
      </c>
      <c r="B2032" s="6">
        <v>45831</v>
      </c>
      <c r="C2032" s="2" t="s">
        <v>31</v>
      </c>
      <c r="D2032" s="2" t="s">
        <v>33</v>
      </c>
      <c r="E2032" s="2">
        <v>2</v>
      </c>
      <c r="F2032" s="7">
        <v>199</v>
      </c>
      <c r="G2032" s="8">
        <v>0.15</v>
      </c>
      <c r="H2032" s="9" t="str">
        <f>INDEX(Products!$B$2:$B$37, MATCH(D2032, Products!$A$2:$A$37, 0))</f>
        <v>Fitness Band Lite</v>
      </c>
      <c r="I2032" t="str">
        <f>INDEX(Products!$C$2:$C$37, MATCH(D2032, Products!$A$2:$A$37, 0))</f>
        <v>Electronics</v>
      </c>
      <c r="J2032">
        <f>INDEX(Products!$E$2:$E$37, MATCH(D2032, Products!$A$2:$A$37, 0))</f>
        <v>175</v>
      </c>
      <c r="K2032" s="9">
        <f t="shared" si="124"/>
        <v>338.3</v>
      </c>
      <c r="L2032">
        <f t="shared" si="125"/>
        <v>350</v>
      </c>
      <c r="M2032" s="9">
        <f t="shared" si="126"/>
        <v>-11.699999999999989</v>
      </c>
      <c r="N2032" t="str">
        <f t="shared" si="127"/>
        <v>Jun</v>
      </c>
    </row>
    <row r="2033" spans="1:14" x14ac:dyDescent="0.3">
      <c r="A2033" s="2" t="s">
        <v>2099</v>
      </c>
      <c r="B2033" s="6">
        <v>45831</v>
      </c>
      <c r="C2033" s="2" t="s">
        <v>31</v>
      </c>
      <c r="D2033" s="2" t="s">
        <v>99</v>
      </c>
      <c r="E2033" s="2">
        <v>1</v>
      </c>
      <c r="F2033" s="7">
        <v>459</v>
      </c>
      <c r="G2033" s="8">
        <v>0</v>
      </c>
      <c r="H2033" s="9" t="str">
        <f>INDEX(Products!$B$2:$B$37, MATCH(D2033, Products!$A$2:$A$37, 0))</f>
        <v>Gaming Headset X</v>
      </c>
      <c r="I2033" t="str">
        <f>INDEX(Products!$C$2:$C$37, MATCH(D2033, Products!$A$2:$A$37, 0))</f>
        <v>Electronics</v>
      </c>
      <c r="J2033">
        <f>INDEX(Products!$E$2:$E$37, MATCH(D2033, Products!$A$2:$A$37, 0))</f>
        <v>300</v>
      </c>
      <c r="K2033" s="9">
        <f t="shared" si="124"/>
        <v>459</v>
      </c>
      <c r="L2033">
        <f t="shared" si="125"/>
        <v>300</v>
      </c>
      <c r="M2033" s="9">
        <f t="shared" si="126"/>
        <v>159</v>
      </c>
      <c r="N2033" t="str">
        <f t="shared" si="127"/>
        <v>Jun</v>
      </c>
    </row>
    <row r="2034" spans="1:14" x14ac:dyDescent="0.3">
      <c r="A2034" s="2" t="s">
        <v>2100</v>
      </c>
      <c r="B2034" s="6">
        <v>45831</v>
      </c>
      <c r="C2034" s="2" t="s">
        <v>28</v>
      </c>
      <c r="D2034" s="2" t="s">
        <v>46</v>
      </c>
      <c r="E2034" s="2">
        <v>1</v>
      </c>
      <c r="F2034" s="7">
        <v>189</v>
      </c>
      <c r="G2034" s="8">
        <v>0.1</v>
      </c>
      <c r="H2034" s="9" t="str">
        <f>INDEX(Products!$B$2:$B$37, MATCH(D2034, Products!$A$2:$A$37, 0))</f>
        <v>Makeup Palette</v>
      </c>
      <c r="I2034" t="str">
        <f>INDEX(Products!$C$2:$C$37, MATCH(D2034, Products!$A$2:$A$37, 0))</f>
        <v>Beauty</v>
      </c>
      <c r="J2034">
        <f>INDEX(Products!$E$2:$E$37, MATCH(D2034, Products!$A$2:$A$37, 0))</f>
        <v>85</v>
      </c>
      <c r="K2034" s="9">
        <f t="shared" si="124"/>
        <v>170.1</v>
      </c>
      <c r="L2034">
        <f t="shared" si="125"/>
        <v>85</v>
      </c>
      <c r="M2034" s="9">
        <f t="shared" si="126"/>
        <v>85.1</v>
      </c>
      <c r="N2034" t="str">
        <f t="shared" si="127"/>
        <v>Jun</v>
      </c>
    </row>
    <row r="2035" spans="1:14" x14ac:dyDescent="0.3">
      <c r="A2035" s="2" t="s">
        <v>2101</v>
      </c>
      <c r="B2035" s="6">
        <v>45831</v>
      </c>
      <c r="C2035" s="2" t="s">
        <v>41</v>
      </c>
      <c r="D2035" s="2" t="s">
        <v>35</v>
      </c>
      <c r="E2035" s="2">
        <v>2</v>
      </c>
      <c r="F2035" s="7">
        <v>179</v>
      </c>
      <c r="G2035" s="8">
        <v>0.15</v>
      </c>
      <c r="H2035" s="9" t="str">
        <f>INDEX(Products!$B$2:$B$37, MATCH(D2035, Products!$A$2:$A$37, 0))</f>
        <v>Men's Linen Shirt</v>
      </c>
      <c r="I2035" t="str">
        <f>INDEX(Products!$C$2:$C$37, MATCH(D2035, Products!$A$2:$A$37, 0))</f>
        <v>Fashion</v>
      </c>
      <c r="J2035">
        <f>INDEX(Products!$E$2:$E$37, MATCH(D2035, Products!$A$2:$A$37, 0))</f>
        <v>70</v>
      </c>
      <c r="K2035" s="9">
        <f t="shared" si="124"/>
        <v>304.3</v>
      </c>
      <c r="L2035">
        <f t="shared" si="125"/>
        <v>140</v>
      </c>
      <c r="M2035" s="9">
        <f t="shared" si="126"/>
        <v>164.3</v>
      </c>
      <c r="N2035" t="str">
        <f t="shared" si="127"/>
        <v>Jun</v>
      </c>
    </row>
    <row r="2036" spans="1:14" x14ac:dyDescent="0.3">
      <c r="A2036" s="2" t="s">
        <v>2102</v>
      </c>
      <c r="B2036" s="6">
        <v>45831</v>
      </c>
      <c r="C2036" s="2" t="s">
        <v>44</v>
      </c>
      <c r="D2036" s="2" t="s">
        <v>52</v>
      </c>
      <c r="E2036" s="2">
        <v>1</v>
      </c>
      <c r="F2036" s="7">
        <v>299</v>
      </c>
      <c r="G2036" s="8">
        <v>0.25</v>
      </c>
      <c r="H2036" s="9" t="str">
        <f>INDEX(Products!$B$2:$B$37, MATCH(D2036, Products!$A$2:$A$37, 0))</f>
        <v>Hair Dryer Ionic</v>
      </c>
      <c r="I2036" t="str">
        <f>INDEX(Products!$C$2:$C$37, MATCH(D2036, Products!$A$2:$A$37, 0))</f>
        <v>Beauty</v>
      </c>
      <c r="J2036">
        <f>INDEX(Products!$E$2:$E$37, MATCH(D2036, Products!$A$2:$A$37, 0))</f>
        <v>240</v>
      </c>
      <c r="K2036" s="9">
        <f t="shared" si="124"/>
        <v>224.25</v>
      </c>
      <c r="L2036">
        <f t="shared" si="125"/>
        <v>240</v>
      </c>
      <c r="M2036" s="9">
        <f t="shared" si="126"/>
        <v>-15.75</v>
      </c>
      <c r="N2036" t="str">
        <f t="shared" si="127"/>
        <v>Jun</v>
      </c>
    </row>
    <row r="2037" spans="1:14" x14ac:dyDescent="0.3">
      <c r="A2037" s="2" t="s">
        <v>2103</v>
      </c>
      <c r="B2037" s="6">
        <v>45831</v>
      </c>
      <c r="C2037" s="2" t="s">
        <v>41</v>
      </c>
      <c r="D2037" s="2" t="s">
        <v>115</v>
      </c>
      <c r="E2037" s="2">
        <v>1</v>
      </c>
      <c r="F2037" s="7">
        <v>129</v>
      </c>
      <c r="G2037" s="8">
        <v>0</v>
      </c>
      <c r="H2037" s="9" t="str">
        <f>INDEX(Products!$B$2:$B$37, MATCH(D2037, Products!$A$2:$A$37, 0))</f>
        <v>Electric Kettle</v>
      </c>
      <c r="I2037" t="str">
        <f>INDEX(Products!$C$2:$C$37, MATCH(D2037, Products!$A$2:$A$37, 0))</f>
        <v>Home &amp; Kitchen</v>
      </c>
      <c r="J2037">
        <f>INDEX(Products!$E$2:$E$37, MATCH(D2037, Products!$A$2:$A$37, 0))</f>
        <v>60</v>
      </c>
      <c r="K2037" s="9">
        <f t="shared" si="124"/>
        <v>129</v>
      </c>
      <c r="L2037">
        <f t="shared" si="125"/>
        <v>60</v>
      </c>
      <c r="M2037" s="9">
        <f t="shared" si="126"/>
        <v>69</v>
      </c>
      <c r="N2037" t="str">
        <f t="shared" si="127"/>
        <v>Jun</v>
      </c>
    </row>
    <row r="2038" spans="1:14" x14ac:dyDescent="0.3">
      <c r="A2038" s="2" t="s">
        <v>2104</v>
      </c>
      <c r="B2038" s="6">
        <v>45831</v>
      </c>
      <c r="C2038" s="2" t="s">
        <v>28</v>
      </c>
      <c r="D2038" s="2" t="s">
        <v>115</v>
      </c>
      <c r="E2038" s="2">
        <v>2</v>
      </c>
      <c r="F2038" s="7">
        <v>129</v>
      </c>
      <c r="G2038" s="8">
        <v>0</v>
      </c>
      <c r="H2038" s="9" t="str">
        <f>INDEX(Products!$B$2:$B$37, MATCH(D2038, Products!$A$2:$A$37, 0))</f>
        <v>Electric Kettle</v>
      </c>
      <c r="I2038" t="str">
        <f>INDEX(Products!$C$2:$C$37, MATCH(D2038, Products!$A$2:$A$37, 0))</f>
        <v>Home &amp; Kitchen</v>
      </c>
      <c r="J2038">
        <f>INDEX(Products!$E$2:$E$37, MATCH(D2038, Products!$A$2:$A$37, 0))</f>
        <v>60</v>
      </c>
      <c r="K2038" s="9">
        <f t="shared" si="124"/>
        <v>258</v>
      </c>
      <c r="L2038">
        <f t="shared" si="125"/>
        <v>120</v>
      </c>
      <c r="M2038" s="9">
        <f t="shared" si="126"/>
        <v>138</v>
      </c>
      <c r="N2038" t="str">
        <f t="shared" si="127"/>
        <v>Jun</v>
      </c>
    </row>
    <row r="2039" spans="1:14" x14ac:dyDescent="0.3">
      <c r="A2039" s="2" t="s">
        <v>2105</v>
      </c>
      <c r="B2039" s="6">
        <v>45831</v>
      </c>
      <c r="C2039" s="2" t="s">
        <v>48</v>
      </c>
      <c r="D2039" s="2" t="s">
        <v>68</v>
      </c>
      <c r="E2039" s="2">
        <v>1</v>
      </c>
      <c r="F2039" s="7">
        <v>249</v>
      </c>
      <c r="G2039" s="8">
        <v>0.2</v>
      </c>
      <c r="H2039" s="9" t="str">
        <f>INDEX(Products!$B$2:$B$37, MATCH(D2039, Products!$A$2:$A$37, 0))</f>
        <v>Bluetooth Speaker Mini</v>
      </c>
      <c r="I2039" t="str">
        <f>INDEX(Products!$C$2:$C$37, MATCH(D2039, Products!$A$2:$A$37, 0))</f>
        <v>Electronics</v>
      </c>
      <c r="J2039">
        <f>INDEX(Products!$E$2:$E$37, MATCH(D2039, Products!$A$2:$A$37, 0))</f>
        <v>150</v>
      </c>
      <c r="K2039" s="9">
        <f t="shared" si="124"/>
        <v>199.20000000000002</v>
      </c>
      <c r="L2039">
        <f t="shared" si="125"/>
        <v>150</v>
      </c>
      <c r="M2039" s="9">
        <f t="shared" si="126"/>
        <v>49.200000000000017</v>
      </c>
      <c r="N2039" t="str">
        <f t="shared" si="127"/>
        <v>Jun</v>
      </c>
    </row>
    <row r="2040" spans="1:14" x14ac:dyDescent="0.3">
      <c r="A2040" s="2" t="s">
        <v>2106</v>
      </c>
      <c r="B2040" s="6">
        <v>45831</v>
      </c>
      <c r="C2040" s="2" t="s">
        <v>41</v>
      </c>
      <c r="D2040" s="2" t="s">
        <v>92</v>
      </c>
      <c r="E2040" s="2">
        <v>2</v>
      </c>
      <c r="F2040" s="7">
        <v>349</v>
      </c>
      <c r="G2040" s="8">
        <v>0.1</v>
      </c>
      <c r="H2040" s="9" t="str">
        <f>INDEX(Products!$B$2:$B$37, MATCH(D2040, Products!$A$2:$A$37, 0))</f>
        <v>Non-stick Cookware Set</v>
      </c>
      <c r="I2040" t="str">
        <f>INDEX(Products!$C$2:$C$37, MATCH(D2040, Products!$A$2:$A$37, 0))</f>
        <v>Home &amp; Kitchen</v>
      </c>
      <c r="J2040">
        <f>INDEX(Products!$E$2:$E$37, MATCH(D2040, Products!$A$2:$A$37, 0))</f>
        <v>170</v>
      </c>
      <c r="K2040" s="9">
        <f t="shared" si="124"/>
        <v>628.20000000000005</v>
      </c>
      <c r="L2040">
        <f t="shared" si="125"/>
        <v>340</v>
      </c>
      <c r="M2040" s="9">
        <f t="shared" si="126"/>
        <v>288.20000000000005</v>
      </c>
      <c r="N2040" t="str">
        <f t="shared" si="127"/>
        <v>Jun</v>
      </c>
    </row>
    <row r="2041" spans="1:14" x14ac:dyDescent="0.3">
      <c r="A2041" s="2" t="s">
        <v>2107</v>
      </c>
      <c r="B2041" s="6">
        <v>45831</v>
      </c>
      <c r="C2041" s="2" t="s">
        <v>41</v>
      </c>
      <c r="D2041" s="2" t="s">
        <v>39</v>
      </c>
      <c r="E2041" s="2">
        <v>3</v>
      </c>
      <c r="F2041" s="7">
        <v>199</v>
      </c>
      <c r="G2041" s="8">
        <v>0.05</v>
      </c>
      <c r="H2041" s="9" t="str">
        <f>INDEX(Products!$B$2:$B$37, MATCH(D2041, Products!$A$2:$A$37, 0))</f>
        <v>Bakhoor Gift Set</v>
      </c>
      <c r="I2041" t="str">
        <f>INDEX(Products!$C$2:$C$37, MATCH(D2041, Products!$A$2:$A$37, 0))</f>
        <v>Beauty</v>
      </c>
      <c r="J2041">
        <f>INDEX(Products!$E$2:$E$37, MATCH(D2041, Products!$A$2:$A$37, 0))</f>
        <v>90</v>
      </c>
      <c r="K2041" s="9">
        <f t="shared" si="124"/>
        <v>567.15</v>
      </c>
      <c r="L2041">
        <f t="shared" si="125"/>
        <v>270</v>
      </c>
      <c r="M2041" s="9">
        <f t="shared" si="126"/>
        <v>297.14999999999998</v>
      </c>
      <c r="N2041" t="str">
        <f t="shared" si="127"/>
        <v>Jun</v>
      </c>
    </row>
    <row r="2042" spans="1:14" x14ac:dyDescent="0.3">
      <c r="A2042" s="2" t="s">
        <v>2108</v>
      </c>
      <c r="B2042" s="6">
        <v>45831</v>
      </c>
      <c r="C2042" s="2" t="s">
        <v>28</v>
      </c>
      <c r="D2042" s="2" t="s">
        <v>75</v>
      </c>
      <c r="E2042" s="2">
        <v>2</v>
      </c>
      <c r="F2042" s="7">
        <v>549</v>
      </c>
      <c r="G2042" s="8">
        <v>0</v>
      </c>
      <c r="H2042" s="9" t="str">
        <f>INDEX(Products!$B$2:$B$37, MATCH(D2042, Products!$A$2:$A$37, 0))</f>
        <v>Oud Perfume 100ml</v>
      </c>
      <c r="I2042" t="str">
        <f>INDEX(Products!$C$2:$C$37, MATCH(D2042, Products!$A$2:$A$37, 0))</f>
        <v>Beauty</v>
      </c>
      <c r="J2042">
        <f>INDEX(Products!$E$2:$E$37, MATCH(D2042, Products!$A$2:$A$37, 0))</f>
        <v>250</v>
      </c>
      <c r="K2042" s="9">
        <f t="shared" si="124"/>
        <v>1098</v>
      </c>
      <c r="L2042">
        <f t="shared" si="125"/>
        <v>500</v>
      </c>
      <c r="M2042" s="9">
        <f t="shared" si="126"/>
        <v>598</v>
      </c>
      <c r="N2042" t="str">
        <f t="shared" si="127"/>
        <v>Jun</v>
      </c>
    </row>
    <row r="2043" spans="1:14" x14ac:dyDescent="0.3">
      <c r="A2043" s="2" t="s">
        <v>2109</v>
      </c>
      <c r="B2043" s="6">
        <v>45831</v>
      </c>
      <c r="C2043" s="2" t="s">
        <v>44</v>
      </c>
      <c r="D2043" s="2" t="s">
        <v>89</v>
      </c>
      <c r="E2043" s="2">
        <v>4</v>
      </c>
      <c r="F2043" s="7">
        <v>399</v>
      </c>
      <c r="G2043" s="8">
        <v>0</v>
      </c>
      <c r="H2043" s="9" t="str">
        <f>INDEX(Products!$B$2:$B$37, MATCH(D2043, Products!$A$2:$A$37, 0))</f>
        <v>Men's Kandura Premium</v>
      </c>
      <c r="I2043" t="str">
        <f>INDEX(Products!$C$2:$C$37, MATCH(D2043, Products!$A$2:$A$37, 0))</f>
        <v>Fashion</v>
      </c>
      <c r="J2043">
        <f>INDEX(Products!$E$2:$E$37, MATCH(D2043, Products!$A$2:$A$37, 0))</f>
        <v>210</v>
      </c>
      <c r="K2043" s="9">
        <f t="shared" si="124"/>
        <v>1596</v>
      </c>
      <c r="L2043">
        <f t="shared" si="125"/>
        <v>840</v>
      </c>
      <c r="M2043" s="9">
        <f t="shared" si="126"/>
        <v>756</v>
      </c>
      <c r="N2043" t="str">
        <f t="shared" si="127"/>
        <v>Jun</v>
      </c>
    </row>
    <row r="2044" spans="1:14" x14ac:dyDescent="0.3">
      <c r="A2044" s="2" t="s">
        <v>2110</v>
      </c>
      <c r="B2044" s="6">
        <v>45831</v>
      </c>
      <c r="C2044" s="2" t="s">
        <v>31</v>
      </c>
      <c r="D2044" s="2" t="s">
        <v>126</v>
      </c>
      <c r="E2044" s="2">
        <v>1</v>
      </c>
      <c r="F2044" s="7">
        <v>89</v>
      </c>
      <c r="G2044" s="8">
        <v>0.2</v>
      </c>
      <c r="H2044" s="9" t="str">
        <f>INDEX(Products!$B$2:$B$37, MATCH(D2044, Products!$A$2:$A$37, 0))</f>
        <v>USB-C Fast Charger</v>
      </c>
      <c r="I2044" t="str">
        <f>INDEX(Products!$C$2:$C$37, MATCH(D2044, Products!$A$2:$A$37, 0))</f>
        <v>Electronics</v>
      </c>
      <c r="J2044">
        <f>INDEX(Products!$E$2:$E$37, MATCH(D2044, Products!$A$2:$A$37, 0))</f>
        <v>35</v>
      </c>
      <c r="K2044" s="9">
        <f t="shared" si="124"/>
        <v>71.2</v>
      </c>
      <c r="L2044">
        <f t="shared" si="125"/>
        <v>35</v>
      </c>
      <c r="M2044" s="9">
        <f t="shared" si="126"/>
        <v>36.200000000000003</v>
      </c>
      <c r="N2044" t="str">
        <f t="shared" si="127"/>
        <v>Jun</v>
      </c>
    </row>
    <row r="2045" spans="1:14" x14ac:dyDescent="0.3">
      <c r="A2045" s="2" t="s">
        <v>2111</v>
      </c>
      <c r="B2045" s="6">
        <v>45832</v>
      </c>
      <c r="C2045" s="2" t="s">
        <v>28</v>
      </c>
      <c r="D2045" s="2" t="s">
        <v>52</v>
      </c>
      <c r="E2045" s="2">
        <v>2</v>
      </c>
      <c r="F2045" s="7">
        <v>299</v>
      </c>
      <c r="G2045" s="8">
        <v>0.1</v>
      </c>
      <c r="H2045" s="9" t="str">
        <f>INDEX(Products!$B$2:$B$37, MATCH(D2045, Products!$A$2:$A$37, 0))</f>
        <v>Hair Dryer Ionic</v>
      </c>
      <c r="I2045" t="str">
        <f>INDEX(Products!$C$2:$C$37, MATCH(D2045, Products!$A$2:$A$37, 0))</f>
        <v>Beauty</v>
      </c>
      <c r="J2045">
        <f>INDEX(Products!$E$2:$E$37, MATCH(D2045, Products!$A$2:$A$37, 0))</f>
        <v>240</v>
      </c>
      <c r="K2045" s="9">
        <f t="shared" si="124"/>
        <v>538.20000000000005</v>
      </c>
      <c r="L2045">
        <f t="shared" si="125"/>
        <v>480</v>
      </c>
      <c r="M2045" s="9">
        <f t="shared" si="126"/>
        <v>58.200000000000045</v>
      </c>
      <c r="N2045" t="str">
        <f t="shared" si="127"/>
        <v>Jun</v>
      </c>
    </row>
    <row r="2046" spans="1:14" x14ac:dyDescent="0.3">
      <c r="A2046" s="2" t="s">
        <v>2112</v>
      </c>
      <c r="B2046" s="6">
        <v>45832</v>
      </c>
      <c r="C2046" s="2" t="s">
        <v>44</v>
      </c>
      <c r="D2046" s="2" t="s">
        <v>103</v>
      </c>
      <c r="E2046" s="2">
        <v>1</v>
      </c>
      <c r="F2046" s="7">
        <v>89</v>
      </c>
      <c r="G2046" s="8">
        <v>0.05</v>
      </c>
      <c r="H2046" s="9" t="str">
        <f>INDEX(Products!$B$2:$B$37, MATCH(D2046, Products!$A$2:$A$37, 0))</f>
        <v>Sunscreen SPF50</v>
      </c>
      <c r="I2046" t="str">
        <f>INDEX(Products!$C$2:$C$37, MATCH(D2046, Products!$A$2:$A$37, 0))</f>
        <v>Beauty</v>
      </c>
      <c r="J2046">
        <f>INDEX(Products!$E$2:$E$37, MATCH(D2046, Products!$A$2:$A$37, 0))</f>
        <v>40</v>
      </c>
      <c r="K2046" s="9">
        <f t="shared" si="124"/>
        <v>84.55</v>
      </c>
      <c r="L2046">
        <f t="shared" si="125"/>
        <v>40</v>
      </c>
      <c r="M2046" s="9">
        <f t="shared" si="126"/>
        <v>44.55</v>
      </c>
      <c r="N2046" t="str">
        <f t="shared" si="127"/>
        <v>Jun</v>
      </c>
    </row>
    <row r="2047" spans="1:14" x14ac:dyDescent="0.3">
      <c r="A2047" s="2" t="s">
        <v>2113</v>
      </c>
      <c r="B2047" s="6">
        <v>45832</v>
      </c>
      <c r="C2047" s="2" t="s">
        <v>41</v>
      </c>
      <c r="D2047" s="2" t="s">
        <v>49</v>
      </c>
      <c r="E2047" s="2">
        <v>1</v>
      </c>
      <c r="F2047" s="7">
        <v>149</v>
      </c>
      <c r="G2047" s="8">
        <v>0</v>
      </c>
      <c r="H2047" s="9" t="str">
        <f>INDEX(Products!$B$2:$B$37, MATCH(D2047, Products!$A$2:$A$37, 0))</f>
        <v>Kids' Sneakers</v>
      </c>
      <c r="I2047" t="str">
        <f>INDEX(Products!$C$2:$C$37, MATCH(D2047, Products!$A$2:$A$37, 0))</f>
        <v>Fashion</v>
      </c>
      <c r="J2047">
        <f>INDEX(Products!$E$2:$E$37, MATCH(D2047, Products!$A$2:$A$37, 0))</f>
        <v>80</v>
      </c>
      <c r="K2047" s="9">
        <f t="shared" si="124"/>
        <v>149</v>
      </c>
      <c r="L2047">
        <f t="shared" si="125"/>
        <v>80</v>
      </c>
      <c r="M2047" s="9">
        <f t="shared" si="126"/>
        <v>69</v>
      </c>
      <c r="N2047" t="str">
        <f t="shared" si="127"/>
        <v>Jun</v>
      </c>
    </row>
    <row r="2048" spans="1:14" x14ac:dyDescent="0.3">
      <c r="A2048" s="2" t="s">
        <v>2114</v>
      </c>
      <c r="B2048" s="6">
        <v>45832</v>
      </c>
      <c r="C2048" s="2" t="s">
        <v>31</v>
      </c>
      <c r="D2048" s="2" t="s">
        <v>103</v>
      </c>
      <c r="E2048" s="2">
        <v>2</v>
      </c>
      <c r="F2048" s="7">
        <v>89</v>
      </c>
      <c r="G2048" s="8">
        <v>0.2</v>
      </c>
      <c r="H2048" s="9" t="str">
        <f>INDEX(Products!$B$2:$B$37, MATCH(D2048, Products!$A$2:$A$37, 0))</f>
        <v>Sunscreen SPF50</v>
      </c>
      <c r="I2048" t="str">
        <f>INDEX(Products!$C$2:$C$37, MATCH(D2048, Products!$A$2:$A$37, 0))</f>
        <v>Beauty</v>
      </c>
      <c r="J2048">
        <f>INDEX(Products!$E$2:$E$37, MATCH(D2048, Products!$A$2:$A$37, 0))</f>
        <v>40</v>
      </c>
      <c r="K2048" s="9">
        <f t="shared" si="124"/>
        <v>142.4</v>
      </c>
      <c r="L2048">
        <f t="shared" si="125"/>
        <v>80</v>
      </c>
      <c r="M2048" s="9">
        <f t="shared" si="126"/>
        <v>62.400000000000006</v>
      </c>
      <c r="N2048" t="str">
        <f t="shared" si="127"/>
        <v>Jun</v>
      </c>
    </row>
    <row r="2049" spans="1:14" x14ac:dyDescent="0.3">
      <c r="A2049" s="2" t="s">
        <v>2115</v>
      </c>
      <c r="B2049" s="6">
        <v>45832</v>
      </c>
      <c r="C2049" s="2" t="s">
        <v>41</v>
      </c>
      <c r="D2049" s="2" t="s">
        <v>49</v>
      </c>
      <c r="E2049" s="2">
        <v>4</v>
      </c>
      <c r="F2049" s="7">
        <v>149</v>
      </c>
      <c r="G2049" s="8">
        <v>0.05</v>
      </c>
      <c r="H2049" s="9" t="str">
        <f>INDEX(Products!$B$2:$B$37, MATCH(D2049, Products!$A$2:$A$37, 0))</f>
        <v>Kids' Sneakers</v>
      </c>
      <c r="I2049" t="str">
        <f>INDEX(Products!$C$2:$C$37, MATCH(D2049, Products!$A$2:$A$37, 0))</f>
        <v>Fashion</v>
      </c>
      <c r="J2049">
        <f>INDEX(Products!$E$2:$E$37, MATCH(D2049, Products!$A$2:$A$37, 0))</f>
        <v>80</v>
      </c>
      <c r="K2049" s="9">
        <f t="shared" si="124"/>
        <v>566.19999999999993</v>
      </c>
      <c r="L2049">
        <f t="shared" si="125"/>
        <v>320</v>
      </c>
      <c r="M2049" s="9">
        <f t="shared" si="126"/>
        <v>246.19999999999993</v>
      </c>
      <c r="N2049" t="str">
        <f t="shared" si="127"/>
        <v>Jun</v>
      </c>
    </row>
    <row r="2050" spans="1:14" x14ac:dyDescent="0.3">
      <c r="A2050" s="2" t="s">
        <v>2116</v>
      </c>
      <c r="B2050" s="6">
        <v>45832</v>
      </c>
      <c r="C2050" s="2" t="s">
        <v>28</v>
      </c>
      <c r="D2050" s="2" t="s">
        <v>60</v>
      </c>
      <c r="E2050" s="2">
        <v>2</v>
      </c>
      <c r="F2050" s="7">
        <v>99</v>
      </c>
      <c r="G2050" s="8">
        <v>0</v>
      </c>
      <c r="H2050" s="9" t="str">
        <f>INDEX(Products!$B$2:$B$37, MATCH(D2050, Products!$A$2:$A$37, 0))</f>
        <v>Football Size 5</v>
      </c>
      <c r="I2050" t="str">
        <f>INDEX(Products!$C$2:$C$37, MATCH(D2050, Products!$A$2:$A$37, 0))</f>
        <v>Sports</v>
      </c>
      <c r="J2050">
        <f>INDEX(Products!$E$2:$E$37, MATCH(D2050, Products!$A$2:$A$37, 0))</f>
        <v>45</v>
      </c>
      <c r="K2050" s="9">
        <f t="shared" ref="K2050:K2113" si="128">E2050*F2050*(1-G2050)</f>
        <v>198</v>
      </c>
      <c r="L2050">
        <f t="shared" ref="L2050:L2113" si="129">E2050*J2050</f>
        <v>90</v>
      </c>
      <c r="M2050" s="9">
        <f t="shared" ref="M2050:M2113" si="130">K2050-L2050</f>
        <v>108</v>
      </c>
      <c r="N2050" t="str">
        <f t="shared" ref="N2050:N2113" si="131">TEXT(B2050,"mmm")</f>
        <v>Jun</v>
      </c>
    </row>
    <row r="2051" spans="1:14" x14ac:dyDescent="0.3">
      <c r="A2051" s="2" t="s">
        <v>2117</v>
      </c>
      <c r="B2051" s="6">
        <v>45832</v>
      </c>
      <c r="C2051" s="2" t="s">
        <v>48</v>
      </c>
      <c r="D2051" s="2" t="s">
        <v>68</v>
      </c>
      <c r="E2051" s="2">
        <v>1</v>
      </c>
      <c r="F2051" s="7">
        <v>249</v>
      </c>
      <c r="G2051" s="8">
        <v>0</v>
      </c>
      <c r="H2051" s="9" t="str">
        <f>INDEX(Products!$B$2:$B$37, MATCH(D2051, Products!$A$2:$A$37, 0))</f>
        <v>Bluetooth Speaker Mini</v>
      </c>
      <c r="I2051" t="str">
        <f>INDEX(Products!$C$2:$C$37, MATCH(D2051, Products!$A$2:$A$37, 0))</f>
        <v>Electronics</v>
      </c>
      <c r="J2051">
        <f>INDEX(Products!$E$2:$E$37, MATCH(D2051, Products!$A$2:$A$37, 0))</f>
        <v>150</v>
      </c>
      <c r="K2051" s="9">
        <f t="shared" si="128"/>
        <v>249</v>
      </c>
      <c r="L2051">
        <f t="shared" si="129"/>
        <v>150</v>
      </c>
      <c r="M2051" s="9">
        <f t="shared" si="130"/>
        <v>99</v>
      </c>
      <c r="N2051" t="str">
        <f t="shared" si="131"/>
        <v>Jun</v>
      </c>
    </row>
    <row r="2052" spans="1:14" x14ac:dyDescent="0.3">
      <c r="A2052" s="2" t="s">
        <v>2118</v>
      </c>
      <c r="B2052" s="6">
        <v>45832</v>
      </c>
      <c r="C2052" s="2" t="s">
        <v>28</v>
      </c>
      <c r="D2052" s="2" t="s">
        <v>113</v>
      </c>
      <c r="E2052" s="2">
        <v>3</v>
      </c>
      <c r="F2052" s="7">
        <v>1199</v>
      </c>
      <c r="G2052" s="8">
        <v>0.15</v>
      </c>
      <c r="H2052" s="9" t="str">
        <f>INDEX(Products!$B$2:$B$37, MATCH(D2052, Products!$A$2:$A$37, 0))</f>
        <v>Robot Vacuum S3</v>
      </c>
      <c r="I2052" t="str">
        <f>INDEX(Products!$C$2:$C$37, MATCH(D2052, Products!$A$2:$A$37, 0))</f>
        <v>Home &amp; Kitchen</v>
      </c>
      <c r="J2052">
        <f>INDEX(Products!$E$2:$E$37, MATCH(D2052, Products!$A$2:$A$37, 0))</f>
        <v>1080</v>
      </c>
      <c r="K2052" s="9">
        <f t="shared" si="128"/>
        <v>3057.45</v>
      </c>
      <c r="L2052">
        <f t="shared" si="129"/>
        <v>3240</v>
      </c>
      <c r="M2052" s="9">
        <f t="shared" si="130"/>
        <v>-182.55000000000018</v>
      </c>
      <c r="N2052" t="str">
        <f t="shared" si="131"/>
        <v>Jun</v>
      </c>
    </row>
    <row r="2053" spans="1:14" x14ac:dyDescent="0.3">
      <c r="A2053" s="2" t="s">
        <v>2119</v>
      </c>
      <c r="B2053" s="6">
        <v>45832</v>
      </c>
      <c r="C2053" s="2" t="s">
        <v>48</v>
      </c>
      <c r="D2053" s="2" t="s">
        <v>33</v>
      </c>
      <c r="E2053" s="2">
        <v>1</v>
      </c>
      <c r="F2053" s="7">
        <v>199</v>
      </c>
      <c r="G2053" s="8">
        <v>0.1</v>
      </c>
      <c r="H2053" s="9" t="str">
        <f>INDEX(Products!$B$2:$B$37, MATCH(D2053, Products!$A$2:$A$37, 0))</f>
        <v>Fitness Band Lite</v>
      </c>
      <c r="I2053" t="str">
        <f>INDEX(Products!$C$2:$C$37, MATCH(D2053, Products!$A$2:$A$37, 0))</f>
        <v>Electronics</v>
      </c>
      <c r="J2053">
        <f>INDEX(Products!$E$2:$E$37, MATCH(D2053, Products!$A$2:$A$37, 0))</f>
        <v>175</v>
      </c>
      <c r="K2053" s="9">
        <f t="shared" si="128"/>
        <v>179.1</v>
      </c>
      <c r="L2053">
        <f t="shared" si="129"/>
        <v>175</v>
      </c>
      <c r="M2053" s="9">
        <f t="shared" si="130"/>
        <v>4.0999999999999943</v>
      </c>
      <c r="N2053" t="str">
        <f t="shared" si="131"/>
        <v>Jun</v>
      </c>
    </row>
    <row r="2054" spans="1:14" x14ac:dyDescent="0.3">
      <c r="A2054" s="2" t="s">
        <v>2120</v>
      </c>
      <c r="B2054" s="6">
        <v>45832</v>
      </c>
      <c r="C2054" s="2" t="s">
        <v>44</v>
      </c>
      <c r="D2054" s="2" t="s">
        <v>75</v>
      </c>
      <c r="E2054" s="2">
        <v>1</v>
      </c>
      <c r="F2054" s="7">
        <v>549</v>
      </c>
      <c r="G2054" s="8">
        <v>0.1</v>
      </c>
      <c r="H2054" s="9" t="str">
        <f>INDEX(Products!$B$2:$B$37, MATCH(D2054, Products!$A$2:$A$37, 0))</f>
        <v>Oud Perfume 100ml</v>
      </c>
      <c r="I2054" t="str">
        <f>INDEX(Products!$C$2:$C$37, MATCH(D2054, Products!$A$2:$A$37, 0))</f>
        <v>Beauty</v>
      </c>
      <c r="J2054">
        <f>INDEX(Products!$E$2:$E$37, MATCH(D2054, Products!$A$2:$A$37, 0))</f>
        <v>250</v>
      </c>
      <c r="K2054" s="9">
        <f t="shared" si="128"/>
        <v>494.1</v>
      </c>
      <c r="L2054">
        <f t="shared" si="129"/>
        <v>250</v>
      </c>
      <c r="M2054" s="9">
        <f t="shared" si="130"/>
        <v>244.10000000000002</v>
      </c>
      <c r="N2054" t="str">
        <f t="shared" si="131"/>
        <v>Jun</v>
      </c>
    </row>
    <row r="2055" spans="1:14" x14ac:dyDescent="0.3">
      <c r="A2055" s="2" t="s">
        <v>2121</v>
      </c>
      <c r="B2055" s="6">
        <v>45832</v>
      </c>
      <c r="C2055" s="2" t="s">
        <v>31</v>
      </c>
      <c r="D2055" s="2" t="s">
        <v>103</v>
      </c>
      <c r="E2055" s="2">
        <v>2</v>
      </c>
      <c r="F2055" s="7">
        <v>89</v>
      </c>
      <c r="G2055" s="8">
        <v>0</v>
      </c>
      <c r="H2055" s="9" t="str">
        <f>INDEX(Products!$B$2:$B$37, MATCH(D2055, Products!$A$2:$A$37, 0))</f>
        <v>Sunscreen SPF50</v>
      </c>
      <c r="I2055" t="str">
        <f>INDEX(Products!$C$2:$C$37, MATCH(D2055, Products!$A$2:$A$37, 0))</f>
        <v>Beauty</v>
      </c>
      <c r="J2055">
        <f>INDEX(Products!$E$2:$E$37, MATCH(D2055, Products!$A$2:$A$37, 0))</f>
        <v>40</v>
      </c>
      <c r="K2055" s="9">
        <f t="shared" si="128"/>
        <v>178</v>
      </c>
      <c r="L2055">
        <f t="shared" si="129"/>
        <v>80</v>
      </c>
      <c r="M2055" s="9">
        <f t="shared" si="130"/>
        <v>98</v>
      </c>
      <c r="N2055" t="str">
        <f t="shared" si="131"/>
        <v>Jun</v>
      </c>
    </row>
    <row r="2056" spans="1:14" x14ac:dyDescent="0.3">
      <c r="A2056" s="2" t="s">
        <v>2122</v>
      </c>
      <c r="B2056" s="6">
        <v>45832</v>
      </c>
      <c r="C2056" s="2" t="s">
        <v>41</v>
      </c>
      <c r="D2056" s="2" t="s">
        <v>103</v>
      </c>
      <c r="E2056" s="2">
        <v>1</v>
      </c>
      <c r="F2056" s="7">
        <v>89</v>
      </c>
      <c r="G2056" s="8">
        <v>0.05</v>
      </c>
      <c r="H2056" s="9" t="str">
        <f>INDEX(Products!$B$2:$B$37, MATCH(D2056, Products!$A$2:$A$37, 0))</f>
        <v>Sunscreen SPF50</v>
      </c>
      <c r="I2056" t="str">
        <f>INDEX(Products!$C$2:$C$37, MATCH(D2056, Products!$A$2:$A$37, 0))</f>
        <v>Beauty</v>
      </c>
      <c r="J2056">
        <f>INDEX(Products!$E$2:$E$37, MATCH(D2056, Products!$A$2:$A$37, 0))</f>
        <v>40</v>
      </c>
      <c r="K2056" s="9">
        <f t="shared" si="128"/>
        <v>84.55</v>
      </c>
      <c r="L2056">
        <f t="shared" si="129"/>
        <v>40</v>
      </c>
      <c r="M2056" s="9">
        <f t="shared" si="130"/>
        <v>44.55</v>
      </c>
      <c r="N2056" t="str">
        <f t="shared" si="131"/>
        <v>Jun</v>
      </c>
    </row>
    <row r="2057" spans="1:14" x14ac:dyDescent="0.3">
      <c r="A2057" s="2" t="s">
        <v>2123</v>
      </c>
      <c r="B2057" s="6">
        <v>45833</v>
      </c>
      <c r="C2057" s="2" t="s">
        <v>28</v>
      </c>
      <c r="D2057" s="2" t="s">
        <v>89</v>
      </c>
      <c r="E2057" s="2">
        <v>3</v>
      </c>
      <c r="F2057" s="7">
        <v>399</v>
      </c>
      <c r="G2057" s="8">
        <v>0</v>
      </c>
      <c r="H2057" s="9" t="str">
        <f>INDEX(Products!$B$2:$B$37, MATCH(D2057, Products!$A$2:$A$37, 0))</f>
        <v>Men's Kandura Premium</v>
      </c>
      <c r="I2057" t="str">
        <f>INDEX(Products!$C$2:$C$37, MATCH(D2057, Products!$A$2:$A$37, 0))</f>
        <v>Fashion</v>
      </c>
      <c r="J2057">
        <f>INDEX(Products!$E$2:$E$37, MATCH(D2057, Products!$A$2:$A$37, 0))</f>
        <v>210</v>
      </c>
      <c r="K2057" s="9">
        <f t="shared" si="128"/>
        <v>1197</v>
      </c>
      <c r="L2057">
        <f t="shared" si="129"/>
        <v>630</v>
      </c>
      <c r="M2057" s="9">
        <f t="shared" si="130"/>
        <v>567</v>
      </c>
      <c r="N2057" t="str">
        <f t="shared" si="131"/>
        <v>Jun</v>
      </c>
    </row>
    <row r="2058" spans="1:14" x14ac:dyDescent="0.3">
      <c r="A2058" s="2" t="s">
        <v>2124</v>
      </c>
      <c r="B2058" s="6">
        <v>45833</v>
      </c>
      <c r="C2058" s="2" t="s">
        <v>31</v>
      </c>
      <c r="D2058" s="2" t="s">
        <v>49</v>
      </c>
      <c r="E2058" s="2">
        <v>1</v>
      </c>
      <c r="F2058" s="7">
        <v>149</v>
      </c>
      <c r="G2058" s="8">
        <v>0</v>
      </c>
      <c r="H2058" s="9" t="str">
        <f>INDEX(Products!$B$2:$B$37, MATCH(D2058, Products!$A$2:$A$37, 0))</f>
        <v>Kids' Sneakers</v>
      </c>
      <c r="I2058" t="str">
        <f>INDEX(Products!$C$2:$C$37, MATCH(D2058, Products!$A$2:$A$37, 0))</f>
        <v>Fashion</v>
      </c>
      <c r="J2058">
        <f>INDEX(Products!$E$2:$E$37, MATCH(D2058, Products!$A$2:$A$37, 0))</f>
        <v>80</v>
      </c>
      <c r="K2058" s="9">
        <f t="shared" si="128"/>
        <v>149</v>
      </c>
      <c r="L2058">
        <f t="shared" si="129"/>
        <v>80</v>
      </c>
      <c r="M2058" s="9">
        <f t="shared" si="130"/>
        <v>69</v>
      </c>
      <c r="N2058" t="str">
        <f t="shared" si="131"/>
        <v>Jun</v>
      </c>
    </row>
    <row r="2059" spans="1:14" x14ac:dyDescent="0.3">
      <c r="A2059" s="2" t="s">
        <v>2125</v>
      </c>
      <c r="B2059" s="6">
        <v>45833</v>
      </c>
      <c r="C2059" s="2" t="s">
        <v>44</v>
      </c>
      <c r="D2059" s="2" t="s">
        <v>49</v>
      </c>
      <c r="E2059" s="2">
        <v>3</v>
      </c>
      <c r="F2059" s="7">
        <v>149</v>
      </c>
      <c r="G2059" s="8">
        <v>0.15</v>
      </c>
      <c r="H2059" s="9" t="str">
        <f>INDEX(Products!$B$2:$B$37, MATCH(D2059, Products!$A$2:$A$37, 0))</f>
        <v>Kids' Sneakers</v>
      </c>
      <c r="I2059" t="str">
        <f>INDEX(Products!$C$2:$C$37, MATCH(D2059, Products!$A$2:$A$37, 0))</f>
        <v>Fashion</v>
      </c>
      <c r="J2059">
        <f>INDEX(Products!$E$2:$E$37, MATCH(D2059, Products!$A$2:$A$37, 0))</f>
        <v>80</v>
      </c>
      <c r="K2059" s="9">
        <f t="shared" si="128"/>
        <v>379.95</v>
      </c>
      <c r="L2059">
        <f t="shared" si="129"/>
        <v>240</v>
      </c>
      <c r="M2059" s="9">
        <f t="shared" si="130"/>
        <v>139.94999999999999</v>
      </c>
      <c r="N2059" t="str">
        <f t="shared" si="131"/>
        <v>Jun</v>
      </c>
    </row>
    <row r="2060" spans="1:14" x14ac:dyDescent="0.3">
      <c r="A2060" s="2" t="s">
        <v>2126</v>
      </c>
      <c r="B2060" s="6">
        <v>45833</v>
      </c>
      <c r="C2060" s="2" t="s">
        <v>41</v>
      </c>
      <c r="D2060" s="2" t="s">
        <v>89</v>
      </c>
      <c r="E2060" s="2">
        <v>1</v>
      </c>
      <c r="F2060" s="7">
        <v>399</v>
      </c>
      <c r="G2060" s="8">
        <v>0.2</v>
      </c>
      <c r="H2060" s="9" t="str">
        <f>INDEX(Products!$B$2:$B$37, MATCH(D2060, Products!$A$2:$A$37, 0))</f>
        <v>Men's Kandura Premium</v>
      </c>
      <c r="I2060" t="str">
        <f>INDEX(Products!$C$2:$C$37, MATCH(D2060, Products!$A$2:$A$37, 0))</f>
        <v>Fashion</v>
      </c>
      <c r="J2060">
        <f>INDEX(Products!$E$2:$E$37, MATCH(D2060, Products!$A$2:$A$37, 0))</f>
        <v>210</v>
      </c>
      <c r="K2060" s="9">
        <f t="shared" si="128"/>
        <v>319.20000000000005</v>
      </c>
      <c r="L2060">
        <f t="shared" si="129"/>
        <v>210</v>
      </c>
      <c r="M2060" s="9">
        <f t="shared" si="130"/>
        <v>109.20000000000005</v>
      </c>
      <c r="N2060" t="str">
        <f t="shared" si="131"/>
        <v>Jun</v>
      </c>
    </row>
    <row r="2061" spans="1:14" x14ac:dyDescent="0.3">
      <c r="A2061" s="2" t="s">
        <v>2127</v>
      </c>
      <c r="B2061" s="6">
        <v>45833</v>
      </c>
      <c r="C2061" s="2" t="s">
        <v>41</v>
      </c>
      <c r="D2061" s="2" t="s">
        <v>129</v>
      </c>
      <c r="E2061" s="2">
        <v>1</v>
      </c>
      <c r="F2061" s="7">
        <v>149</v>
      </c>
      <c r="G2061" s="8">
        <v>0.05</v>
      </c>
      <c r="H2061" s="9" t="str">
        <f>INDEX(Products!$B$2:$B$37, MATCH(D2061, Products!$A$2:$A$37, 0))</f>
        <v>Power Bank 20000mAh</v>
      </c>
      <c r="I2061" t="str">
        <f>INDEX(Products!$C$2:$C$37, MATCH(D2061, Products!$A$2:$A$37, 0))</f>
        <v>Electronics</v>
      </c>
      <c r="J2061">
        <f>INDEX(Products!$E$2:$E$37, MATCH(D2061, Products!$A$2:$A$37, 0))</f>
        <v>70</v>
      </c>
      <c r="K2061" s="9">
        <f t="shared" si="128"/>
        <v>141.54999999999998</v>
      </c>
      <c r="L2061">
        <f t="shared" si="129"/>
        <v>70</v>
      </c>
      <c r="M2061" s="9">
        <f t="shared" si="130"/>
        <v>71.549999999999983</v>
      </c>
      <c r="N2061" t="str">
        <f t="shared" si="131"/>
        <v>Jun</v>
      </c>
    </row>
    <row r="2062" spans="1:14" x14ac:dyDescent="0.3">
      <c r="A2062" s="2" t="s">
        <v>2128</v>
      </c>
      <c r="B2062" s="6">
        <v>45833</v>
      </c>
      <c r="C2062" s="2" t="s">
        <v>44</v>
      </c>
      <c r="D2062" s="2" t="s">
        <v>29</v>
      </c>
      <c r="E2062" s="2">
        <v>2</v>
      </c>
      <c r="F2062" s="7">
        <v>229</v>
      </c>
      <c r="G2062" s="8">
        <v>0.05</v>
      </c>
      <c r="H2062" s="9" t="str">
        <f>INDEX(Products!$B$2:$B$37, MATCH(D2062, Products!$A$2:$A$37, 0))</f>
        <v>Women's Summer Dress</v>
      </c>
      <c r="I2062" t="str">
        <f>INDEX(Products!$C$2:$C$37, MATCH(D2062, Products!$A$2:$A$37, 0))</f>
        <v>Fashion</v>
      </c>
      <c r="J2062">
        <f>INDEX(Products!$E$2:$E$37, MATCH(D2062, Products!$A$2:$A$37, 0))</f>
        <v>120</v>
      </c>
      <c r="K2062" s="9">
        <f t="shared" si="128"/>
        <v>435.09999999999997</v>
      </c>
      <c r="L2062">
        <f t="shared" si="129"/>
        <v>240</v>
      </c>
      <c r="M2062" s="9">
        <f t="shared" si="130"/>
        <v>195.09999999999997</v>
      </c>
      <c r="N2062" t="str">
        <f t="shared" si="131"/>
        <v>Jun</v>
      </c>
    </row>
    <row r="2063" spans="1:14" x14ac:dyDescent="0.3">
      <c r="A2063" s="2" t="s">
        <v>2129</v>
      </c>
      <c r="B2063" s="6">
        <v>45833</v>
      </c>
      <c r="C2063" s="2" t="s">
        <v>41</v>
      </c>
      <c r="D2063" s="2" t="s">
        <v>58</v>
      </c>
      <c r="E2063" s="2">
        <v>1</v>
      </c>
      <c r="F2063" s="7">
        <v>459</v>
      </c>
      <c r="G2063" s="8">
        <v>0.2</v>
      </c>
      <c r="H2063" s="9" t="str">
        <f>INDEX(Products!$B$2:$B$37, MATCH(D2063, Products!$A$2:$A$37, 0))</f>
        <v>Women's Abaya Classic</v>
      </c>
      <c r="I2063" t="str">
        <f>INDEX(Products!$C$2:$C$37, MATCH(D2063, Products!$A$2:$A$37, 0))</f>
        <v>Fashion</v>
      </c>
      <c r="J2063">
        <f>INDEX(Products!$E$2:$E$37, MATCH(D2063, Products!$A$2:$A$37, 0))</f>
        <v>190</v>
      </c>
      <c r="K2063" s="9">
        <f t="shared" si="128"/>
        <v>367.20000000000005</v>
      </c>
      <c r="L2063">
        <f t="shared" si="129"/>
        <v>190</v>
      </c>
      <c r="M2063" s="9">
        <f t="shared" si="130"/>
        <v>177.20000000000005</v>
      </c>
      <c r="N2063" t="str">
        <f t="shared" si="131"/>
        <v>Jun</v>
      </c>
    </row>
    <row r="2064" spans="1:14" x14ac:dyDescent="0.3">
      <c r="A2064" s="2" t="s">
        <v>2130</v>
      </c>
      <c r="B2064" s="6">
        <v>45833</v>
      </c>
      <c r="C2064" s="2" t="s">
        <v>44</v>
      </c>
      <c r="D2064" s="2" t="s">
        <v>46</v>
      </c>
      <c r="E2064" s="2">
        <v>3</v>
      </c>
      <c r="F2064" s="7">
        <v>189</v>
      </c>
      <c r="G2064" s="8">
        <v>0.3</v>
      </c>
      <c r="H2064" s="9" t="str">
        <f>INDEX(Products!$B$2:$B$37, MATCH(D2064, Products!$A$2:$A$37, 0))</f>
        <v>Makeup Palette</v>
      </c>
      <c r="I2064" t="str">
        <f>INDEX(Products!$C$2:$C$37, MATCH(D2064, Products!$A$2:$A$37, 0))</f>
        <v>Beauty</v>
      </c>
      <c r="J2064">
        <f>INDEX(Products!$E$2:$E$37, MATCH(D2064, Products!$A$2:$A$37, 0))</f>
        <v>85</v>
      </c>
      <c r="K2064" s="9">
        <f t="shared" si="128"/>
        <v>396.9</v>
      </c>
      <c r="L2064">
        <f t="shared" si="129"/>
        <v>255</v>
      </c>
      <c r="M2064" s="9">
        <f t="shared" si="130"/>
        <v>141.89999999999998</v>
      </c>
      <c r="N2064" t="str">
        <f t="shared" si="131"/>
        <v>Jun</v>
      </c>
    </row>
    <row r="2065" spans="1:14" x14ac:dyDescent="0.3">
      <c r="A2065" s="2" t="s">
        <v>2131</v>
      </c>
      <c r="B2065" s="6">
        <v>45833</v>
      </c>
      <c r="C2065" s="2" t="s">
        <v>44</v>
      </c>
      <c r="D2065" s="2" t="s">
        <v>29</v>
      </c>
      <c r="E2065" s="2">
        <v>1</v>
      </c>
      <c r="F2065" s="7">
        <v>229</v>
      </c>
      <c r="G2065" s="8">
        <v>0</v>
      </c>
      <c r="H2065" s="9" t="str">
        <f>INDEX(Products!$B$2:$B$37, MATCH(D2065, Products!$A$2:$A$37, 0))</f>
        <v>Women's Summer Dress</v>
      </c>
      <c r="I2065" t="str">
        <f>INDEX(Products!$C$2:$C$37, MATCH(D2065, Products!$A$2:$A$37, 0))</f>
        <v>Fashion</v>
      </c>
      <c r="J2065">
        <f>INDEX(Products!$E$2:$E$37, MATCH(D2065, Products!$A$2:$A$37, 0))</f>
        <v>120</v>
      </c>
      <c r="K2065" s="9">
        <f t="shared" si="128"/>
        <v>229</v>
      </c>
      <c r="L2065">
        <f t="shared" si="129"/>
        <v>120</v>
      </c>
      <c r="M2065" s="9">
        <f t="shared" si="130"/>
        <v>109</v>
      </c>
      <c r="N2065" t="str">
        <f t="shared" si="131"/>
        <v>Jun</v>
      </c>
    </row>
    <row r="2066" spans="1:14" x14ac:dyDescent="0.3">
      <c r="A2066" s="2" t="s">
        <v>2132</v>
      </c>
      <c r="B2066" s="6">
        <v>45833</v>
      </c>
      <c r="C2066" s="2" t="s">
        <v>44</v>
      </c>
      <c r="D2066" s="2" t="s">
        <v>46</v>
      </c>
      <c r="E2066" s="2">
        <v>1</v>
      </c>
      <c r="F2066" s="7">
        <v>189</v>
      </c>
      <c r="G2066" s="8">
        <v>0</v>
      </c>
      <c r="H2066" s="9" t="str">
        <f>INDEX(Products!$B$2:$B$37, MATCH(D2066, Products!$A$2:$A$37, 0))</f>
        <v>Makeup Palette</v>
      </c>
      <c r="I2066" t="str">
        <f>INDEX(Products!$C$2:$C$37, MATCH(D2066, Products!$A$2:$A$37, 0))</f>
        <v>Beauty</v>
      </c>
      <c r="J2066">
        <f>INDEX(Products!$E$2:$E$37, MATCH(D2066, Products!$A$2:$A$37, 0))</f>
        <v>85</v>
      </c>
      <c r="K2066" s="9">
        <f t="shared" si="128"/>
        <v>189</v>
      </c>
      <c r="L2066">
        <f t="shared" si="129"/>
        <v>85</v>
      </c>
      <c r="M2066" s="9">
        <f t="shared" si="130"/>
        <v>104</v>
      </c>
      <c r="N2066" t="str">
        <f t="shared" si="131"/>
        <v>Jun</v>
      </c>
    </row>
    <row r="2067" spans="1:14" x14ac:dyDescent="0.3">
      <c r="A2067" s="2" t="s">
        <v>2133</v>
      </c>
      <c r="B2067" s="6">
        <v>45833</v>
      </c>
      <c r="C2067" s="2" t="s">
        <v>28</v>
      </c>
      <c r="D2067" s="2" t="s">
        <v>129</v>
      </c>
      <c r="E2067" s="2">
        <v>2</v>
      </c>
      <c r="F2067" s="7">
        <v>149</v>
      </c>
      <c r="G2067" s="8">
        <v>0.1</v>
      </c>
      <c r="H2067" s="9" t="str">
        <f>INDEX(Products!$B$2:$B$37, MATCH(D2067, Products!$A$2:$A$37, 0))</f>
        <v>Power Bank 20000mAh</v>
      </c>
      <c r="I2067" t="str">
        <f>INDEX(Products!$C$2:$C$37, MATCH(D2067, Products!$A$2:$A$37, 0))</f>
        <v>Electronics</v>
      </c>
      <c r="J2067">
        <f>INDEX(Products!$E$2:$E$37, MATCH(D2067, Products!$A$2:$A$37, 0))</f>
        <v>70</v>
      </c>
      <c r="K2067" s="9">
        <f t="shared" si="128"/>
        <v>268.2</v>
      </c>
      <c r="L2067">
        <f t="shared" si="129"/>
        <v>140</v>
      </c>
      <c r="M2067" s="9">
        <f t="shared" si="130"/>
        <v>128.19999999999999</v>
      </c>
      <c r="N2067" t="str">
        <f t="shared" si="131"/>
        <v>Jun</v>
      </c>
    </row>
    <row r="2068" spans="1:14" x14ac:dyDescent="0.3">
      <c r="A2068" s="2" t="s">
        <v>2134</v>
      </c>
      <c r="B2068" s="6">
        <v>45833</v>
      </c>
      <c r="C2068" s="2" t="s">
        <v>44</v>
      </c>
      <c r="D2068" s="2" t="s">
        <v>39</v>
      </c>
      <c r="E2068" s="2">
        <v>1</v>
      </c>
      <c r="F2068" s="7">
        <v>199</v>
      </c>
      <c r="G2068" s="8">
        <v>0</v>
      </c>
      <c r="H2068" s="9" t="str">
        <f>INDEX(Products!$B$2:$B$37, MATCH(D2068, Products!$A$2:$A$37, 0))</f>
        <v>Bakhoor Gift Set</v>
      </c>
      <c r="I2068" t="str">
        <f>INDEX(Products!$C$2:$C$37, MATCH(D2068, Products!$A$2:$A$37, 0))</f>
        <v>Beauty</v>
      </c>
      <c r="J2068">
        <f>INDEX(Products!$E$2:$E$37, MATCH(D2068, Products!$A$2:$A$37, 0))</f>
        <v>90</v>
      </c>
      <c r="K2068" s="9">
        <f t="shared" si="128"/>
        <v>199</v>
      </c>
      <c r="L2068">
        <f t="shared" si="129"/>
        <v>90</v>
      </c>
      <c r="M2068" s="9">
        <f t="shared" si="130"/>
        <v>109</v>
      </c>
      <c r="N2068" t="str">
        <f t="shared" si="131"/>
        <v>Jun</v>
      </c>
    </row>
    <row r="2069" spans="1:14" x14ac:dyDescent="0.3">
      <c r="A2069" s="2" t="s">
        <v>2135</v>
      </c>
      <c r="B2069" s="6">
        <v>45833</v>
      </c>
      <c r="C2069" s="2" t="s">
        <v>41</v>
      </c>
      <c r="D2069" s="2" t="s">
        <v>92</v>
      </c>
      <c r="E2069" s="2">
        <v>2</v>
      </c>
      <c r="F2069" s="7">
        <v>349</v>
      </c>
      <c r="G2069" s="8">
        <v>0.1</v>
      </c>
      <c r="H2069" s="9" t="str">
        <f>INDEX(Products!$B$2:$B$37, MATCH(D2069, Products!$A$2:$A$37, 0))</f>
        <v>Non-stick Cookware Set</v>
      </c>
      <c r="I2069" t="str">
        <f>INDEX(Products!$C$2:$C$37, MATCH(D2069, Products!$A$2:$A$37, 0))</f>
        <v>Home &amp; Kitchen</v>
      </c>
      <c r="J2069">
        <f>INDEX(Products!$E$2:$E$37, MATCH(D2069, Products!$A$2:$A$37, 0))</f>
        <v>170</v>
      </c>
      <c r="K2069" s="9">
        <f t="shared" si="128"/>
        <v>628.20000000000005</v>
      </c>
      <c r="L2069">
        <f t="shared" si="129"/>
        <v>340</v>
      </c>
      <c r="M2069" s="9">
        <f t="shared" si="130"/>
        <v>288.20000000000005</v>
      </c>
      <c r="N2069" t="str">
        <f t="shared" si="131"/>
        <v>Jun</v>
      </c>
    </row>
    <row r="2070" spans="1:14" x14ac:dyDescent="0.3">
      <c r="A2070" s="2" t="s">
        <v>2136</v>
      </c>
      <c r="B2070" s="6">
        <v>45833</v>
      </c>
      <c r="C2070" s="2" t="s">
        <v>41</v>
      </c>
      <c r="D2070" s="2" t="s">
        <v>115</v>
      </c>
      <c r="E2070" s="2">
        <v>1</v>
      </c>
      <c r="F2070" s="7">
        <v>129</v>
      </c>
      <c r="G2070" s="8">
        <v>0</v>
      </c>
      <c r="H2070" s="9" t="str">
        <f>INDEX(Products!$B$2:$B$37, MATCH(D2070, Products!$A$2:$A$37, 0))</f>
        <v>Electric Kettle</v>
      </c>
      <c r="I2070" t="str">
        <f>INDEX(Products!$C$2:$C$37, MATCH(D2070, Products!$A$2:$A$37, 0))</f>
        <v>Home &amp; Kitchen</v>
      </c>
      <c r="J2070">
        <f>INDEX(Products!$E$2:$E$37, MATCH(D2070, Products!$A$2:$A$37, 0))</f>
        <v>60</v>
      </c>
      <c r="K2070" s="9">
        <f t="shared" si="128"/>
        <v>129</v>
      </c>
      <c r="L2070">
        <f t="shared" si="129"/>
        <v>60</v>
      </c>
      <c r="M2070" s="9">
        <f t="shared" si="130"/>
        <v>69</v>
      </c>
      <c r="N2070" t="str">
        <f t="shared" si="131"/>
        <v>Jun</v>
      </c>
    </row>
    <row r="2071" spans="1:14" x14ac:dyDescent="0.3">
      <c r="A2071" s="2" t="s">
        <v>2137</v>
      </c>
      <c r="B2071" s="6">
        <v>45833</v>
      </c>
      <c r="C2071" s="2" t="s">
        <v>48</v>
      </c>
      <c r="D2071" s="2" t="s">
        <v>103</v>
      </c>
      <c r="E2071" s="2">
        <v>1</v>
      </c>
      <c r="F2071" s="7">
        <v>89</v>
      </c>
      <c r="G2071" s="8">
        <v>0</v>
      </c>
      <c r="H2071" s="9" t="str">
        <f>INDEX(Products!$B$2:$B$37, MATCH(D2071, Products!$A$2:$A$37, 0))</f>
        <v>Sunscreen SPF50</v>
      </c>
      <c r="I2071" t="str">
        <f>INDEX(Products!$C$2:$C$37, MATCH(D2071, Products!$A$2:$A$37, 0))</f>
        <v>Beauty</v>
      </c>
      <c r="J2071">
        <f>INDEX(Products!$E$2:$E$37, MATCH(D2071, Products!$A$2:$A$37, 0))</f>
        <v>40</v>
      </c>
      <c r="K2071" s="9">
        <f t="shared" si="128"/>
        <v>89</v>
      </c>
      <c r="L2071">
        <f t="shared" si="129"/>
        <v>40</v>
      </c>
      <c r="M2071" s="9">
        <f t="shared" si="130"/>
        <v>49</v>
      </c>
      <c r="N2071" t="str">
        <f t="shared" si="131"/>
        <v>Jun</v>
      </c>
    </row>
    <row r="2072" spans="1:14" x14ac:dyDescent="0.3">
      <c r="A2072" s="2" t="s">
        <v>2138</v>
      </c>
      <c r="B2072" s="6">
        <v>45834</v>
      </c>
      <c r="C2072" s="2" t="s">
        <v>28</v>
      </c>
      <c r="D2072" s="2" t="s">
        <v>37</v>
      </c>
      <c r="E2072" s="2">
        <v>1</v>
      </c>
      <c r="F2072" s="7">
        <v>249</v>
      </c>
      <c r="G2072" s="8">
        <v>0.3</v>
      </c>
      <c r="H2072" s="9" t="str">
        <f>INDEX(Products!$B$2:$B$37, MATCH(D2072, Products!$A$2:$A$37, 0))</f>
        <v>Sunglasses Polarised</v>
      </c>
      <c r="I2072" t="str">
        <f>INDEX(Products!$C$2:$C$37, MATCH(D2072, Products!$A$2:$A$37, 0))</f>
        <v>Fashion</v>
      </c>
      <c r="J2072">
        <f>INDEX(Products!$E$2:$E$37, MATCH(D2072, Products!$A$2:$A$37, 0))</f>
        <v>95</v>
      </c>
      <c r="K2072" s="9">
        <f t="shared" si="128"/>
        <v>174.29999999999998</v>
      </c>
      <c r="L2072">
        <f t="shared" si="129"/>
        <v>95</v>
      </c>
      <c r="M2072" s="9">
        <f t="shared" si="130"/>
        <v>79.299999999999983</v>
      </c>
      <c r="N2072" t="str">
        <f t="shared" si="131"/>
        <v>Jun</v>
      </c>
    </row>
    <row r="2073" spans="1:14" x14ac:dyDescent="0.3">
      <c r="A2073" s="2" t="s">
        <v>2139</v>
      </c>
      <c r="B2073" s="6">
        <v>45834</v>
      </c>
      <c r="C2073" s="2" t="s">
        <v>41</v>
      </c>
      <c r="D2073" s="2" t="s">
        <v>75</v>
      </c>
      <c r="E2073" s="2">
        <v>2</v>
      </c>
      <c r="F2073" s="7">
        <v>549</v>
      </c>
      <c r="G2073" s="8">
        <v>0.1</v>
      </c>
      <c r="H2073" s="9" t="str">
        <f>INDEX(Products!$B$2:$B$37, MATCH(D2073, Products!$A$2:$A$37, 0))</f>
        <v>Oud Perfume 100ml</v>
      </c>
      <c r="I2073" t="str">
        <f>INDEX(Products!$C$2:$C$37, MATCH(D2073, Products!$A$2:$A$37, 0))</f>
        <v>Beauty</v>
      </c>
      <c r="J2073">
        <f>INDEX(Products!$E$2:$E$37, MATCH(D2073, Products!$A$2:$A$37, 0))</f>
        <v>250</v>
      </c>
      <c r="K2073" s="9">
        <f t="shared" si="128"/>
        <v>988.2</v>
      </c>
      <c r="L2073">
        <f t="shared" si="129"/>
        <v>500</v>
      </c>
      <c r="M2073" s="9">
        <f t="shared" si="130"/>
        <v>488.20000000000005</v>
      </c>
      <c r="N2073" t="str">
        <f t="shared" si="131"/>
        <v>Jun</v>
      </c>
    </row>
    <row r="2074" spans="1:14" x14ac:dyDescent="0.3">
      <c r="A2074" s="2" t="s">
        <v>2140</v>
      </c>
      <c r="B2074" s="6">
        <v>45834</v>
      </c>
      <c r="C2074" s="2" t="s">
        <v>41</v>
      </c>
      <c r="D2074" s="2" t="s">
        <v>165</v>
      </c>
      <c r="E2074" s="2">
        <v>2</v>
      </c>
      <c r="F2074" s="7">
        <v>69</v>
      </c>
      <c r="G2074" s="8">
        <v>0.1</v>
      </c>
      <c r="H2074" s="9" t="str">
        <f>INDEX(Products!$B$2:$B$37, MATCH(D2074, Products!$A$2:$A$37, 0))</f>
        <v>Swim Goggles</v>
      </c>
      <c r="I2074" t="str">
        <f>INDEX(Products!$C$2:$C$37, MATCH(D2074, Products!$A$2:$A$37, 0))</f>
        <v>Sports</v>
      </c>
      <c r="J2074">
        <f>INDEX(Products!$E$2:$E$37, MATCH(D2074, Products!$A$2:$A$37, 0))</f>
        <v>25</v>
      </c>
      <c r="K2074" s="9">
        <f t="shared" si="128"/>
        <v>124.2</v>
      </c>
      <c r="L2074">
        <f t="shared" si="129"/>
        <v>50</v>
      </c>
      <c r="M2074" s="9">
        <f t="shared" si="130"/>
        <v>74.2</v>
      </c>
      <c r="N2074" t="str">
        <f t="shared" si="131"/>
        <v>Jun</v>
      </c>
    </row>
    <row r="2075" spans="1:14" x14ac:dyDescent="0.3">
      <c r="A2075" s="2" t="s">
        <v>2141</v>
      </c>
      <c r="B2075" s="6">
        <v>45834</v>
      </c>
      <c r="C2075" s="2" t="s">
        <v>28</v>
      </c>
      <c r="D2075" s="2" t="s">
        <v>56</v>
      </c>
      <c r="E2075" s="2">
        <v>1</v>
      </c>
      <c r="F2075" s="7">
        <v>289</v>
      </c>
      <c r="G2075" s="8">
        <v>0</v>
      </c>
      <c r="H2075" s="9" t="str">
        <f>INDEX(Products!$B$2:$B$37, MATCH(D2075, Products!$A$2:$A$37, 0))</f>
        <v>Ceramic Dinner Set</v>
      </c>
      <c r="I2075" t="str">
        <f>INDEX(Products!$C$2:$C$37, MATCH(D2075, Products!$A$2:$A$37, 0))</f>
        <v>Home &amp; Kitchen</v>
      </c>
      <c r="J2075">
        <f>INDEX(Products!$E$2:$E$37, MATCH(D2075, Products!$A$2:$A$37, 0))</f>
        <v>140</v>
      </c>
      <c r="K2075" s="9">
        <f t="shared" si="128"/>
        <v>289</v>
      </c>
      <c r="L2075">
        <f t="shared" si="129"/>
        <v>140</v>
      </c>
      <c r="M2075" s="9">
        <f t="shared" si="130"/>
        <v>149</v>
      </c>
      <c r="N2075" t="str">
        <f t="shared" si="131"/>
        <v>Jun</v>
      </c>
    </row>
    <row r="2076" spans="1:14" x14ac:dyDescent="0.3">
      <c r="A2076" s="2" t="s">
        <v>2142</v>
      </c>
      <c r="B2076" s="6">
        <v>45834</v>
      </c>
      <c r="C2076" s="2" t="s">
        <v>44</v>
      </c>
      <c r="D2076" s="2" t="s">
        <v>113</v>
      </c>
      <c r="E2076" s="2">
        <v>2</v>
      </c>
      <c r="F2076" s="7">
        <v>1199</v>
      </c>
      <c r="G2076" s="8">
        <v>0.1</v>
      </c>
      <c r="H2076" s="9" t="str">
        <f>INDEX(Products!$B$2:$B$37, MATCH(D2076, Products!$A$2:$A$37, 0))</f>
        <v>Robot Vacuum S3</v>
      </c>
      <c r="I2076" t="str">
        <f>INDEX(Products!$C$2:$C$37, MATCH(D2076, Products!$A$2:$A$37, 0))</f>
        <v>Home &amp; Kitchen</v>
      </c>
      <c r="J2076">
        <f>INDEX(Products!$E$2:$E$37, MATCH(D2076, Products!$A$2:$A$37, 0))</f>
        <v>1080</v>
      </c>
      <c r="K2076" s="9">
        <f t="shared" si="128"/>
        <v>2158.2000000000003</v>
      </c>
      <c r="L2076">
        <f t="shared" si="129"/>
        <v>2160</v>
      </c>
      <c r="M2076" s="9">
        <f t="shared" si="130"/>
        <v>-1.7999999999997272</v>
      </c>
      <c r="N2076" t="str">
        <f t="shared" si="131"/>
        <v>Jun</v>
      </c>
    </row>
    <row r="2077" spans="1:14" x14ac:dyDescent="0.3">
      <c r="A2077" s="2" t="s">
        <v>2143</v>
      </c>
      <c r="B2077" s="6">
        <v>45834</v>
      </c>
      <c r="C2077" s="2" t="s">
        <v>48</v>
      </c>
      <c r="D2077" s="2" t="s">
        <v>35</v>
      </c>
      <c r="E2077" s="2">
        <v>1</v>
      </c>
      <c r="F2077" s="7">
        <v>179</v>
      </c>
      <c r="G2077" s="8">
        <v>0</v>
      </c>
      <c r="H2077" s="9" t="str">
        <f>INDEX(Products!$B$2:$B$37, MATCH(D2077, Products!$A$2:$A$37, 0))</f>
        <v>Men's Linen Shirt</v>
      </c>
      <c r="I2077" t="str">
        <f>INDEX(Products!$C$2:$C$37, MATCH(D2077, Products!$A$2:$A$37, 0))</f>
        <v>Fashion</v>
      </c>
      <c r="J2077">
        <f>INDEX(Products!$E$2:$E$37, MATCH(D2077, Products!$A$2:$A$37, 0))</f>
        <v>70</v>
      </c>
      <c r="K2077" s="9">
        <f t="shared" si="128"/>
        <v>179</v>
      </c>
      <c r="L2077">
        <f t="shared" si="129"/>
        <v>70</v>
      </c>
      <c r="M2077" s="9">
        <f t="shared" si="130"/>
        <v>109</v>
      </c>
      <c r="N2077" t="str">
        <f t="shared" si="131"/>
        <v>Jun</v>
      </c>
    </row>
    <row r="2078" spans="1:14" x14ac:dyDescent="0.3">
      <c r="A2078" s="2" t="s">
        <v>2144</v>
      </c>
      <c r="B2078" s="6">
        <v>45834</v>
      </c>
      <c r="C2078" s="2" t="s">
        <v>48</v>
      </c>
      <c r="D2078" s="2" t="s">
        <v>46</v>
      </c>
      <c r="E2078" s="2">
        <v>2</v>
      </c>
      <c r="F2078" s="7">
        <v>189</v>
      </c>
      <c r="G2078" s="8">
        <v>0.05</v>
      </c>
      <c r="H2078" s="9" t="str">
        <f>INDEX(Products!$B$2:$B$37, MATCH(D2078, Products!$A$2:$A$37, 0))</f>
        <v>Makeup Palette</v>
      </c>
      <c r="I2078" t="str">
        <f>INDEX(Products!$C$2:$C$37, MATCH(D2078, Products!$A$2:$A$37, 0))</f>
        <v>Beauty</v>
      </c>
      <c r="J2078">
        <f>INDEX(Products!$E$2:$E$37, MATCH(D2078, Products!$A$2:$A$37, 0))</f>
        <v>85</v>
      </c>
      <c r="K2078" s="9">
        <f t="shared" si="128"/>
        <v>359.09999999999997</v>
      </c>
      <c r="L2078">
        <f t="shared" si="129"/>
        <v>170</v>
      </c>
      <c r="M2078" s="9">
        <f t="shared" si="130"/>
        <v>189.09999999999997</v>
      </c>
      <c r="N2078" t="str">
        <f t="shared" si="131"/>
        <v>Jun</v>
      </c>
    </row>
    <row r="2079" spans="1:14" x14ac:dyDescent="0.3">
      <c r="A2079" s="2" t="s">
        <v>2145</v>
      </c>
      <c r="B2079" s="6">
        <v>45834</v>
      </c>
      <c r="C2079" s="2" t="s">
        <v>41</v>
      </c>
      <c r="D2079" s="2" t="s">
        <v>115</v>
      </c>
      <c r="E2079" s="2">
        <v>2</v>
      </c>
      <c r="F2079" s="7">
        <v>129</v>
      </c>
      <c r="G2079" s="8">
        <v>0</v>
      </c>
      <c r="H2079" s="9" t="str">
        <f>INDEX(Products!$B$2:$B$37, MATCH(D2079, Products!$A$2:$A$37, 0))</f>
        <v>Electric Kettle</v>
      </c>
      <c r="I2079" t="str">
        <f>INDEX(Products!$C$2:$C$37, MATCH(D2079, Products!$A$2:$A$37, 0))</f>
        <v>Home &amp; Kitchen</v>
      </c>
      <c r="J2079">
        <f>INDEX(Products!$E$2:$E$37, MATCH(D2079, Products!$A$2:$A$37, 0))</f>
        <v>60</v>
      </c>
      <c r="K2079" s="9">
        <f t="shared" si="128"/>
        <v>258</v>
      </c>
      <c r="L2079">
        <f t="shared" si="129"/>
        <v>120</v>
      </c>
      <c r="M2079" s="9">
        <f t="shared" si="130"/>
        <v>138</v>
      </c>
      <c r="N2079" t="str">
        <f t="shared" si="131"/>
        <v>Jun</v>
      </c>
    </row>
    <row r="2080" spans="1:14" x14ac:dyDescent="0.3">
      <c r="A2080" s="2" t="s">
        <v>2146</v>
      </c>
      <c r="B2080" s="6">
        <v>45834</v>
      </c>
      <c r="C2080" s="2" t="s">
        <v>48</v>
      </c>
      <c r="D2080" s="2" t="s">
        <v>46</v>
      </c>
      <c r="E2080" s="2">
        <v>3</v>
      </c>
      <c r="F2080" s="7">
        <v>189</v>
      </c>
      <c r="G2080" s="8">
        <v>0</v>
      </c>
      <c r="H2080" s="9" t="str">
        <f>INDEX(Products!$B$2:$B$37, MATCH(D2080, Products!$A$2:$A$37, 0))</f>
        <v>Makeup Palette</v>
      </c>
      <c r="I2080" t="str">
        <f>INDEX(Products!$C$2:$C$37, MATCH(D2080, Products!$A$2:$A$37, 0))</f>
        <v>Beauty</v>
      </c>
      <c r="J2080">
        <f>INDEX(Products!$E$2:$E$37, MATCH(D2080, Products!$A$2:$A$37, 0))</f>
        <v>85</v>
      </c>
      <c r="K2080" s="9">
        <f t="shared" si="128"/>
        <v>567</v>
      </c>
      <c r="L2080">
        <f t="shared" si="129"/>
        <v>255</v>
      </c>
      <c r="M2080" s="9">
        <f t="shared" si="130"/>
        <v>312</v>
      </c>
      <c r="N2080" t="str">
        <f t="shared" si="131"/>
        <v>Jun</v>
      </c>
    </row>
    <row r="2081" spans="1:14" x14ac:dyDescent="0.3">
      <c r="A2081" s="2" t="s">
        <v>2147</v>
      </c>
      <c r="B2081" s="6">
        <v>45835</v>
      </c>
      <c r="C2081" s="2" t="s">
        <v>31</v>
      </c>
      <c r="D2081" s="2" t="s">
        <v>46</v>
      </c>
      <c r="E2081" s="2">
        <v>1</v>
      </c>
      <c r="F2081" s="7">
        <v>189</v>
      </c>
      <c r="G2081" s="8">
        <v>0.15</v>
      </c>
      <c r="H2081" s="9" t="str">
        <f>INDEX(Products!$B$2:$B$37, MATCH(D2081, Products!$A$2:$A$37, 0))</f>
        <v>Makeup Palette</v>
      </c>
      <c r="I2081" t="str">
        <f>INDEX(Products!$C$2:$C$37, MATCH(D2081, Products!$A$2:$A$37, 0))</f>
        <v>Beauty</v>
      </c>
      <c r="J2081">
        <f>INDEX(Products!$E$2:$E$37, MATCH(D2081, Products!$A$2:$A$37, 0))</f>
        <v>85</v>
      </c>
      <c r="K2081" s="9">
        <f t="shared" si="128"/>
        <v>160.65</v>
      </c>
      <c r="L2081">
        <f t="shared" si="129"/>
        <v>85</v>
      </c>
      <c r="M2081" s="9">
        <f t="shared" si="130"/>
        <v>75.650000000000006</v>
      </c>
      <c r="N2081" t="str">
        <f t="shared" si="131"/>
        <v>Jun</v>
      </c>
    </row>
    <row r="2082" spans="1:14" x14ac:dyDescent="0.3">
      <c r="A2082" s="2" t="s">
        <v>2148</v>
      </c>
      <c r="B2082" s="6">
        <v>45835</v>
      </c>
      <c r="C2082" s="2" t="s">
        <v>41</v>
      </c>
      <c r="D2082" s="2" t="s">
        <v>35</v>
      </c>
      <c r="E2082" s="2">
        <v>3</v>
      </c>
      <c r="F2082" s="7">
        <v>179</v>
      </c>
      <c r="G2082" s="8">
        <v>0.05</v>
      </c>
      <c r="H2082" s="9" t="str">
        <f>INDEX(Products!$B$2:$B$37, MATCH(D2082, Products!$A$2:$A$37, 0))</f>
        <v>Men's Linen Shirt</v>
      </c>
      <c r="I2082" t="str">
        <f>INDEX(Products!$C$2:$C$37, MATCH(D2082, Products!$A$2:$A$37, 0))</f>
        <v>Fashion</v>
      </c>
      <c r="J2082">
        <f>INDEX(Products!$E$2:$E$37, MATCH(D2082, Products!$A$2:$A$37, 0))</f>
        <v>70</v>
      </c>
      <c r="K2082" s="9">
        <f t="shared" si="128"/>
        <v>510.15</v>
      </c>
      <c r="L2082">
        <f t="shared" si="129"/>
        <v>210</v>
      </c>
      <c r="M2082" s="9">
        <f t="shared" si="130"/>
        <v>300.14999999999998</v>
      </c>
      <c r="N2082" t="str">
        <f t="shared" si="131"/>
        <v>Jun</v>
      </c>
    </row>
    <row r="2083" spans="1:14" x14ac:dyDescent="0.3">
      <c r="A2083" s="2" t="s">
        <v>2149</v>
      </c>
      <c r="B2083" s="6">
        <v>45835</v>
      </c>
      <c r="C2083" s="2" t="s">
        <v>31</v>
      </c>
      <c r="D2083" s="2" t="s">
        <v>115</v>
      </c>
      <c r="E2083" s="2">
        <v>1</v>
      </c>
      <c r="F2083" s="7">
        <v>129</v>
      </c>
      <c r="G2083" s="8">
        <v>0.15</v>
      </c>
      <c r="H2083" s="9" t="str">
        <f>INDEX(Products!$B$2:$B$37, MATCH(D2083, Products!$A$2:$A$37, 0))</f>
        <v>Electric Kettle</v>
      </c>
      <c r="I2083" t="str">
        <f>INDEX(Products!$C$2:$C$37, MATCH(D2083, Products!$A$2:$A$37, 0))</f>
        <v>Home &amp; Kitchen</v>
      </c>
      <c r="J2083">
        <f>INDEX(Products!$E$2:$E$37, MATCH(D2083, Products!$A$2:$A$37, 0))</f>
        <v>60</v>
      </c>
      <c r="K2083" s="9">
        <f t="shared" si="128"/>
        <v>109.64999999999999</v>
      </c>
      <c r="L2083">
        <f t="shared" si="129"/>
        <v>60</v>
      </c>
      <c r="M2083" s="9">
        <f t="shared" si="130"/>
        <v>49.649999999999991</v>
      </c>
      <c r="N2083" t="str">
        <f t="shared" si="131"/>
        <v>Jun</v>
      </c>
    </row>
    <row r="2084" spans="1:14" x14ac:dyDescent="0.3">
      <c r="A2084" s="2" t="s">
        <v>2150</v>
      </c>
      <c r="B2084" s="6">
        <v>45835</v>
      </c>
      <c r="C2084" s="2" t="s">
        <v>41</v>
      </c>
      <c r="D2084" s="2" t="s">
        <v>33</v>
      </c>
      <c r="E2084" s="2">
        <v>1</v>
      </c>
      <c r="F2084" s="7">
        <v>199</v>
      </c>
      <c r="G2084" s="8">
        <v>0.2</v>
      </c>
      <c r="H2084" s="9" t="str">
        <f>INDEX(Products!$B$2:$B$37, MATCH(D2084, Products!$A$2:$A$37, 0))</f>
        <v>Fitness Band Lite</v>
      </c>
      <c r="I2084" t="str">
        <f>INDEX(Products!$C$2:$C$37, MATCH(D2084, Products!$A$2:$A$37, 0))</f>
        <v>Electronics</v>
      </c>
      <c r="J2084">
        <f>INDEX(Products!$E$2:$E$37, MATCH(D2084, Products!$A$2:$A$37, 0))</f>
        <v>175</v>
      </c>
      <c r="K2084" s="9">
        <f t="shared" si="128"/>
        <v>159.20000000000002</v>
      </c>
      <c r="L2084">
        <f t="shared" si="129"/>
        <v>175</v>
      </c>
      <c r="M2084" s="9">
        <f t="shared" si="130"/>
        <v>-15.799999999999983</v>
      </c>
      <c r="N2084" t="str">
        <f t="shared" si="131"/>
        <v>Jun</v>
      </c>
    </row>
    <row r="2085" spans="1:14" x14ac:dyDescent="0.3">
      <c r="A2085" s="2" t="s">
        <v>2151</v>
      </c>
      <c r="B2085" s="6">
        <v>45835</v>
      </c>
      <c r="C2085" s="2" t="s">
        <v>28</v>
      </c>
      <c r="D2085" s="2" t="s">
        <v>95</v>
      </c>
      <c r="E2085" s="2">
        <v>1</v>
      </c>
      <c r="F2085" s="7">
        <v>259</v>
      </c>
      <c r="G2085" s="8">
        <v>0</v>
      </c>
      <c r="H2085" s="9" t="str">
        <f>INDEX(Products!$B$2:$B$37, MATCH(D2085, Products!$A$2:$A$37, 0))</f>
        <v>Bed Linen Set (King)</v>
      </c>
      <c r="I2085" t="str">
        <f>INDEX(Products!$C$2:$C$37, MATCH(D2085, Products!$A$2:$A$37, 0))</f>
        <v>Home &amp; Kitchen</v>
      </c>
      <c r="J2085">
        <f>INDEX(Products!$E$2:$E$37, MATCH(D2085, Products!$A$2:$A$37, 0))</f>
        <v>115</v>
      </c>
      <c r="K2085" s="9">
        <f t="shared" si="128"/>
        <v>259</v>
      </c>
      <c r="L2085">
        <f t="shared" si="129"/>
        <v>115</v>
      </c>
      <c r="M2085" s="9">
        <f t="shared" si="130"/>
        <v>144</v>
      </c>
      <c r="N2085" t="str">
        <f t="shared" si="131"/>
        <v>Jun</v>
      </c>
    </row>
    <row r="2086" spans="1:14" x14ac:dyDescent="0.3">
      <c r="A2086" s="2" t="s">
        <v>2152</v>
      </c>
      <c r="B2086" s="6">
        <v>45835</v>
      </c>
      <c r="C2086" s="2" t="s">
        <v>44</v>
      </c>
      <c r="D2086" s="2" t="s">
        <v>106</v>
      </c>
      <c r="E2086" s="2">
        <v>3</v>
      </c>
      <c r="F2086" s="7">
        <v>1299</v>
      </c>
      <c r="G2086" s="8">
        <v>0</v>
      </c>
      <c r="H2086" s="9" t="str">
        <f>INDEX(Products!$B$2:$B$37, MATCH(D2086, Products!$A$2:$A$37, 0))</f>
        <v>Smart Watch Series 5</v>
      </c>
      <c r="I2086" t="str">
        <f>INDEX(Products!$C$2:$C$37, MATCH(D2086, Products!$A$2:$A$37, 0))</f>
        <v>Electronics</v>
      </c>
      <c r="J2086">
        <f>INDEX(Products!$E$2:$E$37, MATCH(D2086, Products!$A$2:$A$37, 0))</f>
        <v>820</v>
      </c>
      <c r="K2086" s="9">
        <f t="shared" si="128"/>
        <v>3897</v>
      </c>
      <c r="L2086">
        <f t="shared" si="129"/>
        <v>2460</v>
      </c>
      <c r="M2086" s="9">
        <f t="shared" si="130"/>
        <v>1437</v>
      </c>
      <c r="N2086" t="str">
        <f t="shared" si="131"/>
        <v>Jun</v>
      </c>
    </row>
    <row r="2087" spans="1:14" x14ac:dyDescent="0.3">
      <c r="A2087" s="2" t="s">
        <v>2153</v>
      </c>
      <c r="B2087" s="6">
        <v>45835</v>
      </c>
      <c r="C2087" s="2" t="s">
        <v>41</v>
      </c>
      <c r="D2087" s="2" t="s">
        <v>149</v>
      </c>
      <c r="E2087" s="2">
        <v>1</v>
      </c>
      <c r="F2087" s="7">
        <v>399</v>
      </c>
      <c r="G2087" s="8">
        <v>0.05</v>
      </c>
      <c r="H2087" s="9" t="str">
        <f>INDEX(Products!$B$2:$B$37, MATCH(D2087, Products!$A$2:$A$37, 0))</f>
        <v>Blender Pro 1200W</v>
      </c>
      <c r="I2087" t="str">
        <f>INDEX(Products!$C$2:$C$37, MATCH(D2087, Products!$A$2:$A$37, 0))</f>
        <v>Home &amp; Kitchen</v>
      </c>
      <c r="J2087">
        <f>INDEX(Products!$E$2:$E$37, MATCH(D2087, Products!$A$2:$A$37, 0))</f>
        <v>250</v>
      </c>
      <c r="K2087" s="9">
        <f t="shared" si="128"/>
        <v>379.04999999999995</v>
      </c>
      <c r="L2087">
        <f t="shared" si="129"/>
        <v>250</v>
      </c>
      <c r="M2087" s="9">
        <f t="shared" si="130"/>
        <v>129.04999999999995</v>
      </c>
      <c r="N2087" t="str">
        <f t="shared" si="131"/>
        <v>Jun</v>
      </c>
    </row>
    <row r="2088" spans="1:14" x14ac:dyDescent="0.3">
      <c r="A2088" s="2" t="s">
        <v>2154</v>
      </c>
      <c r="B2088" s="6">
        <v>45835</v>
      </c>
      <c r="C2088" s="2" t="s">
        <v>41</v>
      </c>
      <c r="D2088" s="2" t="s">
        <v>92</v>
      </c>
      <c r="E2088" s="2">
        <v>1</v>
      </c>
      <c r="F2088" s="7">
        <v>349</v>
      </c>
      <c r="G2088" s="8">
        <v>0</v>
      </c>
      <c r="H2088" s="9" t="str">
        <f>INDEX(Products!$B$2:$B$37, MATCH(D2088, Products!$A$2:$A$37, 0))</f>
        <v>Non-stick Cookware Set</v>
      </c>
      <c r="I2088" t="str">
        <f>INDEX(Products!$C$2:$C$37, MATCH(D2088, Products!$A$2:$A$37, 0))</f>
        <v>Home &amp; Kitchen</v>
      </c>
      <c r="J2088">
        <f>INDEX(Products!$E$2:$E$37, MATCH(D2088, Products!$A$2:$A$37, 0))</f>
        <v>170</v>
      </c>
      <c r="K2088" s="9">
        <f t="shared" si="128"/>
        <v>349</v>
      </c>
      <c r="L2088">
        <f t="shared" si="129"/>
        <v>170</v>
      </c>
      <c r="M2088" s="9">
        <f t="shared" si="130"/>
        <v>179</v>
      </c>
      <c r="N2088" t="str">
        <f t="shared" si="131"/>
        <v>Jun</v>
      </c>
    </row>
    <row r="2089" spans="1:14" x14ac:dyDescent="0.3">
      <c r="A2089" s="2" t="s">
        <v>2155</v>
      </c>
      <c r="B2089" s="6">
        <v>45835</v>
      </c>
      <c r="C2089" s="2" t="s">
        <v>41</v>
      </c>
      <c r="D2089" s="2" t="s">
        <v>92</v>
      </c>
      <c r="E2089" s="2">
        <v>1</v>
      </c>
      <c r="F2089" s="7">
        <v>349</v>
      </c>
      <c r="G2089" s="8">
        <v>0.2</v>
      </c>
      <c r="H2089" s="9" t="str">
        <f>INDEX(Products!$B$2:$B$37, MATCH(D2089, Products!$A$2:$A$37, 0))</f>
        <v>Non-stick Cookware Set</v>
      </c>
      <c r="I2089" t="str">
        <f>INDEX(Products!$C$2:$C$37, MATCH(D2089, Products!$A$2:$A$37, 0))</f>
        <v>Home &amp; Kitchen</v>
      </c>
      <c r="J2089">
        <f>INDEX(Products!$E$2:$E$37, MATCH(D2089, Products!$A$2:$A$37, 0))</f>
        <v>170</v>
      </c>
      <c r="K2089" s="9">
        <f t="shared" si="128"/>
        <v>279.2</v>
      </c>
      <c r="L2089">
        <f t="shared" si="129"/>
        <v>170</v>
      </c>
      <c r="M2089" s="9">
        <f t="shared" si="130"/>
        <v>109.19999999999999</v>
      </c>
      <c r="N2089" t="str">
        <f t="shared" si="131"/>
        <v>Jun</v>
      </c>
    </row>
    <row r="2090" spans="1:14" x14ac:dyDescent="0.3">
      <c r="A2090" s="2" t="s">
        <v>2156</v>
      </c>
      <c r="B2090" s="6">
        <v>45835</v>
      </c>
      <c r="C2090" s="2" t="s">
        <v>41</v>
      </c>
      <c r="D2090" s="2" t="s">
        <v>149</v>
      </c>
      <c r="E2090" s="2">
        <v>1</v>
      </c>
      <c r="F2090" s="7">
        <v>399</v>
      </c>
      <c r="G2090" s="8">
        <v>0.15</v>
      </c>
      <c r="H2090" s="9" t="str">
        <f>INDEX(Products!$B$2:$B$37, MATCH(D2090, Products!$A$2:$A$37, 0))</f>
        <v>Blender Pro 1200W</v>
      </c>
      <c r="I2090" t="str">
        <f>INDEX(Products!$C$2:$C$37, MATCH(D2090, Products!$A$2:$A$37, 0))</f>
        <v>Home &amp; Kitchen</v>
      </c>
      <c r="J2090">
        <f>INDEX(Products!$E$2:$E$37, MATCH(D2090, Products!$A$2:$A$37, 0))</f>
        <v>250</v>
      </c>
      <c r="K2090" s="9">
        <f t="shared" si="128"/>
        <v>339.15</v>
      </c>
      <c r="L2090">
        <f t="shared" si="129"/>
        <v>250</v>
      </c>
      <c r="M2090" s="9">
        <f t="shared" si="130"/>
        <v>89.149999999999977</v>
      </c>
      <c r="N2090" t="str">
        <f t="shared" si="131"/>
        <v>Jun</v>
      </c>
    </row>
    <row r="2091" spans="1:14" x14ac:dyDescent="0.3">
      <c r="A2091" s="2" t="s">
        <v>2157</v>
      </c>
      <c r="B2091" s="6">
        <v>45835</v>
      </c>
      <c r="C2091" s="2" t="s">
        <v>31</v>
      </c>
      <c r="D2091" s="2" t="s">
        <v>68</v>
      </c>
      <c r="E2091" s="2">
        <v>2</v>
      </c>
      <c r="F2091" s="7">
        <v>249</v>
      </c>
      <c r="G2091" s="8">
        <v>0</v>
      </c>
      <c r="H2091" s="9" t="str">
        <f>INDEX(Products!$B$2:$B$37, MATCH(D2091, Products!$A$2:$A$37, 0))</f>
        <v>Bluetooth Speaker Mini</v>
      </c>
      <c r="I2091" t="str">
        <f>INDEX(Products!$C$2:$C$37, MATCH(D2091, Products!$A$2:$A$37, 0))</f>
        <v>Electronics</v>
      </c>
      <c r="J2091">
        <f>INDEX(Products!$E$2:$E$37, MATCH(D2091, Products!$A$2:$A$37, 0))</f>
        <v>150</v>
      </c>
      <c r="K2091" s="9">
        <f t="shared" si="128"/>
        <v>498</v>
      </c>
      <c r="L2091">
        <f t="shared" si="129"/>
        <v>300</v>
      </c>
      <c r="M2091" s="9">
        <f t="shared" si="130"/>
        <v>198</v>
      </c>
      <c r="N2091" t="str">
        <f t="shared" si="131"/>
        <v>Jun</v>
      </c>
    </row>
    <row r="2092" spans="1:14" x14ac:dyDescent="0.3">
      <c r="A2092" s="2" t="s">
        <v>2158</v>
      </c>
      <c r="B2092" s="6">
        <v>45835</v>
      </c>
      <c r="C2092" s="2" t="s">
        <v>44</v>
      </c>
      <c r="D2092" s="2" t="s">
        <v>129</v>
      </c>
      <c r="E2092" s="2">
        <v>1</v>
      </c>
      <c r="F2092" s="7">
        <v>149</v>
      </c>
      <c r="G2092" s="8">
        <v>0.2</v>
      </c>
      <c r="H2092" s="9" t="str">
        <f>INDEX(Products!$B$2:$B$37, MATCH(D2092, Products!$A$2:$A$37, 0))</f>
        <v>Power Bank 20000mAh</v>
      </c>
      <c r="I2092" t="str">
        <f>INDEX(Products!$C$2:$C$37, MATCH(D2092, Products!$A$2:$A$37, 0))</f>
        <v>Electronics</v>
      </c>
      <c r="J2092">
        <f>INDEX(Products!$E$2:$E$37, MATCH(D2092, Products!$A$2:$A$37, 0))</f>
        <v>70</v>
      </c>
      <c r="K2092" s="9">
        <f t="shared" si="128"/>
        <v>119.2</v>
      </c>
      <c r="L2092">
        <f t="shared" si="129"/>
        <v>70</v>
      </c>
      <c r="M2092" s="9">
        <f t="shared" si="130"/>
        <v>49.2</v>
      </c>
      <c r="N2092" t="str">
        <f t="shared" si="131"/>
        <v>Jun</v>
      </c>
    </row>
    <row r="2093" spans="1:14" x14ac:dyDescent="0.3">
      <c r="A2093" s="2" t="s">
        <v>2159</v>
      </c>
      <c r="B2093" s="6">
        <v>45835</v>
      </c>
      <c r="C2093" s="2" t="s">
        <v>41</v>
      </c>
      <c r="D2093" s="2" t="s">
        <v>194</v>
      </c>
      <c r="E2093" s="2">
        <v>1</v>
      </c>
      <c r="F2093" s="7">
        <v>699</v>
      </c>
      <c r="G2093" s="8">
        <v>0</v>
      </c>
      <c r="H2093" s="9" t="str">
        <f>INDEX(Products!$B$2:$B$37, MATCH(D2093, Products!$A$2:$A$37, 0))</f>
        <v>Leather Handbag</v>
      </c>
      <c r="I2093" t="str">
        <f>INDEX(Products!$C$2:$C$37, MATCH(D2093, Products!$A$2:$A$37, 0))</f>
        <v>Fashion</v>
      </c>
      <c r="J2093">
        <f>INDEX(Products!$E$2:$E$37, MATCH(D2093, Products!$A$2:$A$37, 0))</f>
        <v>380</v>
      </c>
      <c r="K2093" s="9">
        <f t="shared" si="128"/>
        <v>699</v>
      </c>
      <c r="L2093">
        <f t="shared" si="129"/>
        <v>380</v>
      </c>
      <c r="M2093" s="9">
        <f t="shared" si="130"/>
        <v>319</v>
      </c>
      <c r="N2093" t="str">
        <f t="shared" si="131"/>
        <v>Jun</v>
      </c>
    </row>
    <row r="2094" spans="1:14" x14ac:dyDescent="0.3">
      <c r="A2094" s="2" t="s">
        <v>2160</v>
      </c>
      <c r="B2094" s="6">
        <v>45835</v>
      </c>
      <c r="C2094" s="2" t="s">
        <v>44</v>
      </c>
      <c r="D2094" s="2" t="s">
        <v>52</v>
      </c>
      <c r="E2094" s="2">
        <v>1</v>
      </c>
      <c r="F2094" s="7">
        <v>299</v>
      </c>
      <c r="G2094" s="8">
        <v>0.2</v>
      </c>
      <c r="H2094" s="9" t="str">
        <f>INDEX(Products!$B$2:$B$37, MATCH(D2094, Products!$A$2:$A$37, 0))</f>
        <v>Hair Dryer Ionic</v>
      </c>
      <c r="I2094" t="str">
        <f>INDEX(Products!$C$2:$C$37, MATCH(D2094, Products!$A$2:$A$37, 0))</f>
        <v>Beauty</v>
      </c>
      <c r="J2094">
        <f>INDEX(Products!$E$2:$E$37, MATCH(D2094, Products!$A$2:$A$37, 0))</f>
        <v>240</v>
      </c>
      <c r="K2094" s="9">
        <f t="shared" si="128"/>
        <v>239.20000000000002</v>
      </c>
      <c r="L2094">
        <f t="shared" si="129"/>
        <v>240</v>
      </c>
      <c r="M2094" s="9">
        <f t="shared" si="130"/>
        <v>-0.79999999999998295</v>
      </c>
      <c r="N2094" t="str">
        <f t="shared" si="131"/>
        <v>Jun</v>
      </c>
    </row>
    <row r="2095" spans="1:14" x14ac:dyDescent="0.3">
      <c r="A2095" s="2" t="s">
        <v>2161</v>
      </c>
      <c r="B2095" s="6">
        <v>45835</v>
      </c>
      <c r="C2095" s="2" t="s">
        <v>31</v>
      </c>
      <c r="D2095" s="2" t="s">
        <v>129</v>
      </c>
      <c r="E2095" s="2">
        <v>2</v>
      </c>
      <c r="F2095" s="7">
        <v>149</v>
      </c>
      <c r="G2095" s="8">
        <v>0.1</v>
      </c>
      <c r="H2095" s="9" t="str">
        <f>INDEX(Products!$B$2:$B$37, MATCH(D2095, Products!$A$2:$A$37, 0))</f>
        <v>Power Bank 20000mAh</v>
      </c>
      <c r="I2095" t="str">
        <f>INDEX(Products!$C$2:$C$37, MATCH(D2095, Products!$A$2:$A$37, 0))</f>
        <v>Electronics</v>
      </c>
      <c r="J2095">
        <f>INDEX(Products!$E$2:$E$37, MATCH(D2095, Products!$A$2:$A$37, 0))</f>
        <v>70</v>
      </c>
      <c r="K2095" s="9">
        <f t="shared" si="128"/>
        <v>268.2</v>
      </c>
      <c r="L2095">
        <f t="shared" si="129"/>
        <v>140</v>
      </c>
      <c r="M2095" s="9">
        <f t="shared" si="130"/>
        <v>128.19999999999999</v>
      </c>
      <c r="N2095" t="str">
        <f t="shared" si="131"/>
        <v>Jun</v>
      </c>
    </row>
    <row r="2096" spans="1:14" x14ac:dyDescent="0.3">
      <c r="A2096" s="2" t="s">
        <v>2162</v>
      </c>
      <c r="B2096" s="6">
        <v>45835</v>
      </c>
      <c r="C2096" s="2" t="s">
        <v>48</v>
      </c>
      <c r="D2096" s="2" t="s">
        <v>33</v>
      </c>
      <c r="E2096" s="2">
        <v>1</v>
      </c>
      <c r="F2096" s="7">
        <v>199</v>
      </c>
      <c r="G2096" s="8">
        <v>0.2</v>
      </c>
      <c r="H2096" s="9" t="str">
        <f>INDEX(Products!$B$2:$B$37, MATCH(D2096, Products!$A$2:$A$37, 0))</f>
        <v>Fitness Band Lite</v>
      </c>
      <c r="I2096" t="str">
        <f>INDEX(Products!$C$2:$C$37, MATCH(D2096, Products!$A$2:$A$37, 0))</f>
        <v>Electronics</v>
      </c>
      <c r="J2096">
        <f>INDEX(Products!$E$2:$E$37, MATCH(D2096, Products!$A$2:$A$37, 0))</f>
        <v>175</v>
      </c>
      <c r="K2096" s="9">
        <f t="shared" si="128"/>
        <v>159.20000000000002</v>
      </c>
      <c r="L2096">
        <f t="shared" si="129"/>
        <v>175</v>
      </c>
      <c r="M2096" s="9">
        <f t="shared" si="130"/>
        <v>-15.799999999999983</v>
      </c>
      <c r="N2096" t="str">
        <f t="shared" si="131"/>
        <v>Jun</v>
      </c>
    </row>
    <row r="2097" spans="1:14" x14ac:dyDescent="0.3">
      <c r="A2097" s="2" t="s">
        <v>2163</v>
      </c>
      <c r="B2097" s="6">
        <v>45835</v>
      </c>
      <c r="C2097" s="2" t="s">
        <v>41</v>
      </c>
      <c r="D2097" s="2" t="s">
        <v>83</v>
      </c>
      <c r="E2097" s="2">
        <v>2</v>
      </c>
      <c r="F2097" s="7">
        <v>229</v>
      </c>
      <c r="G2097" s="8">
        <v>0.15</v>
      </c>
      <c r="H2097" s="9" t="str">
        <f>INDEX(Products!$B$2:$B$37, MATCH(D2097, Products!$A$2:$A$37, 0))</f>
        <v>Cycling Helmet</v>
      </c>
      <c r="I2097" t="str">
        <f>INDEX(Products!$C$2:$C$37, MATCH(D2097, Products!$A$2:$A$37, 0))</f>
        <v>Sports</v>
      </c>
      <c r="J2097">
        <f>INDEX(Products!$E$2:$E$37, MATCH(D2097, Products!$A$2:$A$37, 0))</f>
        <v>120</v>
      </c>
      <c r="K2097" s="9">
        <f t="shared" si="128"/>
        <v>389.3</v>
      </c>
      <c r="L2097">
        <f t="shared" si="129"/>
        <v>240</v>
      </c>
      <c r="M2097" s="9">
        <f t="shared" si="130"/>
        <v>149.30000000000001</v>
      </c>
      <c r="N2097" t="str">
        <f t="shared" si="131"/>
        <v>Jun</v>
      </c>
    </row>
    <row r="2098" spans="1:14" x14ac:dyDescent="0.3">
      <c r="A2098" s="2" t="s">
        <v>2164</v>
      </c>
      <c r="B2098" s="6">
        <v>45836</v>
      </c>
      <c r="C2098" s="2" t="s">
        <v>44</v>
      </c>
      <c r="D2098" s="2" t="s">
        <v>65</v>
      </c>
      <c r="E2098" s="2">
        <v>1</v>
      </c>
      <c r="F2098" s="7">
        <v>129</v>
      </c>
      <c r="G2098" s="8">
        <v>0</v>
      </c>
      <c r="H2098" s="9" t="str">
        <f>INDEX(Products!$B$2:$B$37, MATCH(D2098, Products!$A$2:$A$37, 0))</f>
        <v>Yoga Mat Premium</v>
      </c>
      <c r="I2098" t="str">
        <f>INDEX(Products!$C$2:$C$37, MATCH(D2098, Products!$A$2:$A$37, 0))</f>
        <v>Sports</v>
      </c>
      <c r="J2098">
        <f>INDEX(Products!$E$2:$E$37, MATCH(D2098, Products!$A$2:$A$37, 0))</f>
        <v>60</v>
      </c>
      <c r="K2098" s="9">
        <f t="shared" si="128"/>
        <v>129</v>
      </c>
      <c r="L2098">
        <f t="shared" si="129"/>
        <v>60</v>
      </c>
      <c r="M2098" s="9">
        <f t="shared" si="130"/>
        <v>69</v>
      </c>
      <c r="N2098" t="str">
        <f t="shared" si="131"/>
        <v>Jun</v>
      </c>
    </row>
    <row r="2099" spans="1:14" x14ac:dyDescent="0.3">
      <c r="A2099" s="2" t="s">
        <v>2165</v>
      </c>
      <c r="B2099" s="6">
        <v>45836</v>
      </c>
      <c r="C2099" s="2" t="s">
        <v>44</v>
      </c>
      <c r="D2099" s="2" t="s">
        <v>37</v>
      </c>
      <c r="E2099" s="2">
        <v>4</v>
      </c>
      <c r="F2099" s="7">
        <v>249</v>
      </c>
      <c r="G2099" s="8">
        <v>0.05</v>
      </c>
      <c r="H2099" s="9" t="str">
        <f>INDEX(Products!$B$2:$B$37, MATCH(D2099, Products!$A$2:$A$37, 0))</f>
        <v>Sunglasses Polarised</v>
      </c>
      <c r="I2099" t="str">
        <f>INDEX(Products!$C$2:$C$37, MATCH(D2099, Products!$A$2:$A$37, 0))</f>
        <v>Fashion</v>
      </c>
      <c r="J2099">
        <f>INDEX(Products!$E$2:$E$37, MATCH(D2099, Products!$A$2:$A$37, 0))</f>
        <v>95</v>
      </c>
      <c r="K2099" s="9">
        <f t="shared" si="128"/>
        <v>946.19999999999993</v>
      </c>
      <c r="L2099">
        <f t="shared" si="129"/>
        <v>380</v>
      </c>
      <c r="M2099" s="9">
        <f t="shared" si="130"/>
        <v>566.19999999999993</v>
      </c>
      <c r="N2099" t="str">
        <f t="shared" si="131"/>
        <v>Jun</v>
      </c>
    </row>
    <row r="2100" spans="1:14" x14ac:dyDescent="0.3">
      <c r="A2100" s="2" t="s">
        <v>2166</v>
      </c>
      <c r="B2100" s="6">
        <v>45836</v>
      </c>
      <c r="C2100" s="2" t="s">
        <v>44</v>
      </c>
      <c r="D2100" s="2" t="s">
        <v>194</v>
      </c>
      <c r="E2100" s="2">
        <v>1</v>
      </c>
      <c r="F2100" s="7">
        <v>699</v>
      </c>
      <c r="G2100" s="8">
        <v>0.15</v>
      </c>
      <c r="H2100" s="9" t="str">
        <f>INDEX(Products!$B$2:$B$37, MATCH(D2100, Products!$A$2:$A$37, 0))</f>
        <v>Leather Handbag</v>
      </c>
      <c r="I2100" t="str">
        <f>INDEX(Products!$C$2:$C$37, MATCH(D2100, Products!$A$2:$A$37, 0))</f>
        <v>Fashion</v>
      </c>
      <c r="J2100">
        <f>INDEX(Products!$E$2:$E$37, MATCH(D2100, Products!$A$2:$A$37, 0))</f>
        <v>380</v>
      </c>
      <c r="K2100" s="9">
        <f t="shared" si="128"/>
        <v>594.15</v>
      </c>
      <c r="L2100">
        <f t="shared" si="129"/>
        <v>380</v>
      </c>
      <c r="M2100" s="9">
        <f t="shared" si="130"/>
        <v>214.14999999999998</v>
      </c>
      <c r="N2100" t="str">
        <f t="shared" si="131"/>
        <v>Jun</v>
      </c>
    </row>
    <row r="2101" spans="1:14" x14ac:dyDescent="0.3">
      <c r="A2101" s="2" t="s">
        <v>2167</v>
      </c>
      <c r="B2101" s="6">
        <v>45836</v>
      </c>
      <c r="C2101" s="2" t="s">
        <v>28</v>
      </c>
      <c r="D2101" s="2" t="s">
        <v>37</v>
      </c>
      <c r="E2101" s="2">
        <v>4</v>
      </c>
      <c r="F2101" s="7">
        <v>249</v>
      </c>
      <c r="G2101" s="8">
        <v>0</v>
      </c>
      <c r="H2101" s="9" t="str">
        <f>INDEX(Products!$B$2:$B$37, MATCH(D2101, Products!$A$2:$A$37, 0))</f>
        <v>Sunglasses Polarised</v>
      </c>
      <c r="I2101" t="str">
        <f>INDEX(Products!$C$2:$C$37, MATCH(D2101, Products!$A$2:$A$37, 0))</f>
        <v>Fashion</v>
      </c>
      <c r="J2101">
        <f>INDEX(Products!$E$2:$E$37, MATCH(D2101, Products!$A$2:$A$37, 0))</f>
        <v>95</v>
      </c>
      <c r="K2101" s="9">
        <f t="shared" si="128"/>
        <v>996</v>
      </c>
      <c r="L2101">
        <f t="shared" si="129"/>
        <v>380</v>
      </c>
      <c r="M2101" s="9">
        <f t="shared" si="130"/>
        <v>616</v>
      </c>
      <c r="N2101" t="str">
        <f t="shared" si="131"/>
        <v>Jun</v>
      </c>
    </row>
    <row r="2102" spans="1:14" x14ac:dyDescent="0.3">
      <c r="A2102" s="2" t="s">
        <v>2168</v>
      </c>
      <c r="B2102" s="6">
        <v>45836</v>
      </c>
      <c r="C2102" s="2" t="s">
        <v>44</v>
      </c>
      <c r="D2102" s="2" t="s">
        <v>92</v>
      </c>
      <c r="E2102" s="2">
        <v>2</v>
      </c>
      <c r="F2102" s="7">
        <v>349</v>
      </c>
      <c r="G2102" s="8">
        <v>0</v>
      </c>
      <c r="H2102" s="9" t="str">
        <f>INDEX(Products!$B$2:$B$37, MATCH(D2102, Products!$A$2:$A$37, 0))</f>
        <v>Non-stick Cookware Set</v>
      </c>
      <c r="I2102" t="str">
        <f>INDEX(Products!$C$2:$C$37, MATCH(D2102, Products!$A$2:$A$37, 0))</f>
        <v>Home &amp; Kitchen</v>
      </c>
      <c r="J2102">
        <f>INDEX(Products!$E$2:$E$37, MATCH(D2102, Products!$A$2:$A$37, 0))</f>
        <v>170</v>
      </c>
      <c r="K2102" s="9">
        <f t="shared" si="128"/>
        <v>698</v>
      </c>
      <c r="L2102">
        <f t="shared" si="129"/>
        <v>340</v>
      </c>
      <c r="M2102" s="9">
        <f t="shared" si="130"/>
        <v>358</v>
      </c>
      <c r="N2102" t="str">
        <f t="shared" si="131"/>
        <v>Jun</v>
      </c>
    </row>
    <row r="2103" spans="1:14" x14ac:dyDescent="0.3">
      <c r="A2103" s="2" t="s">
        <v>2169</v>
      </c>
      <c r="B2103" s="6">
        <v>45836</v>
      </c>
      <c r="C2103" s="2" t="s">
        <v>28</v>
      </c>
      <c r="D2103" s="2" t="s">
        <v>115</v>
      </c>
      <c r="E2103" s="2">
        <v>1</v>
      </c>
      <c r="F2103" s="7">
        <v>129</v>
      </c>
      <c r="G2103" s="8">
        <v>0.1</v>
      </c>
      <c r="H2103" s="9" t="str">
        <f>INDEX(Products!$B$2:$B$37, MATCH(D2103, Products!$A$2:$A$37, 0))</f>
        <v>Electric Kettle</v>
      </c>
      <c r="I2103" t="str">
        <f>INDEX(Products!$C$2:$C$37, MATCH(D2103, Products!$A$2:$A$37, 0))</f>
        <v>Home &amp; Kitchen</v>
      </c>
      <c r="J2103">
        <f>INDEX(Products!$E$2:$E$37, MATCH(D2103, Products!$A$2:$A$37, 0))</f>
        <v>60</v>
      </c>
      <c r="K2103" s="9">
        <f t="shared" si="128"/>
        <v>116.10000000000001</v>
      </c>
      <c r="L2103">
        <f t="shared" si="129"/>
        <v>60</v>
      </c>
      <c r="M2103" s="9">
        <f t="shared" si="130"/>
        <v>56.100000000000009</v>
      </c>
      <c r="N2103" t="str">
        <f t="shared" si="131"/>
        <v>Jun</v>
      </c>
    </row>
    <row r="2104" spans="1:14" x14ac:dyDescent="0.3">
      <c r="A2104" s="2" t="s">
        <v>2170</v>
      </c>
      <c r="B2104" s="6">
        <v>45836</v>
      </c>
      <c r="C2104" s="2" t="s">
        <v>44</v>
      </c>
      <c r="D2104" s="2" t="s">
        <v>126</v>
      </c>
      <c r="E2104" s="2">
        <v>1</v>
      </c>
      <c r="F2104" s="7">
        <v>89</v>
      </c>
      <c r="G2104" s="8">
        <v>0.05</v>
      </c>
      <c r="H2104" s="9" t="str">
        <f>INDEX(Products!$B$2:$B$37, MATCH(D2104, Products!$A$2:$A$37, 0))</f>
        <v>USB-C Fast Charger</v>
      </c>
      <c r="I2104" t="str">
        <f>INDEX(Products!$C$2:$C$37, MATCH(D2104, Products!$A$2:$A$37, 0))</f>
        <v>Electronics</v>
      </c>
      <c r="J2104">
        <f>INDEX(Products!$E$2:$E$37, MATCH(D2104, Products!$A$2:$A$37, 0))</f>
        <v>35</v>
      </c>
      <c r="K2104" s="9">
        <f t="shared" si="128"/>
        <v>84.55</v>
      </c>
      <c r="L2104">
        <f t="shared" si="129"/>
        <v>35</v>
      </c>
      <c r="M2104" s="9">
        <f t="shared" si="130"/>
        <v>49.55</v>
      </c>
      <c r="N2104" t="str">
        <f t="shared" si="131"/>
        <v>Jun</v>
      </c>
    </row>
    <row r="2105" spans="1:14" x14ac:dyDescent="0.3">
      <c r="A2105" s="2" t="s">
        <v>2171</v>
      </c>
      <c r="B2105" s="6">
        <v>45836</v>
      </c>
      <c r="C2105" s="2" t="s">
        <v>44</v>
      </c>
      <c r="D2105" s="2" t="s">
        <v>29</v>
      </c>
      <c r="E2105" s="2">
        <v>2</v>
      </c>
      <c r="F2105" s="7">
        <v>229</v>
      </c>
      <c r="G2105" s="8">
        <v>0</v>
      </c>
      <c r="H2105" s="9" t="str">
        <f>INDEX(Products!$B$2:$B$37, MATCH(D2105, Products!$A$2:$A$37, 0))</f>
        <v>Women's Summer Dress</v>
      </c>
      <c r="I2105" t="str">
        <f>INDEX(Products!$C$2:$C$37, MATCH(D2105, Products!$A$2:$A$37, 0))</f>
        <v>Fashion</v>
      </c>
      <c r="J2105">
        <f>INDEX(Products!$E$2:$E$37, MATCH(D2105, Products!$A$2:$A$37, 0))</f>
        <v>120</v>
      </c>
      <c r="K2105" s="9">
        <f t="shared" si="128"/>
        <v>458</v>
      </c>
      <c r="L2105">
        <f t="shared" si="129"/>
        <v>240</v>
      </c>
      <c r="M2105" s="9">
        <f t="shared" si="130"/>
        <v>218</v>
      </c>
      <c r="N2105" t="str">
        <f t="shared" si="131"/>
        <v>Jun</v>
      </c>
    </row>
    <row r="2106" spans="1:14" x14ac:dyDescent="0.3">
      <c r="A2106" s="2" t="s">
        <v>2172</v>
      </c>
      <c r="B2106" s="6">
        <v>45837</v>
      </c>
      <c r="C2106" s="2" t="s">
        <v>48</v>
      </c>
      <c r="D2106" s="2" t="s">
        <v>68</v>
      </c>
      <c r="E2106" s="2">
        <v>1</v>
      </c>
      <c r="F2106" s="7">
        <v>249</v>
      </c>
      <c r="G2106" s="8">
        <v>0</v>
      </c>
      <c r="H2106" s="9" t="str">
        <f>INDEX(Products!$B$2:$B$37, MATCH(D2106, Products!$A$2:$A$37, 0))</f>
        <v>Bluetooth Speaker Mini</v>
      </c>
      <c r="I2106" t="str">
        <f>INDEX(Products!$C$2:$C$37, MATCH(D2106, Products!$A$2:$A$37, 0))</f>
        <v>Electronics</v>
      </c>
      <c r="J2106">
        <f>INDEX(Products!$E$2:$E$37, MATCH(D2106, Products!$A$2:$A$37, 0))</f>
        <v>150</v>
      </c>
      <c r="K2106" s="9">
        <f t="shared" si="128"/>
        <v>249</v>
      </c>
      <c r="L2106">
        <f t="shared" si="129"/>
        <v>150</v>
      </c>
      <c r="M2106" s="9">
        <f t="shared" si="130"/>
        <v>99</v>
      </c>
      <c r="N2106" t="str">
        <f t="shared" si="131"/>
        <v>Jun</v>
      </c>
    </row>
    <row r="2107" spans="1:14" x14ac:dyDescent="0.3">
      <c r="A2107" s="2" t="s">
        <v>2173</v>
      </c>
      <c r="B2107" s="6">
        <v>45837</v>
      </c>
      <c r="C2107" s="2" t="s">
        <v>44</v>
      </c>
      <c r="D2107" s="2" t="s">
        <v>129</v>
      </c>
      <c r="E2107" s="2">
        <v>1</v>
      </c>
      <c r="F2107" s="7">
        <v>149</v>
      </c>
      <c r="G2107" s="8">
        <v>0.05</v>
      </c>
      <c r="H2107" s="9" t="str">
        <f>INDEX(Products!$B$2:$B$37, MATCH(D2107, Products!$A$2:$A$37, 0))</f>
        <v>Power Bank 20000mAh</v>
      </c>
      <c r="I2107" t="str">
        <f>INDEX(Products!$C$2:$C$37, MATCH(D2107, Products!$A$2:$A$37, 0))</f>
        <v>Electronics</v>
      </c>
      <c r="J2107">
        <f>INDEX(Products!$E$2:$E$37, MATCH(D2107, Products!$A$2:$A$37, 0))</f>
        <v>70</v>
      </c>
      <c r="K2107" s="9">
        <f t="shared" si="128"/>
        <v>141.54999999999998</v>
      </c>
      <c r="L2107">
        <f t="shared" si="129"/>
        <v>70</v>
      </c>
      <c r="M2107" s="9">
        <f t="shared" si="130"/>
        <v>71.549999999999983</v>
      </c>
      <c r="N2107" t="str">
        <f t="shared" si="131"/>
        <v>Jun</v>
      </c>
    </row>
    <row r="2108" spans="1:14" x14ac:dyDescent="0.3">
      <c r="A2108" s="2" t="s">
        <v>2174</v>
      </c>
      <c r="B2108" s="6">
        <v>45837</v>
      </c>
      <c r="C2108" s="2" t="s">
        <v>41</v>
      </c>
      <c r="D2108" s="2" t="s">
        <v>68</v>
      </c>
      <c r="E2108" s="2">
        <v>1</v>
      </c>
      <c r="F2108" s="7">
        <v>249</v>
      </c>
      <c r="G2108" s="8">
        <v>0.05</v>
      </c>
      <c r="H2108" s="9" t="str">
        <f>INDEX(Products!$B$2:$B$37, MATCH(D2108, Products!$A$2:$A$37, 0))</f>
        <v>Bluetooth Speaker Mini</v>
      </c>
      <c r="I2108" t="str">
        <f>INDEX(Products!$C$2:$C$37, MATCH(D2108, Products!$A$2:$A$37, 0))</f>
        <v>Electronics</v>
      </c>
      <c r="J2108">
        <f>INDEX(Products!$E$2:$E$37, MATCH(D2108, Products!$A$2:$A$37, 0))</f>
        <v>150</v>
      </c>
      <c r="K2108" s="9">
        <f t="shared" si="128"/>
        <v>236.54999999999998</v>
      </c>
      <c r="L2108">
        <f t="shared" si="129"/>
        <v>150</v>
      </c>
      <c r="M2108" s="9">
        <f t="shared" si="130"/>
        <v>86.549999999999983</v>
      </c>
      <c r="N2108" t="str">
        <f t="shared" si="131"/>
        <v>Jun</v>
      </c>
    </row>
    <row r="2109" spans="1:14" x14ac:dyDescent="0.3">
      <c r="A2109" s="2" t="s">
        <v>2175</v>
      </c>
      <c r="B2109" s="6">
        <v>45837</v>
      </c>
      <c r="C2109" s="2" t="s">
        <v>41</v>
      </c>
      <c r="D2109" s="2" t="s">
        <v>89</v>
      </c>
      <c r="E2109" s="2">
        <v>4</v>
      </c>
      <c r="F2109" s="7">
        <v>399</v>
      </c>
      <c r="G2109" s="8">
        <v>0</v>
      </c>
      <c r="H2109" s="9" t="str">
        <f>INDEX(Products!$B$2:$B$37, MATCH(D2109, Products!$A$2:$A$37, 0))</f>
        <v>Men's Kandura Premium</v>
      </c>
      <c r="I2109" t="str">
        <f>INDEX(Products!$C$2:$C$37, MATCH(D2109, Products!$A$2:$A$37, 0))</f>
        <v>Fashion</v>
      </c>
      <c r="J2109">
        <f>INDEX(Products!$E$2:$E$37, MATCH(D2109, Products!$A$2:$A$37, 0))</f>
        <v>210</v>
      </c>
      <c r="K2109" s="9">
        <f t="shared" si="128"/>
        <v>1596</v>
      </c>
      <c r="L2109">
        <f t="shared" si="129"/>
        <v>840</v>
      </c>
      <c r="M2109" s="9">
        <f t="shared" si="130"/>
        <v>756</v>
      </c>
      <c r="N2109" t="str">
        <f t="shared" si="131"/>
        <v>Jun</v>
      </c>
    </row>
    <row r="2110" spans="1:14" x14ac:dyDescent="0.3">
      <c r="A2110" s="2" t="s">
        <v>2176</v>
      </c>
      <c r="B2110" s="6">
        <v>45837</v>
      </c>
      <c r="C2110" s="2" t="s">
        <v>48</v>
      </c>
      <c r="D2110" s="2" t="s">
        <v>83</v>
      </c>
      <c r="E2110" s="2">
        <v>3</v>
      </c>
      <c r="F2110" s="7">
        <v>229</v>
      </c>
      <c r="G2110" s="8">
        <v>0</v>
      </c>
      <c r="H2110" s="9" t="str">
        <f>INDEX(Products!$B$2:$B$37, MATCH(D2110, Products!$A$2:$A$37, 0))</f>
        <v>Cycling Helmet</v>
      </c>
      <c r="I2110" t="str">
        <f>INDEX(Products!$C$2:$C$37, MATCH(D2110, Products!$A$2:$A$37, 0))</f>
        <v>Sports</v>
      </c>
      <c r="J2110">
        <f>INDEX(Products!$E$2:$E$37, MATCH(D2110, Products!$A$2:$A$37, 0))</f>
        <v>120</v>
      </c>
      <c r="K2110" s="9">
        <f t="shared" si="128"/>
        <v>687</v>
      </c>
      <c r="L2110">
        <f t="shared" si="129"/>
        <v>360</v>
      </c>
      <c r="M2110" s="9">
        <f t="shared" si="130"/>
        <v>327</v>
      </c>
      <c r="N2110" t="str">
        <f t="shared" si="131"/>
        <v>Jun</v>
      </c>
    </row>
    <row r="2111" spans="1:14" x14ac:dyDescent="0.3">
      <c r="A2111" s="2" t="s">
        <v>2177</v>
      </c>
      <c r="B2111" s="6">
        <v>45837</v>
      </c>
      <c r="C2111" s="2" t="s">
        <v>31</v>
      </c>
      <c r="D2111" s="2" t="s">
        <v>115</v>
      </c>
      <c r="E2111" s="2">
        <v>1</v>
      </c>
      <c r="F2111" s="7">
        <v>129</v>
      </c>
      <c r="G2111" s="8">
        <v>0</v>
      </c>
      <c r="H2111" s="9" t="str">
        <f>INDEX(Products!$B$2:$B$37, MATCH(D2111, Products!$A$2:$A$37, 0))</f>
        <v>Electric Kettle</v>
      </c>
      <c r="I2111" t="str">
        <f>INDEX(Products!$C$2:$C$37, MATCH(D2111, Products!$A$2:$A$37, 0))</f>
        <v>Home &amp; Kitchen</v>
      </c>
      <c r="J2111">
        <f>INDEX(Products!$E$2:$E$37, MATCH(D2111, Products!$A$2:$A$37, 0))</f>
        <v>60</v>
      </c>
      <c r="K2111" s="9">
        <f t="shared" si="128"/>
        <v>129</v>
      </c>
      <c r="L2111">
        <f t="shared" si="129"/>
        <v>60</v>
      </c>
      <c r="M2111" s="9">
        <f t="shared" si="130"/>
        <v>69</v>
      </c>
      <c r="N2111" t="str">
        <f t="shared" si="131"/>
        <v>Jun</v>
      </c>
    </row>
    <row r="2112" spans="1:14" x14ac:dyDescent="0.3">
      <c r="A2112" s="2" t="s">
        <v>2178</v>
      </c>
      <c r="B2112" s="6">
        <v>45837</v>
      </c>
      <c r="C2112" s="2" t="s">
        <v>31</v>
      </c>
      <c r="D2112" s="2" t="s">
        <v>80</v>
      </c>
      <c r="E2112" s="2">
        <v>4</v>
      </c>
      <c r="F2112" s="7">
        <v>149</v>
      </c>
      <c r="G2112" s="8">
        <v>0.15</v>
      </c>
      <c r="H2112" s="9" t="str">
        <f>INDEX(Products!$B$2:$B$37, MATCH(D2112, Products!$A$2:$A$37, 0))</f>
        <v>Vitamin C Serum</v>
      </c>
      <c r="I2112" t="str">
        <f>INDEX(Products!$C$2:$C$37, MATCH(D2112, Products!$A$2:$A$37, 0))</f>
        <v>Beauty</v>
      </c>
      <c r="J2112">
        <f>INDEX(Products!$E$2:$E$37, MATCH(D2112, Products!$A$2:$A$37, 0))</f>
        <v>55</v>
      </c>
      <c r="K2112" s="9">
        <f t="shared" si="128"/>
        <v>506.59999999999997</v>
      </c>
      <c r="L2112">
        <f t="shared" si="129"/>
        <v>220</v>
      </c>
      <c r="M2112" s="9">
        <f t="shared" si="130"/>
        <v>286.59999999999997</v>
      </c>
      <c r="N2112" t="str">
        <f t="shared" si="131"/>
        <v>Jun</v>
      </c>
    </row>
    <row r="2113" spans="1:14" x14ac:dyDescent="0.3">
      <c r="A2113" s="2" t="s">
        <v>2179</v>
      </c>
      <c r="B2113" s="6">
        <v>45837</v>
      </c>
      <c r="C2113" s="2" t="s">
        <v>44</v>
      </c>
      <c r="D2113" s="2" t="s">
        <v>68</v>
      </c>
      <c r="E2113" s="2">
        <v>2</v>
      </c>
      <c r="F2113" s="7">
        <v>249</v>
      </c>
      <c r="G2113" s="8">
        <v>0.15</v>
      </c>
      <c r="H2113" s="9" t="str">
        <f>INDEX(Products!$B$2:$B$37, MATCH(D2113, Products!$A$2:$A$37, 0))</f>
        <v>Bluetooth Speaker Mini</v>
      </c>
      <c r="I2113" t="str">
        <f>INDEX(Products!$C$2:$C$37, MATCH(D2113, Products!$A$2:$A$37, 0))</f>
        <v>Electronics</v>
      </c>
      <c r="J2113">
        <f>INDEX(Products!$E$2:$E$37, MATCH(D2113, Products!$A$2:$A$37, 0))</f>
        <v>150</v>
      </c>
      <c r="K2113" s="9">
        <f t="shared" si="128"/>
        <v>423.3</v>
      </c>
      <c r="L2113">
        <f t="shared" si="129"/>
        <v>300</v>
      </c>
      <c r="M2113" s="9">
        <f t="shared" si="130"/>
        <v>123.30000000000001</v>
      </c>
      <c r="N2113" t="str">
        <f t="shared" si="131"/>
        <v>Jun</v>
      </c>
    </row>
    <row r="2114" spans="1:14" x14ac:dyDescent="0.3">
      <c r="A2114" s="2" t="s">
        <v>2180</v>
      </c>
      <c r="B2114" s="6">
        <v>45837</v>
      </c>
      <c r="C2114" s="2" t="s">
        <v>28</v>
      </c>
      <c r="D2114" s="2" t="s">
        <v>131</v>
      </c>
      <c r="E2114" s="2">
        <v>2</v>
      </c>
      <c r="F2114" s="7">
        <v>899</v>
      </c>
      <c r="G2114" s="8">
        <v>0.1</v>
      </c>
      <c r="H2114" s="9" t="str">
        <f>INDEX(Products!$B$2:$B$37, MATCH(D2114, Products!$A$2:$A$37, 0))</f>
        <v>4K Action Camera</v>
      </c>
      <c r="I2114" t="str">
        <f>INDEX(Products!$C$2:$C$37, MATCH(D2114, Products!$A$2:$A$37, 0))</f>
        <v>Electronics</v>
      </c>
      <c r="J2114">
        <f>INDEX(Products!$E$2:$E$37, MATCH(D2114, Products!$A$2:$A$37, 0))</f>
        <v>610</v>
      </c>
      <c r="K2114" s="9">
        <f t="shared" ref="K2114:K2177" si="132">E2114*F2114*(1-G2114)</f>
        <v>1618.2</v>
      </c>
      <c r="L2114">
        <f t="shared" ref="L2114:L2177" si="133">E2114*J2114</f>
        <v>1220</v>
      </c>
      <c r="M2114" s="9">
        <f t="shared" ref="M2114:M2177" si="134">K2114-L2114</f>
        <v>398.20000000000005</v>
      </c>
      <c r="N2114" t="str">
        <f t="shared" ref="N2114:N2177" si="135">TEXT(B2114,"mmm")</f>
        <v>Jun</v>
      </c>
    </row>
    <row r="2115" spans="1:14" x14ac:dyDescent="0.3">
      <c r="A2115" s="2" t="s">
        <v>2181</v>
      </c>
      <c r="B2115" s="6">
        <v>45837</v>
      </c>
      <c r="C2115" s="2" t="s">
        <v>31</v>
      </c>
      <c r="D2115" s="2" t="s">
        <v>52</v>
      </c>
      <c r="E2115" s="2">
        <v>1</v>
      </c>
      <c r="F2115" s="7">
        <v>299</v>
      </c>
      <c r="G2115" s="8">
        <v>0.15</v>
      </c>
      <c r="H2115" s="9" t="str">
        <f>INDEX(Products!$B$2:$B$37, MATCH(D2115, Products!$A$2:$A$37, 0))</f>
        <v>Hair Dryer Ionic</v>
      </c>
      <c r="I2115" t="str">
        <f>INDEX(Products!$C$2:$C$37, MATCH(D2115, Products!$A$2:$A$37, 0))</f>
        <v>Beauty</v>
      </c>
      <c r="J2115">
        <f>INDEX(Products!$E$2:$E$37, MATCH(D2115, Products!$A$2:$A$37, 0))</f>
        <v>240</v>
      </c>
      <c r="K2115" s="9">
        <f t="shared" si="132"/>
        <v>254.15</v>
      </c>
      <c r="L2115">
        <f t="shared" si="133"/>
        <v>240</v>
      </c>
      <c r="M2115" s="9">
        <f t="shared" si="134"/>
        <v>14.150000000000006</v>
      </c>
      <c r="N2115" t="str">
        <f t="shared" si="135"/>
        <v>Jun</v>
      </c>
    </row>
    <row r="2116" spans="1:14" x14ac:dyDescent="0.3">
      <c r="A2116" s="2" t="s">
        <v>2182</v>
      </c>
      <c r="B2116" s="6">
        <v>45837</v>
      </c>
      <c r="C2116" s="2" t="s">
        <v>48</v>
      </c>
      <c r="D2116" s="2" t="s">
        <v>33</v>
      </c>
      <c r="E2116" s="2">
        <v>1</v>
      </c>
      <c r="F2116" s="7">
        <v>199</v>
      </c>
      <c r="G2116" s="8">
        <v>0.15</v>
      </c>
      <c r="H2116" s="9" t="str">
        <f>INDEX(Products!$B$2:$B$37, MATCH(D2116, Products!$A$2:$A$37, 0))</f>
        <v>Fitness Band Lite</v>
      </c>
      <c r="I2116" t="str">
        <f>INDEX(Products!$C$2:$C$37, MATCH(D2116, Products!$A$2:$A$37, 0))</f>
        <v>Electronics</v>
      </c>
      <c r="J2116">
        <f>INDEX(Products!$E$2:$E$37, MATCH(D2116, Products!$A$2:$A$37, 0))</f>
        <v>175</v>
      </c>
      <c r="K2116" s="9">
        <f t="shared" si="132"/>
        <v>169.15</v>
      </c>
      <c r="L2116">
        <f t="shared" si="133"/>
        <v>175</v>
      </c>
      <c r="M2116" s="9">
        <f t="shared" si="134"/>
        <v>-5.8499999999999943</v>
      </c>
      <c r="N2116" t="str">
        <f t="shared" si="135"/>
        <v>Jun</v>
      </c>
    </row>
    <row r="2117" spans="1:14" x14ac:dyDescent="0.3">
      <c r="A2117" s="2" t="s">
        <v>2183</v>
      </c>
      <c r="B2117" s="6">
        <v>45838</v>
      </c>
      <c r="C2117" s="2" t="s">
        <v>41</v>
      </c>
      <c r="D2117" s="2" t="s">
        <v>29</v>
      </c>
      <c r="E2117" s="2">
        <v>3</v>
      </c>
      <c r="F2117" s="7">
        <v>229</v>
      </c>
      <c r="G2117" s="8">
        <v>0</v>
      </c>
      <c r="H2117" s="9" t="str">
        <f>INDEX(Products!$B$2:$B$37, MATCH(D2117, Products!$A$2:$A$37, 0))</f>
        <v>Women's Summer Dress</v>
      </c>
      <c r="I2117" t="str">
        <f>INDEX(Products!$C$2:$C$37, MATCH(D2117, Products!$A$2:$A$37, 0))</f>
        <v>Fashion</v>
      </c>
      <c r="J2117">
        <f>INDEX(Products!$E$2:$E$37, MATCH(D2117, Products!$A$2:$A$37, 0))</f>
        <v>120</v>
      </c>
      <c r="K2117" s="9">
        <f t="shared" si="132"/>
        <v>687</v>
      </c>
      <c r="L2117">
        <f t="shared" si="133"/>
        <v>360</v>
      </c>
      <c r="M2117" s="9">
        <f t="shared" si="134"/>
        <v>327</v>
      </c>
      <c r="N2117" t="str">
        <f t="shared" si="135"/>
        <v>Jun</v>
      </c>
    </row>
    <row r="2118" spans="1:14" x14ac:dyDescent="0.3">
      <c r="A2118" s="2" t="s">
        <v>2184</v>
      </c>
      <c r="B2118" s="6">
        <v>45838</v>
      </c>
      <c r="C2118" s="2" t="s">
        <v>28</v>
      </c>
      <c r="D2118" s="2" t="s">
        <v>33</v>
      </c>
      <c r="E2118" s="2">
        <v>2</v>
      </c>
      <c r="F2118" s="7">
        <v>199</v>
      </c>
      <c r="G2118" s="8">
        <v>0.15</v>
      </c>
      <c r="H2118" s="9" t="str">
        <f>INDEX(Products!$B$2:$B$37, MATCH(D2118, Products!$A$2:$A$37, 0))</f>
        <v>Fitness Band Lite</v>
      </c>
      <c r="I2118" t="str">
        <f>INDEX(Products!$C$2:$C$37, MATCH(D2118, Products!$A$2:$A$37, 0))</f>
        <v>Electronics</v>
      </c>
      <c r="J2118">
        <f>INDEX(Products!$E$2:$E$37, MATCH(D2118, Products!$A$2:$A$37, 0))</f>
        <v>175</v>
      </c>
      <c r="K2118" s="9">
        <f t="shared" si="132"/>
        <v>338.3</v>
      </c>
      <c r="L2118">
        <f t="shared" si="133"/>
        <v>350</v>
      </c>
      <c r="M2118" s="9">
        <f t="shared" si="134"/>
        <v>-11.699999999999989</v>
      </c>
      <c r="N2118" t="str">
        <f t="shared" si="135"/>
        <v>Jun</v>
      </c>
    </row>
    <row r="2119" spans="1:14" x14ac:dyDescent="0.3">
      <c r="A2119" s="2" t="s">
        <v>2185</v>
      </c>
      <c r="B2119" s="6">
        <v>45838</v>
      </c>
      <c r="C2119" s="2" t="s">
        <v>44</v>
      </c>
      <c r="D2119" s="2" t="s">
        <v>129</v>
      </c>
      <c r="E2119" s="2">
        <v>2</v>
      </c>
      <c r="F2119" s="7">
        <v>149</v>
      </c>
      <c r="G2119" s="8">
        <v>0.1</v>
      </c>
      <c r="H2119" s="9" t="str">
        <f>INDEX(Products!$B$2:$B$37, MATCH(D2119, Products!$A$2:$A$37, 0))</f>
        <v>Power Bank 20000mAh</v>
      </c>
      <c r="I2119" t="str">
        <f>INDEX(Products!$C$2:$C$37, MATCH(D2119, Products!$A$2:$A$37, 0))</f>
        <v>Electronics</v>
      </c>
      <c r="J2119">
        <f>INDEX(Products!$E$2:$E$37, MATCH(D2119, Products!$A$2:$A$37, 0))</f>
        <v>70</v>
      </c>
      <c r="K2119" s="9">
        <f t="shared" si="132"/>
        <v>268.2</v>
      </c>
      <c r="L2119">
        <f t="shared" si="133"/>
        <v>140</v>
      </c>
      <c r="M2119" s="9">
        <f t="shared" si="134"/>
        <v>128.19999999999999</v>
      </c>
      <c r="N2119" t="str">
        <f t="shared" si="135"/>
        <v>Jun</v>
      </c>
    </row>
    <row r="2120" spans="1:14" x14ac:dyDescent="0.3">
      <c r="A2120" s="2" t="s">
        <v>2186</v>
      </c>
      <c r="B2120" s="6">
        <v>45838</v>
      </c>
      <c r="C2120" s="2" t="s">
        <v>44</v>
      </c>
      <c r="D2120" s="2" t="s">
        <v>80</v>
      </c>
      <c r="E2120" s="2">
        <v>1</v>
      </c>
      <c r="F2120" s="7">
        <v>149</v>
      </c>
      <c r="G2120" s="8">
        <v>0.2</v>
      </c>
      <c r="H2120" s="9" t="str">
        <f>INDEX(Products!$B$2:$B$37, MATCH(D2120, Products!$A$2:$A$37, 0))</f>
        <v>Vitamin C Serum</v>
      </c>
      <c r="I2120" t="str">
        <f>INDEX(Products!$C$2:$C$37, MATCH(D2120, Products!$A$2:$A$37, 0))</f>
        <v>Beauty</v>
      </c>
      <c r="J2120">
        <f>INDEX(Products!$E$2:$E$37, MATCH(D2120, Products!$A$2:$A$37, 0))</f>
        <v>55</v>
      </c>
      <c r="K2120" s="9">
        <f t="shared" si="132"/>
        <v>119.2</v>
      </c>
      <c r="L2120">
        <f t="shared" si="133"/>
        <v>55</v>
      </c>
      <c r="M2120" s="9">
        <f t="shared" si="134"/>
        <v>64.2</v>
      </c>
      <c r="N2120" t="str">
        <f t="shared" si="135"/>
        <v>Jun</v>
      </c>
    </row>
    <row r="2121" spans="1:14" x14ac:dyDescent="0.3">
      <c r="A2121" s="2" t="s">
        <v>2187</v>
      </c>
      <c r="B2121" s="6">
        <v>45838</v>
      </c>
      <c r="C2121" s="2" t="s">
        <v>41</v>
      </c>
      <c r="D2121" s="2" t="s">
        <v>52</v>
      </c>
      <c r="E2121" s="2">
        <v>2</v>
      </c>
      <c r="F2121" s="7">
        <v>299</v>
      </c>
      <c r="G2121" s="8">
        <v>0.25</v>
      </c>
      <c r="H2121" s="9" t="str">
        <f>INDEX(Products!$B$2:$B$37, MATCH(D2121, Products!$A$2:$A$37, 0))</f>
        <v>Hair Dryer Ionic</v>
      </c>
      <c r="I2121" t="str">
        <f>INDEX(Products!$C$2:$C$37, MATCH(D2121, Products!$A$2:$A$37, 0))</f>
        <v>Beauty</v>
      </c>
      <c r="J2121">
        <f>INDEX(Products!$E$2:$E$37, MATCH(D2121, Products!$A$2:$A$37, 0))</f>
        <v>240</v>
      </c>
      <c r="K2121" s="9">
        <f t="shared" si="132"/>
        <v>448.5</v>
      </c>
      <c r="L2121">
        <f t="shared" si="133"/>
        <v>480</v>
      </c>
      <c r="M2121" s="9">
        <f t="shared" si="134"/>
        <v>-31.5</v>
      </c>
      <c r="N2121" t="str">
        <f t="shared" si="135"/>
        <v>Jun</v>
      </c>
    </row>
    <row r="2122" spans="1:14" x14ac:dyDescent="0.3">
      <c r="A2122" s="2" t="s">
        <v>2188</v>
      </c>
      <c r="B2122" s="6">
        <v>45838</v>
      </c>
      <c r="C2122" s="2" t="s">
        <v>31</v>
      </c>
      <c r="D2122" s="2" t="s">
        <v>95</v>
      </c>
      <c r="E2122" s="2">
        <v>2</v>
      </c>
      <c r="F2122" s="7">
        <v>259</v>
      </c>
      <c r="G2122" s="8">
        <v>0.05</v>
      </c>
      <c r="H2122" s="9" t="str">
        <f>INDEX(Products!$B$2:$B$37, MATCH(D2122, Products!$A$2:$A$37, 0))</f>
        <v>Bed Linen Set (King)</v>
      </c>
      <c r="I2122" t="str">
        <f>INDEX(Products!$C$2:$C$37, MATCH(D2122, Products!$A$2:$A$37, 0))</f>
        <v>Home &amp; Kitchen</v>
      </c>
      <c r="J2122">
        <f>INDEX(Products!$E$2:$E$37, MATCH(D2122, Products!$A$2:$A$37, 0))</f>
        <v>115</v>
      </c>
      <c r="K2122" s="9">
        <f t="shared" si="132"/>
        <v>492.09999999999997</v>
      </c>
      <c r="L2122">
        <f t="shared" si="133"/>
        <v>230</v>
      </c>
      <c r="M2122" s="9">
        <f t="shared" si="134"/>
        <v>262.09999999999997</v>
      </c>
      <c r="N2122" t="str">
        <f t="shared" si="135"/>
        <v>Jun</v>
      </c>
    </row>
    <row r="2123" spans="1:14" x14ac:dyDescent="0.3">
      <c r="A2123" s="2" t="s">
        <v>2189</v>
      </c>
      <c r="B2123" s="6">
        <v>45838</v>
      </c>
      <c r="C2123" s="2" t="s">
        <v>44</v>
      </c>
      <c r="D2123" s="2" t="s">
        <v>92</v>
      </c>
      <c r="E2123" s="2">
        <v>1</v>
      </c>
      <c r="F2123" s="7">
        <v>349</v>
      </c>
      <c r="G2123" s="8">
        <v>0</v>
      </c>
      <c r="H2123" s="9" t="str">
        <f>INDEX(Products!$B$2:$B$37, MATCH(D2123, Products!$A$2:$A$37, 0))</f>
        <v>Non-stick Cookware Set</v>
      </c>
      <c r="I2123" t="str">
        <f>INDEX(Products!$C$2:$C$37, MATCH(D2123, Products!$A$2:$A$37, 0))</f>
        <v>Home &amp; Kitchen</v>
      </c>
      <c r="J2123">
        <f>INDEX(Products!$E$2:$E$37, MATCH(D2123, Products!$A$2:$A$37, 0))</f>
        <v>170</v>
      </c>
      <c r="K2123" s="9">
        <f t="shared" si="132"/>
        <v>349</v>
      </c>
      <c r="L2123">
        <f t="shared" si="133"/>
        <v>170</v>
      </c>
      <c r="M2123" s="9">
        <f t="shared" si="134"/>
        <v>179</v>
      </c>
      <c r="N2123" t="str">
        <f t="shared" si="135"/>
        <v>Jun</v>
      </c>
    </row>
    <row r="2124" spans="1:14" x14ac:dyDescent="0.3">
      <c r="A2124" s="2" t="s">
        <v>2190</v>
      </c>
      <c r="B2124" s="6">
        <v>45838</v>
      </c>
      <c r="C2124" s="2" t="s">
        <v>41</v>
      </c>
      <c r="D2124" s="2" t="s">
        <v>49</v>
      </c>
      <c r="E2124" s="2">
        <v>1</v>
      </c>
      <c r="F2124" s="7">
        <v>149</v>
      </c>
      <c r="G2124" s="8">
        <v>0</v>
      </c>
      <c r="H2124" s="9" t="str">
        <f>INDEX(Products!$B$2:$B$37, MATCH(D2124, Products!$A$2:$A$37, 0))</f>
        <v>Kids' Sneakers</v>
      </c>
      <c r="I2124" t="str">
        <f>INDEX(Products!$C$2:$C$37, MATCH(D2124, Products!$A$2:$A$37, 0))</f>
        <v>Fashion</v>
      </c>
      <c r="J2124">
        <f>INDEX(Products!$E$2:$E$37, MATCH(D2124, Products!$A$2:$A$37, 0))</f>
        <v>80</v>
      </c>
      <c r="K2124" s="9">
        <f t="shared" si="132"/>
        <v>149</v>
      </c>
      <c r="L2124">
        <f t="shared" si="133"/>
        <v>80</v>
      </c>
      <c r="M2124" s="9">
        <f t="shared" si="134"/>
        <v>69</v>
      </c>
      <c r="N2124" t="str">
        <f t="shared" si="135"/>
        <v>Jun</v>
      </c>
    </row>
    <row r="2125" spans="1:14" x14ac:dyDescent="0.3">
      <c r="A2125" s="2" t="s">
        <v>2191</v>
      </c>
      <c r="B2125" s="6">
        <v>45838</v>
      </c>
      <c r="C2125" s="2" t="s">
        <v>31</v>
      </c>
      <c r="D2125" s="2" t="s">
        <v>115</v>
      </c>
      <c r="E2125" s="2">
        <v>1</v>
      </c>
      <c r="F2125" s="7">
        <v>129</v>
      </c>
      <c r="G2125" s="8">
        <v>0</v>
      </c>
      <c r="H2125" s="9" t="str">
        <f>INDEX(Products!$B$2:$B$37, MATCH(D2125, Products!$A$2:$A$37, 0))</f>
        <v>Electric Kettle</v>
      </c>
      <c r="I2125" t="str">
        <f>INDEX(Products!$C$2:$C$37, MATCH(D2125, Products!$A$2:$A$37, 0))</f>
        <v>Home &amp; Kitchen</v>
      </c>
      <c r="J2125">
        <f>INDEX(Products!$E$2:$E$37, MATCH(D2125, Products!$A$2:$A$37, 0))</f>
        <v>60</v>
      </c>
      <c r="K2125" s="9">
        <f t="shared" si="132"/>
        <v>129</v>
      </c>
      <c r="L2125">
        <f t="shared" si="133"/>
        <v>60</v>
      </c>
      <c r="M2125" s="9">
        <f t="shared" si="134"/>
        <v>69</v>
      </c>
      <c r="N2125" t="str">
        <f t="shared" si="135"/>
        <v>Jun</v>
      </c>
    </row>
    <row r="2126" spans="1:14" x14ac:dyDescent="0.3">
      <c r="A2126" s="2" t="s">
        <v>2192</v>
      </c>
      <c r="B2126" s="6">
        <v>45838</v>
      </c>
      <c r="C2126" s="2" t="s">
        <v>48</v>
      </c>
      <c r="D2126" s="2" t="s">
        <v>92</v>
      </c>
      <c r="E2126" s="2">
        <v>3</v>
      </c>
      <c r="F2126" s="7">
        <v>349</v>
      </c>
      <c r="G2126" s="8">
        <v>0</v>
      </c>
      <c r="H2126" s="9" t="str">
        <f>INDEX(Products!$B$2:$B$37, MATCH(D2126, Products!$A$2:$A$37, 0))</f>
        <v>Non-stick Cookware Set</v>
      </c>
      <c r="I2126" t="str">
        <f>INDEX(Products!$C$2:$C$37, MATCH(D2126, Products!$A$2:$A$37, 0))</f>
        <v>Home &amp; Kitchen</v>
      </c>
      <c r="J2126">
        <f>INDEX(Products!$E$2:$E$37, MATCH(D2126, Products!$A$2:$A$37, 0))</f>
        <v>170</v>
      </c>
      <c r="K2126" s="9">
        <f t="shared" si="132"/>
        <v>1047</v>
      </c>
      <c r="L2126">
        <f t="shared" si="133"/>
        <v>510</v>
      </c>
      <c r="M2126" s="9">
        <f t="shared" si="134"/>
        <v>537</v>
      </c>
      <c r="N2126" t="str">
        <f t="shared" si="135"/>
        <v>Jun</v>
      </c>
    </row>
    <row r="2127" spans="1:14" x14ac:dyDescent="0.3">
      <c r="A2127" s="2" t="s">
        <v>2193</v>
      </c>
      <c r="B2127" s="6">
        <v>45838</v>
      </c>
      <c r="C2127" s="2" t="s">
        <v>41</v>
      </c>
      <c r="D2127" s="2" t="s">
        <v>58</v>
      </c>
      <c r="E2127" s="2">
        <v>4</v>
      </c>
      <c r="F2127" s="7">
        <v>459</v>
      </c>
      <c r="G2127" s="8">
        <v>0.1</v>
      </c>
      <c r="H2127" s="9" t="str">
        <f>INDEX(Products!$B$2:$B$37, MATCH(D2127, Products!$A$2:$A$37, 0))</f>
        <v>Women's Abaya Classic</v>
      </c>
      <c r="I2127" t="str">
        <f>INDEX(Products!$C$2:$C$37, MATCH(D2127, Products!$A$2:$A$37, 0))</f>
        <v>Fashion</v>
      </c>
      <c r="J2127">
        <f>INDEX(Products!$E$2:$E$37, MATCH(D2127, Products!$A$2:$A$37, 0))</f>
        <v>190</v>
      </c>
      <c r="K2127" s="9">
        <f t="shared" si="132"/>
        <v>1652.4</v>
      </c>
      <c r="L2127">
        <f t="shared" si="133"/>
        <v>760</v>
      </c>
      <c r="M2127" s="9">
        <f t="shared" si="134"/>
        <v>892.40000000000009</v>
      </c>
      <c r="N2127" t="str">
        <f t="shared" si="135"/>
        <v>Jun</v>
      </c>
    </row>
    <row r="2128" spans="1:14" x14ac:dyDescent="0.3">
      <c r="A2128" s="2" t="s">
        <v>2194</v>
      </c>
      <c r="B2128" s="6">
        <v>45838</v>
      </c>
      <c r="C2128" s="2" t="s">
        <v>48</v>
      </c>
      <c r="D2128" s="2" t="s">
        <v>131</v>
      </c>
      <c r="E2128" s="2">
        <v>1</v>
      </c>
      <c r="F2128" s="7">
        <v>899</v>
      </c>
      <c r="G2128" s="8">
        <v>0</v>
      </c>
      <c r="H2128" s="9" t="str">
        <f>INDEX(Products!$B$2:$B$37, MATCH(D2128, Products!$A$2:$A$37, 0))</f>
        <v>4K Action Camera</v>
      </c>
      <c r="I2128" t="str">
        <f>INDEX(Products!$C$2:$C$37, MATCH(D2128, Products!$A$2:$A$37, 0))</f>
        <v>Electronics</v>
      </c>
      <c r="J2128">
        <f>INDEX(Products!$E$2:$E$37, MATCH(D2128, Products!$A$2:$A$37, 0))</f>
        <v>610</v>
      </c>
      <c r="K2128" s="9">
        <f t="shared" si="132"/>
        <v>899</v>
      </c>
      <c r="L2128">
        <f t="shared" si="133"/>
        <v>610</v>
      </c>
      <c r="M2128" s="9">
        <f t="shared" si="134"/>
        <v>289</v>
      </c>
      <c r="N2128" t="str">
        <f t="shared" si="135"/>
        <v>Jun</v>
      </c>
    </row>
    <row r="2129" spans="1:14" x14ac:dyDescent="0.3">
      <c r="A2129" s="2" t="s">
        <v>2195</v>
      </c>
      <c r="B2129" s="6">
        <v>45838</v>
      </c>
      <c r="C2129" s="2" t="s">
        <v>44</v>
      </c>
      <c r="D2129" s="2" t="s">
        <v>46</v>
      </c>
      <c r="E2129" s="2">
        <v>2</v>
      </c>
      <c r="F2129" s="7">
        <v>189</v>
      </c>
      <c r="G2129" s="8">
        <v>0.05</v>
      </c>
      <c r="H2129" s="9" t="str">
        <f>INDEX(Products!$B$2:$B$37, MATCH(D2129, Products!$A$2:$A$37, 0))</f>
        <v>Makeup Palette</v>
      </c>
      <c r="I2129" t="str">
        <f>INDEX(Products!$C$2:$C$37, MATCH(D2129, Products!$A$2:$A$37, 0))</f>
        <v>Beauty</v>
      </c>
      <c r="J2129">
        <f>INDEX(Products!$E$2:$E$37, MATCH(D2129, Products!$A$2:$A$37, 0))</f>
        <v>85</v>
      </c>
      <c r="K2129" s="9">
        <f t="shared" si="132"/>
        <v>359.09999999999997</v>
      </c>
      <c r="L2129">
        <f t="shared" si="133"/>
        <v>170</v>
      </c>
      <c r="M2129" s="9">
        <f t="shared" si="134"/>
        <v>189.09999999999997</v>
      </c>
      <c r="N2129" t="str">
        <f t="shared" si="135"/>
        <v>Jun</v>
      </c>
    </row>
    <row r="2130" spans="1:14" x14ac:dyDescent="0.3">
      <c r="A2130" s="2" t="s">
        <v>2196</v>
      </c>
      <c r="B2130" s="6">
        <v>45838</v>
      </c>
      <c r="C2130" s="2" t="s">
        <v>44</v>
      </c>
      <c r="D2130" s="2" t="s">
        <v>39</v>
      </c>
      <c r="E2130" s="2">
        <v>2</v>
      </c>
      <c r="F2130" s="7">
        <v>199</v>
      </c>
      <c r="G2130" s="8">
        <v>0.2</v>
      </c>
      <c r="H2130" s="9" t="str">
        <f>INDEX(Products!$B$2:$B$37, MATCH(D2130, Products!$A$2:$A$37, 0))</f>
        <v>Bakhoor Gift Set</v>
      </c>
      <c r="I2130" t="str">
        <f>INDEX(Products!$C$2:$C$37, MATCH(D2130, Products!$A$2:$A$37, 0))</f>
        <v>Beauty</v>
      </c>
      <c r="J2130">
        <f>INDEX(Products!$E$2:$E$37, MATCH(D2130, Products!$A$2:$A$37, 0))</f>
        <v>90</v>
      </c>
      <c r="K2130" s="9">
        <f t="shared" si="132"/>
        <v>318.40000000000003</v>
      </c>
      <c r="L2130">
        <f t="shared" si="133"/>
        <v>180</v>
      </c>
      <c r="M2130" s="9">
        <f t="shared" si="134"/>
        <v>138.40000000000003</v>
      </c>
      <c r="N2130" t="str">
        <f t="shared" si="135"/>
        <v>Jun</v>
      </c>
    </row>
    <row r="2131" spans="1:14" x14ac:dyDescent="0.3">
      <c r="A2131" s="2" t="s">
        <v>2197</v>
      </c>
      <c r="B2131" s="6">
        <v>45839</v>
      </c>
      <c r="C2131" s="2" t="s">
        <v>41</v>
      </c>
      <c r="D2131" s="2" t="s">
        <v>29</v>
      </c>
      <c r="E2131" s="2">
        <v>3</v>
      </c>
      <c r="F2131" s="7">
        <v>229</v>
      </c>
      <c r="G2131" s="8">
        <v>0</v>
      </c>
      <c r="H2131" s="9" t="str">
        <f>INDEX(Products!$B$2:$B$37, MATCH(D2131, Products!$A$2:$A$37, 0))</f>
        <v>Women's Summer Dress</v>
      </c>
      <c r="I2131" t="str">
        <f>INDEX(Products!$C$2:$C$37, MATCH(D2131, Products!$A$2:$A$37, 0))</f>
        <v>Fashion</v>
      </c>
      <c r="J2131">
        <f>INDEX(Products!$E$2:$E$37, MATCH(D2131, Products!$A$2:$A$37, 0))</f>
        <v>120</v>
      </c>
      <c r="K2131" s="9">
        <f t="shared" si="132"/>
        <v>687</v>
      </c>
      <c r="L2131">
        <f t="shared" si="133"/>
        <v>360</v>
      </c>
      <c r="M2131" s="9">
        <f t="shared" si="134"/>
        <v>327</v>
      </c>
      <c r="N2131" t="str">
        <f t="shared" si="135"/>
        <v>Jul</v>
      </c>
    </row>
    <row r="2132" spans="1:14" x14ac:dyDescent="0.3">
      <c r="A2132" s="2" t="s">
        <v>2198</v>
      </c>
      <c r="B2132" s="6">
        <v>45839</v>
      </c>
      <c r="C2132" s="2" t="s">
        <v>41</v>
      </c>
      <c r="D2132" s="2" t="s">
        <v>42</v>
      </c>
      <c r="E2132" s="2">
        <v>1</v>
      </c>
      <c r="F2132" s="7">
        <v>399</v>
      </c>
      <c r="G2132" s="8">
        <v>0.2</v>
      </c>
      <c r="H2132" s="9" t="str">
        <f>INDEX(Products!$B$2:$B$37, MATCH(D2132, Products!$A$2:$A$37, 0))</f>
        <v>Wireless Earbuds Pro</v>
      </c>
      <c r="I2132" t="str">
        <f>INDEX(Products!$C$2:$C$37, MATCH(D2132, Products!$A$2:$A$37, 0))</f>
        <v>Electronics</v>
      </c>
      <c r="J2132">
        <f>INDEX(Products!$E$2:$E$37, MATCH(D2132, Products!$A$2:$A$37, 0))</f>
        <v>230</v>
      </c>
      <c r="K2132" s="9">
        <f t="shared" si="132"/>
        <v>319.20000000000005</v>
      </c>
      <c r="L2132">
        <f t="shared" si="133"/>
        <v>230</v>
      </c>
      <c r="M2132" s="9">
        <f t="shared" si="134"/>
        <v>89.200000000000045</v>
      </c>
      <c r="N2132" t="str">
        <f t="shared" si="135"/>
        <v>Jul</v>
      </c>
    </row>
    <row r="2133" spans="1:14" x14ac:dyDescent="0.3">
      <c r="A2133" s="2" t="s">
        <v>2199</v>
      </c>
      <c r="B2133" s="6">
        <v>45839</v>
      </c>
      <c r="C2133" s="2" t="s">
        <v>48</v>
      </c>
      <c r="D2133" s="2" t="s">
        <v>131</v>
      </c>
      <c r="E2133" s="2">
        <v>2</v>
      </c>
      <c r="F2133" s="7">
        <v>899</v>
      </c>
      <c r="G2133" s="8">
        <v>0</v>
      </c>
      <c r="H2133" s="9" t="str">
        <f>INDEX(Products!$B$2:$B$37, MATCH(D2133, Products!$A$2:$A$37, 0))</f>
        <v>4K Action Camera</v>
      </c>
      <c r="I2133" t="str">
        <f>INDEX(Products!$C$2:$C$37, MATCH(D2133, Products!$A$2:$A$37, 0))</f>
        <v>Electronics</v>
      </c>
      <c r="J2133">
        <f>INDEX(Products!$E$2:$E$37, MATCH(D2133, Products!$A$2:$A$37, 0))</f>
        <v>610</v>
      </c>
      <c r="K2133" s="9">
        <f t="shared" si="132"/>
        <v>1798</v>
      </c>
      <c r="L2133">
        <f t="shared" si="133"/>
        <v>1220</v>
      </c>
      <c r="M2133" s="9">
        <f t="shared" si="134"/>
        <v>578</v>
      </c>
      <c r="N2133" t="str">
        <f t="shared" si="135"/>
        <v>Jul</v>
      </c>
    </row>
    <row r="2134" spans="1:14" x14ac:dyDescent="0.3">
      <c r="A2134" s="2" t="s">
        <v>2200</v>
      </c>
      <c r="B2134" s="6">
        <v>45839</v>
      </c>
      <c r="C2134" s="2" t="s">
        <v>41</v>
      </c>
      <c r="D2134" s="2" t="s">
        <v>89</v>
      </c>
      <c r="E2134" s="2">
        <v>1</v>
      </c>
      <c r="F2134" s="7">
        <v>399</v>
      </c>
      <c r="G2134" s="8">
        <v>0</v>
      </c>
      <c r="H2134" s="9" t="str">
        <f>INDEX(Products!$B$2:$B$37, MATCH(D2134, Products!$A$2:$A$37, 0))</f>
        <v>Men's Kandura Premium</v>
      </c>
      <c r="I2134" t="str">
        <f>INDEX(Products!$C$2:$C$37, MATCH(D2134, Products!$A$2:$A$37, 0))</f>
        <v>Fashion</v>
      </c>
      <c r="J2134">
        <f>INDEX(Products!$E$2:$E$37, MATCH(D2134, Products!$A$2:$A$37, 0))</f>
        <v>210</v>
      </c>
      <c r="K2134" s="9">
        <f t="shared" si="132"/>
        <v>399</v>
      </c>
      <c r="L2134">
        <f t="shared" si="133"/>
        <v>210</v>
      </c>
      <c r="M2134" s="9">
        <f t="shared" si="134"/>
        <v>189</v>
      </c>
      <c r="N2134" t="str">
        <f t="shared" si="135"/>
        <v>Jul</v>
      </c>
    </row>
    <row r="2135" spans="1:14" x14ac:dyDescent="0.3">
      <c r="A2135" s="2" t="s">
        <v>2201</v>
      </c>
      <c r="B2135" s="6">
        <v>45839</v>
      </c>
      <c r="C2135" s="2" t="s">
        <v>44</v>
      </c>
      <c r="D2135" s="2" t="s">
        <v>33</v>
      </c>
      <c r="E2135" s="2">
        <v>1</v>
      </c>
      <c r="F2135" s="7">
        <v>199</v>
      </c>
      <c r="G2135" s="8">
        <v>0.2</v>
      </c>
      <c r="H2135" s="9" t="str">
        <f>INDEX(Products!$B$2:$B$37, MATCH(D2135, Products!$A$2:$A$37, 0))</f>
        <v>Fitness Band Lite</v>
      </c>
      <c r="I2135" t="str">
        <f>INDEX(Products!$C$2:$C$37, MATCH(D2135, Products!$A$2:$A$37, 0))</f>
        <v>Electronics</v>
      </c>
      <c r="J2135">
        <f>INDEX(Products!$E$2:$E$37, MATCH(D2135, Products!$A$2:$A$37, 0))</f>
        <v>175</v>
      </c>
      <c r="K2135" s="9">
        <f t="shared" si="132"/>
        <v>159.20000000000002</v>
      </c>
      <c r="L2135">
        <f t="shared" si="133"/>
        <v>175</v>
      </c>
      <c r="M2135" s="9">
        <f t="shared" si="134"/>
        <v>-15.799999999999983</v>
      </c>
      <c r="N2135" t="str">
        <f t="shared" si="135"/>
        <v>Jul</v>
      </c>
    </row>
    <row r="2136" spans="1:14" x14ac:dyDescent="0.3">
      <c r="A2136" s="2" t="s">
        <v>2202</v>
      </c>
      <c r="B2136" s="6">
        <v>45839</v>
      </c>
      <c r="C2136" s="2" t="s">
        <v>41</v>
      </c>
      <c r="D2136" s="2" t="s">
        <v>58</v>
      </c>
      <c r="E2136" s="2">
        <v>1</v>
      </c>
      <c r="F2136" s="7">
        <v>459</v>
      </c>
      <c r="G2136" s="8">
        <v>0.05</v>
      </c>
      <c r="H2136" s="9" t="str">
        <f>INDEX(Products!$B$2:$B$37, MATCH(D2136, Products!$A$2:$A$37, 0))</f>
        <v>Women's Abaya Classic</v>
      </c>
      <c r="I2136" t="str">
        <f>INDEX(Products!$C$2:$C$37, MATCH(D2136, Products!$A$2:$A$37, 0))</f>
        <v>Fashion</v>
      </c>
      <c r="J2136">
        <f>INDEX(Products!$E$2:$E$37, MATCH(D2136, Products!$A$2:$A$37, 0))</f>
        <v>190</v>
      </c>
      <c r="K2136" s="9">
        <f t="shared" si="132"/>
        <v>436.04999999999995</v>
      </c>
      <c r="L2136">
        <f t="shared" si="133"/>
        <v>190</v>
      </c>
      <c r="M2136" s="9">
        <f t="shared" si="134"/>
        <v>246.04999999999995</v>
      </c>
      <c r="N2136" t="str">
        <f t="shared" si="135"/>
        <v>Jul</v>
      </c>
    </row>
    <row r="2137" spans="1:14" x14ac:dyDescent="0.3">
      <c r="A2137" s="2" t="s">
        <v>2203</v>
      </c>
      <c r="B2137" s="6">
        <v>45839</v>
      </c>
      <c r="C2137" s="2" t="s">
        <v>41</v>
      </c>
      <c r="D2137" s="2" t="s">
        <v>106</v>
      </c>
      <c r="E2137" s="2">
        <v>1</v>
      </c>
      <c r="F2137" s="7">
        <v>1299</v>
      </c>
      <c r="G2137" s="8">
        <v>0</v>
      </c>
      <c r="H2137" s="9" t="str">
        <f>INDEX(Products!$B$2:$B$37, MATCH(D2137, Products!$A$2:$A$37, 0))</f>
        <v>Smart Watch Series 5</v>
      </c>
      <c r="I2137" t="str">
        <f>INDEX(Products!$C$2:$C$37, MATCH(D2137, Products!$A$2:$A$37, 0))</f>
        <v>Electronics</v>
      </c>
      <c r="J2137">
        <f>INDEX(Products!$E$2:$E$37, MATCH(D2137, Products!$A$2:$A$37, 0))</f>
        <v>820</v>
      </c>
      <c r="K2137" s="9">
        <f t="shared" si="132"/>
        <v>1299</v>
      </c>
      <c r="L2137">
        <f t="shared" si="133"/>
        <v>820</v>
      </c>
      <c r="M2137" s="9">
        <f t="shared" si="134"/>
        <v>479</v>
      </c>
      <c r="N2137" t="str">
        <f t="shared" si="135"/>
        <v>Jul</v>
      </c>
    </row>
    <row r="2138" spans="1:14" x14ac:dyDescent="0.3">
      <c r="A2138" s="2" t="s">
        <v>2204</v>
      </c>
      <c r="B2138" s="6">
        <v>45840</v>
      </c>
      <c r="C2138" s="2" t="s">
        <v>28</v>
      </c>
      <c r="D2138" s="2" t="s">
        <v>99</v>
      </c>
      <c r="E2138" s="2">
        <v>1</v>
      </c>
      <c r="F2138" s="7">
        <v>459</v>
      </c>
      <c r="G2138" s="8">
        <v>0</v>
      </c>
      <c r="H2138" s="9" t="str">
        <f>INDEX(Products!$B$2:$B$37, MATCH(D2138, Products!$A$2:$A$37, 0))</f>
        <v>Gaming Headset X</v>
      </c>
      <c r="I2138" t="str">
        <f>INDEX(Products!$C$2:$C$37, MATCH(D2138, Products!$A$2:$A$37, 0))</f>
        <v>Electronics</v>
      </c>
      <c r="J2138">
        <f>INDEX(Products!$E$2:$E$37, MATCH(D2138, Products!$A$2:$A$37, 0))</f>
        <v>300</v>
      </c>
      <c r="K2138" s="9">
        <f t="shared" si="132"/>
        <v>459</v>
      </c>
      <c r="L2138">
        <f t="shared" si="133"/>
        <v>300</v>
      </c>
      <c r="M2138" s="9">
        <f t="shared" si="134"/>
        <v>159</v>
      </c>
      <c r="N2138" t="str">
        <f t="shared" si="135"/>
        <v>Jul</v>
      </c>
    </row>
    <row r="2139" spans="1:14" x14ac:dyDescent="0.3">
      <c r="A2139" s="2" t="s">
        <v>2205</v>
      </c>
      <c r="B2139" s="6">
        <v>45840</v>
      </c>
      <c r="C2139" s="2" t="s">
        <v>44</v>
      </c>
      <c r="D2139" s="2" t="s">
        <v>49</v>
      </c>
      <c r="E2139" s="2">
        <v>2</v>
      </c>
      <c r="F2139" s="7">
        <v>149</v>
      </c>
      <c r="G2139" s="8">
        <v>0.1</v>
      </c>
      <c r="H2139" s="9" t="str">
        <f>INDEX(Products!$B$2:$B$37, MATCH(D2139, Products!$A$2:$A$37, 0))</f>
        <v>Kids' Sneakers</v>
      </c>
      <c r="I2139" t="str">
        <f>INDEX(Products!$C$2:$C$37, MATCH(D2139, Products!$A$2:$A$37, 0))</f>
        <v>Fashion</v>
      </c>
      <c r="J2139">
        <f>INDEX(Products!$E$2:$E$37, MATCH(D2139, Products!$A$2:$A$37, 0))</f>
        <v>80</v>
      </c>
      <c r="K2139" s="9">
        <f t="shared" si="132"/>
        <v>268.2</v>
      </c>
      <c r="L2139">
        <f t="shared" si="133"/>
        <v>160</v>
      </c>
      <c r="M2139" s="9">
        <f t="shared" si="134"/>
        <v>108.19999999999999</v>
      </c>
      <c r="N2139" t="str">
        <f t="shared" si="135"/>
        <v>Jul</v>
      </c>
    </row>
    <row r="2140" spans="1:14" x14ac:dyDescent="0.3">
      <c r="A2140" s="2" t="s">
        <v>2206</v>
      </c>
      <c r="B2140" s="6">
        <v>45840</v>
      </c>
      <c r="C2140" s="2" t="s">
        <v>48</v>
      </c>
      <c r="D2140" s="2" t="s">
        <v>29</v>
      </c>
      <c r="E2140" s="2">
        <v>1</v>
      </c>
      <c r="F2140" s="7">
        <v>229</v>
      </c>
      <c r="G2140" s="8">
        <v>0</v>
      </c>
      <c r="H2140" s="9" t="str">
        <f>INDEX(Products!$B$2:$B$37, MATCH(D2140, Products!$A$2:$A$37, 0))</f>
        <v>Women's Summer Dress</v>
      </c>
      <c r="I2140" t="str">
        <f>INDEX(Products!$C$2:$C$37, MATCH(D2140, Products!$A$2:$A$37, 0))</f>
        <v>Fashion</v>
      </c>
      <c r="J2140">
        <f>INDEX(Products!$E$2:$E$37, MATCH(D2140, Products!$A$2:$A$37, 0))</f>
        <v>120</v>
      </c>
      <c r="K2140" s="9">
        <f t="shared" si="132"/>
        <v>229</v>
      </c>
      <c r="L2140">
        <f t="shared" si="133"/>
        <v>120</v>
      </c>
      <c r="M2140" s="9">
        <f t="shared" si="134"/>
        <v>109</v>
      </c>
      <c r="N2140" t="str">
        <f t="shared" si="135"/>
        <v>Jul</v>
      </c>
    </row>
    <row r="2141" spans="1:14" x14ac:dyDescent="0.3">
      <c r="A2141" s="2" t="s">
        <v>2207</v>
      </c>
      <c r="B2141" s="6">
        <v>45840</v>
      </c>
      <c r="C2141" s="2" t="s">
        <v>28</v>
      </c>
      <c r="D2141" s="2" t="s">
        <v>49</v>
      </c>
      <c r="E2141" s="2">
        <v>3</v>
      </c>
      <c r="F2141" s="7">
        <v>149</v>
      </c>
      <c r="G2141" s="8">
        <v>0.05</v>
      </c>
      <c r="H2141" s="9" t="str">
        <f>INDEX(Products!$B$2:$B$37, MATCH(D2141, Products!$A$2:$A$37, 0))</f>
        <v>Kids' Sneakers</v>
      </c>
      <c r="I2141" t="str">
        <f>INDEX(Products!$C$2:$C$37, MATCH(D2141, Products!$A$2:$A$37, 0))</f>
        <v>Fashion</v>
      </c>
      <c r="J2141">
        <f>INDEX(Products!$E$2:$E$37, MATCH(D2141, Products!$A$2:$A$37, 0))</f>
        <v>80</v>
      </c>
      <c r="K2141" s="9">
        <f t="shared" si="132"/>
        <v>424.65</v>
      </c>
      <c r="L2141">
        <f t="shared" si="133"/>
        <v>240</v>
      </c>
      <c r="M2141" s="9">
        <f t="shared" si="134"/>
        <v>184.64999999999998</v>
      </c>
      <c r="N2141" t="str">
        <f t="shared" si="135"/>
        <v>Jul</v>
      </c>
    </row>
    <row r="2142" spans="1:14" x14ac:dyDescent="0.3">
      <c r="A2142" s="2" t="s">
        <v>2208</v>
      </c>
      <c r="B2142" s="6">
        <v>45840</v>
      </c>
      <c r="C2142" s="2" t="s">
        <v>44</v>
      </c>
      <c r="D2142" s="2" t="s">
        <v>95</v>
      </c>
      <c r="E2142" s="2">
        <v>3</v>
      </c>
      <c r="F2142" s="7">
        <v>259</v>
      </c>
      <c r="G2142" s="8">
        <v>0</v>
      </c>
      <c r="H2142" s="9" t="str">
        <f>INDEX(Products!$B$2:$B$37, MATCH(D2142, Products!$A$2:$A$37, 0))</f>
        <v>Bed Linen Set (King)</v>
      </c>
      <c r="I2142" t="str">
        <f>INDEX(Products!$C$2:$C$37, MATCH(D2142, Products!$A$2:$A$37, 0))</f>
        <v>Home &amp; Kitchen</v>
      </c>
      <c r="J2142">
        <f>INDEX(Products!$E$2:$E$37, MATCH(D2142, Products!$A$2:$A$37, 0))</f>
        <v>115</v>
      </c>
      <c r="K2142" s="9">
        <f t="shared" si="132"/>
        <v>777</v>
      </c>
      <c r="L2142">
        <f t="shared" si="133"/>
        <v>345</v>
      </c>
      <c r="M2142" s="9">
        <f t="shared" si="134"/>
        <v>432</v>
      </c>
      <c r="N2142" t="str">
        <f t="shared" si="135"/>
        <v>Jul</v>
      </c>
    </row>
    <row r="2143" spans="1:14" x14ac:dyDescent="0.3">
      <c r="A2143" s="2" t="s">
        <v>2209</v>
      </c>
      <c r="B2143" s="6">
        <v>45840</v>
      </c>
      <c r="C2143" s="2" t="s">
        <v>44</v>
      </c>
      <c r="D2143" s="2" t="s">
        <v>99</v>
      </c>
      <c r="E2143" s="2">
        <v>2</v>
      </c>
      <c r="F2143" s="7">
        <v>459</v>
      </c>
      <c r="G2143" s="8">
        <v>0.1</v>
      </c>
      <c r="H2143" s="9" t="str">
        <f>INDEX(Products!$B$2:$B$37, MATCH(D2143, Products!$A$2:$A$37, 0))</f>
        <v>Gaming Headset X</v>
      </c>
      <c r="I2143" t="str">
        <f>INDEX(Products!$C$2:$C$37, MATCH(D2143, Products!$A$2:$A$37, 0))</f>
        <v>Electronics</v>
      </c>
      <c r="J2143">
        <f>INDEX(Products!$E$2:$E$37, MATCH(D2143, Products!$A$2:$A$37, 0))</f>
        <v>300</v>
      </c>
      <c r="K2143" s="9">
        <f t="shared" si="132"/>
        <v>826.2</v>
      </c>
      <c r="L2143">
        <f t="shared" si="133"/>
        <v>600</v>
      </c>
      <c r="M2143" s="9">
        <f t="shared" si="134"/>
        <v>226.20000000000005</v>
      </c>
      <c r="N2143" t="str">
        <f t="shared" si="135"/>
        <v>Jul</v>
      </c>
    </row>
    <row r="2144" spans="1:14" x14ac:dyDescent="0.3">
      <c r="A2144" s="2" t="s">
        <v>2210</v>
      </c>
      <c r="B2144" s="6">
        <v>45840</v>
      </c>
      <c r="C2144" s="2" t="s">
        <v>28</v>
      </c>
      <c r="D2144" s="2" t="s">
        <v>65</v>
      </c>
      <c r="E2144" s="2">
        <v>3</v>
      </c>
      <c r="F2144" s="7">
        <v>129</v>
      </c>
      <c r="G2144" s="8">
        <v>0.05</v>
      </c>
      <c r="H2144" s="9" t="str">
        <f>INDEX(Products!$B$2:$B$37, MATCH(D2144, Products!$A$2:$A$37, 0))</f>
        <v>Yoga Mat Premium</v>
      </c>
      <c r="I2144" t="str">
        <f>INDEX(Products!$C$2:$C$37, MATCH(D2144, Products!$A$2:$A$37, 0))</f>
        <v>Sports</v>
      </c>
      <c r="J2144">
        <f>INDEX(Products!$E$2:$E$37, MATCH(D2144, Products!$A$2:$A$37, 0))</f>
        <v>60</v>
      </c>
      <c r="K2144" s="9">
        <f t="shared" si="132"/>
        <v>367.65</v>
      </c>
      <c r="L2144">
        <f t="shared" si="133"/>
        <v>180</v>
      </c>
      <c r="M2144" s="9">
        <f t="shared" si="134"/>
        <v>187.64999999999998</v>
      </c>
      <c r="N2144" t="str">
        <f t="shared" si="135"/>
        <v>Jul</v>
      </c>
    </row>
    <row r="2145" spans="1:14" x14ac:dyDescent="0.3">
      <c r="A2145" s="2" t="s">
        <v>2211</v>
      </c>
      <c r="B2145" s="6">
        <v>45840</v>
      </c>
      <c r="C2145" s="2" t="s">
        <v>31</v>
      </c>
      <c r="D2145" s="2" t="s">
        <v>37</v>
      </c>
      <c r="E2145" s="2">
        <v>1</v>
      </c>
      <c r="F2145" s="7">
        <v>249</v>
      </c>
      <c r="G2145" s="8">
        <v>0.1</v>
      </c>
      <c r="H2145" s="9" t="str">
        <f>INDEX(Products!$B$2:$B$37, MATCH(D2145, Products!$A$2:$A$37, 0))</f>
        <v>Sunglasses Polarised</v>
      </c>
      <c r="I2145" t="str">
        <f>INDEX(Products!$C$2:$C$37, MATCH(D2145, Products!$A$2:$A$37, 0))</f>
        <v>Fashion</v>
      </c>
      <c r="J2145">
        <f>INDEX(Products!$E$2:$E$37, MATCH(D2145, Products!$A$2:$A$37, 0))</f>
        <v>95</v>
      </c>
      <c r="K2145" s="9">
        <f t="shared" si="132"/>
        <v>224.1</v>
      </c>
      <c r="L2145">
        <f t="shared" si="133"/>
        <v>95</v>
      </c>
      <c r="M2145" s="9">
        <f t="shared" si="134"/>
        <v>129.1</v>
      </c>
      <c r="N2145" t="str">
        <f t="shared" si="135"/>
        <v>Jul</v>
      </c>
    </row>
    <row r="2146" spans="1:14" x14ac:dyDescent="0.3">
      <c r="A2146" s="2" t="s">
        <v>2212</v>
      </c>
      <c r="B2146" s="6">
        <v>45840</v>
      </c>
      <c r="C2146" s="2" t="s">
        <v>31</v>
      </c>
      <c r="D2146" s="2" t="s">
        <v>42</v>
      </c>
      <c r="E2146" s="2">
        <v>2</v>
      </c>
      <c r="F2146" s="7">
        <v>399</v>
      </c>
      <c r="G2146" s="8">
        <v>0</v>
      </c>
      <c r="H2146" s="9" t="str">
        <f>INDEX(Products!$B$2:$B$37, MATCH(D2146, Products!$A$2:$A$37, 0))</f>
        <v>Wireless Earbuds Pro</v>
      </c>
      <c r="I2146" t="str">
        <f>INDEX(Products!$C$2:$C$37, MATCH(D2146, Products!$A$2:$A$37, 0))</f>
        <v>Electronics</v>
      </c>
      <c r="J2146">
        <f>INDEX(Products!$E$2:$E$37, MATCH(D2146, Products!$A$2:$A$37, 0))</f>
        <v>230</v>
      </c>
      <c r="K2146" s="9">
        <f t="shared" si="132"/>
        <v>798</v>
      </c>
      <c r="L2146">
        <f t="shared" si="133"/>
        <v>460</v>
      </c>
      <c r="M2146" s="9">
        <f t="shared" si="134"/>
        <v>338</v>
      </c>
      <c r="N2146" t="str">
        <f t="shared" si="135"/>
        <v>Jul</v>
      </c>
    </row>
    <row r="2147" spans="1:14" x14ac:dyDescent="0.3">
      <c r="A2147" s="2" t="s">
        <v>2213</v>
      </c>
      <c r="B2147" s="6">
        <v>45840</v>
      </c>
      <c r="C2147" s="2" t="s">
        <v>44</v>
      </c>
      <c r="D2147" s="2" t="s">
        <v>129</v>
      </c>
      <c r="E2147" s="2">
        <v>2</v>
      </c>
      <c r="F2147" s="7">
        <v>149</v>
      </c>
      <c r="G2147" s="8">
        <v>0.2</v>
      </c>
      <c r="H2147" s="9" t="str">
        <f>INDEX(Products!$B$2:$B$37, MATCH(D2147, Products!$A$2:$A$37, 0))</f>
        <v>Power Bank 20000mAh</v>
      </c>
      <c r="I2147" t="str">
        <f>INDEX(Products!$C$2:$C$37, MATCH(D2147, Products!$A$2:$A$37, 0))</f>
        <v>Electronics</v>
      </c>
      <c r="J2147">
        <f>INDEX(Products!$E$2:$E$37, MATCH(D2147, Products!$A$2:$A$37, 0))</f>
        <v>70</v>
      </c>
      <c r="K2147" s="9">
        <f t="shared" si="132"/>
        <v>238.4</v>
      </c>
      <c r="L2147">
        <f t="shared" si="133"/>
        <v>140</v>
      </c>
      <c r="M2147" s="9">
        <f t="shared" si="134"/>
        <v>98.4</v>
      </c>
      <c r="N2147" t="str">
        <f t="shared" si="135"/>
        <v>Jul</v>
      </c>
    </row>
    <row r="2148" spans="1:14" x14ac:dyDescent="0.3">
      <c r="A2148" s="2" t="s">
        <v>2214</v>
      </c>
      <c r="B2148" s="6">
        <v>45840</v>
      </c>
      <c r="C2148" s="2" t="s">
        <v>28</v>
      </c>
      <c r="D2148" s="2" t="s">
        <v>68</v>
      </c>
      <c r="E2148" s="2">
        <v>2</v>
      </c>
      <c r="F2148" s="7">
        <v>249</v>
      </c>
      <c r="G2148" s="8">
        <v>0.2</v>
      </c>
      <c r="H2148" s="9" t="str">
        <f>INDEX(Products!$B$2:$B$37, MATCH(D2148, Products!$A$2:$A$37, 0))</f>
        <v>Bluetooth Speaker Mini</v>
      </c>
      <c r="I2148" t="str">
        <f>INDEX(Products!$C$2:$C$37, MATCH(D2148, Products!$A$2:$A$37, 0))</f>
        <v>Electronics</v>
      </c>
      <c r="J2148">
        <f>INDEX(Products!$E$2:$E$37, MATCH(D2148, Products!$A$2:$A$37, 0))</f>
        <v>150</v>
      </c>
      <c r="K2148" s="9">
        <f t="shared" si="132"/>
        <v>398.40000000000003</v>
      </c>
      <c r="L2148">
        <f t="shared" si="133"/>
        <v>300</v>
      </c>
      <c r="M2148" s="9">
        <f t="shared" si="134"/>
        <v>98.400000000000034</v>
      </c>
      <c r="N2148" t="str">
        <f t="shared" si="135"/>
        <v>Jul</v>
      </c>
    </row>
    <row r="2149" spans="1:14" x14ac:dyDescent="0.3">
      <c r="A2149" s="2" t="s">
        <v>2215</v>
      </c>
      <c r="B2149" s="6">
        <v>45840</v>
      </c>
      <c r="C2149" s="2" t="s">
        <v>44</v>
      </c>
      <c r="D2149" s="2" t="s">
        <v>129</v>
      </c>
      <c r="E2149" s="2">
        <v>1</v>
      </c>
      <c r="F2149" s="7">
        <v>149</v>
      </c>
      <c r="G2149" s="8">
        <v>0.05</v>
      </c>
      <c r="H2149" s="9" t="str">
        <f>INDEX(Products!$B$2:$B$37, MATCH(D2149, Products!$A$2:$A$37, 0))</f>
        <v>Power Bank 20000mAh</v>
      </c>
      <c r="I2149" t="str">
        <f>INDEX(Products!$C$2:$C$37, MATCH(D2149, Products!$A$2:$A$37, 0))</f>
        <v>Electronics</v>
      </c>
      <c r="J2149">
        <f>INDEX(Products!$E$2:$E$37, MATCH(D2149, Products!$A$2:$A$37, 0))</f>
        <v>70</v>
      </c>
      <c r="K2149" s="9">
        <f t="shared" si="132"/>
        <v>141.54999999999998</v>
      </c>
      <c r="L2149">
        <f t="shared" si="133"/>
        <v>70</v>
      </c>
      <c r="M2149" s="9">
        <f t="shared" si="134"/>
        <v>71.549999999999983</v>
      </c>
      <c r="N2149" t="str">
        <f t="shared" si="135"/>
        <v>Jul</v>
      </c>
    </row>
    <row r="2150" spans="1:14" x14ac:dyDescent="0.3">
      <c r="A2150" s="2" t="s">
        <v>2216</v>
      </c>
      <c r="B2150" s="6">
        <v>45841</v>
      </c>
      <c r="C2150" s="2" t="s">
        <v>41</v>
      </c>
      <c r="D2150" s="2" t="s">
        <v>29</v>
      </c>
      <c r="E2150" s="2">
        <v>1</v>
      </c>
      <c r="F2150" s="7">
        <v>229</v>
      </c>
      <c r="G2150" s="8">
        <v>0.1</v>
      </c>
      <c r="H2150" s="9" t="str">
        <f>INDEX(Products!$B$2:$B$37, MATCH(D2150, Products!$A$2:$A$37, 0))</f>
        <v>Women's Summer Dress</v>
      </c>
      <c r="I2150" t="str">
        <f>INDEX(Products!$C$2:$C$37, MATCH(D2150, Products!$A$2:$A$37, 0))</f>
        <v>Fashion</v>
      </c>
      <c r="J2150">
        <f>INDEX(Products!$E$2:$E$37, MATCH(D2150, Products!$A$2:$A$37, 0))</f>
        <v>120</v>
      </c>
      <c r="K2150" s="9">
        <f t="shared" si="132"/>
        <v>206.1</v>
      </c>
      <c r="L2150">
        <f t="shared" si="133"/>
        <v>120</v>
      </c>
      <c r="M2150" s="9">
        <f t="shared" si="134"/>
        <v>86.1</v>
      </c>
      <c r="N2150" t="str">
        <f t="shared" si="135"/>
        <v>Jul</v>
      </c>
    </row>
    <row r="2151" spans="1:14" x14ac:dyDescent="0.3">
      <c r="A2151" s="2" t="s">
        <v>2217</v>
      </c>
      <c r="B2151" s="6">
        <v>45841</v>
      </c>
      <c r="C2151" s="2" t="s">
        <v>41</v>
      </c>
      <c r="D2151" s="2" t="s">
        <v>65</v>
      </c>
      <c r="E2151" s="2">
        <v>1</v>
      </c>
      <c r="F2151" s="7">
        <v>129</v>
      </c>
      <c r="G2151" s="8">
        <v>0.05</v>
      </c>
      <c r="H2151" s="9" t="str">
        <f>INDEX(Products!$B$2:$B$37, MATCH(D2151, Products!$A$2:$A$37, 0))</f>
        <v>Yoga Mat Premium</v>
      </c>
      <c r="I2151" t="str">
        <f>INDEX(Products!$C$2:$C$37, MATCH(D2151, Products!$A$2:$A$37, 0))</f>
        <v>Sports</v>
      </c>
      <c r="J2151">
        <f>INDEX(Products!$E$2:$E$37, MATCH(D2151, Products!$A$2:$A$37, 0))</f>
        <v>60</v>
      </c>
      <c r="K2151" s="9">
        <f t="shared" si="132"/>
        <v>122.55</v>
      </c>
      <c r="L2151">
        <f t="shared" si="133"/>
        <v>60</v>
      </c>
      <c r="M2151" s="9">
        <f t="shared" si="134"/>
        <v>62.55</v>
      </c>
      <c r="N2151" t="str">
        <f t="shared" si="135"/>
        <v>Jul</v>
      </c>
    </row>
    <row r="2152" spans="1:14" x14ac:dyDescent="0.3">
      <c r="A2152" s="2" t="s">
        <v>2218</v>
      </c>
      <c r="B2152" s="6">
        <v>45841</v>
      </c>
      <c r="C2152" s="2" t="s">
        <v>48</v>
      </c>
      <c r="D2152" s="2" t="s">
        <v>42</v>
      </c>
      <c r="E2152" s="2">
        <v>1</v>
      </c>
      <c r="F2152" s="7">
        <v>399</v>
      </c>
      <c r="G2152" s="8">
        <v>0</v>
      </c>
      <c r="H2152" s="9" t="str">
        <f>INDEX(Products!$B$2:$B$37, MATCH(D2152, Products!$A$2:$A$37, 0))</f>
        <v>Wireless Earbuds Pro</v>
      </c>
      <c r="I2152" t="str">
        <f>INDEX(Products!$C$2:$C$37, MATCH(D2152, Products!$A$2:$A$37, 0))</f>
        <v>Electronics</v>
      </c>
      <c r="J2152">
        <f>INDEX(Products!$E$2:$E$37, MATCH(D2152, Products!$A$2:$A$37, 0))</f>
        <v>230</v>
      </c>
      <c r="K2152" s="9">
        <f t="shared" si="132"/>
        <v>399</v>
      </c>
      <c r="L2152">
        <f t="shared" si="133"/>
        <v>230</v>
      </c>
      <c r="M2152" s="9">
        <f t="shared" si="134"/>
        <v>169</v>
      </c>
      <c r="N2152" t="str">
        <f t="shared" si="135"/>
        <v>Jul</v>
      </c>
    </row>
    <row r="2153" spans="1:14" x14ac:dyDescent="0.3">
      <c r="A2153" s="2" t="s">
        <v>2219</v>
      </c>
      <c r="B2153" s="6">
        <v>45841</v>
      </c>
      <c r="C2153" s="2" t="s">
        <v>28</v>
      </c>
      <c r="D2153" s="2" t="s">
        <v>80</v>
      </c>
      <c r="E2153" s="2">
        <v>4</v>
      </c>
      <c r="F2153" s="7">
        <v>149</v>
      </c>
      <c r="G2153" s="8">
        <v>0.2</v>
      </c>
      <c r="H2153" s="9" t="str">
        <f>INDEX(Products!$B$2:$B$37, MATCH(D2153, Products!$A$2:$A$37, 0))</f>
        <v>Vitamin C Serum</v>
      </c>
      <c r="I2153" t="str">
        <f>INDEX(Products!$C$2:$C$37, MATCH(D2153, Products!$A$2:$A$37, 0))</f>
        <v>Beauty</v>
      </c>
      <c r="J2153">
        <f>INDEX(Products!$E$2:$E$37, MATCH(D2153, Products!$A$2:$A$37, 0))</f>
        <v>55</v>
      </c>
      <c r="K2153" s="9">
        <f t="shared" si="132"/>
        <v>476.8</v>
      </c>
      <c r="L2153">
        <f t="shared" si="133"/>
        <v>220</v>
      </c>
      <c r="M2153" s="9">
        <f t="shared" si="134"/>
        <v>256.8</v>
      </c>
      <c r="N2153" t="str">
        <f t="shared" si="135"/>
        <v>Jul</v>
      </c>
    </row>
    <row r="2154" spans="1:14" x14ac:dyDescent="0.3">
      <c r="A2154" s="2" t="s">
        <v>2220</v>
      </c>
      <c r="B2154" s="6">
        <v>45841</v>
      </c>
      <c r="C2154" s="2" t="s">
        <v>41</v>
      </c>
      <c r="D2154" s="2" t="s">
        <v>37</v>
      </c>
      <c r="E2154" s="2">
        <v>4</v>
      </c>
      <c r="F2154" s="7">
        <v>249</v>
      </c>
      <c r="G2154" s="8">
        <v>0</v>
      </c>
      <c r="H2154" s="9" t="str">
        <f>INDEX(Products!$B$2:$B$37, MATCH(D2154, Products!$A$2:$A$37, 0))</f>
        <v>Sunglasses Polarised</v>
      </c>
      <c r="I2154" t="str">
        <f>INDEX(Products!$C$2:$C$37, MATCH(D2154, Products!$A$2:$A$37, 0))</f>
        <v>Fashion</v>
      </c>
      <c r="J2154">
        <f>INDEX(Products!$E$2:$E$37, MATCH(D2154, Products!$A$2:$A$37, 0))</f>
        <v>95</v>
      </c>
      <c r="K2154" s="9">
        <f t="shared" si="132"/>
        <v>996</v>
      </c>
      <c r="L2154">
        <f t="shared" si="133"/>
        <v>380</v>
      </c>
      <c r="M2154" s="9">
        <f t="shared" si="134"/>
        <v>616</v>
      </c>
      <c r="N2154" t="str">
        <f t="shared" si="135"/>
        <v>Jul</v>
      </c>
    </row>
    <row r="2155" spans="1:14" x14ac:dyDescent="0.3">
      <c r="A2155" s="2" t="s">
        <v>2221</v>
      </c>
      <c r="B2155" s="6">
        <v>45841</v>
      </c>
      <c r="C2155" s="2" t="s">
        <v>44</v>
      </c>
      <c r="D2155" s="2" t="s">
        <v>75</v>
      </c>
      <c r="E2155" s="2">
        <v>1</v>
      </c>
      <c r="F2155" s="7">
        <v>549</v>
      </c>
      <c r="G2155" s="8">
        <v>0.05</v>
      </c>
      <c r="H2155" s="9" t="str">
        <f>INDEX(Products!$B$2:$B$37, MATCH(D2155, Products!$A$2:$A$37, 0))</f>
        <v>Oud Perfume 100ml</v>
      </c>
      <c r="I2155" t="str">
        <f>INDEX(Products!$C$2:$C$37, MATCH(D2155, Products!$A$2:$A$37, 0))</f>
        <v>Beauty</v>
      </c>
      <c r="J2155">
        <f>INDEX(Products!$E$2:$E$37, MATCH(D2155, Products!$A$2:$A$37, 0))</f>
        <v>250</v>
      </c>
      <c r="K2155" s="9">
        <f t="shared" si="132"/>
        <v>521.54999999999995</v>
      </c>
      <c r="L2155">
        <f t="shared" si="133"/>
        <v>250</v>
      </c>
      <c r="M2155" s="9">
        <f t="shared" si="134"/>
        <v>271.54999999999995</v>
      </c>
      <c r="N2155" t="str">
        <f t="shared" si="135"/>
        <v>Jul</v>
      </c>
    </row>
    <row r="2156" spans="1:14" x14ac:dyDescent="0.3">
      <c r="A2156" s="2" t="s">
        <v>2222</v>
      </c>
      <c r="B2156" s="6">
        <v>45841</v>
      </c>
      <c r="C2156" s="2" t="s">
        <v>28</v>
      </c>
      <c r="D2156" s="2" t="s">
        <v>37</v>
      </c>
      <c r="E2156" s="2">
        <v>3</v>
      </c>
      <c r="F2156" s="7">
        <v>249</v>
      </c>
      <c r="G2156" s="8">
        <v>0</v>
      </c>
      <c r="H2156" s="9" t="str">
        <f>INDEX(Products!$B$2:$B$37, MATCH(D2156, Products!$A$2:$A$37, 0))</f>
        <v>Sunglasses Polarised</v>
      </c>
      <c r="I2156" t="str">
        <f>INDEX(Products!$C$2:$C$37, MATCH(D2156, Products!$A$2:$A$37, 0))</f>
        <v>Fashion</v>
      </c>
      <c r="J2156">
        <f>INDEX(Products!$E$2:$E$37, MATCH(D2156, Products!$A$2:$A$37, 0))</f>
        <v>95</v>
      </c>
      <c r="K2156" s="9">
        <f t="shared" si="132"/>
        <v>747</v>
      </c>
      <c r="L2156">
        <f t="shared" si="133"/>
        <v>285</v>
      </c>
      <c r="M2156" s="9">
        <f t="shared" si="134"/>
        <v>462</v>
      </c>
      <c r="N2156" t="str">
        <f t="shared" si="135"/>
        <v>Jul</v>
      </c>
    </row>
    <row r="2157" spans="1:14" x14ac:dyDescent="0.3">
      <c r="A2157" s="2" t="s">
        <v>2223</v>
      </c>
      <c r="B2157" s="6">
        <v>45841</v>
      </c>
      <c r="C2157" s="2" t="s">
        <v>28</v>
      </c>
      <c r="D2157" s="2" t="s">
        <v>56</v>
      </c>
      <c r="E2157" s="2">
        <v>1</v>
      </c>
      <c r="F2157" s="7">
        <v>289</v>
      </c>
      <c r="G2157" s="8">
        <v>0.1</v>
      </c>
      <c r="H2157" s="9" t="str">
        <f>INDEX(Products!$B$2:$B$37, MATCH(D2157, Products!$A$2:$A$37, 0))</f>
        <v>Ceramic Dinner Set</v>
      </c>
      <c r="I2157" t="str">
        <f>INDEX(Products!$C$2:$C$37, MATCH(D2157, Products!$A$2:$A$37, 0))</f>
        <v>Home &amp; Kitchen</v>
      </c>
      <c r="J2157">
        <f>INDEX(Products!$E$2:$E$37, MATCH(D2157, Products!$A$2:$A$37, 0))</f>
        <v>140</v>
      </c>
      <c r="K2157" s="9">
        <f t="shared" si="132"/>
        <v>260.10000000000002</v>
      </c>
      <c r="L2157">
        <f t="shared" si="133"/>
        <v>140</v>
      </c>
      <c r="M2157" s="9">
        <f t="shared" si="134"/>
        <v>120.10000000000002</v>
      </c>
      <c r="N2157" t="str">
        <f t="shared" si="135"/>
        <v>Jul</v>
      </c>
    </row>
    <row r="2158" spans="1:14" x14ac:dyDescent="0.3">
      <c r="A2158" s="2" t="s">
        <v>2224</v>
      </c>
      <c r="B2158" s="6">
        <v>45842</v>
      </c>
      <c r="C2158" s="2" t="s">
        <v>28</v>
      </c>
      <c r="D2158" s="2" t="s">
        <v>80</v>
      </c>
      <c r="E2158" s="2">
        <v>1</v>
      </c>
      <c r="F2158" s="7">
        <v>149</v>
      </c>
      <c r="G2158" s="8">
        <v>0</v>
      </c>
      <c r="H2158" s="9" t="str">
        <f>INDEX(Products!$B$2:$B$37, MATCH(D2158, Products!$A$2:$A$37, 0))</f>
        <v>Vitamin C Serum</v>
      </c>
      <c r="I2158" t="str">
        <f>INDEX(Products!$C$2:$C$37, MATCH(D2158, Products!$A$2:$A$37, 0))</f>
        <v>Beauty</v>
      </c>
      <c r="J2158">
        <f>INDEX(Products!$E$2:$E$37, MATCH(D2158, Products!$A$2:$A$37, 0))</f>
        <v>55</v>
      </c>
      <c r="K2158" s="9">
        <f t="shared" si="132"/>
        <v>149</v>
      </c>
      <c r="L2158">
        <f t="shared" si="133"/>
        <v>55</v>
      </c>
      <c r="M2158" s="9">
        <f t="shared" si="134"/>
        <v>94</v>
      </c>
      <c r="N2158" t="str">
        <f t="shared" si="135"/>
        <v>Jul</v>
      </c>
    </row>
    <row r="2159" spans="1:14" x14ac:dyDescent="0.3">
      <c r="A2159" s="2" t="s">
        <v>2225</v>
      </c>
      <c r="B2159" s="6">
        <v>45842</v>
      </c>
      <c r="C2159" s="2" t="s">
        <v>44</v>
      </c>
      <c r="D2159" s="2" t="s">
        <v>131</v>
      </c>
      <c r="E2159" s="2">
        <v>2</v>
      </c>
      <c r="F2159" s="7">
        <v>899</v>
      </c>
      <c r="G2159" s="8">
        <v>0</v>
      </c>
      <c r="H2159" s="9" t="str">
        <f>INDEX(Products!$B$2:$B$37, MATCH(D2159, Products!$A$2:$A$37, 0))</f>
        <v>4K Action Camera</v>
      </c>
      <c r="I2159" t="str">
        <f>INDEX(Products!$C$2:$C$37, MATCH(D2159, Products!$A$2:$A$37, 0))</f>
        <v>Electronics</v>
      </c>
      <c r="J2159">
        <f>INDEX(Products!$E$2:$E$37, MATCH(D2159, Products!$A$2:$A$37, 0))</f>
        <v>610</v>
      </c>
      <c r="K2159" s="9">
        <f t="shared" si="132"/>
        <v>1798</v>
      </c>
      <c r="L2159">
        <f t="shared" si="133"/>
        <v>1220</v>
      </c>
      <c r="M2159" s="9">
        <f t="shared" si="134"/>
        <v>578</v>
      </c>
      <c r="N2159" t="str">
        <f t="shared" si="135"/>
        <v>Jul</v>
      </c>
    </row>
    <row r="2160" spans="1:14" x14ac:dyDescent="0.3">
      <c r="A2160" s="2" t="s">
        <v>2226</v>
      </c>
      <c r="B2160" s="6">
        <v>45842</v>
      </c>
      <c r="C2160" s="2" t="s">
        <v>44</v>
      </c>
      <c r="D2160" s="2" t="s">
        <v>58</v>
      </c>
      <c r="E2160" s="2">
        <v>2</v>
      </c>
      <c r="F2160" s="7">
        <v>459</v>
      </c>
      <c r="G2160" s="8">
        <v>0</v>
      </c>
      <c r="H2160" s="9" t="str">
        <f>INDEX(Products!$B$2:$B$37, MATCH(D2160, Products!$A$2:$A$37, 0))</f>
        <v>Women's Abaya Classic</v>
      </c>
      <c r="I2160" t="str">
        <f>INDEX(Products!$C$2:$C$37, MATCH(D2160, Products!$A$2:$A$37, 0))</f>
        <v>Fashion</v>
      </c>
      <c r="J2160">
        <f>INDEX(Products!$E$2:$E$37, MATCH(D2160, Products!$A$2:$A$37, 0))</f>
        <v>190</v>
      </c>
      <c r="K2160" s="9">
        <f t="shared" si="132"/>
        <v>918</v>
      </c>
      <c r="L2160">
        <f t="shared" si="133"/>
        <v>380</v>
      </c>
      <c r="M2160" s="9">
        <f t="shared" si="134"/>
        <v>538</v>
      </c>
      <c r="N2160" t="str">
        <f t="shared" si="135"/>
        <v>Jul</v>
      </c>
    </row>
    <row r="2161" spans="1:14" x14ac:dyDescent="0.3">
      <c r="A2161" s="2" t="s">
        <v>2227</v>
      </c>
      <c r="B2161" s="6">
        <v>45842</v>
      </c>
      <c r="C2161" s="2" t="s">
        <v>41</v>
      </c>
      <c r="D2161" s="2" t="s">
        <v>42</v>
      </c>
      <c r="E2161" s="2">
        <v>1</v>
      </c>
      <c r="F2161" s="7">
        <v>399</v>
      </c>
      <c r="G2161" s="8">
        <v>0</v>
      </c>
      <c r="H2161" s="9" t="str">
        <f>INDEX(Products!$B$2:$B$37, MATCH(D2161, Products!$A$2:$A$37, 0))</f>
        <v>Wireless Earbuds Pro</v>
      </c>
      <c r="I2161" t="str">
        <f>INDEX(Products!$C$2:$C$37, MATCH(D2161, Products!$A$2:$A$37, 0))</f>
        <v>Electronics</v>
      </c>
      <c r="J2161">
        <f>INDEX(Products!$E$2:$E$37, MATCH(D2161, Products!$A$2:$A$37, 0))</f>
        <v>230</v>
      </c>
      <c r="K2161" s="9">
        <f t="shared" si="132"/>
        <v>399</v>
      </c>
      <c r="L2161">
        <f t="shared" si="133"/>
        <v>230</v>
      </c>
      <c r="M2161" s="9">
        <f t="shared" si="134"/>
        <v>169</v>
      </c>
      <c r="N2161" t="str">
        <f t="shared" si="135"/>
        <v>Jul</v>
      </c>
    </row>
    <row r="2162" spans="1:14" x14ac:dyDescent="0.3">
      <c r="A2162" s="2" t="s">
        <v>2228</v>
      </c>
      <c r="B2162" s="6">
        <v>45842</v>
      </c>
      <c r="C2162" s="2" t="s">
        <v>28</v>
      </c>
      <c r="D2162" s="2" t="s">
        <v>165</v>
      </c>
      <c r="E2162" s="2">
        <v>1</v>
      </c>
      <c r="F2162" s="7">
        <v>69</v>
      </c>
      <c r="G2162" s="8">
        <v>0</v>
      </c>
      <c r="H2162" s="9" t="str">
        <f>INDEX(Products!$B$2:$B$37, MATCH(D2162, Products!$A$2:$A$37, 0))</f>
        <v>Swim Goggles</v>
      </c>
      <c r="I2162" t="str">
        <f>INDEX(Products!$C$2:$C$37, MATCH(D2162, Products!$A$2:$A$37, 0))</f>
        <v>Sports</v>
      </c>
      <c r="J2162">
        <f>INDEX(Products!$E$2:$E$37, MATCH(D2162, Products!$A$2:$A$37, 0))</f>
        <v>25</v>
      </c>
      <c r="K2162" s="9">
        <f t="shared" si="132"/>
        <v>69</v>
      </c>
      <c r="L2162">
        <f t="shared" si="133"/>
        <v>25</v>
      </c>
      <c r="M2162" s="9">
        <f t="shared" si="134"/>
        <v>44</v>
      </c>
      <c r="N2162" t="str">
        <f t="shared" si="135"/>
        <v>Jul</v>
      </c>
    </row>
    <row r="2163" spans="1:14" x14ac:dyDescent="0.3">
      <c r="A2163" s="2" t="s">
        <v>2229</v>
      </c>
      <c r="B2163" s="6">
        <v>45842</v>
      </c>
      <c r="C2163" s="2" t="s">
        <v>48</v>
      </c>
      <c r="D2163" s="2" t="s">
        <v>42</v>
      </c>
      <c r="E2163" s="2">
        <v>1</v>
      </c>
      <c r="F2163" s="7">
        <v>399</v>
      </c>
      <c r="G2163" s="8">
        <v>0</v>
      </c>
      <c r="H2163" s="9" t="str">
        <f>INDEX(Products!$B$2:$B$37, MATCH(D2163, Products!$A$2:$A$37, 0))</f>
        <v>Wireless Earbuds Pro</v>
      </c>
      <c r="I2163" t="str">
        <f>INDEX(Products!$C$2:$C$37, MATCH(D2163, Products!$A$2:$A$37, 0))</f>
        <v>Electronics</v>
      </c>
      <c r="J2163">
        <f>INDEX(Products!$E$2:$E$37, MATCH(D2163, Products!$A$2:$A$37, 0))</f>
        <v>230</v>
      </c>
      <c r="K2163" s="9">
        <f t="shared" si="132"/>
        <v>399</v>
      </c>
      <c r="L2163">
        <f t="shared" si="133"/>
        <v>230</v>
      </c>
      <c r="M2163" s="9">
        <f t="shared" si="134"/>
        <v>169</v>
      </c>
      <c r="N2163" t="str">
        <f t="shared" si="135"/>
        <v>Jul</v>
      </c>
    </row>
    <row r="2164" spans="1:14" x14ac:dyDescent="0.3">
      <c r="A2164" s="2" t="s">
        <v>2230</v>
      </c>
      <c r="B2164" s="6">
        <v>45842</v>
      </c>
      <c r="C2164" s="2" t="s">
        <v>41</v>
      </c>
      <c r="D2164" s="2" t="s">
        <v>46</v>
      </c>
      <c r="E2164" s="2">
        <v>1</v>
      </c>
      <c r="F2164" s="7">
        <v>189</v>
      </c>
      <c r="G2164" s="8">
        <v>0.05</v>
      </c>
      <c r="H2164" s="9" t="str">
        <f>INDEX(Products!$B$2:$B$37, MATCH(D2164, Products!$A$2:$A$37, 0))</f>
        <v>Makeup Palette</v>
      </c>
      <c r="I2164" t="str">
        <f>INDEX(Products!$C$2:$C$37, MATCH(D2164, Products!$A$2:$A$37, 0))</f>
        <v>Beauty</v>
      </c>
      <c r="J2164">
        <f>INDEX(Products!$E$2:$E$37, MATCH(D2164, Products!$A$2:$A$37, 0))</f>
        <v>85</v>
      </c>
      <c r="K2164" s="9">
        <f t="shared" si="132"/>
        <v>179.54999999999998</v>
      </c>
      <c r="L2164">
        <f t="shared" si="133"/>
        <v>85</v>
      </c>
      <c r="M2164" s="9">
        <f t="shared" si="134"/>
        <v>94.549999999999983</v>
      </c>
      <c r="N2164" t="str">
        <f t="shared" si="135"/>
        <v>Jul</v>
      </c>
    </row>
    <row r="2165" spans="1:14" x14ac:dyDescent="0.3">
      <c r="A2165" s="2" t="s">
        <v>2231</v>
      </c>
      <c r="B2165" s="6">
        <v>45842</v>
      </c>
      <c r="C2165" s="2" t="s">
        <v>28</v>
      </c>
      <c r="D2165" s="2" t="s">
        <v>29</v>
      </c>
      <c r="E2165" s="2">
        <v>1</v>
      </c>
      <c r="F2165" s="7">
        <v>229</v>
      </c>
      <c r="G2165" s="8">
        <v>0.1</v>
      </c>
      <c r="H2165" s="9" t="str">
        <f>INDEX(Products!$B$2:$B$37, MATCH(D2165, Products!$A$2:$A$37, 0))</f>
        <v>Women's Summer Dress</v>
      </c>
      <c r="I2165" t="str">
        <f>INDEX(Products!$C$2:$C$37, MATCH(D2165, Products!$A$2:$A$37, 0))</f>
        <v>Fashion</v>
      </c>
      <c r="J2165">
        <f>INDEX(Products!$E$2:$E$37, MATCH(D2165, Products!$A$2:$A$37, 0))</f>
        <v>120</v>
      </c>
      <c r="K2165" s="9">
        <f t="shared" si="132"/>
        <v>206.1</v>
      </c>
      <c r="L2165">
        <f t="shared" si="133"/>
        <v>120</v>
      </c>
      <c r="M2165" s="9">
        <f t="shared" si="134"/>
        <v>86.1</v>
      </c>
      <c r="N2165" t="str">
        <f t="shared" si="135"/>
        <v>Jul</v>
      </c>
    </row>
    <row r="2166" spans="1:14" x14ac:dyDescent="0.3">
      <c r="A2166" s="2" t="s">
        <v>2232</v>
      </c>
      <c r="B2166" s="6">
        <v>45842</v>
      </c>
      <c r="C2166" s="2" t="s">
        <v>31</v>
      </c>
      <c r="D2166" s="2" t="s">
        <v>103</v>
      </c>
      <c r="E2166" s="2">
        <v>4</v>
      </c>
      <c r="F2166" s="7">
        <v>89</v>
      </c>
      <c r="G2166" s="8">
        <v>0.05</v>
      </c>
      <c r="H2166" s="9" t="str">
        <f>INDEX(Products!$B$2:$B$37, MATCH(D2166, Products!$A$2:$A$37, 0))</f>
        <v>Sunscreen SPF50</v>
      </c>
      <c r="I2166" t="str">
        <f>INDEX(Products!$C$2:$C$37, MATCH(D2166, Products!$A$2:$A$37, 0))</f>
        <v>Beauty</v>
      </c>
      <c r="J2166">
        <f>INDEX(Products!$E$2:$E$37, MATCH(D2166, Products!$A$2:$A$37, 0))</f>
        <v>40</v>
      </c>
      <c r="K2166" s="9">
        <f t="shared" si="132"/>
        <v>338.2</v>
      </c>
      <c r="L2166">
        <f t="shared" si="133"/>
        <v>160</v>
      </c>
      <c r="M2166" s="9">
        <f t="shared" si="134"/>
        <v>178.2</v>
      </c>
      <c r="N2166" t="str">
        <f t="shared" si="135"/>
        <v>Jul</v>
      </c>
    </row>
    <row r="2167" spans="1:14" x14ac:dyDescent="0.3">
      <c r="A2167" s="2" t="s">
        <v>2233</v>
      </c>
      <c r="B2167" s="6">
        <v>45842</v>
      </c>
      <c r="C2167" s="2" t="s">
        <v>28</v>
      </c>
      <c r="D2167" s="2" t="s">
        <v>56</v>
      </c>
      <c r="E2167" s="2">
        <v>4</v>
      </c>
      <c r="F2167" s="7">
        <v>289</v>
      </c>
      <c r="G2167" s="8">
        <v>0.05</v>
      </c>
      <c r="H2167" s="9" t="str">
        <f>INDEX(Products!$B$2:$B$37, MATCH(D2167, Products!$A$2:$A$37, 0))</f>
        <v>Ceramic Dinner Set</v>
      </c>
      <c r="I2167" t="str">
        <f>INDEX(Products!$C$2:$C$37, MATCH(D2167, Products!$A$2:$A$37, 0))</f>
        <v>Home &amp; Kitchen</v>
      </c>
      <c r="J2167">
        <f>INDEX(Products!$E$2:$E$37, MATCH(D2167, Products!$A$2:$A$37, 0))</f>
        <v>140</v>
      </c>
      <c r="K2167" s="9">
        <f t="shared" si="132"/>
        <v>1098.2</v>
      </c>
      <c r="L2167">
        <f t="shared" si="133"/>
        <v>560</v>
      </c>
      <c r="M2167" s="9">
        <f t="shared" si="134"/>
        <v>538.20000000000005</v>
      </c>
      <c r="N2167" t="str">
        <f t="shared" si="135"/>
        <v>Jul</v>
      </c>
    </row>
    <row r="2168" spans="1:14" x14ac:dyDescent="0.3">
      <c r="A2168" s="2" t="s">
        <v>2234</v>
      </c>
      <c r="B2168" s="6">
        <v>45842</v>
      </c>
      <c r="C2168" s="2" t="s">
        <v>28</v>
      </c>
      <c r="D2168" s="2" t="s">
        <v>129</v>
      </c>
      <c r="E2168" s="2">
        <v>1</v>
      </c>
      <c r="F2168" s="7">
        <v>149</v>
      </c>
      <c r="G2168" s="8">
        <v>0</v>
      </c>
      <c r="H2168" s="9" t="str">
        <f>INDEX(Products!$B$2:$B$37, MATCH(D2168, Products!$A$2:$A$37, 0))</f>
        <v>Power Bank 20000mAh</v>
      </c>
      <c r="I2168" t="str">
        <f>INDEX(Products!$C$2:$C$37, MATCH(D2168, Products!$A$2:$A$37, 0))</f>
        <v>Electronics</v>
      </c>
      <c r="J2168">
        <f>INDEX(Products!$E$2:$E$37, MATCH(D2168, Products!$A$2:$A$37, 0))</f>
        <v>70</v>
      </c>
      <c r="K2168" s="9">
        <f t="shared" si="132"/>
        <v>149</v>
      </c>
      <c r="L2168">
        <f t="shared" si="133"/>
        <v>70</v>
      </c>
      <c r="M2168" s="9">
        <f t="shared" si="134"/>
        <v>79</v>
      </c>
      <c r="N2168" t="str">
        <f t="shared" si="135"/>
        <v>Jul</v>
      </c>
    </row>
    <row r="2169" spans="1:14" x14ac:dyDescent="0.3">
      <c r="A2169" s="2" t="s">
        <v>2235</v>
      </c>
      <c r="B2169" s="6">
        <v>45842</v>
      </c>
      <c r="C2169" s="2" t="s">
        <v>41</v>
      </c>
      <c r="D2169" s="2" t="s">
        <v>83</v>
      </c>
      <c r="E2169" s="2">
        <v>2</v>
      </c>
      <c r="F2169" s="7">
        <v>229</v>
      </c>
      <c r="G2169" s="8">
        <v>0</v>
      </c>
      <c r="H2169" s="9" t="str">
        <f>INDEX(Products!$B$2:$B$37, MATCH(D2169, Products!$A$2:$A$37, 0))</f>
        <v>Cycling Helmet</v>
      </c>
      <c r="I2169" t="str">
        <f>INDEX(Products!$C$2:$C$37, MATCH(D2169, Products!$A$2:$A$37, 0))</f>
        <v>Sports</v>
      </c>
      <c r="J2169">
        <f>INDEX(Products!$E$2:$E$37, MATCH(D2169, Products!$A$2:$A$37, 0))</f>
        <v>120</v>
      </c>
      <c r="K2169" s="9">
        <f t="shared" si="132"/>
        <v>458</v>
      </c>
      <c r="L2169">
        <f t="shared" si="133"/>
        <v>240</v>
      </c>
      <c r="M2169" s="9">
        <f t="shared" si="134"/>
        <v>218</v>
      </c>
      <c r="N2169" t="str">
        <f t="shared" si="135"/>
        <v>Jul</v>
      </c>
    </row>
    <row r="2170" spans="1:14" x14ac:dyDescent="0.3">
      <c r="A2170" s="2" t="s">
        <v>2236</v>
      </c>
      <c r="B2170" s="6">
        <v>45842</v>
      </c>
      <c r="C2170" s="2" t="s">
        <v>41</v>
      </c>
      <c r="D2170" s="2" t="s">
        <v>194</v>
      </c>
      <c r="E2170" s="2">
        <v>1</v>
      </c>
      <c r="F2170" s="7">
        <v>699</v>
      </c>
      <c r="G2170" s="8">
        <v>0.2</v>
      </c>
      <c r="H2170" s="9" t="str">
        <f>INDEX(Products!$B$2:$B$37, MATCH(D2170, Products!$A$2:$A$37, 0))</f>
        <v>Leather Handbag</v>
      </c>
      <c r="I2170" t="str">
        <f>INDEX(Products!$C$2:$C$37, MATCH(D2170, Products!$A$2:$A$37, 0))</f>
        <v>Fashion</v>
      </c>
      <c r="J2170">
        <f>INDEX(Products!$E$2:$E$37, MATCH(D2170, Products!$A$2:$A$37, 0))</f>
        <v>380</v>
      </c>
      <c r="K2170" s="9">
        <f t="shared" si="132"/>
        <v>559.20000000000005</v>
      </c>
      <c r="L2170">
        <f t="shared" si="133"/>
        <v>380</v>
      </c>
      <c r="M2170" s="9">
        <f t="shared" si="134"/>
        <v>179.20000000000005</v>
      </c>
      <c r="N2170" t="str">
        <f t="shared" si="135"/>
        <v>Jul</v>
      </c>
    </row>
    <row r="2171" spans="1:14" x14ac:dyDescent="0.3">
      <c r="A2171" s="2" t="s">
        <v>2237</v>
      </c>
      <c r="B2171" s="6">
        <v>45842</v>
      </c>
      <c r="C2171" s="2" t="s">
        <v>31</v>
      </c>
      <c r="D2171" s="2" t="s">
        <v>68</v>
      </c>
      <c r="E2171" s="2">
        <v>2</v>
      </c>
      <c r="F2171" s="7">
        <v>249</v>
      </c>
      <c r="G2171" s="8">
        <v>0.1</v>
      </c>
      <c r="H2171" s="9" t="str">
        <f>INDEX(Products!$B$2:$B$37, MATCH(D2171, Products!$A$2:$A$37, 0))</f>
        <v>Bluetooth Speaker Mini</v>
      </c>
      <c r="I2171" t="str">
        <f>INDEX(Products!$C$2:$C$37, MATCH(D2171, Products!$A$2:$A$37, 0))</f>
        <v>Electronics</v>
      </c>
      <c r="J2171">
        <f>INDEX(Products!$E$2:$E$37, MATCH(D2171, Products!$A$2:$A$37, 0))</f>
        <v>150</v>
      </c>
      <c r="K2171" s="9">
        <f t="shared" si="132"/>
        <v>448.2</v>
      </c>
      <c r="L2171">
        <f t="shared" si="133"/>
        <v>300</v>
      </c>
      <c r="M2171" s="9">
        <f t="shared" si="134"/>
        <v>148.19999999999999</v>
      </c>
      <c r="N2171" t="str">
        <f t="shared" si="135"/>
        <v>Jul</v>
      </c>
    </row>
    <row r="2172" spans="1:14" x14ac:dyDescent="0.3">
      <c r="A2172" s="2" t="s">
        <v>2238</v>
      </c>
      <c r="B2172" s="6">
        <v>45842</v>
      </c>
      <c r="C2172" s="2" t="s">
        <v>48</v>
      </c>
      <c r="D2172" s="2" t="s">
        <v>58</v>
      </c>
      <c r="E2172" s="2">
        <v>1</v>
      </c>
      <c r="F2172" s="7">
        <v>459</v>
      </c>
      <c r="G2172" s="8">
        <v>0.15</v>
      </c>
      <c r="H2172" s="9" t="str">
        <f>INDEX(Products!$B$2:$B$37, MATCH(D2172, Products!$A$2:$A$37, 0))</f>
        <v>Women's Abaya Classic</v>
      </c>
      <c r="I2172" t="str">
        <f>INDEX(Products!$C$2:$C$37, MATCH(D2172, Products!$A$2:$A$37, 0))</f>
        <v>Fashion</v>
      </c>
      <c r="J2172">
        <f>INDEX(Products!$E$2:$E$37, MATCH(D2172, Products!$A$2:$A$37, 0))</f>
        <v>190</v>
      </c>
      <c r="K2172" s="9">
        <f t="shared" si="132"/>
        <v>390.15</v>
      </c>
      <c r="L2172">
        <f t="shared" si="133"/>
        <v>190</v>
      </c>
      <c r="M2172" s="9">
        <f t="shared" si="134"/>
        <v>200.14999999999998</v>
      </c>
      <c r="N2172" t="str">
        <f t="shared" si="135"/>
        <v>Jul</v>
      </c>
    </row>
    <row r="2173" spans="1:14" x14ac:dyDescent="0.3">
      <c r="A2173" s="2" t="s">
        <v>2239</v>
      </c>
      <c r="B2173" s="6">
        <v>45842</v>
      </c>
      <c r="C2173" s="2" t="s">
        <v>48</v>
      </c>
      <c r="D2173" s="2" t="s">
        <v>103</v>
      </c>
      <c r="E2173" s="2">
        <v>1</v>
      </c>
      <c r="F2173" s="7">
        <v>89</v>
      </c>
      <c r="G2173" s="8">
        <v>0.1</v>
      </c>
      <c r="H2173" s="9" t="str">
        <f>INDEX(Products!$B$2:$B$37, MATCH(D2173, Products!$A$2:$A$37, 0))</f>
        <v>Sunscreen SPF50</v>
      </c>
      <c r="I2173" t="str">
        <f>INDEX(Products!$C$2:$C$37, MATCH(D2173, Products!$A$2:$A$37, 0))</f>
        <v>Beauty</v>
      </c>
      <c r="J2173">
        <f>INDEX(Products!$E$2:$E$37, MATCH(D2173, Products!$A$2:$A$37, 0))</f>
        <v>40</v>
      </c>
      <c r="K2173" s="9">
        <f t="shared" si="132"/>
        <v>80.100000000000009</v>
      </c>
      <c r="L2173">
        <f t="shared" si="133"/>
        <v>40</v>
      </c>
      <c r="M2173" s="9">
        <f t="shared" si="134"/>
        <v>40.100000000000009</v>
      </c>
      <c r="N2173" t="str">
        <f t="shared" si="135"/>
        <v>Jul</v>
      </c>
    </row>
    <row r="2174" spans="1:14" x14ac:dyDescent="0.3">
      <c r="A2174" s="2" t="s">
        <v>2240</v>
      </c>
      <c r="B2174" s="6">
        <v>45842</v>
      </c>
      <c r="C2174" s="2" t="s">
        <v>44</v>
      </c>
      <c r="D2174" s="2" t="s">
        <v>92</v>
      </c>
      <c r="E2174" s="2">
        <v>1</v>
      </c>
      <c r="F2174" s="7">
        <v>349</v>
      </c>
      <c r="G2174" s="8">
        <v>0</v>
      </c>
      <c r="H2174" s="9" t="str">
        <f>INDEX(Products!$B$2:$B$37, MATCH(D2174, Products!$A$2:$A$37, 0))</f>
        <v>Non-stick Cookware Set</v>
      </c>
      <c r="I2174" t="str">
        <f>INDEX(Products!$C$2:$C$37, MATCH(D2174, Products!$A$2:$A$37, 0))</f>
        <v>Home &amp; Kitchen</v>
      </c>
      <c r="J2174">
        <f>INDEX(Products!$E$2:$E$37, MATCH(D2174, Products!$A$2:$A$37, 0))</f>
        <v>170</v>
      </c>
      <c r="K2174" s="9">
        <f t="shared" si="132"/>
        <v>349</v>
      </c>
      <c r="L2174">
        <f t="shared" si="133"/>
        <v>170</v>
      </c>
      <c r="M2174" s="9">
        <f t="shared" si="134"/>
        <v>179</v>
      </c>
      <c r="N2174" t="str">
        <f t="shared" si="135"/>
        <v>Jul</v>
      </c>
    </row>
    <row r="2175" spans="1:14" x14ac:dyDescent="0.3">
      <c r="A2175" s="2" t="s">
        <v>2241</v>
      </c>
      <c r="B2175" s="6">
        <v>45842</v>
      </c>
      <c r="C2175" s="2" t="s">
        <v>44</v>
      </c>
      <c r="D2175" s="2" t="s">
        <v>68</v>
      </c>
      <c r="E2175" s="2">
        <v>1</v>
      </c>
      <c r="F2175" s="7">
        <v>249</v>
      </c>
      <c r="G2175" s="8">
        <v>0</v>
      </c>
      <c r="H2175" s="9" t="str">
        <f>INDEX(Products!$B$2:$B$37, MATCH(D2175, Products!$A$2:$A$37, 0))</f>
        <v>Bluetooth Speaker Mini</v>
      </c>
      <c r="I2175" t="str">
        <f>INDEX(Products!$C$2:$C$37, MATCH(D2175, Products!$A$2:$A$37, 0))</f>
        <v>Electronics</v>
      </c>
      <c r="J2175">
        <f>INDEX(Products!$E$2:$E$37, MATCH(D2175, Products!$A$2:$A$37, 0))</f>
        <v>150</v>
      </c>
      <c r="K2175" s="9">
        <f t="shared" si="132"/>
        <v>249</v>
      </c>
      <c r="L2175">
        <f t="shared" si="133"/>
        <v>150</v>
      </c>
      <c r="M2175" s="9">
        <f t="shared" si="134"/>
        <v>99</v>
      </c>
      <c r="N2175" t="str">
        <f t="shared" si="135"/>
        <v>Jul</v>
      </c>
    </row>
    <row r="2176" spans="1:14" x14ac:dyDescent="0.3">
      <c r="A2176" s="2" t="s">
        <v>2242</v>
      </c>
      <c r="B2176" s="6">
        <v>45842</v>
      </c>
      <c r="C2176" s="2" t="s">
        <v>28</v>
      </c>
      <c r="D2176" s="2" t="s">
        <v>131</v>
      </c>
      <c r="E2176" s="2">
        <v>1</v>
      </c>
      <c r="F2176" s="7">
        <v>899</v>
      </c>
      <c r="G2176" s="8">
        <v>0</v>
      </c>
      <c r="H2176" s="9" t="str">
        <f>INDEX(Products!$B$2:$B$37, MATCH(D2176, Products!$A$2:$A$37, 0))</f>
        <v>4K Action Camera</v>
      </c>
      <c r="I2176" t="str">
        <f>INDEX(Products!$C$2:$C$37, MATCH(D2176, Products!$A$2:$A$37, 0))</f>
        <v>Electronics</v>
      </c>
      <c r="J2176">
        <f>INDEX(Products!$E$2:$E$37, MATCH(D2176, Products!$A$2:$A$37, 0))</f>
        <v>610</v>
      </c>
      <c r="K2176" s="9">
        <f t="shared" si="132"/>
        <v>899</v>
      </c>
      <c r="L2176">
        <f t="shared" si="133"/>
        <v>610</v>
      </c>
      <c r="M2176" s="9">
        <f t="shared" si="134"/>
        <v>289</v>
      </c>
      <c r="N2176" t="str">
        <f t="shared" si="135"/>
        <v>Jul</v>
      </c>
    </row>
    <row r="2177" spans="1:14" x14ac:dyDescent="0.3">
      <c r="A2177" s="2" t="s">
        <v>2243</v>
      </c>
      <c r="B2177" s="6">
        <v>45843</v>
      </c>
      <c r="C2177" s="2" t="s">
        <v>28</v>
      </c>
      <c r="D2177" s="2" t="s">
        <v>131</v>
      </c>
      <c r="E2177" s="2">
        <v>1</v>
      </c>
      <c r="F2177" s="7">
        <v>899</v>
      </c>
      <c r="G2177" s="8">
        <v>0.1</v>
      </c>
      <c r="H2177" s="9" t="str">
        <f>INDEX(Products!$B$2:$B$37, MATCH(D2177, Products!$A$2:$A$37, 0))</f>
        <v>4K Action Camera</v>
      </c>
      <c r="I2177" t="str">
        <f>INDEX(Products!$C$2:$C$37, MATCH(D2177, Products!$A$2:$A$37, 0))</f>
        <v>Electronics</v>
      </c>
      <c r="J2177">
        <f>INDEX(Products!$E$2:$E$37, MATCH(D2177, Products!$A$2:$A$37, 0))</f>
        <v>610</v>
      </c>
      <c r="K2177" s="9">
        <f t="shared" si="132"/>
        <v>809.1</v>
      </c>
      <c r="L2177">
        <f t="shared" si="133"/>
        <v>610</v>
      </c>
      <c r="M2177" s="9">
        <f t="shared" si="134"/>
        <v>199.10000000000002</v>
      </c>
      <c r="N2177" t="str">
        <f t="shared" si="135"/>
        <v>Jul</v>
      </c>
    </row>
    <row r="2178" spans="1:14" x14ac:dyDescent="0.3">
      <c r="A2178" s="2" t="s">
        <v>2244</v>
      </c>
      <c r="B2178" s="6">
        <v>45843</v>
      </c>
      <c r="C2178" s="2" t="s">
        <v>28</v>
      </c>
      <c r="D2178" s="2" t="s">
        <v>49</v>
      </c>
      <c r="E2178" s="2">
        <v>1</v>
      </c>
      <c r="F2178" s="7">
        <v>149</v>
      </c>
      <c r="G2178" s="8">
        <v>0.05</v>
      </c>
      <c r="H2178" s="9" t="str">
        <f>INDEX(Products!$B$2:$B$37, MATCH(D2178, Products!$A$2:$A$37, 0))</f>
        <v>Kids' Sneakers</v>
      </c>
      <c r="I2178" t="str">
        <f>INDEX(Products!$C$2:$C$37, MATCH(D2178, Products!$A$2:$A$37, 0))</f>
        <v>Fashion</v>
      </c>
      <c r="J2178">
        <f>INDEX(Products!$E$2:$E$37, MATCH(D2178, Products!$A$2:$A$37, 0))</f>
        <v>80</v>
      </c>
      <c r="K2178" s="9">
        <f t="shared" ref="K2178:K2241" si="136">E2178*F2178*(1-G2178)</f>
        <v>141.54999999999998</v>
      </c>
      <c r="L2178">
        <f t="shared" ref="L2178:L2241" si="137">E2178*J2178</f>
        <v>80</v>
      </c>
      <c r="M2178" s="9">
        <f t="shared" ref="M2178:M2241" si="138">K2178-L2178</f>
        <v>61.549999999999983</v>
      </c>
      <c r="N2178" t="str">
        <f t="shared" ref="N2178:N2241" si="139">TEXT(B2178,"mmm")</f>
        <v>Jul</v>
      </c>
    </row>
    <row r="2179" spans="1:14" x14ac:dyDescent="0.3">
      <c r="A2179" s="2" t="s">
        <v>2245</v>
      </c>
      <c r="B2179" s="6">
        <v>45843</v>
      </c>
      <c r="C2179" s="2" t="s">
        <v>48</v>
      </c>
      <c r="D2179" s="2" t="s">
        <v>70</v>
      </c>
      <c r="E2179" s="2">
        <v>2</v>
      </c>
      <c r="F2179" s="7">
        <v>429</v>
      </c>
      <c r="G2179" s="8">
        <v>0.1</v>
      </c>
      <c r="H2179" s="9" t="str">
        <f>INDEX(Products!$B$2:$B$37, MATCH(D2179, Products!$A$2:$A$37, 0))</f>
        <v>Running Shoes Elite</v>
      </c>
      <c r="I2179" t="str">
        <f>INDEX(Products!$C$2:$C$37, MATCH(D2179, Products!$A$2:$A$37, 0))</f>
        <v>Fashion</v>
      </c>
      <c r="J2179">
        <f>INDEX(Products!$E$2:$E$37, MATCH(D2179, Products!$A$2:$A$37, 0))</f>
        <v>300</v>
      </c>
      <c r="K2179" s="9">
        <f t="shared" si="136"/>
        <v>772.2</v>
      </c>
      <c r="L2179">
        <f t="shared" si="137"/>
        <v>600</v>
      </c>
      <c r="M2179" s="9">
        <f t="shared" si="138"/>
        <v>172.20000000000005</v>
      </c>
      <c r="N2179" t="str">
        <f t="shared" si="139"/>
        <v>Jul</v>
      </c>
    </row>
    <row r="2180" spans="1:14" x14ac:dyDescent="0.3">
      <c r="A2180" s="2" t="s">
        <v>2246</v>
      </c>
      <c r="B2180" s="6">
        <v>45843</v>
      </c>
      <c r="C2180" s="2" t="s">
        <v>31</v>
      </c>
      <c r="D2180" s="2" t="s">
        <v>103</v>
      </c>
      <c r="E2180" s="2">
        <v>2</v>
      </c>
      <c r="F2180" s="7">
        <v>89</v>
      </c>
      <c r="G2180" s="8">
        <v>0</v>
      </c>
      <c r="H2180" s="9" t="str">
        <f>INDEX(Products!$B$2:$B$37, MATCH(D2180, Products!$A$2:$A$37, 0))</f>
        <v>Sunscreen SPF50</v>
      </c>
      <c r="I2180" t="str">
        <f>INDEX(Products!$C$2:$C$37, MATCH(D2180, Products!$A$2:$A$37, 0))</f>
        <v>Beauty</v>
      </c>
      <c r="J2180">
        <f>INDEX(Products!$E$2:$E$37, MATCH(D2180, Products!$A$2:$A$37, 0))</f>
        <v>40</v>
      </c>
      <c r="K2180" s="9">
        <f t="shared" si="136"/>
        <v>178</v>
      </c>
      <c r="L2180">
        <f t="shared" si="137"/>
        <v>80</v>
      </c>
      <c r="M2180" s="9">
        <f t="shared" si="138"/>
        <v>98</v>
      </c>
      <c r="N2180" t="str">
        <f t="shared" si="139"/>
        <v>Jul</v>
      </c>
    </row>
    <row r="2181" spans="1:14" x14ac:dyDescent="0.3">
      <c r="A2181" s="2" t="s">
        <v>2247</v>
      </c>
      <c r="B2181" s="6">
        <v>45843</v>
      </c>
      <c r="C2181" s="2" t="s">
        <v>41</v>
      </c>
      <c r="D2181" s="2" t="s">
        <v>68</v>
      </c>
      <c r="E2181" s="2">
        <v>3</v>
      </c>
      <c r="F2181" s="7">
        <v>249</v>
      </c>
      <c r="G2181" s="8">
        <v>0.1</v>
      </c>
      <c r="H2181" s="9" t="str">
        <f>INDEX(Products!$B$2:$B$37, MATCH(D2181, Products!$A$2:$A$37, 0))</f>
        <v>Bluetooth Speaker Mini</v>
      </c>
      <c r="I2181" t="str">
        <f>INDEX(Products!$C$2:$C$37, MATCH(D2181, Products!$A$2:$A$37, 0))</f>
        <v>Electronics</v>
      </c>
      <c r="J2181">
        <f>INDEX(Products!$E$2:$E$37, MATCH(D2181, Products!$A$2:$A$37, 0))</f>
        <v>150</v>
      </c>
      <c r="K2181" s="9">
        <f t="shared" si="136"/>
        <v>672.30000000000007</v>
      </c>
      <c r="L2181">
        <f t="shared" si="137"/>
        <v>450</v>
      </c>
      <c r="M2181" s="9">
        <f t="shared" si="138"/>
        <v>222.30000000000007</v>
      </c>
      <c r="N2181" t="str">
        <f t="shared" si="139"/>
        <v>Jul</v>
      </c>
    </row>
    <row r="2182" spans="1:14" x14ac:dyDescent="0.3">
      <c r="A2182" s="2" t="s">
        <v>2248</v>
      </c>
      <c r="B2182" s="6">
        <v>45843</v>
      </c>
      <c r="C2182" s="2" t="s">
        <v>44</v>
      </c>
      <c r="D2182" s="2" t="s">
        <v>149</v>
      </c>
      <c r="E2182" s="2">
        <v>2</v>
      </c>
      <c r="F2182" s="7">
        <v>399</v>
      </c>
      <c r="G2182" s="8">
        <v>0</v>
      </c>
      <c r="H2182" s="9" t="str">
        <f>INDEX(Products!$B$2:$B$37, MATCH(D2182, Products!$A$2:$A$37, 0))</f>
        <v>Blender Pro 1200W</v>
      </c>
      <c r="I2182" t="str">
        <f>INDEX(Products!$C$2:$C$37, MATCH(D2182, Products!$A$2:$A$37, 0))</f>
        <v>Home &amp; Kitchen</v>
      </c>
      <c r="J2182">
        <f>INDEX(Products!$E$2:$E$37, MATCH(D2182, Products!$A$2:$A$37, 0))</f>
        <v>250</v>
      </c>
      <c r="K2182" s="9">
        <f t="shared" si="136"/>
        <v>798</v>
      </c>
      <c r="L2182">
        <f t="shared" si="137"/>
        <v>500</v>
      </c>
      <c r="M2182" s="9">
        <f t="shared" si="138"/>
        <v>298</v>
      </c>
      <c r="N2182" t="str">
        <f t="shared" si="139"/>
        <v>Jul</v>
      </c>
    </row>
    <row r="2183" spans="1:14" x14ac:dyDescent="0.3">
      <c r="A2183" s="2" t="s">
        <v>2249</v>
      </c>
      <c r="B2183" s="6">
        <v>45843</v>
      </c>
      <c r="C2183" s="2" t="s">
        <v>48</v>
      </c>
      <c r="D2183" s="2" t="s">
        <v>115</v>
      </c>
      <c r="E2183" s="2">
        <v>1</v>
      </c>
      <c r="F2183" s="7">
        <v>129</v>
      </c>
      <c r="G2183" s="8">
        <v>0</v>
      </c>
      <c r="H2183" s="9" t="str">
        <f>INDEX(Products!$B$2:$B$37, MATCH(D2183, Products!$A$2:$A$37, 0))</f>
        <v>Electric Kettle</v>
      </c>
      <c r="I2183" t="str">
        <f>INDEX(Products!$C$2:$C$37, MATCH(D2183, Products!$A$2:$A$37, 0))</f>
        <v>Home &amp; Kitchen</v>
      </c>
      <c r="J2183">
        <f>INDEX(Products!$E$2:$E$37, MATCH(D2183, Products!$A$2:$A$37, 0))</f>
        <v>60</v>
      </c>
      <c r="K2183" s="9">
        <f t="shared" si="136"/>
        <v>129</v>
      </c>
      <c r="L2183">
        <f t="shared" si="137"/>
        <v>60</v>
      </c>
      <c r="M2183" s="9">
        <f t="shared" si="138"/>
        <v>69</v>
      </c>
      <c r="N2183" t="str">
        <f t="shared" si="139"/>
        <v>Jul</v>
      </c>
    </row>
    <row r="2184" spans="1:14" x14ac:dyDescent="0.3">
      <c r="A2184" s="2" t="s">
        <v>2250</v>
      </c>
      <c r="B2184" s="6">
        <v>45843</v>
      </c>
      <c r="C2184" s="2" t="s">
        <v>31</v>
      </c>
      <c r="D2184" s="2" t="s">
        <v>42</v>
      </c>
      <c r="E2184" s="2">
        <v>1</v>
      </c>
      <c r="F2184" s="7">
        <v>399</v>
      </c>
      <c r="G2184" s="8">
        <v>0</v>
      </c>
      <c r="H2184" s="9" t="str">
        <f>INDEX(Products!$B$2:$B$37, MATCH(D2184, Products!$A$2:$A$37, 0))</f>
        <v>Wireless Earbuds Pro</v>
      </c>
      <c r="I2184" t="str">
        <f>INDEX(Products!$C$2:$C$37, MATCH(D2184, Products!$A$2:$A$37, 0))</f>
        <v>Electronics</v>
      </c>
      <c r="J2184">
        <f>INDEX(Products!$E$2:$E$37, MATCH(D2184, Products!$A$2:$A$37, 0))</f>
        <v>230</v>
      </c>
      <c r="K2184" s="9">
        <f t="shared" si="136"/>
        <v>399</v>
      </c>
      <c r="L2184">
        <f t="shared" si="137"/>
        <v>230</v>
      </c>
      <c r="M2184" s="9">
        <f t="shared" si="138"/>
        <v>169</v>
      </c>
      <c r="N2184" t="str">
        <f t="shared" si="139"/>
        <v>Jul</v>
      </c>
    </row>
    <row r="2185" spans="1:14" x14ac:dyDescent="0.3">
      <c r="A2185" s="2" t="s">
        <v>2251</v>
      </c>
      <c r="B2185" s="6">
        <v>45843</v>
      </c>
      <c r="C2185" s="2" t="s">
        <v>31</v>
      </c>
      <c r="D2185" s="2" t="s">
        <v>46</v>
      </c>
      <c r="E2185" s="2">
        <v>1</v>
      </c>
      <c r="F2185" s="7">
        <v>189</v>
      </c>
      <c r="G2185" s="8">
        <v>0.1</v>
      </c>
      <c r="H2185" s="9" t="str">
        <f>INDEX(Products!$B$2:$B$37, MATCH(D2185, Products!$A$2:$A$37, 0))</f>
        <v>Makeup Palette</v>
      </c>
      <c r="I2185" t="str">
        <f>INDEX(Products!$C$2:$C$37, MATCH(D2185, Products!$A$2:$A$37, 0))</f>
        <v>Beauty</v>
      </c>
      <c r="J2185">
        <f>INDEX(Products!$E$2:$E$37, MATCH(D2185, Products!$A$2:$A$37, 0))</f>
        <v>85</v>
      </c>
      <c r="K2185" s="9">
        <f t="shared" si="136"/>
        <v>170.1</v>
      </c>
      <c r="L2185">
        <f t="shared" si="137"/>
        <v>85</v>
      </c>
      <c r="M2185" s="9">
        <f t="shared" si="138"/>
        <v>85.1</v>
      </c>
      <c r="N2185" t="str">
        <f t="shared" si="139"/>
        <v>Jul</v>
      </c>
    </row>
    <row r="2186" spans="1:14" x14ac:dyDescent="0.3">
      <c r="A2186" s="2" t="s">
        <v>2252</v>
      </c>
      <c r="B2186" s="6">
        <v>45843</v>
      </c>
      <c r="C2186" s="2" t="s">
        <v>31</v>
      </c>
      <c r="D2186" s="2" t="s">
        <v>58</v>
      </c>
      <c r="E2186" s="2">
        <v>1</v>
      </c>
      <c r="F2186" s="7">
        <v>459</v>
      </c>
      <c r="G2186" s="8">
        <v>0.1</v>
      </c>
      <c r="H2186" s="9" t="str">
        <f>INDEX(Products!$B$2:$B$37, MATCH(D2186, Products!$A$2:$A$37, 0))</f>
        <v>Women's Abaya Classic</v>
      </c>
      <c r="I2186" t="str">
        <f>INDEX(Products!$C$2:$C$37, MATCH(D2186, Products!$A$2:$A$37, 0))</f>
        <v>Fashion</v>
      </c>
      <c r="J2186">
        <f>INDEX(Products!$E$2:$E$37, MATCH(D2186, Products!$A$2:$A$37, 0))</f>
        <v>190</v>
      </c>
      <c r="K2186" s="9">
        <f t="shared" si="136"/>
        <v>413.1</v>
      </c>
      <c r="L2186">
        <f t="shared" si="137"/>
        <v>190</v>
      </c>
      <c r="M2186" s="9">
        <f t="shared" si="138"/>
        <v>223.10000000000002</v>
      </c>
      <c r="N2186" t="str">
        <f t="shared" si="139"/>
        <v>Jul</v>
      </c>
    </row>
    <row r="2187" spans="1:14" x14ac:dyDescent="0.3">
      <c r="A2187" s="2" t="s">
        <v>2253</v>
      </c>
      <c r="B2187" s="6">
        <v>45844</v>
      </c>
      <c r="C2187" s="2" t="s">
        <v>48</v>
      </c>
      <c r="D2187" s="2" t="s">
        <v>113</v>
      </c>
      <c r="E2187" s="2">
        <v>1</v>
      </c>
      <c r="F2187" s="7">
        <v>1199</v>
      </c>
      <c r="G2187" s="8">
        <v>0.25</v>
      </c>
      <c r="H2187" s="9" t="str">
        <f>INDEX(Products!$B$2:$B$37, MATCH(D2187, Products!$A$2:$A$37, 0))</f>
        <v>Robot Vacuum S3</v>
      </c>
      <c r="I2187" t="str">
        <f>INDEX(Products!$C$2:$C$37, MATCH(D2187, Products!$A$2:$A$37, 0))</f>
        <v>Home &amp; Kitchen</v>
      </c>
      <c r="J2187">
        <f>INDEX(Products!$E$2:$E$37, MATCH(D2187, Products!$A$2:$A$37, 0))</f>
        <v>1080</v>
      </c>
      <c r="K2187" s="9">
        <f t="shared" si="136"/>
        <v>899.25</v>
      </c>
      <c r="L2187">
        <f t="shared" si="137"/>
        <v>1080</v>
      </c>
      <c r="M2187" s="9">
        <f t="shared" si="138"/>
        <v>-180.75</v>
      </c>
      <c r="N2187" t="str">
        <f t="shared" si="139"/>
        <v>Jul</v>
      </c>
    </row>
    <row r="2188" spans="1:14" x14ac:dyDescent="0.3">
      <c r="A2188" s="2" t="s">
        <v>2254</v>
      </c>
      <c r="B2188" s="6">
        <v>45844</v>
      </c>
      <c r="C2188" s="2" t="s">
        <v>44</v>
      </c>
      <c r="D2188" s="2" t="s">
        <v>39</v>
      </c>
      <c r="E2188" s="2">
        <v>2</v>
      </c>
      <c r="F2188" s="7">
        <v>199</v>
      </c>
      <c r="G2188" s="8">
        <v>0.1</v>
      </c>
      <c r="H2188" s="9" t="str">
        <f>INDEX(Products!$B$2:$B$37, MATCH(D2188, Products!$A$2:$A$37, 0))</f>
        <v>Bakhoor Gift Set</v>
      </c>
      <c r="I2188" t="str">
        <f>INDEX(Products!$C$2:$C$37, MATCH(D2188, Products!$A$2:$A$37, 0))</f>
        <v>Beauty</v>
      </c>
      <c r="J2188">
        <f>INDEX(Products!$E$2:$E$37, MATCH(D2188, Products!$A$2:$A$37, 0))</f>
        <v>90</v>
      </c>
      <c r="K2188" s="9">
        <f t="shared" si="136"/>
        <v>358.2</v>
      </c>
      <c r="L2188">
        <f t="shared" si="137"/>
        <v>180</v>
      </c>
      <c r="M2188" s="9">
        <f t="shared" si="138"/>
        <v>178.2</v>
      </c>
      <c r="N2188" t="str">
        <f t="shared" si="139"/>
        <v>Jul</v>
      </c>
    </row>
    <row r="2189" spans="1:14" x14ac:dyDescent="0.3">
      <c r="A2189" s="2" t="s">
        <v>2255</v>
      </c>
      <c r="B2189" s="6">
        <v>45844</v>
      </c>
      <c r="C2189" s="2" t="s">
        <v>44</v>
      </c>
      <c r="D2189" s="2" t="s">
        <v>129</v>
      </c>
      <c r="E2189" s="2">
        <v>2</v>
      </c>
      <c r="F2189" s="7">
        <v>149</v>
      </c>
      <c r="G2189" s="8">
        <v>0</v>
      </c>
      <c r="H2189" s="9" t="str">
        <f>INDEX(Products!$B$2:$B$37, MATCH(D2189, Products!$A$2:$A$37, 0))</f>
        <v>Power Bank 20000mAh</v>
      </c>
      <c r="I2189" t="str">
        <f>INDEX(Products!$C$2:$C$37, MATCH(D2189, Products!$A$2:$A$37, 0))</f>
        <v>Electronics</v>
      </c>
      <c r="J2189">
        <f>INDEX(Products!$E$2:$E$37, MATCH(D2189, Products!$A$2:$A$37, 0))</f>
        <v>70</v>
      </c>
      <c r="K2189" s="9">
        <f t="shared" si="136"/>
        <v>298</v>
      </c>
      <c r="L2189">
        <f t="shared" si="137"/>
        <v>140</v>
      </c>
      <c r="M2189" s="9">
        <f t="shared" si="138"/>
        <v>158</v>
      </c>
      <c r="N2189" t="str">
        <f t="shared" si="139"/>
        <v>Jul</v>
      </c>
    </row>
    <row r="2190" spans="1:14" x14ac:dyDescent="0.3">
      <c r="A2190" s="2" t="s">
        <v>2256</v>
      </c>
      <c r="B2190" s="6">
        <v>45844</v>
      </c>
      <c r="C2190" s="2" t="s">
        <v>48</v>
      </c>
      <c r="D2190" s="2" t="s">
        <v>46</v>
      </c>
      <c r="E2190" s="2">
        <v>2</v>
      </c>
      <c r="F2190" s="7">
        <v>189</v>
      </c>
      <c r="G2190" s="8">
        <v>0.3</v>
      </c>
      <c r="H2190" s="9" t="str">
        <f>INDEX(Products!$B$2:$B$37, MATCH(D2190, Products!$A$2:$A$37, 0))</f>
        <v>Makeup Palette</v>
      </c>
      <c r="I2190" t="str">
        <f>INDEX(Products!$C$2:$C$37, MATCH(D2190, Products!$A$2:$A$37, 0))</f>
        <v>Beauty</v>
      </c>
      <c r="J2190">
        <f>INDEX(Products!$E$2:$E$37, MATCH(D2190, Products!$A$2:$A$37, 0))</f>
        <v>85</v>
      </c>
      <c r="K2190" s="9">
        <f t="shared" si="136"/>
        <v>264.59999999999997</v>
      </c>
      <c r="L2190">
        <f t="shared" si="137"/>
        <v>170</v>
      </c>
      <c r="M2190" s="9">
        <f t="shared" si="138"/>
        <v>94.599999999999966</v>
      </c>
      <c r="N2190" t="str">
        <f t="shared" si="139"/>
        <v>Jul</v>
      </c>
    </row>
    <row r="2191" spans="1:14" x14ac:dyDescent="0.3">
      <c r="A2191" s="2" t="s">
        <v>2257</v>
      </c>
      <c r="B2191" s="6">
        <v>45844</v>
      </c>
      <c r="C2191" s="2" t="s">
        <v>41</v>
      </c>
      <c r="D2191" s="2" t="s">
        <v>106</v>
      </c>
      <c r="E2191" s="2">
        <v>1</v>
      </c>
      <c r="F2191" s="7">
        <v>1299</v>
      </c>
      <c r="G2191" s="8">
        <v>0.15</v>
      </c>
      <c r="H2191" s="9" t="str">
        <f>INDEX(Products!$B$2:$B$37, MATCH(D2191, Products!$A$2:$A$37, 0))</f>
        <v>Smart Watch Series 5</v>
      </c>
      <c r="I2191" t="str">
        <f>INDEX(Products!$C$2:$C$37, MATCH(D2191, Products!$A$2:$A$37, 0))</f>
        <v>Electronics</v>
      </c>
      <c r="J2191">
        <f>INDEX(Products!$E$2:$E$37, MATCH(D2191, Products!$A$2:$A$37, 0))</f>
        <v>820</v>
      </c>
      <c r="K2191" s="9">
        <f t="shared" si="136"/>
        <v>1104.1499999999999</v>
      </c>
      <c r="L2191">
        <f t="shared" si="137"/>
        <v>820</v>
      </c>
      <c r="M2191" s="9">
        <f t="shared" si="138"/>
        <v>284.14999999999986</v>
      </c>
      <c r="N2191" t="str">
        <f t="shared" si="139"/>
        <v>Jul</v>
      </c>
    </row>
    <row r="2192" spans="1:14" x14ac:dyDescent="0.3">
      <c r="A2192" s="2" t="s">
        <v>2258</v>
      </c>
      <c r="B2192" s="6">
        <v>45844</v>
      </c>
      <c r="C2192" s="2" t="s">
        <v>28</v>
      </c>
      <c r="D2192" s="2" t="s">
        <v>95</v>
      </c>
      <c r="E2192" s="2">
        <v>2</v>
      </c>
      <c r="F2192" s="7">
        <v>259</v>
      </c>
      <c r="G2192" s="8">
        <v>0.05</v>
      </c>
      <c r="H2192" s="9" t="str">
        <f>INDEX(Products!$B$2:$B$37, MATCH(D2192, Products!$A$2:$A$37, 0))</f>
        <v>Bed Linen Set (King)</v>
      </c>
      <c r="I2192" t="str">
        <f>INDEX(Products!$C$2:$C$37, MATCH(D2192, Products!$A$2:$A$37, 0))</f>
        <v>Home &amp; Kitchen</v>
      </c>
      <c r="J2192">
        <f>INDEX(Products!$E$2:$E$37, MATCH(D2192, Products!$A$2:$A$37, 0))</f>
        <v>115</v>
      </c>
      <c r="K2192" s="9">
        <f t="shared" si="136"/>
        <v>492.09999999999997</v>
      </c>
      <c r="L2192">
        <f t="shared" si="137"/>
        <v>230</v>
      </c>
      <c r="M2192" s="9">
        <f t="shared" si="138"/>
        <v>262.09999999999997</v>
      </c>
      <c r="N2192" t="str">
        <f t="shared" si="139"/>
        <v>Jul</v>
      </c>
    </row>
    <row r="2193" spans="1:14" x14ac:dyDescent="0.3">
      <c r="A2193" s="2" t="s">
        <v>2259</v>
      </c>
      <c r="B2193" s="6">
        <v>45844</v>
      </c>
      <c r="C2193" s="2" t="s">
        <v>28</v>
      </c>
      <c r="D2193" s="2" t="s">
        <v>68</v>
      </c>
      <c r="E2193" s="2">
        <v>1</v>
      </c>
      <c r="F2193" s="7">
        <v>249</v>
      </c>
      <c r="G2193" s="8">
        <v>0.15</v>
      </c>
      <c r="H2193" s="9" t="str">
        <f>INDEX(Products!$B$2:$B$37, MATCH(D2193, Products!$A$2:$A$37, 0))</f>
        <v>Bluetooth Speaker Mini</v>
      </c>
      <c r="I2193" t="str">
        <f>INDEX(Products!$C$2:$C$37, MATCH(D2193, Products!$A$2:$A$37, 0))</f>
        <v>Electronics</v>
      </c>
      <c r="J2193">
        <f>INDEX(Products!$E$2:$E$37, MATCH(D2193, Products!$A$2:$A$37, 0))</f>
        <v>150</v>
      </c>
      <c r="K2193" s="9">
        <f t="shared" si="136"/>
        <v>211.65</v>
      </c>
      <c r="L2193">
        <f t="shared" si="137"/>
        <v>150</v>
      </c>
      <c r="M2193" s="9">
        <f t="shared" si="138"/>
        <v>61.650000000000006</v>
      </c>
      <c r="N2193" t="str">
        <f t="shared" si="139"/>
        <v>Jul</v>
      </c>
    </row>
    <row r="2194" spans="1:14" x14ac:dyDescent="0.3">
      <c r="A2194" s="2" t="s">
        <v>2260</v>
      </c>
      <c r="B2194" s="6">
        <v>45844</v>
      </c>
      <c r="C2194" s="2" t="s">
        <v>28</v>
      </c>
      <c r="D2194" s="2" t="s">
        <v>80</v>
      </c>
      <c r="E2194" s="2">
        <v>2</v>
      </c>
      <c r="F2194" s="7">
        <v>149</v>
      </c>
      <c r="G2194" s="8">
        <v>0.1</v>
      </c>
      <c r="H2194" s="9" t="str">
        <f>INDEX(Products!$B$2:$B$37, MATCH(D2194, Products!$A$2:$A$37, 0))</f>
        <v>Vitamin C Serum</v>
      </c>
      <c r="I2194" t="str">
        <f>INDEX(Products!$C$2:$C$37, MATCH(D2194, Products!$A$2:$A$37, 0))</f>
        <v>Beauty</v>
      </c>
      <c r="J2194">
        <f>INDEX(Products!$E$2:$E$37, MATCH(D2194, Products!$A$2:$A$37, 0))</f>
        <v>55</v>
      </c>
      <c r="K2194" s="9">
        <f t="shared" si="136"/>
        <v>268.2</v>
      </c>
      <c r="L2194">
        <f t="shared" si="137"/>
        <v>110</v>
      </c>
      <c r="M2194" s="9">
        <f t="shared" si="138"/>
        <v>158.19999999999999</v>
      </c>
      <c r="N2194" t="str">
        <f t="shared" si="139"/>
        <v>Jul</v>
      </c>
    </row>
    <row r="2195" spans="1:14" x14ac:dyDescent="0.3">
      <c r="A2195" s="2" t="s">
        <v>2261</v>
      </c>
      <c r="B2195" s="6">
        <v>45844</v>
      </c>
      <c r="C2195" s="2" t="s">
        <v>41</v>
      </c>
      <c r="D2195" s="2" t="s">
        <v>58</v>
      </c>
      <c r="E2195" s="2">
        <v>2</v>
      </c>
      <c r="F2195" s="7">
        <v>459</v>
      </c>
      <c r="G2195" s="8">
        <v>0.2</v>
      </c>
      <c r="H2195" s="9" t="str">
        <f>INDEX(Products!$B$2:$B$37, MATCH(D2195, Products!$A$2:$A$37, 0))</f>
        <v>Women's Abaya Classic</v>
      </c>
      <c r="I2195" t="str">
        <f>INDEX(Products!$C$2:$C$37, MATCH(D2195, Products!$A$2:$A$37, 0))</f>
        <v>Fashion</v>
      </c>
      <c r="J2195">
        <f>INDEX(Products!$E$2:$E$37, MATCH(D2195, Products!$A$2:$A$37, 0))</f>
        <v>190</v>
      </c>
      <c r="K2195" s="9">
        <f t="shared" si="136"/>
        <v>734.40000000000009</v>
      </c>
      <c r="L2195">
        <f t="shared" si="137"/>
        <v>380</v>
      </c>
      <c r="M2195" s="9">
        <f t="shared" si="138"/>
        <v>354.40000000000009</v>
      </c>
      <c r="N2195" t="str">
        <f t="shared" si="139"/>
        <v>Jul</v>
      </c>
    </row>
    <row r="2196" spans="1:14" x14ac:dyDescent="0.3">
      <c r="A2196" s="2" t="s">
        <v>2262</v>
      </c>
      <c r="B2196" s="6">
        <v>45845</v>
      </c>
      <c r="C2196" s="2" t="s">
        <v>48</v>
      </c>
      <c r="D2196" s="2" t="s">
        <v>49</v>
      </c>
      <c r="E2196" s="2">
        <v>1</v>
      </c>
      <c r="F2196" s="7">
        <v>149</v>
      </c>
      <c r="G2196" s="8">
        <v>0.2</v>
      </c>
      <c r="H2196" s="9" t="str">
        <f>INDEX(Products!$B$2:$B$37, MATCH(D2196, Products!$A$2:$A$37, 0))</f>
        <v>Kids' Sneakers</v>
      </c>
      <c r="I2196" t="str">
        <f>INDEX(Products!$C$2:$C$37, MATCH(D2196, Products!$A$2:$A$37, 0))</f>
        <v>Fashion</v>
      </c>
      <c r="J2196">
        <f>INDEX(Products!$E$2:$E$37, MATCH(D2196, Products!$A$2:$A$37, 0))</f>
        <v>80</v>
      </c>
      <c r="K2196" s="9">
        <f t="shared" si="136"/>
        <v>119.2</v>
      </c>
      <c r="L2196">
        <f t="shared" si="137"/>
        <v>80</v>
      </c>
      <c r="M2196" s="9">
        <f t="shared" si="138"/>
        <v>39.200000000000003</v>
      </c>
      <c r="N2196" t="str">
        <f t="shared" si="139"/>
        <v>Jul</v>
      </c>
    </row>
    <row r="2197" spans="1:14" x14ac:dyDescent="0.3">
      <c r="A2197" s="2" t="s">
        <v>2263</v>
      </c>
      <c r="B2197" s="6">
        <v>45845</v>
      </c>
      <c r="C2197" s="2" t="s">
        <v>44</v>
      </c>
      <c r="D2197" s="2" t="s">
        <v>131</v>
      </c>
      <c r="E2197" s="2">
        <v>1</v>
      </c>
      <c r="F2197" s="7">
        <v>899</v>
      </c>
      <c r="G2197" s="8">
        <v>0.05</v>
      </c>
      <c r="H2197" s="9" t="str">
        <f>INDEX(Products!$B$2:$B$37, MATCH(D2197, Products!$A$2:$A$37, 0))</f>
        <v>4K Action Camera</v>
      </c>
      <c r="I2197" t="str">
        <f>INDEX(Products!$C$2:$C$37, MATCH(D2197, Products!$A$2:$A$37, 0))</f>
        <v>Electronics</v>
      </c>
      <c r="J2197">
        <f>INDEX(Products!$E$2:$E$37, MATCH(D2197, Products!$A$2:$A$37, 0))</f>
        <v>610</v>
      </c>
      <c r="K2197" s="9">
        <f t="shared" si="136"/>
        <v>854.05</v>
      </c>
      <c r="L2197">
        <f t="shared" si="137"/>
        <v>610</v>
      </c>
      <c r="M2197" s="9">
        <f t="shared" si="138"/>
        <v>244.04999999999995</v>
      </c>
      <c r="N2197" t="str">
        <f t="shared" si="139"/>
        <v>Jul</v>
      </c>
    </row>
    <row r="2198" spans="1:14" x14ac:dyDescent="0.3">
      <c r="A2198" s="2" t="s">
        <v>2264</v>
      </c>
      <c r="B2198" s="6">
        <v>45845</v>
      </c>
      <c r="C2198" s="2" t="s">
        <v>44</v>
      </c>
      <c r="D2198" s="2" t="s">
        <v>115</v>
      </c>
      <c r="E2198" s="2">
        <v>2</v>
      </c>
      <c r="F2198" s="7">
        <v>129</v>
      </c>
      <c r="G2198" s="8">
        <v>0.1</v>
      </c>
      <c r="H2198" s="9" t="str">
        <f>INDEX(Products!$B$2:$B$37, MATCH(D2198, Products!$A$2:$A$37, 0))</f>
        <v>Electric Kettle</v>
      </c>
      <c r="I2198" t="str">
        <f>INDEX(Products!$C$2:$C$37, MATCH(D2198, Products!$A$2:$A$37, 0))</f>
        <v>Home &amp; Kitchen</v>
      </c>
      <c r="J2198">
        <f>INDEX(Products!$E$2:$E$37, MATCH(D2198, Products!$A$2:$A$37, 0))</f>
        <v>60</v>
      </c>
      <c r="K2198" s="9">
        <f t="shared" si="136"/>
        <v>232.20000000000002</v>
      </c>
      <c r="L2198">
        <f t="shared" si="137"/>
        <v>120</v>
      </c>
      <c r="M2198" s="9">
        <f t="shared" si="138"/>
        <v>112.20000000000002</v>
      </c>
      <c r="N2198" t="str">
        <f t="shared" si="139"/>
        <v>Jul</v>
      </c>
    </row>
    <row r="2199" spans="1:14" x14ac:dyDescent="0.3">
      <c r="A2199" s="2" t="s">
        <v>2265</v>
      </c>
      <c r="B2199" s="6">
        <v>45845</v>
      </c>
      <c r="C2199" s="2" t="s">
        <v>28</v>
      </c>
      <c r="D2199" s="2" t="s">
        <v>70</v>
      </c>
      <c r="E2199" s="2">
        <v>3</v>
      </c>
      <c r="F2199" s="7">
        <v>429</v>
      </c>
      <c r="G2199" s="8">
        <v>0</v>
      </c>
      <c r="H2199" s="9" t="str">
        <f>INDEX(Products!$B$2:$B$37, MATCH(D2199, Products!$A$2:$A$37, 0))</f>
        <v>Running Shoes Elite</v>
      </c>
      <c r="I2199" t="str">
        <f>INDEX(Products!$C$2:$C$37, MATCH(D2199, Products!$A$2:$A$37, 0))</f>
        <v>Fashion</v>
      </c>
      <c r="J2199">
        <f>INDEX(Products!$E$2:$E$37, MATCH(D2199, Products!$A$2:$A$37, 0))</f>
        <v>300</v>
      </c>
      <c r="K2199" s="9">
        <f t="shared" si="136"/>
        <v>1287</v>
      </c>
      <c r="L2199">
        <f t="shared" si="137"/>
        <v>900</v>
      </c>
      <c r="M2199" s="9">
        <f t="shared" si="138"/>
        <v>387</v>
      </c>
      <c r="N2199" t="str">
        <f t="shared" si="139"/>
        <v>Jul</v>
      </c>
    </row>
    <row r="2200" spans="1:14" x14ac:dyDescent="0.3">
      <c r="A2200" s="2" t="s">
        <v>2266</v>
      </c>
      <c r="B2200" s="6">
        <v>45845</v>
      </c>
      <c r="C2200" s="2" t="s">
        <v>31</v>
      </c>
      <c r="D2200" s="2" t="s">
        <v>149</v>
      </c>
      <c r="E2200" s="2">
        <v>4</v>
      </c>
      <c r="F2200" s="7">
        <v>399</v>
      </c>
      <c r="G2200" s="8">
        <v>0</v>
      </c>
      <c r="H2200" s="9" t="str">
        <f>INDEX(Products!$B$2:$B$37, MATCH(D2200, Products!$A$2:$A$37, 0))</f>
        <v>Blender Pro 1200W</v>
      </c>
      <c r="I2200" t="str">
        <f>INDEX(Products!$C$2:$C$37, MATCH(D2200, Products!$A$2:$A$37, 0))</f>
        <v>Home &amp; Kitchen</v>
      </c>
      <c r="J2200">
        <f>INDEX(Products!$E$2:$E$37, MATCH(D2200, Products!$A$2:$A$37, 0))</f>
        <v>250</v>
      </c>
      <c r="K2200" s="9">
        <f t="shared" si="136"/>
        <v>1596</v>
      </c>
      <c r="L2200">
        <f t="shared" si="137"/>
        <v>1000</v>
      </c>
      <c r="M2200" s="9">
        <f t="shared" si="138"/>
        <v>596</v>
      </c>
      <c r="N2200" t="str">
        <f t="shared" si="139"/>
        <v>Jul</v>
      </c>
    </row>
    <row r="2201" spans="1:14" x14ac:dyDescent="0.3">
      <c r="A2201" s="2" t="s">
        <v>2267</v>
      </c>
      <c r="B2201" s="6">
        <v>45845</v>
      </c>
      <c r="C2201" s="2" t="s">
        <v>41</v>
      </c>
      <c r="D2201" s="2" t="s">
        <v>99</v>
      </c>
      <c r="E2201" s="2">
        <v>1</v>
      </c>
      <c r="F2201" s="7">
        <v>459</v>
      </c>
      <c r="G2201" s="8">
        <v>0</v>
      </c>
      <c r="H2201" s="9" t="str">
        <f>INDEX(Products!$B$2:$B$37, MATCH(D2201, Products!$A$2:$A$37, 0))</f>
        <v>Gaming Headset X</v>
      </c>
      <c r="I2201" t="str">
        <f>INDEX(Products!$C$2:$C$37, MATCH(D2201, Products!$A$2:$A$37, 0))</f>
        <v>Electronics</v>
      </c>
      <c r="J2201">
        <f>INDEX(Products!$E$2:$E$37, MATCH(D2201, Products!$A$2:$A$37, 0))</f>
        <v>300</v>
      </c>
      <c r="K2201" s="9">
        <f t="shared" si="136"/>
        <v>459</v>
      </c>
      <c r="L2201">
        <f t="shared" si="137"/>
        <v>300</v>
      </c>
      <c r="M2201" s="9">
        <f t="shared" si="138"/>
        <v>159</v>
      </c>
      <c r="N2201" t="str">
        <f t="shared" si="139"/>
        <v>Jul</v>
      </c>
    </row>
    <row r="2202" spans="1:14" x14ac:dyDescent="0.3">
      <c r="A2202" s="2" t="s">
        <v>2268</v>
      </c>
      <c r="B2202" s="6">
        <v>45845</v>
      </c>
      <c r="C2202" s="2" t="s">
        <v>28</v>
      </c>
      <c r="D2202" s="2" t="s">
        <v>35</v>
      </c>
      <c r="E2202" s="2">
        <v>1</v>
      </c>
      <c r="F2202" s="7">
        <v>179</v>
      </c>
      <c r="G2202" s="8">
        <v>0</v>
      </c>
      <c r="H2202" s="9" t="str">
        <f>INDEX(Products!$B$2:$B$37, MATCH(D2202, Products!$A$2:$A$37, 0))</f>
        <v>Men's Linen Shirt</v>
      </c>
      <c r="I2202" t="str">
        <f>INDEX(Products!$C$2:$C$37, MATCH(D2202, Products!$A$2:$A$37, 0))</f>
        <v>Fashion</v>
      </c>
      <c r="J2202">
        <f>INDEX(Products!$E$2:$E$37, MATCH(D2202, Products!$A$2:$A$37, 0))</f>
        <v>70</v>
      </c>
      <c r="K2202" s="9">
        <f t="shared" si="136"/>
        <v>179</v>
      </c>
      <c r="L2202">
        <f t="shared" si="137"/>
        <v>70</v>
      </c>
      <c r="M2202" s="9">
        <f t="shared" si="138"/>
        <v>109</v>
      </c>
      <c r="N2202" t="str">
        <f t="shared" si="139"/>
        <v>Jul</v>
      </c>
    </row>
    <row r="2203" spans="1:14" x14ac:dyDescent="0.3">
      <c r="A2203" s="2" t="s">
        <v>2269</v>
      </c>
      <c r="B2203" s="6">
        <v>45845</v>
      </c>
      <c r="C2203" s="2" t="s">
        <v>31</v>
      </c>
      <c r="D2203" s="2" t="s">
        <v>52</v>
      </c>
      <c r="E2203" s="2">
        <v>2</v>
      </c>
      <c r="F2203" s="7">
        <v>299</v>
      </c>
      <c r="G2203" s="8">
        <v>0.15</v>
      </c>
      <c r="H2203" s="9" t="str">
        <f>INDEX(Products!$B$2:$B$37, MATCH(D2203, Products!$A$2:$A$37, 0))</f>
        <v>Hair Dryer Ionic</v>
      </c>
      <c r="I2203" t="str">
        <f>INDEX(Products!$C$2:$C$37, MATCH(D2203, Products!$A$2:$A$37, 0))</f>
        <v>Beauty</v>
      </c>
      <c r="J2203">
        <f>INDEX(Products!$E$2:$E$37, MATCH(D2203, Products!$A$2:$A$37, 0))</f>
        <v>240</v>
      </c>
      <c r="K2203" s="9">
        <f t="shared" si="136"/>
        <v>508.3</v>
      </c>
      <c r="L2203">
        <f t="shared" si="137"/>
        <v>480</v>
      </c>
      <c r="M2203" s="9">
        <f t="shared" si="138"/>
        <v>28.300000000000011</v>
      </c>
      <c r="N2203" t="str">
        <f t="shared" si="139"/>
        <v>Jul</v>
      </c>
    </row>
    <row r="2204" spans="1:14" x14ac:dyDescent="0.3">
      <c r="A2204" s="2" t="s">
        <v>2270</v>
      </c>
      <c r="B2204" s="6">
        <v>45845</v>
      </c>
      <c r="C2204" s="2" t="s">
        <v>44</v>
      </c>
      <c r="D2204" s="2" t="s">
        <v>83</v>
      </c>
      <c r="E2204" s="2">
        <v>1</v>
      </c>
      <c r="F2204" s="7">
        <v>229</v>
      </c>
      <c r="G2204" s="8">
        <v>0</v>
      </c>
      <c r="H2204" s="9" t="str">
        <f>INDEX(Products!$B$2:$B$37, MATCH(D2204, Products!$A$2:$A$37, 0))</f>
        <v>Cycling Helmet</v>
      </c>
      <c r="I2204" t="str">
        <f>INDEX(Products!$C$2:$C$37, MATCH(D2204, Products!$A$2:$A$37, 0))</f>
        <v>Sports</v>
      </c>
      <c r="J2204">
        <f>INDEX(Products!$E$2:$E$37, MATCH(D2204, Products!$A$2:$A$37, 0))</f>
        <v>120</v>
      </c>
      <c r="K2204" s="9">
        <f t="shared" si="136"/>
        <v>229</v>
      </c>
      <c r="L2204">
        <f t="shared" si="137"/>
        <v>120</v>
      </c>
      <c r="M2204" s="9">
        <f t="shared" si="138"/>
        <v>109</v>
      </c>
      <c r="N2204" t="str">
        <f t="shared" si="139"/>
        <v>Jul</v>
      </c>
    </row>
    <row r="2205" spans="1:14" x14ac:dyDescent="0.3">
      <c r="A2205" s="2" t="s">
        <v>2271</v>
      </c>
      <c r="B2205" s="6">
        <v>45845</v>
      </c>
      <c r="C2205" s="2" t="s">
        <v>44</v>
      </c>
      <c r="D2205" s="2" t="s">
        <v>70</v>
      </c>
      <c r="E2205" s="2">
        <v>1</v>
      </c>
      <c r="F2205" s="7">
        <v>429</v>
      </c>
      <c r="G2205" s="8">
        <v>0</v>
      </c>
      <c r="H2205" s="9" t="str">
        <f>INDEX(Products!$B$2:$B$37, MATCH(D2205, Products!$A$2:$A$37, 0))</f>
        <v>Running Shoes Elite</v>
      </c>
      <c r="I2205" t="str">
        <f>INDEX(Products!$C$2:$C$37, MATCH(D2205, Products!$A$2:$A$37, 0))</f>
        <v>Fashion</v>
      </c>
      <c r="J2205">
        <f>INDEX(Products!$E$2:$E$37, MATCH(D2205, Products!$A$2:$A$37, 0))</f>
        <v>300</v>
      </c>
      <c r="K2205" s="9">
        <f t="shared" si="136"/>
        <v>429</v>
      </c>
      <c r="L2205">
        <f t="shared" si="137"/>
        <v>300</v>
      </c>
      <c r="M2205" s="9">
        <f t="shared" si="138"/>
        <v>129</v>
      </c>
      <c r="N2205" t="str">
        <f t="shared" si="139"/>
        <v>Jul</v>
      </c>
    </row>
    <row r="2206" spans="1:14" x14ac:dyDescent="0.3">
      <c r="A2206" s="2" t="s">
        <v>2272</v>
      </c>
      <c r="B2206" s="6">
        <v>45846</v>
      </c>
      <c r="C2206" s="2" t="s">
        <v>28</v>
      </c>
      <c r="D2206" s="2" t="s">
        <v>29</v>
      </c>
      <c r="E2206" s="2">
        <v>4</v>
      </c>
      <c r="F2206" s="7">
        <v>229</v>
      </c>
      <c r="G2206" s="8">
        <v>0.1</v>
      </c>
      <c r="H2206" s="9" t="str">
        <f>INDEX(Products!$B$2:$B$37, MATCH(D2206, Products!$A$2:$A$37, 0))</f>
        <v>Women's Summer Dress</v>
      </c>
      <c r="I2206" t="str">
        <f>INDEX(Products!$C$2:$C$37, MATCH(D2206, Products!$A$2:$A$37, 0))</f>
        <v>Fashion</v>
      </c>
      <c r="J2206">
        <f>INDEX(Products!$E$2:$E$37, MATCH(D2206, Products!$A$2:$A$37, 0))</f>
        <v>120</v>
      </c>
      <c r="K2206" s="9">
        <f t="shared" si="136"/>
        <v>824.4</v>
      </c>
      <c r="L2206">
        <f t="shared" si="137"/>
        <v>480</v>
      </c>
      <c r="M2206" s="9">
        <f t="shared" si="138"/>
        <v>344.4</v>
      </c>
      <c r="N2206" t="str">
        <f t="shared" si="139"/>
        <v>Jul</v>
      </c>
    </row>
    <row r="2207" spans="1:14" x14ac:dyDescent="0.3">
      <c r="A2207" s="2" t="s">
        <v>2273</v>
      </c>
      <c r="B2207" s="6">
        <v>45846</v>
      </c>
      <c r="C2207" s="2" t="s">
        <v>44</v>
      </c>
      <c r="D2207" s="2" t="s">
        <v>106</v>
      </c>
      <c r="E2207" s="2">
        <v>2</v>
      </c>
      <c r="F2207" s="7">
        <v>1299</v>
      </c>
      <c r="G2207" s="8">
        <v>0</v>
      </c>
      <c r="H2207" s="9" t="str">
        <f>INDEX(Products!$B$2:$B$37, MATCH(D2207, Products!$A$2:$A$37, 0))</f>
        <v>Smart Watch Series 5</v>
      </c>
      <c r="I2207" t="str">
        <f>INDEX(Products!$C$2:$C$37, MATCH(D2207, Products!$A$2:$A$37, 0))</f>
        <v>Electronics</v>
      </c>
      <c r="J2207">
        <f>INDEX(Products!$E$2:$E$37, MATCH(D2207, Products!$A$2:$A$37, 0))</f>
        <v>820</v>
      </c>
      <c r="K2207" s="9">
        <f t="shared" si="136"/>
        <v>2598</v>
      </c>
      <c r="L2207">
        <f t="shared" si="137"/>
        <v>1640</v>
      </c>
      <c r="M2207" s="9">
        <f t="shared" si="138"/>
        <v>958</v>
      </c>
      <c r="N2207" t="str">
        <f t="shared" si="139"/>
        <v>Jul</v>
      </c>
    </row>
    <row r="2208" spans="1:14" x14ac:dyDescent="0.3">
      <c r="A2208" s="2" t="s">
        <v>2274</v>
      </c>
      <c r="B2208" s="6">
        <v>45846</v>
      </c>
      <c r="C2208" s="2" t="s">
        <v>44</v>
      </c>
      <c r="D2208" s="2" t="s">
        <v>194</v>
      </c>
      <c r="E2208" s="2">
        <v>1</v>
      </c>
      <c r="F2208" s="7">
        <v>699</v>
      </c>
      <c r="G2208" s="8">
        <v>0</v>
      </c>
      <c r="H2208" s="9" t="str">
        <f>INDEX(Products!$B$2:$B$37, MATCH(D2208, Products!$A$2:$A$37, 0))</f>
        <v>Leather Handbag</v>
      </c>
      <c r="I2208" t="str">
        <f>INDEX(Products!$C$2:$C$37, MATCH(D2208, Products!$A$2:$A$37, 0))</f>
        <v>Fashion</v>
      </c>
      <c r="J2208">
        <f>INDEX(Products!$E$2:$E$37, MATCH(D2208, Products!$A$2:$A$37, 0))</f>
        <v>380</v>
      </c>
      <c r="K2208" s="9">
        <f t="shared" si="136"/>
        <v>699</v>
      </c>
      <c r="L2208">
        <f t="shared" si="137"/>
        <v>380</v>
      </c>
      <c r="M2208" s="9">
        <f t="shared" si="138"/>
        <v>319</v>
      </c>
      <c r="N2208" t="str">
        <f t="shared" si="139"/>
        <v>Jul</v>
      </c>
    </row>
    <row r="2209" spans="1:14" x14ac:dyDescent="0.3">
      <c r="A2209" s="2" t="s">
        <v>2275</v>
      </c>
      <c r="B2209" s="6">
        <v>45846</v>
      </c>
      <c r="C2209" s="2" t="s">
        <v>44</v>
      </c>
      <c r="D2209" s="2" t="s">
        <v>29</v>
      </c>
      <c r="E2209" s="2">
        <v>3</v>
      </c>
      <c r="F2209" s="7">
        <v>229</v>
      </c>
      <c r="G2209" s="8">
        <v>0.05</v>
      </c>
      <c r="H2209" s="9" t="str">
        <f>INDEX(Products!$B$2:$B$37, MATCH(D2209, Products!$A$2:$A$37, 0))</f>
        <v>Women's Summer Dress</v>
      </c>
      <c r="I2209" t="str">
        <f>INDEX(Products!$C$2:$C$37, MATCH(D2209, Products!$A$2:$A$37, 0))</f>
        <v>Fashion</v>
      </c>
      <c r="J2209">
        <f>INDEX(Products!$E$2:$E$37, MATCH(D2209, Products!$A$2:$A$37, 0))</f>
        <v>120</v>
      </c>
      <c r="K2209" s="9">
        <f t="shared" si="136"/>
        <v>652.65</v>
      </c>
      <c r="L2209">
        <f t="shared" si="137"/>
        <v>360</v>
      </c>
      <c r="M2209" s="9">
        <f t="shared" si="138"/>
        <v>292.64999999999998</v>
      </c>
      <c r="N2209" t="str">
        <f t="shared" si="139"/>
        <v>Jul</v>
      </c>
    </row>
    <row r="2210" spans="1:14" x14ac:dyDescent="0.3">
      <c r="A2210" s="2" t="s">
        <v>2276</v>
      </c>
      <c r="B2210" s="6">
        <v>45846</v>
      </c>
      <c r="C2210" s="2" t="s">
        <v>44</v>
      </c>
      <c r="D2210" s="2" t="s">
        <v>68</v>
      </c>
      <c r="E2210" s="2">
        <v>1</v>
      </c>
      <c r="F2210" s="7">
        <v>249</v>
      </c>
      <c r="G2210" s="8">
        <v>0.05</v>
      </c>
      <c r="H2210" s="9" t="str">
        <f>INDEX(Products!$B$2:$B$37, MATCH(D2210, Products!$A$2:$A$37, 0))</f>
        <v>Bluetooth Speaker Mini</v>
      </c>
      <c r="I2210" t="str">
        <f>INDEX(Products!$C$2:$C$37, MATCH(D2210, Products!$A$2:$A$37, 0))</f>
        <v>Electronics</v>
      </c>
      <c r="J2210">
        <f>INDEX(Products!$E$2:$E$37, MATCH(D2210, Products!$A$2:$A$37, 0))</f>
        <v>150</v>
      </c>
      <c r="K2210" s="9">
        <f t="shared" si="136"/>
        <v>236.54999999999998</v>
      </c>
      <c r="L2210">
        <f t="shared" si="137"/>
        <v>150</v>
      </c>
      <c r="M2210" s="9">
        <f t="shared" si="138"/>
        <v>86.549999999999983</v>
      </c>
      <c r="N2210" t="str">
        <f t="shared" si="139"/>
        <v>Jul</v>
      </c>
    </row>
    <row r="2211" spans="1:14" x14ac:dyDescent="0.3">
      <c r="A2211" s="2" t="s">
        <v>2277</v>
      </c>
      <c r="B2211" s="6">
        <v>45846</v>
      </c>
      <c r="C2211" s="2" t="s">
        <v>31</v>
      </c>
      <c r="D2211" s="2" t="s">
        <v>99</v>
      </c>
      <c r="E2211" s="2">
        <v>1</v>
      </c>
      <c r="F2211" s="7">
        <v>459</v>
      </c>
      <c r="G2211" s="8">
        <v>0</v>
      </c>
      <c r="H2211" s="9" t="str">
        <f>INDEX(Products!$B$2:$B$37, MATCH(D2211, Products!$A$2:$A$37, 0))</f>
        <v>Gaming Headset X</v>
      </c>
      <c r="I2211" t="str">
        <f>INDEX(Products!$C$2:$C$37, MATCH(D2211, Products!$A$2:$A$37, 0))</f>
        <v>Electronics</v>
      </c>
      <c r="J2211">
        <f>INDEX(Products!$E$2:$E$37, MATCH(D2211, Products!$A$2:$A$37, 0))</f>
        <v>300</v>
      </c>
      <c r="K2211" s="9">
        <f t="shared" si="136"/>
        <v>459</v>
      </c>
      <c r="L2211">
        <f t="shared" si="137"/>
        <v>300</v>
      </c>
      <c r="M2211" s="9">
        <f t="shared" si="138"/>
        <v>159</v>
      </c>
      <c r="N2211" t="str">
        <f t="shared" si="139"/>
        <v>Jul</v>
      </c>
    </row>
    <row r="2212" spans="1:14" x14ac:dyDescent="0.3">
      <c r="A2212" s="2" t="s">
        <v>2278</v>
      </c>
      <c r="B2212" s="6">
        <v>45846</v>
      </c>
      <c r="C2212" s="2" t="s">
        <v>31</v>
      </c>
      <c r="D2212" s="2" t="s">
        <v>95</v>
      </c>
      <c r="E2212" s="2">
        <v>4</v>
      </c>
      <c r="F2212" s="7">
        <v>259</v>
      </c>
      <c r="G2212" s="8">
        <v>0.1</v>
      </c>
      <c r="H2212" s="9" t="str">
        <f>INDEX(Products!$B$2:$B$37, MATCH(D2212, Products!$A$2:$A$37, 0))</f>
        <v>Bed Linen Set (King)</v>
      </c>
      <c r="I2212" t="str">
        <f>INDEX(Products!$C$2:$C$37, MATCH(D2212, Products!$A$2:$A$37, 0))</f>
        <v>Home &amp; Kitchen</v>
      </c>
      <c r="J2212">
        <f>INDEX(Products!$E$2:$E$37, MATCH(D2212, Products!$A$2:$A$37, 0))</f>
        <v>115</v>
      </c>
      <c r="K2212" s="9">
        <f t="shared" si="136"/>
        <v>932.4</v>
      </c>
      <c r="L2212">
        <f t="shared" si="137"/>
        <v>460</v>
      </c>
      <c r="M2212" s="9">
        <f t="shared" si="138"/>
        <v>472.4</v>
      </c>
      <c r="N2212" t="str">
        <f t="shared" si="139"/>
        <v>Jul</v>
      </c>
    </row>
    <row r="2213" spans="1:14" x14ac:dyDescent="0.3">
      <c r="A2213" s="2" t="s">
        <v>2279</v>
      </c>
      <c r="B2213" s="6">
        <v>45846</v>
      </c>
      <c r="C2213" s="2" t="s">
        <v>48</v>
      </c>
      <c r="D2213" s="2" t="s">
        <v>149</v>
      </c>
      <c r="E2213" s="2">
        <v>1</v>
      </c>
      <c r="F2213" s="7">
        <v>399</v>
      </c>
      <c r="G2213" s="8">
        <v>0.05</v>
      </c>
      <c r="H2213" s="9" t="str">
        <f>INDEX(Products!$B$2:$B$37, MATCH(D2213, Products!$A$2:$A$37, 0))</f>
        <v>Blender Pro 1200W</v>
      </c>
      <c r="I2213" t="str">
        <f>INDEX(Products!$C$2:$C$37, MATCH(D2213, Products!$A$2:$A$37, 0))</f>
        <v>Home &amp; Kitchen</v>
      </c>
      <c r="J2213">
        <f>INDEX(Products!$E$2:$E$37, MATCH(D2213, Products!$A$2:$A$37, 0))</f>
        <v>250</v>
      </c>
      <c r="K2213" s="9">
        <f t="shared" si="136"/>
        <v>379.04999999999995</v>
      </c>
      <c r="L2213">
        <f t="shared" si="137"/>
        <v>250</v>
      </c>
      <c r="M2213" s="9">
        <f t="shared" si="138"/>
        <v>129.04999999999995</v>
      </c>
      <c r="N2213" t="str">
        <f t="shared" si="139"/>
        <v>Jul</v>
      </c>
    </row>
    <row r="2214" spans="1:14" x14ac:dyDescent="0.3">
      <c r="A2214" s="2" t="s">
        <v>2280</v>
      </c>
      <c r="B2214" s="6">
        <v>45846</v>
      </c>
      <c r="C2214" s="2" t="s">
        <v>41</v>
      </c>
      <c r="D2214" s="2" t="s">
        <v>65</v>
      </c>
      <c r="E2214" s="2">
        <v>1</v>
      </c>
      <c r="F2214" s="7">
        <v>129</v>
      </c>
      <c r="G2214" s="8">
        <v>0</v>
      </c>
      <c r="H2214" s="9" t="str">
        <f>INDEX(Products!$B$2:$B$37, MATCH(D2214, Products!$A$2:$A$37, 0))</f>
        <v>Yoga Mat Premium</v>
      </c>
      <c r="I2214" t="str">
        <f>INDEX(Products!$C$2:$C$37, MATCH(D2214, Products!$A$2:$A$37, 0))</f>
        <v>Sports</v>
      </c>
      <c r="J2214">
        <f>INDEX(Products!$E$2:$E$37, MATCH(D2214, Products!$A$2:$A$37, 0))</f>
        <v>60</v>
      </c>
      <c r="K2214" s="9">
        <f t="shared" si="136"/>
        <v>129</v>
      </c>
      <c r="L2214">
        <f t="shared" si="137"/>
        <v>60</v>
      </c>
      <c r="M2214" s="9">
        <f t="shared" si="138"/>
        <v>69</v>
      </c>
      <c r="N2214" t="str">
        <f t="shared" si="139"/>
        <v>Jul</v>
      </c>
    </row>
    <row r="2215" spans="1:14" x14ac:dyDescent="0.3">
      <c r="A2215" s="2" t="s">
        <v>2281</v>
      </c>
      <c r="B2215" s="6">
        <v>45846</v>
      </c>
      <c r="C2215" s="2" t="s">
        <v>48</v>
      </c>
      <c r="D2215" s="2" t="s">
        <v>39</v>
      </c>
      <c r="E2215" s="2">
        <v>4</v>
      </c>
      <c r="F2215" s="7">
        <v>199</v>
      </c>
      <c r="G2215" s="8">
        <v>0</v>
      </c>
      <c r="H2215" s="9" t="str">
        <f>INDEX(Products!$B$2:$B$37, MATCH(D2215, Products!$A$2:$A$37, 0))</f>
        <v>Bakhoor Gift Set</v>
      </c>
      <c r="I2215" t="str">
        <f>INDEX(Products!$C$2:$C$37, MATCH(D2215, Products!$A$2:$A$37, 0))</f>
        <v>Beauty</v>
      </c>
      <c r="J2215">
        <f>INDEX(Products!$E$2:$E$37, MATCH(D2215, Products!$A$2:$A$37, 0))</f>
        <v>90</v>
      </c>
      <c r="K2215" s="9">
        <f t="shared" si="136"/>
        <v>796</v>
      </c>
      <c r="L2215">
        <f t="shared" si="137"/>
        <v>360</v>
      </c>
      <c r="M2215" s="9">
        <f t="shared" si="138"/>
        <v>436</v>
      </c>
      <c r="N2215" t="str">
        <f t="shared" si="139"/>
        <v>Jul</v>
      </c>
    </row>
    <row r="2216" spans="1:14" x14ac:dyDescent="0.3">
      <c r="A2216" s="2" t="s">
        <v>2282</v>
      </c>
      <c r="B2216" s="6">
        <v>45846</v>
      </c>
      <c r="C2216" s="2" t="s">
        <v>44</v>
      </c>
      <c r="D2216" s="2" t="s">
        <v>89</v>
      </c>
      <c r="E2216" s="2">
        <v>1</v>
      </c>
      <c r="F2216" s="7">
        <v>399</v>
      </c>
      <c r="G2216" s="8">
        <v>0.15</v>
      </c>
      <c r="H2216" s="9" t="str">
        <f>INDEX(Products!$B$2:$B$37, MATCH(D2216, Products!$A$2:$A$37, 0))</f>
        <v>Men's Kandura Premium</v>
      </c>
      <c r="I2216" t="str">
        <f>INDEX(Products!$C$2:$C$37, MATCH(D2216, Products!$A$2:$A$37, 0))</f>
        <v>Fashion</v>
      </c>
      <c r="J2216">
        <f>INDEX(Products!$E$2:$E$37, MATCH(D2216, Products!$A$2:$A$37, 0))</f>
        <v>210</v>
      </c>
      <c r="K2216" s="9">
        <f t="shared" si="136"/>
        <v>339.15</v>
      </c>
      <c r="L2216">
        <f t="shared" si="137"/>
        <v>210</v>
      </c>
      <c r="M2216" s="9">
        <f t="shared" si="138"/>
        <v>129.14999999999998</v>
      </c>
      <c r="N2216" t="str">
        <f t="shared" si="139"/>
        <v>Jul</v>
      </c>
    </row>
    <row r="2217" spans="1:14" x14ac:dyDescent="0.3">
      <c r="A2217" s="2" t="s">
        <v>2283</v>
      </c>
      <c r="B2217" s="6">
        <v>45846</v>
      </c>
      <c r="C2217" s="2" t="s">
        <v>41</v>
      </c>
      <c r="D2217" s="2" t="s">
        <v>87</v>
      </c>
      <c r="E2217" s="2">
        <v>1</v>
      </c>
      <c r="F2217" s="7">
        <v>799</v>
      </c>
      <c r="G2217" s="8">
        <v>0.2</v>
      </c>
      <c r="H2217" s="9" t="str">
        <f>INDEX(Products!$B$2:$B$37, MATCH(D2217, Products!$A$2:$A$37, 0))</f>
        <v>Adjustable Dumbbells</v>
      </c>
      <c r="I2217" t="str">
        <f>INDEX(Products!$C$2:$C$37, MATCH(D2217, Products!$A$2:$A$37, 0))</f>
        <v>Sports</v>
      </c>
      <c r="J2217">
        <f>INDEX(Products!$E$2:$E$37, MATCH(D2217, Products!$A$2:$A$37, 0))</f>
        <v>700</v>
      </c>
      <c r="K2217" s="9">
        <f t="shared" si="136"/>
        <v>639.20000000000005</v>
      </c>
      <c r="L2217">
        <f t="shared" si="137"/>
        <v>700</v>
      </c>
      <c r="M2217" s="9">
        <f t="shared" si="138"/>
        <v>-60.799999999999955</v>
      </c>
      <c r="N2217" t="str">
        <f t="shared" si="139"/>
        <v>Jul</v>
      </c>
    </row>
    <row r="2218" spans="1:14" x14ac:dyDescent="0.3">
      <c r="A2218" s="2" t="s">
        <v>2284</v>
      </c>
      <c r="B2218" s="6">
        <v>45847</v>
      </c>
      <c r="C2218" s="2" t="s">
        <v>28</v>
      </c>
      <c r="D2218" s="2" t="s">
        <v>70</v>
      </c>
      <c r="E2218" s="2">
        <v>1</v>
      </c>
      <c r="F2218" s="7">
        <v>429</v>
      </c>
      <c r="G2218" s="8">
        <v>0.05</v>
      </c>
      <c r="H2218" s="9" t="str">
        <f>INDEX(Products!$B$2:$B$37, MATCH(D2218, Products!$A$2:$A$37, 0))</f>
        <v>Running Shoes Elite</v>
      </c>
      <c r="I2218" t="str">
        <f>INDEX(Products!$C$2:$C$37, MATCH(D2218, Products!$A$2:$A$37, 0))</f>
        <v>Fashion</v>
      </c>
      <c r="J2218">
        <f>INDEX(Products!$E$2:$E$37, MATCH(D2218, Products!$A$2:$A$37, 0))</f>
        <v>300</v>
      </c>
      <c r="K2218" s="9">
        <f t="shared" si="136"/>
        <v>407.54999999999995</v>
      </c>
      <c r="L2218">
        <f t="shared" si="137"/>
        <v>300</v>
      </c>
      <c r="M2218" s="9">
        <f t="shared" si="138"/>
        <v>107.54999999999995</v>
      </c>
      <c r="N2218" t="str">
        <f t="shared" si="139"/>
        <v>Jul</v>
      </c>
    </row>
    <row r="2219" spans="1:14" x14ac:dyDescent="0.3">
      <c r="A2219" s="2" t="s">
        <v>2285</v>
      </c>
      <c r="B2219" s="6">
        <v>45847</v>
      </c>
      <c r="C2219" s="2" t="s">
        <v>41</v>
      </c>
      <c r="D2219" s="2" t="s">
        <v>35</v>
      </c>
      <c r="E2219" s="2">
        <v>1</v>
      </c>
      <c r="F2219" s="7">
        <v>179</v>
      </c>
      <c r="G2219" s="8">
        <v>0.05</v>
      </c>
      <c r="H2219" s="9" t="str">
        <f>INDEX(Products!$B$2:$B$37, MATCH(D2219, Products!$A$2:$A$37, 0))</f>
        <v>Men's Linen Shirt</v>
      </c>
      <c r="I2219" t="str">
        <f>INDEX(Products!$C$2:$C$37, MATCH(D2219, Products!$A$2:$A$37, 0))</f>
        <v>Fashion</v>
      </c>
      <c r="J2219">
        <f>INDEX(Products!$E$2:$E$37, MATCH(D2219, Products!$A$2:$A$37, 0))</f>
        <v>70</v>
      </c>
      <c r="K2219" s="9">
        <f t="shared" si="136"/>
        <v>170.04999999999998</v>
      </c>
      <c r="L2219">
        <f t="shared" si="137"/>
        <v>70</v>
      </c>
      <c r="M2219" s="9">
        <f t="shared" si="138"/>
        <v>100.04999999999998</v>
      </c>
      <c r="N2219" t="str">
        <f t="shared" si="139"/>
        <v>Jul</v>
      </c>
    </row>
    <row r="2220" spans="1:14" x14ac:dyDescent="0.3">
      <c r="A2220" s="2" t="s">
        <v>2286</v>
      </c>
      <c r="B2220" s="6">
        <v>45847</v>
      </c>
      <c r="C2220" s="2" t="s">
        <v>41</v>
      </c>
      <c r="D2220" s="2" t="s">
        <v>35</v>
      </c>
      <c r="E2220" s="2">
        <v>3</v>
      </c>
      <c r="F2220" s="7">
        <v>179</v>
      </c>
      <c r="G2220" s="8">
        <v>0.05</v>
      </c>
      <c r="H2220" s="9" t="str">
        <f>INDEX(Products!$B$2:$B$37, MATCH(D2220, Products!$A$2:$A$37, 0))</f>
        <v>Men's Linen Shirt</v>
      </c>
      <c r="I2220" t="str">
        <f>INDEX(Products!$C$2:$C$37, MATCH(D2220, Products!$A$2:$A$37, 0))</f>
        <v>Fashion</v>
      </c>
      <c r="J2220">
        <f>INDEX(Products!$E$2:$E$37, MATCH(D2220, Products!$A$2:$A$37, 0))</f>
        <v>70</v>
      </c>
      <c r="K2220" s="9">
        <f t="shared" si="136"/>
        <v>510.15</v>
      </c>
      <c r="L2220">
        <f t="shared" si="137"/>
        <v>210</v>
      </c>
      <c r="M2220" s="9">
        <f t="shared" si="138"/>
        <v>300.14999999999998</v>
      </c>
      <c r="N2220" t="str">
        <f t="shared" si="139"/>
        <v>Jul</v>
      </c>
    </row>
    <row r="2221" spans="1:14" x14ac:dyDescent="0.3">
      <c r="A2221" s="2" t="s">
        <v>2287</v>
      </c>
      <c r="B2221" s="6">
        <v>45847</v>
      </c>
      <c r="C2221" s="2" t="s">
        <v>44</v>
      </c>
      <c r="D2221" s="2" t="s">
        <v>129</v>
      </c>
      <c r="E2221" s="2">
        <v>2</v>
      </c>
      <c r="F2221" s="7">
        <v>149</v>
      </c>
      <c r="G2221" s="8">
        <v>0.15</v>
      </c>
      <c r="H2221" s="9" t="str">
        <f>INDEX(Products!$B$2:$B$37, MATCH(D2221, Products!$A$2:$A$37, 0))</f>
        <v>Power Bank 20000mAh</v>
      </c>
      <c r="I2221" t="str">
        <f>INDEX(Products!$C$2:$C$37, MATCH(D2221, Products!$A$2:$A$37, 0))</f>
        <v>Electronics</v>
      </c>
      <c r="J2221">
        <f>INDEX(Products!$E$2:$E$37, MATCH(D2221, Products!$A$2:$A$37, 0))</f>
        <v>70</v>
      </c>
      <c r="K2221" s="9">
        <f t="shared" si="136"/>
        <v>253.29999999999998</v>
      </c>
      <c r="L2221">
        <f t="shared" si="137"/>
        <v>140</v>
      </c>
      <c r="M2221" s="9">
        <f t="shared" si="138"/>
        <v>113.29999999999998</v>
      </c>
      <c r="N2221" t="str">
        <f t="shared" si="139"/>
        <v>Jul</v>
      </c>
    </row>
    <row r="2222" spans="1:14" x14ac:dyDescent="0.3">
      <c r="A2222" s="2" t="s">
        <v>2288</v>
      </c>
      <c r="B2222" s="6">
        <v>45847</v>
      </c>
      <c r="C2222" s="2" t="s">
        <v>28</v>
      </c>
      <c r="D2222" s="2" t="s">
        <v>115</v>
      </c>
      <c r="E2222" s="2">
        <v>1</v>
      </c>
      <c r="F2222" s="7">
        <v>129</v>
      </c>
      <c r="G2222" s="8">
        <v>0.1</v>
      </c>
      <c r="H2222" s="9" t="str">
        <f>INDEX(Products!$B$2:$B$37, MATCH(D2222, Products!$A$2:$A$37, 0))</f>
        <v>Electric Kettle</v>
      </c>
      <c r="I2222" t="str">
        <f>INDEX(Products!$C$2:$C$37, MATCH(D2222, Products!$A$2:$A$37, 0))</f>
        <v>Home &amp; Kitchen</v>
      </c>
      <c r="J2222">
        <f>INDEX(Products!$E$2:$E$37, MATCH(D2222, Products!$A$2:$A$37, 0))</f>
        <v>60</v>
      </c>
      <c r="K2222" s="9">
        <f t="shared" si="136"/>
        <v>116.10000000000001</v>
      </c>
      <c r="L2222">
        <f t="shared" si="137"/>
        <v>60</v>
      </c>
      <c r="M2222" s="9">
        <f t="shared" si="138"/>
        <v>56.100000000000009</v>
      </c>
      <c r="N2222" t="str">
        <f t="shared" si="139"/>
        <v>Jul</v>
      </c>
    </row>
    <row r="2223" spans="1:14" x14ac:dyDescent="0.3">
      <c r="A2223" s="2" t="s">
        <v>2289</v>
      </c>
      <c r="B2223" s="6">
        <v>45847</v>
      </c>
      <c r="C2223" s="2" t="s">
        <v>41</v>
      </c>
      <c r="D2223" s="2" t="s">
        <v>42</v>
      </c>
      <c r="E2223" s="2">
        <v>2</v>
      </c>
      <c r="F2223" s="7">
        <v>399</v>
      </c>
      <c r="G2223" s="8">
        <v>0.2</v>
      </c>
      <c r="H2223" s="9" t="str">
        <f>INDEX(Products!$B$2:$B$37, MATCH(D2223, Products!$A$2:$A$37, 0))</f>
        <v>Wireless Earbuds Pro</v>
      </c>
      <c r="I2223" t="str">
        <f>INDEX(Products!$C$2:$C$37, MATCH(D2223, Products!$A$2:$A$37, 0))</f>
        <v>Electronics</v>
      </c>
      <c r="J2223">
        <f>INDEX(Products!$E$2:$E$37, MATCH(D2223, Products!$A$2:$A$37, 0))</f>
        <v>230</v>
      </c>
      <c r="K2223" s="9">
        <f t="shared" si="136"/>
        <v>638.40000000000009</v>
      </c>
      <c r="L2223">
        <f t="shared" si="137"/>
        <v>460</v>
      </c>
      <c r="M2223" s="9">
        <f t="shared" si="138"/>
        <v>178.40000000000009</v>
      </c>
      <c r="N2223" t="str">
        <f t="shared" si="139"/>
        <v>Jul</v>
      </c>
    </row>
    <row r="2224" spans="1:14" x14ac:dyDescent="0.3">
      <c r="A2224" s="2" t="s">
        <v>2290</v>
      </c>
      <c r="B2224" s="6">
        <v>45847</v>
      </c>
      <c r="C2224" s="2" t="s">
        <v>31</v>
      </c>
      <c r="D2224" s="2" t="s">
        <v>33</v>
      </c>
      <c r="E2224" s="2">
        <v>1</v>
      </c>
      <c r="F2224" s="7">
        <v>199</v>
      </c>
      <c r="G2224" s="8">
        <v>0.1</v>
      </c>
      <c r="H2224" s="9" t="str">
        <f>INDEX(Products!$B$2:$B$37, MATCH(D2224, Products!$A$2:$A$37, 0))</f>
        <v>Fitness Band Lite</v>
      </c>
      <c r="I2224" t="str">
        <f>INDEX(Products!$C$2:$C$37, MATCH(D2224, Products!$A$2:$A$37, 0))</f>
        <v>Electronics</v>
      </c>
      <c r="J2224">
        <f>INDEX(Products!$E$2:$E$37, MATCH(D2224, Products!$A$2:$A$37, 0))</f>
        <v>175</v>
      </c>
      <c r="K2224" s="9">
        <f t="shared" si="136"/>
        <v>179.1</v>
      </c>
      <c r="L2224">
        <f t="shared" si="137"/>
        <v>175</v>
      </c>
      <c r="M2224" s="9">
        <f t="shared" si="138"/>
        <v>4.0999999999999943</v>
      </c>
      <c r="N2224" t="str">
        <f t="shared" si="139"/>
        <v>Jul</v>
      </c>
    </row>
    <row r="2225" spans="1:14" x14ac:dyDescent="0.3">
      <c r="A2225" s="2" t="s">
        <v>2291</v>
      </c>
      <c r="B2225" s="6">
        <v>45847</v>
      </c>
      <c r="C2225" s="2" t="s">
        <v>44</v>
      </c>
      <c r="D2225" s="2" t="s">
        <v>70</v>
      </c>
      <c r="E2225" s="2">
        <v>3</v>
      </c>
      <c r="F2225" s="7">
        <v>429</v>
      </c>
      <c r="G2225" s="8">
        <v>0.2</v>
      </c>
      <c r="H2225" s="9" t="str">
        <f>INDEX(Products!$B$2:$B$37, MATCH(D2225, Products!$A$2:$A$37, 0))</f>
        <v>Running Shoes Elite</v>
      </c>
      <c r="I2225" t="str">
        <f>INDEX(Products!$C$2:$C$37, MATCH(D2225, Products!$A$2:$A$37, 0))</f>
        <v>Fashion</v>
      </c>
      <c r="J2225">
        <f>INDEX(Products!$E$2:$E$37, MATCH(D2225, Products!$A$2:$A$37, 0))</f>
        <v>300</v>
      </c>
      <c r="K2225" s="9">
        <f t="shared" si="136"/>
        <v>1029.6000000000001</v>
      </c>
      <c r="L2225">
        <f t="shared" si="137"/>
        <v>900</v>
      </c>
      <c r="M2225" s="9">
        <f t="shared" si="138"/>
        <v>129.60000000000014</v>
      </c>
      <c r="N2225" t="str">
        <f t="shared" si="139"/>
        <v>Jul</v>
      </c>
    </row>
    <row r="2226" spans="1:14" x14ac:dyDescent="0.3">
      <c r="A2226" s="2" t="s">
        <v>2292</v>
      </c>
      <c r="B2226" s="6">
        <v>45847</v>
      </c>
      <c r="C2226" s="2" t="s">
        <v>41</v>
      </c>
      <c r="D2226" s="2" t="s">
        <v>56</v>
      </c>
      <c r="E2226" s="2">
        <v>1</v>
      </c>
      <c r="F2226" s="7">
        <v>289</v>
      </c>
      <c r="G2226" s="8">
        <v>0.1</v>
      </c>
      <c r="H2226" s="9" t="str">
        <f>INDEX(Products!$B$2:$B$37, MATCH(D2226, Products!$A$2:$A$37, 0))</f>
        <v>Ceramic Dinner Set</v>
      </c>
      <c r="I2226" t="str">
        <f>INDEX(Products!$C$2:$C$37, MATCH(D2226, Products!$A$2:$A$37, 0))</f>
        <v>Home &amp; Kitchen</v>
      </c>
      <c r="J2226">
        <f>INDEX(Products!$E$2:$E$37, MATCH(D2226, Products!$A$2:$A$37, 0))</f>
        <v>140</v>
      </c>
      <c r="K2226" s="9">
        <f t="shared" si="136"/>
        <v>260.10000000000002</v>
      </c>
      <c r="L2226">
        <f t="shared" si="137"/>
        <v>140</v>
      </c>
      <c r="M2226" s="9">
        <f t="shared" si="138"/>
        <v>120.10000000000002</v>
      </c>
      <c r="N2226" t="str">
        <f t="shared" si="139"/>
        <v>Jul</v>
      </c>
    </row>
    <row r="2227" spans="1:14" x14ac:dyDescent="0.3">
      <c r="A2227" s="2" t="s">
        <v>2293</v>
      </c>
      <c r="B2227" s="6">
        <v>45847</v>
      </c>
      <c r="C2227" s="2" t="s">
        <v>44</v>
      </c>
      <c r="D2227" s="2" t="s">
        <v>37</v>
      </c>
      <c r="E2227" s="2">
        <v>1</v>
      </c>
      <c r="F2227" s="7">
        <v>249</v>
      </c>
      <c r="G2227" s="8">
        <v>0.15</v>
      </c>
      <c r="H2227" s="9" t="str">
        <f>INDEX(Products!$B$2:$B$37, MATCH(D2227, Products!$A$2:$A$37, 0))</f>
        <v>Sunglasses Polarised</v>
      </c>
      <c r="I2227" t="str">
        <f>INDEX(Products!$C$2:$C$37, MATCH(D2227, Products!$A$2:$A$37, 0))</f>
        <v>Fashion</v>
      </c>
      <c r="J2227">
        <f>INDEX(Products!$E$2:$E$37, MATCH(D2227, Products!$A$2:$A$37, 0))</f>
        <v>95</v>
      </c>
      <c r="K2227" s="9">
        <f t="shared" si="136"/>
        <v>211.65</v>
      </c>
      <c r="L2227">
        <f t="shared" si="137"/>
        <v>95</v>
      </c>
      <c r="M2227" s="9">
        <f t="shared" si="138"/>
        <v>116.65</v>
      </c>
      <c r="N2227" t="str">
        <f t="shared" si="139"/>
        <v>Jul</v>
      </c>
    </row>
    <row r="2228" spans="1:14" x14ac:dyDescent="0.3">
      <c r="A2228" s="2" t="s">
        <v>2294</v>
      </c>
      <c r="B2228" s="6">
        <v>45847</v>
      </c>
      <c r="C2228" s="2" t="s">
        <v>28</v>
      </c>
      <c r="D2228" s="2" t="s">
        <v>46</v>
      </c>
      <c r="E2228" s="2">
        <v>2</v>
      </c>
      <c r="F2228" s="7">
        <v>189</v>
      </c>
      <c r="G2228" s="8">
        <v>0</v>
      </c>
      <c r="H2228" s="9" t="str">
        <f>INDEX(Products!$B$2:$B$37, MATCH(D2228, Products!$A$2:$A$37, 0))</f>
        <v>Makeup Palette</v>
      </c>
      <c r="I2228" t="str">
        <f>INDEX(Products!$C$2:$C$37, MATCH(D2228, Products!$A$2:$A$37, 0))</f>
        <v>Beauty</v>
      </c>
      <c r="J2228">
        <f>INDEX(Products!$E$2:$E$37, MATCH(D2228, Products!$A$2:$A$37, 0))</f>
        <v>85</v>
      </c>
      <c r="K2228" s="9">
        <f t="shared" si="136"/>
        <v>378</v>
      </c>
      <c r="L2228">
        <f t="shared" si="137"/>
        <v>170</v>
      </c>
      <c r="M2228" s="9">
        <f t="shared" si="138"/>
        <v>208</v>
      </c>
      <c r="N2228" t="str">
        <f t="shared" si="139"/>
        <v>Jul</v>
      </c>
    </row>
    <row r="2229" spans="1:14" x14ac:dyDescent="0.3">
      <c r="A2229" s="2" t="s">
        <v>2295</v>
      </c>
      <c r="B2229" s="6">
        <v>45847</v>
      </c>
      <c r="C2229" s="2" t="s">
        <v>44</v>
      </c>
      <c r="D2229" s="2" t="s">
        <v>129</v>
      </c>
      <c r="E2229" s="2">
        <v>2</v>
      </c>
      <c r="F2229" s="7">
        <v>149</v>
      </c>
      <c r="G2229" s="8">
        <v>0.05</v>
      </c>
      <c r="H2229" s="9" t="str">
        <f>INDEX(Products!$B$2:$B$37, MATCH(D2229, Products!$A$2:$A$37, 0))</f>
        <v>Power Bank 20000mAh</v>
      </c>
      <c r="I2229" t="str">
        <f>INDEX(Products!$C$2:$C$37, MATCH(D2229, Products!$A$2:$A$37, 0))</f>
        <v>Electronics</v>
      </c>
      <c r="J2229">
        <f>INDEX(Products!$E$2:$E$37, MATCH(D2229, Products!$A$2:$A$37, 0))</f>
        <v>70</v>
      </c>
      <c r="K2229" s="9">
        <f t="shared" si="136"/>
        <v>283.09999999999997</v>
      </c>
      <c r="L2229">
        <f t="shared" si="137"/>
        <v>140</v>
      </c>
      <c r="M2229" s="9">
        <f t="shared" si="138"/>
        <v>143.09999999999997</v>
      </c>
      <c r="N2229" t="str">
        <f t="shared" si="139"/>
        <v>Jul</v>
      </c>
    </row>
    <row r="2230" spans="1:14" x14ac:dyDescent="0.3">
      <c r="A2230" s="2" t="s">
        <v>2296</v>
      </c>
      <c r="B2230" s="6">
        <v>45847</v>
      </c>
      <c r="C2230" s="2" t="s">
        <v>44</v>
      </c>
      <c r="D2230" s="2" t="s">
        <v>37</v>
      </c>
      <c r="E2230" s="2">
        <v>1</v>
      </c>
      <c r="F2230" s="7">
        <v>249</v>
      </c>
      <c r="G2230" s="8">
        <v>0</v>
      </c>
      <c r="H2230" s="9" t="str">
        <f>INDEX(Products!$B$2:$B$37, MATCH(D2230, Products!$A$2:$A$37, 0))</f>
        <v>Sunglasses Polarised</v>
      </c>
      <c r="I2230" t="str">
        <f>INDEX(Products!$C$2:$C$37, MATCH(D2230, Products!$A$2:$A$37, 0))</f>
        <v>Fashion</v>
      </c>
      <c r="J2230">
        <f>INDEX(Products!$E$2:$E$37, MATCH(D2230, Products!$A$2:$A$37, 0))</f>
        <v>95</v>
      </c>
      <c r="K2230" s="9">
        <f t="shared" si="136"/>
        <v>249</v>
      </c>
      <c r="L2230">
        <f t="shared" si="137"/>
        <v>95</v>
      </c>
      <c r="M2230" s="9">
        <f t="shared" si="138"/>
        <v>154</v>
      </c>
      <c r="N2230" t="str">
        <f t="shared" si="139"/>
        <v>Jul</v>
      </c>
    </row>
    <row r="2231" spans="1:14" x14ac:dyDescent="0.3">
      <c r="A2231" s="2" t="s">
        <v>2297</v>
      </c>
      <c r="B2231" s="6">
        <v>45847</v>
      </c>
      <c r="C2231" s="2" t="s">
        <v>28</v>
      </c>
      <c r="D2231" s="2" t="s">
        <v>126</v>
      </c>
      <c r="E2231" s="2">
        <v>1</v>
      </c>
      <c r="F2231" s="7">
        <v>89</v>
      </c>
      <c r="G2231" s="8">
        <v>0.3</v>
      </c>
      <c r="H2231" s="9" t="str">
        <f>INDEX(Products!$B$2:$B$37, MATCH(D2231, Products!$A$2:$A$37, 0))</f>
        <v>USB-C Fast Charger</v>
      </c>
      <c r="I2231" t="str">
        <f>INDEX(Products!$C$2:$C$37, MATCH(D2231, Products!$A$2:$A$37, 0))</f>
        <v>Electronics</v>
      </c>
      <c r="J2231">
        <f>INDEX(Products!$E$2:$E$37, MATCH(D2231, Products!$A$2:$A$37, 0))</f>
        <v>35</v>
      </c>
      <c r="K2231" s="9">
        <f t="shared" si="136"/>
        <v>62.3</v>
      </c>
      <c r="L2231">
        <f t="shared" si="137"/>
        <v>35</v>
      </c>
      <c r="M2231" s="9">
        <f t="shared" si="138"/>
        <v>27.299999999999997</v>
      </c>
      <c r="N2231" t="str">
        <f t="shared" si="139"/>
        <v>Jul</v>
      </c>
    </row>
    <row r="2232" spans="1:14" x14ac:dyDescent="0.3">
      <c r="A2232" s="2" t="s">
        <v>2298</v>
      </c>
      <c r="B2232" s="6">
        <v>45847</v>
      </c>
      <c r="C2232" s="2" t="s">
        <v>44</v>
      </c>
      <c r="D2232" s="2" t="s">
        <v>60</v>
      </c>
      <c r="E2232" s="2">
        <v>2</v>
      </c>
      <c r="F2232" s="7">
        <v>99</v>
      </c>
      <c r="G2232" s="8">
        <v>0.2</v>
      </c>
      <c r="H2232" s="9" t="str">
        <f>INDEX(Products!$B$2:$B$37, MATCH(D2232, Products!$A$2:$A$37, 0))</f>
        <v>Football Size 5</v>
      </c>
      <c r="I2232" t="str">
        <f>INDEX(Products!$C$2:$C$37, MATCH(D2232, Products!$A$2:$A$37, 0))</f>
        <v>Sports</v>
      </c>
      <c r="J2232">
        <f>INDEX(Products!$E$2:$E$37, MATCH(D2232, Products!$A$2:$A$37, 0))</f>
        <v>45</v>
      </c>
      <c r="K2232" s="9">
        <f t="shared" si="136"/>
        <v>158.4</v>
      </c>
      <c r="L2232">
        <f t="shared" si="137"/>
        <v>90</v>
      </c>
      <c r="M2232" s="9">
        <f t="shared" si="138"/>
        <v>68.400000000000006</v>
      </c>
      <c r="N2232" t="str">
        <f t="shared" si="139"/>
        <v>Jul</v>
      </c>
    </row>
    <row r="2233" spans="1:14" x14ac:dyDescent="0.3">
      <c r="A2233" s="2" t="s">
        <v>2299</v>
      </c>
      <c r="B2233" s="6">
        <v>45848</v>
      </c>
      <c r="C2233" s="2" t="s">
        <v>31</v>
      </c>
      <c r="D2233" s="2" t="s">
        <v>89</v>
      </c>
      <c r="E2233" s="2">
        <v>2</v>
      </c>
      <c r="F2233" s="7">
        <v>399</v>
      </c>
      <c r="G2233" s="8">
        <v>0</v>
      </c>
      <c r="H2233" s="9" t="str">
        <f>INDEX(Products!$B$2:$B$37, MATCH(D2233, Products!$A$2:$A$37, 0))</f>
        <v>Men's Kandura Premium</v>
      </c>
      <c r="I2233" t="str">
        <f>INDEX(Products!$C$2:$C$37, MATCH(D2233, Products!$A$2:$A$37, 0))</f>
        <v>Fashion</v>
      </c>
      <c r="J2233">
        <f>INDEX(Products!$E$2:$E$37, MATCH(D2233, Products!$A$2:$A$37, 0))</f>
        <v>210</v>
      </c>
      <c r="K2233" s="9">
        <f t="shared" si="136"/>
        <v>798</v>
      </c>
      <c r="L2233">
        <f t="shared" si="137"/>
        <v>420</v>
      </c>
      <c r="M2233" s="9">
        <f t="shared" si="138"/>
        <v>378</v>
      </c>
      <c r="N2233" t="str">
        <f t="shared" si="139"/>
        <v>Jul</v>
      </c>
    </row>
    <row r="2234" spans="1:14" x14ac:dyDescent="0.3">
      <c r="A2234" s="2" t="s">
        <v>2300</v>
      </c>
      <c r="B2234" s="6">
        <v>45848</v>
      </c>
      <c r="C2234" s="2" t="s">
        <v>31</v>
      </c>
      <c r="D2234" s="2" t="s">
        <v>52</v>
      </c>
      <c r="E2234" s="2">
        <v>1</v>
      </c>
      <c r="F2234" s="7">
        <v>299</v>
      </c>
      <c r="G2234" s="8">
        <v>0.25</v>
      </c>
      <c r="H2234" s="9" t="str">
        <f>INDEX(Products!$B$2:$B$37, MATCH(D2234, Products!$A$2:$A$37, 0))</f>
        <v>Hair Dryer Ionic</v>
      </c>
      <c r="I2234" t="str">
        <f>INDEX(Products!$C$2:$C$37, MATCH(D2234, Products!$A$2:$A$37, 0))</f>
        <v>Beauty</v>
      </c>
      <c r="J2234">
        <f>INDEX(Products!$E$2:$E$37, MATCH(D2234, Products!$A$2:$A$37, 0))</f>
        <v>240</v>
      </c>
      <c r="K2234" s="9">
        <f t="shared" si="136"/>
        <v>224.25</v>
      </c>
      <c r="L2234">
        <f t="shared" si="137"/>
        <v>240</v>
      </c>
      <c r="M2234" s="9">
        <f t="shared" si="138"/>
        <v>-15.75</v>
      </c>
      <c r="N2234" t="str">
        <f t="shared" si="139"/>
        <v>Jul</v>
      </c>
    </row>
    <row r="2235" spans="1:14" x14ac:dyDescent="0.3">
      <c r="A2235" s="2" t="s">
        <v>2301</v>
      </c>
      <c r="B2235" s="6">
        <v>45848</v>
      </c>
      <c r="C2235" s="2" t="s">
        <v>44</v>
      </c>
      <c r="D2235" s="2" t="s">
        <v>70</v>
      </c>
      <c r="E2235" s="2">
        <v>2</v>
      </c>
      <c r="F2235" s="7">
        <v>429</v>
      </c>
      <c r="G2235" s="8">
        <v>0.15</v>
      </c>
      <c r="H2235" s="9" t="str">
        <f>INDEX(Products!$B$2:$B$37, MATCH(D2235, Products!$A$2:$A$37, 0))</f>
        <v>Running Shoes Elite</v>
      </c>
      <c r="I2235" t="str">
        <f>INDEX(Products!$C$2:$C$37, MATCH(D2235, Products!$A$2:$A$37, 0))</f>
        <v>Fashion</v>
      </c>
      <c r="J2235">
        <f>INDEX(Products!$E$2:$E$37, MATCH(D2235, Products!$A$2:$A$37, 0))</f>
        <v>300</v>
      </c>
      <c r="K2235" s="9">
        <f t="shared" si="136"/>
        <v>729.3</v>
      </c>
      <c r="L2235">
        <f t="shared" si="137"/>
        <v>600</v>
      </c>
      <c r="M2235" s="9">
        <f t="shared" si="138"/>
        <v>129.29999999999995</v>
      </c>
      <c r="N2235" t="str">
        <f t="shared" si="139"/>
        <v>Jul</v>
      </c>
    </row>
    <row r="2236" spans="1:14" x14ac:dyDescent="0.3">
      <c r="A2236" s="2" t="s">
        <v>2302</v>
      </c>
      <c r="B2236" s="6">
        <v>45848</v>
      </c>
      <c r="C2236" s="2" t="s">
        <v>28</v>
      </c>
      <c r="D2236" s="2" t="s">
        <v>92</v>
      </c>
      <c r="E2236" s="2">
        <v>1</v>
      </c>
      <c r="F2236" s="7">
        <v>349</v>
      </c>
      <c r="G2236" s="8">
        <v>0</v>
      </c>
      <c r="H2236" s="9" t="str">
        <f>INDEX(Products!$B$2:$B$37, MATCH(D2236, Products!$A$2:$A$37, 0))</f>
        <v>Non-stick Cookware Set</v>
      </c>
      <c r="I2236" t="str">
        <f>INDEX(Products!$C$2:$C$37, MATCH(D2236, Products!$A$2:$A$37, 0))</f>
        <v>Home &amp; Kitchen</v>
      </c>
      <c r="J2236">
        <f>INDEX(Products!$E$2:$E$37, MATCH(D2236, Products!$A$2:$A$37, 0))</f>
        <v>170</v>
      </c>
      <c r="K2236" s="9">
        <f t="shared" si="136"/>
        <v>349</v>
      </c>
      <c r="L2236">
        <f t="shared" si="137"/>
        <v>170</v>
      </c>
      <c r="M2236" s="9">
        <f t="shared" si="138"/>
        <v>179</v>
      </c>
      <c r="N2236" t="str">
        <f t="shared" si="139"/>
        <v>Jul</v>
      </c>
    </row>
    <row r="2237" spans="1:14" x14ac:dyDescent="0.3">
      <c r="A2237" s="2" t="s">
        <v>2303</v>
      </c>
      <c r="B2237" s="6">
        <v>45848</v>
      </c>
      <c r="C2237" s="2" t="s">
        <v>31</v>
      </c>
      <c r="D2237" s="2" t="s">
        <v>70</v>
      </c>
      <c r="E2237" s="2">
        <v>1</v>
      </c>
      <c r="F2237" s="7">
        <v>429</v>
      </c>
      <c r="G2237" s="8">
        <v>0.1</v>
      </c>
      <c r="H2237" s="9" t="str">
        <f>INDEX(Products!$B$2:$B$37, MATCH(D2237, Products!$A$2:$A$37, 0))</f>
        <v>Running Shoes Elite</v>
      </c>
      <c r="I2237" t="str">
        <f>INDEX(Products!$C$2:$C$37, MATCH(D2237, Products!$A$2:$A$37, 0))</f>
        <v>Fashion</v>
      </c>
      <c r="J2237">
        <f>INDEX(Products!$E$2:$E$37, MATCH(D2237, Products!$A$2:$A$37, 0))</f>
        <v>300</v>
      </c>
      <c r="K2237" s="9">
        <f t="shared" si="136"/>
        <v>386.1</v>
      </c>
      <c r="L2237">
        <f t="shared" si="137"/>
        <v>300</v>
      </c>
      <c r="M2237" s="9">
        <f t="shared" si="138"/>
        <v>86.100000000000023</v>
      </c>
      <c r="N2237" t="str">
        <f t="shared" si="139"/>
        <v>Jul</v>
      </c>
    </row>
    <row r="2238" spans="1:14" x14ac:dyDescent="0.3">
      <c r="A2238" s="2" t="s">
        <v>2304</v>
      </c>
      <c r="B2238" s="6">
        <v>45848</v>
      </c>
      <c r="C2238" s="2" t="s">
        <v>44</v>
      </c>
      <c r="D2238" s="2" t="s">
        <v>52</v>
      </c>
      <c r="E2238" s="2">
        <v>2</v>
      </c>
      <c r="F2238" s="7">
        <v>299</v>
      </c>
      <c r="G2238" s="8">
        <v>0.15</v>
      </c>
      <c r="H2238" s="9" t="str">
        <f>INDEX(Products!$B$2:$B$37, MATCH(D2238, Products!$A$2:$A$37, 0))</f>
        <v>Hair Dryer Ionic</v>
      </c>
      <c r="I2238" t="str">
        <f>INDEX(Products!$C$2:$C$37, MATCH(D2238, Products!$A$2:$A$37, 0))</f>
        <v>Beauty</v>
      </c>
      <c r="J2238">
        <f>INDEX(Products!$E$2:$E$37, MATCH(D2238, Products!$A$2:$A$37, 0))</f>
        <v>240</v>
      </c>
      <c r="K2238" s="9">
        <f t="shared" si="136"/>
        <v>508.3</v>
      </c>
      <c r="L2238">
        <f t="shared" si="137"/>
        <v>480</v>
      </c>
      <c r="M2238" s="9">
        <f t="shared" si="138"/>
        <v>28.300000000000011</v>
      </c>
      <c r="N2238" t="str">
        <f t="shared" si="139"/>
        <v>Jul</v>
      </c>
    </row>
    <row r="2239" spans="1:14" x14ac:dyDescent="0.3">
      <c r="A2239" s="2" t="s">
        <v>2305</v>
      </c>
      <c r="B2239" s="6">
        <v>45848</v>
      </c>
      <c r="C2239" s="2" t="s">
        <v>41</v>
      </c>
      <c r="D2239" s="2" t="s">
        <v>65</v>
      </c>
      <c r="E2239" s="2">
        <v>1</v>
      </c>
      <c r="F2239" s="7">
        <v>129</v>
      </c>
      <c r="G2239" s="8">
        <v>0.05</v>
      </c>
      <c r="H2239" s="9" t="str">
        <f>INDEX(Products!$B$2:$B$37, MATCH(D2239, Products!$A$2:$A$37, 0))</f>
        <v>Yoga Mat Premium</v>
      </c>
      <c r="I2239" t="str">
        <f>INDEX(Products!$C$2:$C$37, MATCH(D2239, Products!$A$2:$A$37, 0))</f>
        <v>Sports</v>
      </c>
      <c r="J2239">
        <f>INDEX(Products!$E$2:$E$37, MATCH(D2239, Products!$A$2:$A$37, 0))</f>
        <v>60</v>
      </c>
      <c r="K2239" s="9">
        <f t="shared" si="136"/>
        <v>122.55</v>
      </c>
      <c r="L2239">
        <f t="shared" si="137"/>
        <v>60</v>
      </c>
      <c r="M2239" s="9">
        <f t="shared" si="138"/>
        <v>62.55</v>
      </c>
      <c r="N2239" t="str">
        <f t="shared" si="139"/>
        <v>Jul</v>
      </c>
    </row>
    <row r="2240" spans="1:14" x14ac:dyDescent="0.3">
      <c r="A2240" s="2" t="s">
        <v>2306</v>
      </c>
      <c r="B2240" s="6">
        <v>45848</v>
      </c>
      <c r="C2240" s="2" t="s">
        <v>44</v>
      </c>
      <c r="D2240" s="2" t="s">
        <v>49</v>
      </c>
      <c r="E2240" s="2">
        <v>1</v>
      </c>
      <c r="F2240" s="7">
        <v>149</v>
      </c>
      <c r="G2240" s="8">
        <v>0.1</v>
      </c>
      <c r="H2240" s="9" t="str">
        <f>INDEX(Products!$B$2:$B$37, MATCH(D2240, Products!$A$2:$A$37, 0))</f>
        <v>Kids' Sneakers</v>
      </c>
      <c r="I2240" t="str">
        <f>INDEX(Products!$C$2:$C$37, MATCH(D2240, Products!$A$2:$A$37, 0))</f>
        <v>Fashion</v>
      </c>
      <c r="J2240">
        <f>INDEX(Products!$E$2:$E$37, MATCH(D2240, Products!$A$2:$A$37, 0))</f>
        <v>80</v>
      </c>
      <c r="K2240" s="9">
        <f t="shared" si="136"/>
        <v>134.1</v>
      </c>
      <c r="L2240">
        <f t="shared" si="137"/>
        <v>80</v>
      </c>
      <c r="M2240" s="9">
        <f t="shared" si="138"/>
        <v>54.099999999999994</v>
      </c>
      <c r="N2240" t="str">
        <f t="shared" si="139"/>
        <v>Jul</v>
      </c>
    </row>
    <row r="2241" spans="1:14" x14ac:dyDescent="0.3">
      <c r="A2241" s="2" t="s">
        <v>2307</v>
      </c>
      <c r="B2241" s="6">
        <v>45848</v>
      </c>
      <c r="C2241" s="2" t="s">
        <v>28</v>
      </c>
      <c r="D2241" s="2" t="s">
        <v>35</v>
      </c>
      <c r="E2241" s="2">
        <v>2</v>
      </c>
      <c r="F2241" s="7">
        <v>179</v>
      </c>
      <c r="G2241" s="8">
        <v>0</v>
      </c>
      <c r="H2241" s="9" t="str">
        <f>INDEX(Products!$B$2:$B$37, MATCH(D2241, Products!$A$2:$A$37, 0))</f>
        <v>Men's Linen Shirt</v>
      </c>
      <c r="I2241" t="str">
        <f>INDEX(Products!$C$2:$C$37, MATCH(D2241, Products!$A$2:$A$37, 0))</f>
        <v>Fashion</v>
      </c>
      <c r="J2241">
        <f>INDEX(Products!$E$2:$E$37, MATCH(D2241, Products!$A$2:$A$37, 0))</f>
        <v>70</v>
      </c>
      <c r="K2241" s="9">
        <f t="shared" si="136"/>
        <v>358</v>
      </c>
      <c r="L2241">
        <f t="shared" si="137"/>
        <v>140</v>
      </c>
      <c r="M2241" s="9">
        <f t="shared" si="138"/>
        <v>218</v>
      </c>
      <c r="N2241" t="str">
        <f t="shared" si="139"/>
        <v>Jul</v>
      </c>
    </row>
    <row r="2242" spans="1:14" x14ac:dyDescent="0.3">
      <c r="A2242" s="2" t="s">
        <v>2308</v>
      </c>
      <c r="B2242" s="6">
        <v>45848</v>
      </c>
      <c r="C2242" s="2" t="s">
        <v>28</v>
      </c>
      <c r="D2242" s="2" t="s">
        <v>70</v>
      </c>
      <c r="E2242" s="2">
        <v>1</v>
      </c>
      <c r="F2242" s="7">
        <v>429</v>
      </c>
      <c r="G2242" s="8">
        <v>0.05</v>
      </c>
      <c r="H2242" s="9" t="str">
        <f>INDEX(Products!$B$2:$B$37, MATCH(D2242, Products!$A$2:$A$37, 0))</f>
        <v>Running Shoes Elite</v>
      </c>
      <c r="I2242" t="str">
        <f>INDEX(Products!$C$2:$C$37, MATCH(D2242, Products!$A$2:$A$37, 0))</f>
        <v>Fashion</v>
      </c>
      <c r="J2242">
        <f>INDEX(Products!$E$2:$E$37, MATCH(D2242, Products!$A$2:$A$37, 0))</f>
        <v>300</v>
      </c>
      <c r="K2242" s="9">
        <f t="shared" ref="K2242:K2305" si="140">E2242*F2242*(1-G2242)</f>
        <v>407.54999999999995</v>
      </c>
      <c r="L2242">
        <f t="shared" ref="L2242:L2305" si="141">E2242*J2242</f>
        <v>300</v>
      </c>
      <c r="M2242" s="9">
        <f t="shared" ref="M2242:M2305" si="142">K2242-L2242</f>
        <v>107.54999999999995</v>
      </c>
      <c r="N2242" t="str">
        <f t="shared" ref="N2242:N2305" si="143">TEXT(B2242,"mmm")</f>
        <v>Jul</v>
      </c>
    </row>
    <row r="2243" spans="1:14" x14ac:dyDescent="0.3">
      <c r="A2243" s="2" t="s">
        <v>2309</v>
      </c>
      <c r="B2243" s="6">
        <v>45849</v>
      </c>
      <c r="C2243" s="2" t="s">
        <v>31</v>
      </c>
      <c r="D2243" s="2" t="s">
        <v>92</v>
      </c>
      <c r="E2243" s="2">
        <v>1</v>
      </c>
      <c r="F2243" s="7">
        <v>349</v>
      </c>
      <c r="G2243" s="8">
        <v>0</v>
      </c>
      <c r="H2243" s="9" t="str">
        <f>INDEX(Products!$B$2:$B$37, MATCH(D2243, Products!$A$2:$A$37, 0))</f>
        <v>Non-stick Cookware Set</v>
      </c>
      <c r="I2243" t="str">
        <f>INDEX(Products!$C$2:$C$37, MATCH(D2243, Products!$A$2:$A$37, 0))</f>
        <v>Home &amp; Kitchen</v>
      </c>
      <c r="J2243">
        <f>INDEX(Products!$E$2:$E$37, MATCH(D2243, Products!$A$2:$A$37, 0))</f>
        <v>170</v>
      </c>
      <c r="K2243" s="9">
        <f t="shared" si="140"/>
        <v>349</v>
      </c>
      <c r="L2243">
        <f t="shared" si="141"/>
        <v>170</v>
      </c>
      <c r="M2243" s="9">
        <f t="shared" si="142"/>
        <v>179</v>
      </c>
      <c r="N2243" t="str">
        <f t="shared" si="143"/>
        <v>Jul</v>
      </c>
    </row>
    <row r="2244" spans="1:14" x14ac:dyDescent="0.3">
      <c r="A2244" s="2" t="s">
        <v>2310</v>
      </c>
      <c r="B2244" s="6">
        <v>45849</v>
      </c>
      <c r="C2244" s="2" t="s">
        <v>44</v>
      </c>
      <c r="D2244" s="2" t="s">
        <v>129</v>
      </c>
      <c r="E2244" s="2">
        <v>2</v>
      </c>
      <c r="F2244" s="7">
        <v>149</v>
      </c>
      <c r="G2244" s="8">
        <v>0.3</v>
      </c>
      <c r="H2244" s="9" t="str">
        <f>INDEX(Products!$B$2:$B$37, MATCH(D2244, Products!$A$2:$A$37, 0))</f>
        <v>Power Bank 20000mAh</v>
      </c>
      <c r="I2244" t="str">
        <f>INDEX(Products!$C$2:$C$37, MATCH(D2244, Products!$A$2:$A$37, 0))</f>
        <v>Electronics</v>
      </c>
      <c r="J2244">
        <f>INDEX(Products!$E$2:$E$37, MATCH(D2244, Products!$A$2:$A$37, 0))</f>
        <v>70</v>
      </c>
      <c r="K2244" s="9">
        <f t="shared" si="140"/>
        <v>208.6</v>
      </c>
      <c r="L2244">
        <f t="shared" si="141"/>
        <v>140</v>
      </c>
      <c r="M2244" s="9">
        <f t="shared" si="142"/>
        <v>68.599999999999994</v>
      </c>
      <c r="N2244" t="str">
        <f t="shared" si="143"/>
        <v>Jul</v>
      </c>
    </row>
    <row r="2245" spans="1:14" x14ac:dyDescent="0.3">
      <c r="A2245" s="2" t="s">
        <v>2311</v>
      </c>
      <c r="B2245" s="6">
        <v>45849</v>
      </c>
      <c r="C2245" s="2" t="s">
        <v>44</v>
      </c>
      <c r="D2245" s="2" t="s">
        <v>46</v>
      </c>
      <c r="E2245" s="2">
        <v>1</v>
      </c>
      <c r="F2245" s="7">
        <v>189</v>
      </c>
      <c r="G2245" s="8">
        <v>0</v>
      </c>
      <c r="H2245" s="9" t="str">
        <f>INDEX(Products!$B$2:$B$37, MATCH(D2245, Products!$A$2:$A$37, 0))</f>
        <v>Makeup Palette</v>
      </c>
      <c r="I2245" t="str">
        <f>INDEX(Products!$C$2:$C$37, MATCH(D2245, Products!$A$2:$A$37, 0))</f>
        <v>Beauty</v>
      </c>
      <c r="J2245">
        <f>INDEX(Products!$E$2:$E$37, MATCH(D2245, Products!$A$2:$A$37, 0))</f>
        <v>85</v>
      </c>
      <c r="K2245" s="9">
        <f t="shared" si="140"/>
        <v>189</v>
      </c>
      <c r="L2245">
        <f t="shared" si="141"/>
        <v>85</v>
      </c>
      <c r="M2245" s="9">
        <f t="shared" si="142"/>
        <v>104</v>
      </c>
      <c r="N2245" t="str">
        <f t="shared" si="143"/>
        <v>Jul</v>
      </c>
    </row>
    <row r="2246" spans="1:14" x14ac:dyDescent="0.3">
      <c r="A2246" s="2" t="s">
        <v>2312</v>
      </c>
      <c r="B2246" s="6">
        <v>45849</v>
      </c>
      <c r="C2246" s="2" t="s">
        <v>28</v>
      </c>
      <c r="D2246" s="2" t="s">
        <v>29</v>
      </c>
      <c r="E2246" s="2">
        <v>2</v>
      </c>
      <c r="F2246" s="7">
        <v>229</v>
      </c>
      <c r="G2246" s="8">
        <v>0.1</v>
      </c>
      <c r="H2246" s="9" t="str">
        <f>INDEX(Products!$B$2:$B$37, MATCH(D2246, Products!$A$2:$A$37, 0))</f>
        <v>Women's Summer Dress</v>
      </c>
      <c r="I2246" t="str">
        <f>INDEX(Products!$C$2:$C$37, MATCH(D2246, Products!$A$2:$A$37, 0))</f>
        <v>Fashion</v>
      </c>
      <c r="J2246">
        <f>INDEX(Products!$E$2:$E$37, MATCH(D2246, Products!$A$2:$A$37, 0))</f>
        <v>120</v>
      </c>
      <c r="K2246" s="9">
        <f t="shared" si="140"/>
        <v>412.2</v>
      </c>
      <c r="L2246">
        <f t="shared" si="141"/>
        <v>240</v>
      </c>
      <c r="M2246" s="9">
        <f t="shared" si="142"/>
        <v>172.2</v>
      </c>
      <c r="N2246" t="str">
        <f t="shared" si="143"/>
        <v>Jul</v>
      </c>
    </row>
    <row r="2247" spans="1:14" x14ac:dyDescent="0.3">
      <c r="A2247" s="2" t="s">
        <v>2313</v>
      </c>
      <c r="B2247" s="6">
        <v>45849</v>
      </c>
      <c r="C2247" s="2" t="s">
        <v>31</v>
      </c>
      <c r="D2247" s="2" t="s">
        <v>194</v>
      </c>
      <c r="E2247" s="2">
        <v>2</v>
      </c>
      <c r="F2247" s="7">
        <v>699</v>
      </c>
      <c r="G2247" s="8">
        <v>0</v>
      </c>
      <c r="H2247" s="9" t="str">
        <f>INDEX(Products!$B$2:$B$37, MATCH(D2247, Products!$A$2:$A$37, 0))</f>
        <v>Leather Handbag</v>
      </c>
      <c r="I2247" t="str">
        <f>INDEX(Products!$C$2:$C$37, MATCH(D2247, Products!$A$2:$A$37, 0))</f>
        <v>Fashion</v>
      </c>
      <c r="J2247">
        <f>INDEX(Products!$E$2:$E$37, MATCH(D2247, Products!$A$2:$A$37, 0))</f>
        <v>380</v>
      </c>
      <c r="K2247" s="9">
        <f t="shared" si="140"/>
        <v>1398</v>
      </c>
      <c r="L2247">
        <f t="shared" si="141"/>
        <v>760</v>
      </c>
      <c r="M2247" s="9">
        <f t="shared" si="142"/>
        <v>638</v>
      </c>
      <c r="N2247" t="str">
        <f t="shared" si="143"/>
        <v>Jul</v>
      </c>
    </row>
    <row r="2248" spans="1:14" x14ac:dyDescent="0.3">
      <c r="A2248" s="2" t="s">
        <v>2314</v>
      </c>
      <c r="B2248" s="6">
        <v>45849</v>
      </c>
      <c r="C2248" s="2" t="s">
        <v>44</v>
      </c>
      <c r="D2248" s="2" t="s">
        <v>49</v>
      </c>
      <c r="E2248" s="2">
        <v>1</v>
      </c>
      <c r="F2248" s="7">
        <v>149</v>
      </c>
      <c r="G2248" s="8">
        <v>0</v>
      </c>
      <c r="H2248" s="9" t="str">
        <f>INDEX(Products!$B$2:$B$37, MATCH(D2248, Products!$A$2:$A$37, 0))</f>
        <v>Kids' Sneakers</v>
      </c>
      <c r="I2248" t="str">
        <f>INDEX(Products!$C$2:$C$37, MATCH(D2248, Products!$A$2:$A$37, 0))</f>
        <v>Fashion</v>
      </c>
      <c r="J2248">
        <f>INDEX(Products!$E$2:$E$37, MATCH(D2248, Products!$A$2:$A$37, 0))</f>
        <v>80</v>
      </c>
      <c r="K2248" s="9">
        <f t="shared" si="140"/>
        <v>149</v>
      </c>
      <c r="L2248">
        <f t="shared" si="141"/>
        <v>80</v>
      </c>
      <c r="M2248" s="9">
        <f t="shared" si="142"/>
        <v>69</v>
      </c>
      <c r="N2248" t="str">
        <f t="shared" si="143"/>
        <v>Jul</v>
      </c>
    </row>
    <row r="2249" spans="1:14" x14ac:dyDescent="0.3">
      <c r="A2249" s="2" t="s">
        <v>2315</v>
      </c>
      <c r="B2249" s="6">
        <v>45849</v>
      </c>
      <c r="C2249" s="2" t="s">
        <v>48</v>
      </c>
      <c r="D2249" s="2" t="s">
        <v>109</v>
      </c>
      <c r="E2249" s="2">
        <v>1</v>
      </c>
      <c r="F2249" s="7">
        <v>1499</v>
      </c>
      <c r="G2249" s="8">
        <v>0.2</v>
      </c>
      <c r="H2249" s="9" t="str">
        <f>INDEX(Products!$B$2:$B$37, MATCH(D2249, Products!$A$2:$A$37, 0))</f>
        <v>Espresso Machine</v>
      </c>
      <c r="I2249" t="str">
        <f>INDEX(Products!$C$2:$C$37, MATCH(D2249, Products!$A$2:$A$37, 0))</f>
        <v>Home &amp; Kitchen</v>
      </c>
      <c r="J2249">
        <f>INDEX(Products!$E$2:$E$37, MATCH(D2249, Products!$A$2:$A$37, 0))</f>
        <v>1050</v>
      </c>
      <c r="K2249" s="9">
        <f t="shared" si="140"/>
        <v>1199.2</v>
      </c>
      <c r="L2249">
        <f t="shared" si="141"/>
        <v>1050</v>
      </c>
      <c r="M2249" s="9">
        <f t="shared" si="142"/>
        <v>149.20000000000005</v>
      </c>
      <c r="N2249" t="str">
        <f t="shared" si="143"/>
        <v>Jul</v>
      </c>
    </row>
    <row r="2250" spans="1:14" x14ac:dyDescent="0.3">
      <c r="A2250" s="2" t="s">
        <v>2316</v>
      </c>
      <c r="B2250" s="6">
        <v>45849</v>
      </c>
      <c r="C2250" s="2" t="s">
        <v>41</v>
      </c>
      <c r="D2250" s="2" t="s">
        <v>29</v>
      </c>
      <c r="E2250" s="2">
        <v>2</v>
      </c>
      <c r="F2250" s="7">
        <v>229</v>
      </c>
      <c r="G2250" s="8">
        <v>0</v>
      </c>
      <c r="H2250" s="9" t="str">
        <f>INDEX(Products!$B$2:$B$37, MATCH(D2250, Products!$A$2:$A$37, 0))</f>
        <v>Women's Summer Dress</v>
      </c>
      <c r="I2250" t="str">
        <f>INDEX(Products!$C$2:$C$37, MATCH(D2250, Products!$A$2:$A$37, 0))</f>
        <v>Fashion</v>
      </c>
      <c r="J2250">
        <f>INDEX(Products!$E$2:$E$37, MATCH(D2250, Products!$A$2:$A$37, 0))</f>
        <v>120</v>
      </c>
      <c r="K2250" s="9">
        <f t="shared" si="140"/>
        <v>458</v>
      </c>
      <c r="L2250">
        <f t="shared" si="141"/>
        <v>240</v>
      </c>
      <c r="M2250" s="9">
        <f t="shared" si="142"/>
        <v>218</v>
      </c>
      <c r="N2250" t="str">
        <f t="shared" si="143"/>
        <v>Jul</v>
      </c>
    </row>
    <row r="2251" spans="1:14" x14ac:dyDescent="0.3">
      <c r="A2251" s="2" t="s">
        <v>2317</v>
      </c>
      <c r="B2251" s="6">
        <v>45849</v>
      </c>
      <c r="C2251" s="2" t="s">
        <v>31</v>
      </c>
      <c r="D2251" s="2" t="s">
        <v>129</v>
      </c>
      <c r="E2251" s="2">
        <v>1</v>
      </c>
      <c r="F2251" s="7">
        <v>149</v>
      </c>
      <c r="G2251" s="8">
        <v>0.1</v>
      </c>
      <c r="H2251" s="9" t="str">
        <f>INDEX(Products!$B$2:$B$37, MATCH(D2251, Products!$A$2:$A$37, 0))</f>
        <v>Power Bank 20000mAh</v>
      </c>
      <c r="I2251" t="str">
        <f>INDEX(Products!$C$2:$C$37, MATCH(D2251, Products!$A$2:$A$37, 0))</f>
        <v>Electronics</v>
      </c>
      <c r="J2251">
        <f>INDEX(Products!$E$2:$E$37, MATCH(D2251, Products!$A$2:$A$37, 0))</f>
        <v>70</v>
      </c>
      <c r="K2251" s="9">
        <f t="shared" si="140"/>
        <v>134.1</v>
      </c>
      <c r="L2251">
        <f t="shared" si="141"/>
        <v>70</v>
      </c>
      <c r="M2251" s="9">
        <f t="shared" si="142"/>
        <v>64.099999999999994</v>
      </c>
      <c r="N2251" t="str">
        <f t="shared" si="143"/>
        <v>Jul</v>
      </c>
    </row>
    <row r="2252" spans="1:14" x14ac:dyDescent="0.3">
      <c r="A2252" s="2" t="s">
        <v>2318</v>
      </c>
      <c r="B2252" s="6">
        <v>45849</v>
      </c>
      <c r="C2252" s="2" t="s">
        <v>48</v>
      </c>
      <c r="D2252" s="2" t="s">
        <v>126</v>
      </c>
      <c r="E2252" s="2">
        <v>2</v>
      </c>
      <c r="F2252" s="7">
        <v>89</v>
      </c>
      <c r="G2252" s="8">
        <v>0.1</v>
      </c>
      <c r="H2252" s="9" t="str">
        <f>INDEX(Products!$B$2:$B$37, MATCH(D2252, Products!$A$2:$A$37, 0))</f>
        <v>USB-C Fast Charger</v>
      </c>
      <c r="I2252" t="str">
        <f>INDEX(Products!$C$2:$C$37, MATCH(D2252, Products!$A$2:$A$37, 0))</f>
        <v>Electronics</v>
      </c>
      <c r="J2252">
        <f>INDEX(Products!$E$2:$E$37, MATCH(D2252, Products!$A$2:$A$37, 0))</f>
        <v>35</v>
      </c>
      <c r="K2252" s="9">
        <f t="shared" si="140"/>
        <v>160.20000000000002</v>
      </c>
      <c r="L2252">
        <f t="shared" si="141"/>
        <v>70</v>
      </c>
      <c r="M2252" s="9">
        <f t="shared" si="142"/>
        <v>90.200000000000017</v>
      </c>
      <c r="N2252" t="str">
        <f t="shared" si="143"/>
        <v>Jul</v>
      </c>
    </row>
    <row r="2253" spans="1:14" x14ac:dyDescent="0.3">
      <c r="A2253" s="2" t="s">
        <v>2319</v>
      </c>
      <c r="B2253" s="6">
        <v>45850</v>
      </c>
      <c r="C2253" s="2" t="s">
        <v>28</v>
      </c>
      <c r="D2253" s="2" t="s">
        <v>80</v>
      </c>
      <c r="E2253" s="2">
        <v>3</v>
      </c>
      <c r="F2253" s="7">
        <v>149</v>
      </c>
      <c r="G2253" s="8">
        <v>0.05</v>
      </c>
      <c r="H2253" s="9" t="str">
        <f>INDEX(Products!$B$2:$B$37, MATCH(D2253, Products!$A$2:$A$37, 0))</f>
        <v>Vitamin C Serum</v>
      </c>
      <c r="I2253" t="str">
        <f>INDEX(Products!$C$2:$C$37, MATCH(D2253, Products!$A$2:$A$37, 0))</f>
        <v>Beauty</v>
      </c>
      <c r="J2253">
        <f>INDEX(Products!$E$2:$E$37, MATCH(D2253, Products!$A$2:$A$37, 0))</f>
        <v>55</v>
      </c>
      <c r="K2253" s="9">
        <f t="shared" si="140"/>
        <v>424.65</v>
      </c>
      <c r="L2253">
        <f t="shared" si="141"/>
        <v>165</v>
      </c>
      <c r="M2253" s="9">
        <f t="shared" si="142"/>
        <v>259.64999999999998</v>
      </c>
      <c r="N2253" t="str">
        <f t="shared" si="143"/>
        <v>Jul</v>
      </c>
    </row>
    <row r="2254" spans="1:14" x14ac:dyDescent="0.3">
      <c r="A2254" s="2" t="s">
        <v>2320</v>
      </c>
      <c r="B2254" s="6">
        <v>45850</v>
      </c>
      <c r="C2254" s="2" t="s">
        <v>41</v>
      </c>
      <c r="D2254" s="2" t="s">
        <v>37</v>
      </c>
      <c r="E2254" s="2">
        <v>1</v>
      </c>
      <c r="F2254" s="7">
        <v>249</v>
      </c>
      <c r="G2254" s="8">
        <v>0.05</v>
      </c>
      <c r="H2254" s="9" t="str">
        <f>INDEX(Products!$B$2:$B$37, MATCH(D2254, Products!$A$2:$A$37, 0))</f>
        <v>Sunglasses Polarised</v>
      </c>
      <c r="I2254" t="str">
        <f>INDEX(Products!$C$2:$C$37, MATCH(D2254, Products!$A$2:$A$37, 0))</f>
        <v>Fashion</v>
      </c>
      <c r="J2254">
        <f>INDEX(Products!$E$2:$E$37, MATCH(D2254, Products!$A$2:$A$37, 0))</f>
        <v>95</v>
      </c>
      <c r="K2254" s="9">
        <f t="shared" si="140"/>
        <v>236.54999999999998</v>
      </c>
      <c r="L2254">
        <f t="shared" si="141"/>
        <v>95</v>
      </c>
      <c r="M2254" s="9">
        <f t="shared" si="142"/>
        <v>141.54999999999998</v>
      </c>
      <c r="N2254" t="str">
        <f t="shared" si="143"/>
        <v>Jul</v>
      </c>
    </row>
    <row r="2255" spans="1:14" x14ac:dyDescent="0.3">
      <c r="A2255" s="2" t="s">
        <v>2321</v>
      </c>
      <c r="B2255" s="6">
        <v>45850</v>
      </c>
      <c r="C2255" s="2" t="s">
        <v>48</v>
      </c>
      <c r="D2255" s="2" t="s">
        <v>37</v>
      </c>
      <c r="E2255" s="2">
        <v>1</v>
      </c>
      <c r="F2255" s="7">
        <v>249</v>
      </c>
      <c r="G2255" s="8">
        <v>0</v>
      </c>
      <c r="H2255" s="9" t="str">
        <f>INDEX(Products!$B$2:$B$37, MATCH(D2255, Products!$A$2:$A$37, 0))</f>
        <v>Sunglasses Polarised</v>
      </c>
      <c r="I2255" t="str">
        <f>INDEX(Products!$C$2:$C$37, MATCH(D2255, Products!$A$2:$A$37, 0))</f>
        <v>Fashion</v>
      </c>
      <c r="J2255">
        <f>INDEX(Products!$E$2:$E$37, MATCH(D2255, Products!$A$2:$A$37, 0))</f>
        <v>95</v>
      </c>
      <c r="K2255" s="9">
        <f t="shared" si="140"/>
        <v>249</v>
      </c>
      <c r="L2255">
        <f t="shared" si="141"/>
        <v>95</v>
      </c>
      <c r="M2255" s="9">
        <f t="shared" si="142"/>
        <v>154</v>
      </c>
      <c r="N2255" t="str">
        <f t="shared" si="143"/>
        <v>Jul</v>
      </c>
    </row>
    <row r="2256" spans="1:14" x14ac:dyDescent="0.3">
      <c r="A2256" s="2" t="s">
        <v>2322</v>
      </c>
      <c r="B2256" s="6">
        <v>45850</v>
      </c>
      <c r="C2256" s="2" t="s">
        <v>41</v>
      </c>
      <c r="D2256" s="2" t="s">
        <v>80</v>
      </c>
      <c r="E2256" s="2">
        <v>2</v>
      </c>
      <c r="F2256" s="7">
        <v>149</v>
      </c>
      <c r="G2256" s="8">
        <v>0</v>
      </c>
      <c r="H2256" s="9" t="str">
        <f>INDEX(Products!$B$2:$B$37, MATCH(D2256, Products!$A$2:$A$37, 0))</f>
        <v>Vitamin C Serum</v>
      </c>
      <c r="I2256" t="str">
        <f>INDEX(Products!$C$2:$C$37, MATCH(D2256, Products!$A$2:$A$37, 0))</f>
        <v>Beauty</v>
      </c>
      <c r="J2256">
        <f>INDEX(Products!$E$2:$E$37, MATCH(D2256, Products!$A$2:$A$37, 0))</f>
        <v>55</v>
      </c>
      <c r="K2256" s="9">
        <f t="shared" si="140"/>
        <v>298</v>
      </c>
      <c r="L2256">
        <f t="shared" si="141"/>
        <v>110</v>
      </c>
      <c r="M2256" s="9">
        <f t="shared" si="142"/>
        <v>188</v>
      </c>
      <c r="N2256" t="str">
        <f t="shared" si="143"/>
        <v>Jul</v>
      </c>
    </row>
    <row r="2257" spans="1:14" x14ac:dyDescent="0.3">
      <c r="A2257" s="2" t="s">
        <v>2323</v>
      </c>
      <c r="B2257" s="6">
        <v>45850</v>
      </c>
      <c r="C2257" s="2" t="s">
        <v>48</v>
      </c>
      <c r="D2257" s="2" t="s">
        <v>46</v>
      </c>
      <c r="E2257" s="2">
        <v>3</v>
      </c>
      <c r="F2257" s="7">
        <v>189</v>
      </c>
      <c r="G2257" s="8">
        <v>0.3</v>
      </c>
      <c r="H2257" s="9" t="str">
        <f>INDEX(Products!$B$2:$B$37, MATCH(D2257, Products!$A$2:$A$37, 0))</f>
        <v>Makeup Palette</v>
      </c>
      <c r="I2257" t="str">
        <f>INDEX(Products!$C$2:$C$37, MATCH(D2257, Products!$A$2:$A$37, 0))</f>
        <v>Beauty</v>
      </c>
      <c r="J2257">
        <f>INDEX(Products!$E$2:$E$37, MATCH(D2257, Products!$A$2:$A$37, 0))</f>
        <v>85</v>
      </c>
      <c r="K2257" s="9">
        <f t="shared" si="140"/>
        <v>396.9</v>
      </c>
      <c r="L2257">
        <f t="shared" si="141"/>
        <v>255</v>
      </c>
      <c r="M2257" s="9">
        <f t="shared" si="142"/>
        <v>141.89999999999998</v>
      </c>
      <c r="N2257" t="str">
        <f t="shared" si="143"/>
        <v>Jul</v>
      </c>
    </row>
    <row r="2258" spans="1:14" x14ac:dyDescent="0.3">
      <c r="A2258" s="2" t="s">
        <v>2324</v>
      </c>
      <c r="B2258" s="6">
        <v>45850</v>
      </c>
      <c r="C2258" s="2" t="s">
        <v>31</v>
      </c>
      <c r="D2258" s="2" t="s">
        <v>103</v>
      </c>
      <c r="E2258" s="2">
        <v>1</v>
      </c>
      <c r="F2258" s="7">
        <v>89</v>
      </c>
      <c r="G2258" s="8">
        <v>0.15</v>
      </c>
      <c r="H2258" s="9" t="str">
        <f>INDEX(Products!$B$2:$B$37, MATCH(D2258, Products!$A$2:$A$37, 0))</f>
        <v>Sunscreen SPF50</v>
      </c>
      <c r="I2258" t="str">
        <f>INDEX(Products!$C$2:$C$37, MATCH(D2258, Products!$A$2:$A$37, 0))</f>
        <v>Beauty</v>
      </c>
      <c r="J2258">
        <f>INDEX(Products!$E$2:$E$37, MATCH(D2258, Products!$A$2:$A$37, 0))</f>
        <v>40</v>
      </c>
      <c r="K2258" s="9">
        <f t="shared" si="140"/>
        <v>75.649999999999991</v>
      </c>
      <c r="L2258">
        <f t="shared" si="141"/>
        <v>40</v>
      </c>
      <c r="M2258" s="9">
        <f t="shared" si="142"/>
        <v>35.649999999999991</v>
      </c>
      <c r="N2258" t="str">
        <f t="shared" si="143"/>
        <v>Jul</v>
      </c>
    </row>
    <row r="2259" spans="1:14" x14ac:dyDescent="0.3">
      <c r="A2259" s="2" t="s">
        <v>2325</v>
      </c>
      <c r="B2259" s="6">
        <v>45850</v>
      </c>
      <c r="C2259" s="2" t="s">
        <v>44</v>
      </c>
      <c r="D2259" s="2" t="s">
        <v>39</v>
      </c>
      <c r="E2259" s="2">
        <v>2</v>
      </c>
      <c r="F2259" s="7">
        <v>199</v>
      </c>
      <c r="G2259" s="8">
        <v>0</v>
      </c>
      <c r="H2259" s="9" t="str">
        <f>INDEX(Products!$B$2:$B$37, MATCH(D2259, Products!$A$2:$A$37, 0))</f>
        <v>Bakhoor Gift Set</v>
      </c>
      <c r="I2259" t="str">
        <f>INDEX(Products!$C$2:$C$37, MATCH(D2259, Products!$A$2:$A$37, 0))</f>
        <v>Beauty</v>
      </c>
      <c r="J2259">
        <f>INDEX(Products!$E$2:$E$37, MATCH(D2259, Products!$A$2:$A$37, 0))</f>
        <v>90</v>
      </c>
      <c r="K2259" s="9">
        <f t="shared" si="140"/>
        <v>398</v>
      </c>
      <c r="L2259">
        <f t="shared" si="141"/>
        <v>180</v>
      </c>
      <c r="M2259" s="9">
        <f t="shared" si="142"/>
        <v>218</v>
      </c>
      <c r="N2259" t="str">
        <f t="shared" si="143"/>
        <v>Jul</v>
      </c>
    </row>
    <row r="2260" spans="1:14" x14ac:dyDescent="0.3">
      <c r="A2260" s="2" t="s">
        <v>2326</v>
      </c>
      <c r="B2260" s="6">
        <v>45850</v>
      </c>
      <c r="C2260" s="2" t="s">
        <v>31</v>
      </c>
      <c r="D2260" s="2" t="s">
        <v>35</v>
      </c>
      <c r="E2260" s="2">
        <v>1</v>
      </c>
      <c r="F2260" s="7">
        <v>179</v>
      </c>
      <c r="G2260" s="8">
        <v>0.1</v>
      </c>
      <c r="H2260" s="9" t="str">
        <f>INDEX(Products!$B$2:$B$37, MATCH(D2260, Products!$A$2:$A$37, 0))</f>
        <v>Men's Linen Shirt</v>
      </c>
      <c r="I2260" t="str">
        <f>INDEX(Products!$C$2:$C$37, MATCH(D2260, Products!$A$2:$A$37, 0))</f>
        <v>Fashion</v>
      </c>
      <c r="J2260">
        <f>INDEX(Products!$E$2:$E$37, MATCH(D2260, Products!$A$2:$A$37, 0))</f>
        <v>70</v>
      </c>
      <c r="K2260" s="9">
        <f t="shared" si="140"/>
        <v>161.1</v>
      </c>
      <c r="L2260">
        <f t="shared" si="141"/>
        <v>70</v>
      </c>
      <c r="M2260" s="9">
        <f t="shared" si="142"/>
        <v>91.1</v>
      </c>
      <c r="N2260" t="str">
        <f t="shared" si="143"/>
        <v>Jul</v>
      </c>
    </row>
    <row r="2261" spans="1:14" x14ac:dyDescent="0.3">
      <c r="A2261" s="2" t="s">
        <v>2327</v>
      </c>
      <c r="B2261" s="6">
        <v>45850</v>
      </c>
      <c r="C2261" s="2" t="s">
        <v>41</v>
      </c>
      <c r="D2261" s="2" t="s">
        <v>60</v>
      </c>
      <c r="E2261" s="2">
        <v>1</v>
      </c>
      <c r="F2261" s="7">
        <v>99</v>
      </c>
      <c r="G2261" s="8">
        <v>0.05</v>
      </c>
      <c r="H2261" s="9" t="str">
        <f>INDEX(Products!$B$2:$B$37, MATCH(D2261, Products!$A$2:$A$37, 0))</f>
        <v>Football Size 5</v>
      </c>
      <c r="I2261" t="str">
        <f>INDEX(Products!$C$2:$C$37, MATCH(D2261, Products!$A$2:$A$37, 0))</f>
        <v>Sports</v>
      </c>
      <c r="J2261">
        <f>INDEX(Products!$E$2:$E$37, MATCH(D2261, Products!$A$2:$A$37, 0))</f>
        <v>45</v>
      </c>
      <c r="K2261" s="9">
        <f t="shared" si="140"/>
        <v>94.05</v>
      </c>
      <c r="L2261">
        <f t="shared" si="141"/>
        <v>45</v>
      </c>
      <c r="M2261" s="9">
        <f t="shared" si="142"/>
        <v>49.05</v>
      </c>
      <c r="N2261" t="str">
        <f t="shared" si="143"/>
        <v>Jul</v>
      </c>
    </row>
    <row r="2262" spans="1:14" x14ac:dyDescent="0.3">
      <c r="A2262" s="2" t="s">
        <v>2328</v>
      </c>
      <c r="B2262" s="6">
        <v>45850</v>
      </c>
      <c r="C2262" s="2" t="s">
        <v>31</v>
      </c>
      <c r="D2262" s="2" t="s">
        <v>149</v>
      </c>
      <c r="E2262" s="2">
        <v>1</v>
      </c>
      <c r="F2262" s="7">
        <v>399</v>
      </c>
      <c r="G2262" s="8">
        <v>0.1</v>
      </c>
      <c r="H2262" s="9" t="str">
        <f>INDEX(Products!$B$2:$B$37, MATCH(D2262, Products!$A$2:$A$37, 0))</f>
        <v>Blender Pro 1200W</v>
      </c>
      <c r="I2262" t="str">
        <f>INDEX(Products!$C$2:$C$37, MATCH(D2262, Products!$A$2:$A$37, 0))</f>
        <v>Home &amp; Kitchen</v>
      </c>
      <c r="J2262">
        <f>INDEX(Products!$E$2:$E$37, MATCH(D2262, Products!$A$2:$A$37, 0))</f>
        <v>250</v>
      </c>
      <c r="K2262" s="9">
        <f t="shared" si="140"/>
        <v>359.1</v>
      </c>
      <c r="L2262">
        <f t="shared" si="141"/>
        <v>250</v>
      </c>
      <c r="M2262" s="9">
        <f t="shared" si="142"/>
        <v>109.10000000000002</v>
      </c>
      <c r="N2262" t="str">
        <f t="shared" si="143"/>
        <v>Jul</v>
      </c>
    </row>
    <row r="2263" spans="1:14" x14ac:dyDescent="0.3">
      <c r="A2263" s="2" t="s">
        <v>2329</v>
      </c>
      <c r="B2263" s="6">
        <v>45851</v>
      </c>
      <c r="C2263" s="2" t="s">
        <v>28</v>
      </c>
      <c r="D2263" s="2" t="s">
        <v>75</v>
      </c>
      <c r="E2263" s="2">
        <v>1</v>
      </c>
      <c r="F2263" s="7">
        <v>549</v>
      </c>
      <c r="G2263" s="8">
        <v>0</v>
      </c>
      <c r="H2263" s="9" t="str">
        <f>INDEX(Products!$B$2:$B$37, MATCH(D2263, Products!$A$2:$A$37, 0))</f>
        <v>Oud Perfume 100ml</v>
      </c>
      <c r="I2263" t="str">
        <f>INDEX(Products!$C$2:$C$37, MATCH(D2263, Products!$A$2:$A$37, 0))</f>
        <v>Beauty</v>
      </c>
      <c r="J2263">
        <f>INDEX(Products!$E$2:$E$37, MATCH(D2263, Products!$A$2:$A$37, 0))</f>
        <v>250</v>
      </c>
      <c r="K2263" s="9">
        <f t="shared" si="140"/>
        <v>549</v>
      </c>
      <c r="L2263">
        <f t="shared" si="141"/>
        <v>250</v>
      </c>
      <c r="M2263" s="9">
        <f t="shared" si="142"/>
        <v>299</v>
      </c>
      <c r="N2263" t="str">
        <f t="shared" si="143"/>
        <v>Jul</v>
      </c>
    </row>
    <row r="2264" spans="1:14" x14ac:dyDescent="0.3">
      <c r="A2264" s="2" t="s">
        <v>2330</v>
      </c>
      <c r="B2264" s="6">
        <v>45851</v>
      </c>
      <c r="C2264" s="2" t="s">
        <v>28</v>
      </c>
      <c r="D2264" s="2" t="s">
        <v>126</v>
      </c>
      <c r="E2264" s="2">
        <v>1</v>
      </c>
      <c r="F2264" s="7">
        <v>89</v>
      </c>
      <c r="G2264" s="8">
        <v>0</v>
      </c>
      <c r="H2264" s="9" t="str">
        <f>INDEX(Products!$B$2:$B$37, MATCH(D2264, Products!$A$2:$A$37, 0))</f>
        <v>USB-C Fast Charger</v>
      </c>
      <c r="I2264" t="str">
        <f>INDEX(Products!$C$2:$C$37, MATCH(D2264, Products!$A$2:$A$37, 0))</f>
        <v>Electronics</v>
      </c>
      <c r="J2264">
        <f>INDEX(Products!$E$2:$E$37, MATCH(D2264, Products!$A$2:$A$37, 0))</f>
        <v>35</v>
      </c>
      <c r="K2264" s="9">
        <f t="shared" si="140"/>
        <v>89</v>
      </c>
      <c r="L2264">
        <f t="shared" si="141"/>
        <v>35</v>
      </c>
      <c r="M2264" s="9">
        <f t="shared" si="142"/>
        <v>54</v>
      </c>
      <c r="N2264" t="str">
        <f t="shared" si="143"/>
        <v>Jul</v>
      </c>
    </row>
    <row r="2265" spans="1:14" x14ac:dyDescent="0.3">
      <c r="A2265" s="2" t="s">
        <v>2331</v>
      </c>
      <c r="B2265" s="6">
        <v>45851</v>
      </c>
      <c r="C2265" s="2" t="s">
        <v>44</v>
      </c>
      <c r="D2265" s="2" t="s">
        <v>78</v>
      </c>
      <c r="E2265" s="2">
        <v>2</v>
      </c>
      <c r="F2265" s="7">
        <v>499</v>
      </c>
      <c r="G2265" s="8">
        <v>0.15</v>
      </c>
      <c r="H2265" s="9" t="str">
        <f>INDEX(Products!$B$2:$B$37, MATCH(D2265, Products!$A$2:$A$37, 0))</f>
        <v>Air Fryer 5L</v>
      </c>
      <c r="I2265" t="str">
        <f>INDEX(Products!$C$2:$C$37, MATCH(D2265, Products!$A$2:$A$37, 0))</f>
        <v>Home &amp; Kitchen</v>
      </c>
      <c r="J2265">
        <f>INDEX(Products!$E$2:$E$37, MATCH(D2265, Products!$A$2:$A$37, 0))</f>
        <v>290</v>
      </c>
      <c r="K2265" s="9">
        <f t="shared" si="140"/>
        <v>848.3</v>
      </c>
      <c r="L2265">
        <f t="shared" si="141"/>
        <v>580</v>
      </c>
      <c r="M2265" s="9">
        <f t="shared" si="142"/>
        <v>268.29999999999995</v>
      </c>
      <c r="N2265" t="str">
        <f t="shared" si="143"/>
        <v>Jul</v>
      </c>
    </row>
    <row r="2266" spans="1:14" x14ac:dyDescent="0.3">
      <c r="A2266" s="2" t="s">
        <v>2332</v>
      </c>
      <c r="B2266" s="6">
        <v>45851</v>
      </c>
      <c r="C2266" s="2" t="s">
        <v>48</v>
      </c>
      <c r="D2266" s="2" t="s">
        <v>49</v>
      </c>
      <c r="E2266" s="2">
        <v>1</v>
      </c>
      <c r="F2266" s="7">
        <v>149</v>
      </c>
      <c r="G2266" s="8">
        <v>0</v>
      </c>
      <c r="H2266" s="9" t="str">
        <f>INDEX(Products!$B$2:$B$37, MATCH(D2266, Products!$A$2:$A$37, 0))</f>
        <v>Kids' Sneakers</v>
      </c>
      <c r="I2266" t="str">
        <f>INDEX(Products!$C$2:$C$37, MATCH(D2266, Products!$A$2:$A$37, 0))</f>
        <v>Fashion</v>
      </c>
      <c r="J2266">
        <f>INDEX(Products!$E$2:$E$37, MATCH(D2266, Products!$A$2:$A$37, 0))</f>
        <v>80</v>
      </c>
      <c r="K2266" s="9">
        <f t="shared" si="140"/>
        <v>149</v>
      </c>
      <c r="L2266">
        <f t="shared" si="141"/>
        <v>80</v>
      </c>
      <c r="M2266" s="9">
        <f t="shared" si="142"/>
        <v>69</v>
      </c>
      <c r="N2266" t="str">
        <f t="shared" si="143"/>
        <v>Jul</v>
      </c>
    </row>
    <row r="2267" spans="1:14" x14ac:dyDescent="0.3">
      <c r="A2267" s="2" t="s">
        <v>2333</v>
      </c>
      <c r="B2267" s="6">
        <v>45851</v>
      </c>
      <c r="C2267" s="2" t="s">
        <v>41</v>
      </c>
      <c r="D2267" s="2" t="s">
        <v>39</v>
      </c>
      <c r="E2267" s="2">
        <v>1</v>
      </c>
      <c r="F2267" s="7">
        <v>199</v>
      </c>
      <c r="G2267" s="8">
        <v>0</v>
      </c>
      <c r="H2267" s="9" t="str">
        <f>INDEX(Products!$B$2:$B$37, MATCH(D2267, Products!$A$2:$A$37, 0))</f>
        <v>Bakhoor Gift Set</v>
      </c>
      <c r="I2267" t="str">
        <f>INDEX(Products!$C$2:$C$37, MATCH(D2267, Products!$A$2:$A$37, 0))</f>
        <v>Beauty</v>
      </c>
      <c r="J2267">
        <f>INDEX(Products!$E$2:$E$37, MATCH(D2267, Products!$A$2:$A$37, 0))</f>
        <v>90</v>
      </c>
      <c r="K2267" s="9">
        <f t="shared" si="140"/>
        <v>199</v>
      </c>
      <c r="L2267">
        <f t="shared" si="141"/>
        <v>90</v>
      </c>
      <c r="M2267" s="9">
        <f t="shared" si="142"/>
        <v>109</v>
      </c>
      <c r="N2267" t="str">
        <f t="shared" si="143"/>
        <v>Jul</v>
      </c>
    </row>
    <row r="2268" spans="1:14" x14ac:dyDescent="0.3">
      <c r="A2268" s="2" t="s">
        <v>2334</v>
      </c>
      <c r="B2268" s="6">
        <v>45851</v>
      </c>
      <c r="C2268" s="2" t="s">
        <v>41</v>
      </c>
      <c r="D2268" s="2" t="s">
        <v>46</v>
      </c>
      <c r="E2268" s="2">
        <v>1</v>
      </c>
      <c r="F2268" s="7">
        <v>189</v>
      </c>
      <c r="G2268" s="8">
        <v>0.05</v>
      </c>
      <c r="H2268" s="9" t="str">
        <f>INDEX(Products!$B$2:$B$37, MATCH(D2268, Products!$A$2:$A$37, 0))</f>
        <v>Makeup Palette</v>
      </c>
      <c r="I2268" t="str">
        <f>INDEX(Products!$C$2:$C$37, MATCH(D2268, Products!$A$2:$A$37, 0))</f>
        <v>Beauty</v>
      </c>
      <c r="J2268">
        <f>INDEX(Products!$E$2:$E$37, MATCH(D2268, Products!$A$2:$A$37, 0))</f>
        <v>85</v>
      </c>
      <c r="K2268" s="9">
        <f t="shared" si="140"/>
        <v>179.54999999999998</v>
      </c>
      <c r="L2268">
        <f t="shared" si="141"/>
        <v>85</v>
      </c>
      <c r="M2268" s="9">
        <f t="shared" si="142"/>
        <v>94.549999999999983</v>
      </c>
      <c r="N2268" t="str">
        <f t="shared" si="143"/>
        <v>Jul</v>
      </c>
    </row>
    <row r="2269" spans="1:14" x14ac:dyDescent="0.3">
      <c r="A2269" s="2" t="s">
        <v>2335</v>
      </c>
      <c r="B2269" s="6">
        <v>45851</v>
      </c>
      <c r="C2269" s="2" t="s">
        <v>28</v>
      </c>
      <c r="D2269" s="2" t="s">
        <v>89</v>
      </c>
      <c r="E2269" s="2">
        <v>1</v>
      </c>
      <c r="F2269" s="7">
        <v>399</v>
      </c>
      <c r="G2269" s="8">
        <v>0</v>
      </c>
      <c r="H2269" s="9" t="str">
        <f>INDEX(Products!$B$2:$B$37, MATCH(D2269, Products!$A$2:$A$37, 0))</f>
        <v>Men's Kandura Premium</v>
      </c>
      <c r="I2269" t="str">
        <f>INDEX(Products!$C$2:$C$37, MATCH(D2269, Products!$A$2:$A$37, 0))</f>
        <v>Fashion</v>
      </c>
      <c r="J2269">
        <f>INDEX(Products!$E$2:$E$37, MATCH(D2269, Products!$A$2:$A$37, 0))</f>
        <v>210</v>
      </c>
      <c r="K2269" s="9">
        <f t="shared" si="140"/>
        <v>399</v>
      </c>
      <c r="L2269">
        <f t="shared" si="141"/>
        <v>210</v>
      </c>
      <c r="M2269" s="9">
        <f t="shared" si="142"/>
        <v>189</v>
      </c>
      <c r="N2269" t="str">
        <f t="shared" si="143"/>
        <v>Jul</v>
      </c>
    </row>
    <row r="2270" spans="1:14" x14ac:dyDescent="0.3">
      <c r="A2270" s="2" t="s">
        <v>2336</v>
      </c>
      <c r="B2270" s="6">
        <v>45851</v>
      </c>
      <c r="C2270" s="2" t="s">
        <v>41</v>
      </c>
      <c r="D2270" s="2" t="s">
        <v>56</v>
      </c>
      <c r="E2270" s="2">
        <v>1</v>
      </c>
      <c r="F2270" s="7">
        <v>289</v>
      </c>
      <c r="G2270" s="8">
        <v>0</v>
      </c>
      <c r="H2270" s="9" t="str">
        <f>INDEX(Products!$B$2:$B$37, MATCH(D2270, Products!$A$2:$A$37, 0))</f>
        <v>Ceramic Dinner Set</v>
      </c>
      <c r="I2270" t="str">
        <f>INDEX(Products!$C$2:$C$37, MATCH(D2270, Products!$A$2:$A$37, 0))</f>
        <v>Home &amp; Kitchen</v>
      </c>
      <c r="J2270">
        <f>INDEX(Products!$E$2:$E$37, MATCH(D2270, Products!$A$2:$A$37, 0))</f>
        <v>140</v>
      </c>
      <c r="K2270" s="9">
        <f t="shared" si="140"/>
        <v>289</v>
      </c>
      <c r="L2270">
        <f t="shared" si="141"/>
        <v>140</v>
      </c>
      <c r="M2270" s="9">
        <f t="shared" si="142"/>
        <v>149</v>
      </c>
      <c r="N2270" t="str">
        <f t="shared" si="143"/>
        <v>Jul</v>
      </c>
    </row>
    <row r="2271" spans="1:14" x14ac:dyDescent="0.3">
      <c r="A2271" s="2" t="s">
        <v>2337</v>
      </c>
      <c r="B2271" s="6">
        <v>45851</v>
      </c>
      <c r="C2271" s="2" t="s">
        <v>41</v>
      </c>
      <c r="D2271" s="2" t="s">
        <v>58</v>
      </c>
      <c r="E2271" s="2">
        <v>1</v>
      </c>
      <c r="F2271" s="7">
        <v>459</v>
      </c>
      <c r="G2271" s="8">
        <v>0</v>
      </c>
      <c r="H2271" s="9" t="str">
        <f>INDEX(Products!$B$2:$B$37, MATCH(D2271, Products!$A$2:$A$37, 0))</f>
        <v>Women's Abaya Classic</v>
      </c>
      <c r="I2271" t="str">
        <f>INDEX(Products!$C$2:$C$37, MATCH(D2271, Products!$A$2:$A$37, 0))</f>
        <v>Fashion</v>
      </c>
      <c r="J2271">
        <f>INDEX(Products!$E$2:$E$37, MATCH(D2271, Products!$A$2:$A$37, 0))</f>
        <v>190</v>
      </c>
      <c r="K2271" s="9">
        <f t="shared" si="140"/>
        <v>459</v>
      </c>
      <c r="L2271">
        <f t="shared" si="141"/>
        <v>190</v>
      </c>
      <c r="M2271" s="9">
        <f t="shared" si="142"/>
        <v>269</v>
      </c>
      <c r="N2271" t="str">
        <f t="shared" si="143"/>
        <v>Jul</v>
      </c>
    </row>
    <row r="2272" spans="1:14" x14ac:dyDescent="0.3">
      <c r="A2272" s="2" t="s">
        <v>2338</v>
      </c>
      <c r="B2272" s="6">
        <v>45851</v>
      </c>
      <c r="C2272" s="2" t="s">
        <v>28</v>
      </c>
      <c r="D2272" s="2" t="s">
        <v>37</v>
      </c>
      <c r="E2272" s="2">
        <v>1</v>
      </c>
      <c r="F2272" s="7">
        <v>249</v>
      </c>
      <c r="G2272" s="8">
        <v>0.15</v>
      </c>
      <c r="H2272" s="9" t="str">
        <f>INDEX(Products!$B$2:$B$37, MATCH(D2272, Products!$A$2:$A$37, 0))</f>
        <v>Sunglasses Polarised</v>
      </c>
      <c r="I2272" t="str">
        <f>INDEX(Products!$C$2:$C$37, MATCH(D2272, Products!$A$2:$A$37, 0))</f>
        <v>Fashion</v>
      </c>
      <c r="J2272">
        <f>INDEX(Products!$E$2:$E$37, MATCH(D2272, Products!$A$2:$A$37, 0))</f>
        <v>95</v>
      </c>
      <c r="K2272" s="9">
        <f t="shared" si="140"/>
        <v>211.65</v>
      </c>
      <c r="L2272">
        <f t="shared" si="141"/>
        <v>95</v>
      </c>
      <c r="M2272" s="9">
        <f t="shared" si="142"/>
        <v>116.65</v>
      </c>
      <c r="N2272" t="str">
        <f t="shared" si="143"/>
        <v>Jul</v>
      </c>
    </row>
    <row r="2273" spans="1:14" x14ac:dyDescent="0.3">
      <c r="A2273" s="2" t="s">
        <v>2339</v>
      </c>
      <c r="B2273" s="6">
        <v>45851</v>
      </c>
      <c r="C2273" s="2" t="s">
        <v>44</v>
      </c>
      <c r="D2273" s="2" t="s">
        <v>29</v>
      </c>
      <c r="E2273" s="2">
        <v>1</v>
      </c>
      <c r="F2273" s="7">
        <v>229</v>
      </c>
      <c r="G2273" s="8">
        <v>0</v>
      </c>
      <c r="H2273" s="9" t="str">
        <f>INDEX(Products!$B$2:$B$37, MATCH(D2273, Products!$A$2:$A$37, 0))</f>
        <v>Women's Summer Dress</v>
      </c>
      <c r="I2273" t="str">
        <f>INDEX(Products!$C$2:$C$37, MATCH(D2273, Products!$A$2:$A$37, 0))</f>
        <v>Fashion</v>
      </c>
      <c r="J2273">
        <f>INDEX(Products!$E$2:$E$37, MATCH(D2273, Products!$A$2:$A$37, 0))</f>
        <v>120</v>
      </c>
      <c r="K2273" s="9">
        <f t="shared" si="140"/>
        <v>229</v>
      </c>
      <c r="L2273">
        <f t="shared" si="141"/>
        <v>120</v>
      </c>
      <c r="M2273" s="9">
        <f t="shared" si="142"/>
        <v>109</v>
      </c>
      <c r="N2273" t="str">
        <f t="shared" si="143"/>
        <v>Jul</v>
      </c>
    </row>
    <row r="2274" spans="1:14" x14ac:dyDescent="0.3">
      <c r="A2274" s="2" t="s">
        <v>2340</v>
      </c>
      <c r="B2274" s="6">
        <v>45852</v>
      </c>
      <c r="C2274" s="2" t="s">
        <v>28</v>
      </c>
      <c r="D2274" s="2" t="s">
        <v>39</v>
      </c>
      <c r="E2274" s="2">
        <v>1</v>
      </c>
      <c r="F2274" s="7">
        <v>199</v>
      </c>
      <c r="G2274" s="8">
        <v>0.3</v>
      </c>
      <c r="H2274" s="9" t="str">
        <f>INDEX(Products!$B$2:$B$37, MATCH(D2274, Products!$A$2:$A$37, 0))</f>
        <v>Bakhoor Gift Set</v>
      </c>
      <c r="I2274" t="str">
        <f>INDEX(Products!$C$2:$C$37, MATCH(D2274, Products!$A$2:$A$37, 0))</f>
        <v>Beauty</v>
      </c>
      <c r="J2274">
        <f>INDEX(Products!$E$2:$E$37, MATCH(D2274, Products!$A$2:$A$37, 0))</f>
        <v>90</v>
      </c>
      <c r="K2274" s="9">
        <f t="shared" si="140"/>
        <v>139.29999999999998</v>
      </c>
      <c r="L2274">
        <f t="shared" si="141"/>
        <v>90</v>
      </c>
      <c r="M2274" s="9">
        <f t="shared" si="142"/>
        <v>49.299999999999983</v>
      </c>
      <c r="N2274" t="str">
        <f t="shared" si="143"/>
        <v>Jul</v>
      </c>
    </row>
    <row r="2275" spans="1:14" x14ac:dyDescent="0.3">
      <c r="A2275" s="2" t="s">
        <v>2341</v>
      </c>
      <c r="B2275" s="6">
        <v>45852</v>
      </c>
      <c r="C2275" s="2" t="s">
        <v>44</v>
      </c>
      <c r="D2275" s="2" t="s">
        <v>194</v>
      </c>
      <c r="E2275" s="2">
        <v>2</v>
      </c>
      <c r="F2275" s="7">
        <v>699</v>
      </c>
      <c r="G2275" s="8">
        <v>0.2</v>
      </c>
      <c r="H2275" s="9" t="str">
        <f>INDEX(Products!$B$2:$B$37, MATCH(D2275, Products!$A$2:$A$37, 0))</f>
        <v>Leather Handbag</v>
      </c>
      <c r="I2275" t="str">
        <f>INDEX(Products!$C$2:$C$37, MATCH(D2275, Products!$A$2:$A$37, 0))</f>
        <v>Fashion</v>
      </c>
      <c r="J2275">
        <f>INDEX(Products!$E$2:$E$37, MATCH(D2275, Products!$A$2:$A$37, 0))</f>
        <v>380</v>
      </c>
      <c r="K2275" s="9">
        <f t="shared" si="140"/>
        <v>1118.4000000000001</v>
      </c>
      <c r="L2275">
        <f t="shared" si="141"/>
        <v>760</v>
      </c>
      <c r="M2275" s="9">
        <f t="shared" si="142"/>
        <v>358.40000000000009</v>
      </c>
      <c r="N2275" t="str">
        <f t="shared" si="143"/>
        <v>Jul</v>
      </c>
    </row>
    <row r="2276" spans="1:14" x14ac:dyDescent="0.3">
      <c r="A2276" s="2" t="s">
        <v>2342</v>
      </c>
      <c r="B2276" s="6">
        <v>45852</v>
      </c>
      <c r="C2276" s="2" t="s">
        <v>44</v>
      </c>
      <c r="D2276" s="2" t="s">
        <v>95</v>
      </c>
      <c r="E2276" s="2">
        <v>1</v>
      </c>
      <c r="F2276" s="7">
        <v>259</v>
      </c>
      <c r="G2276" s="8">
        <v>0.05</v>
      </c>
      <c r="H2276" s="9" t="str">
        <f>INDEX(Products!$B$2:$B$37, MATCH(D2276, Products!$A$2:$A$37, 0))</f>
        <v>Bed Linen Set (King)</v>
      </c>
      <c r="I2276" t="str">
        <f>INDEX(Products!$C$2:$C$37, MATCH(D2276, Products!$A$2:$A$37, 0))</f>
        <v>Home &amp; Kitchen</v>
      </c>
      <c r="J2276">
        <f>INDEX(Products!$E$2:$E$37, MATCH(D2276, Products!$A$2:$A$37, 0))</f>
        <v>115</v>
      </c>
      <c r="K2276" s="9">
        <f t="shared" si="140"/>
        <v>246.04999999999998</v>
      </c>
      <c r="L2276">
        <f t="shared" si="141"/>
        <v>115</v>
      </c>
      <c r="M2276" s="9">
        <f t="shared" si="142"/>
        <v>131.04999999999998</v>
      </c>
      <c r="N2276" t="str">
        <f t="shared" si="143"/>
        <v>Jul</v>
      </c>
    </row>
    <row r="2277" spans="1:14" x14ac:dyDescent="0.3">
      <c r="A2277" s="2" t="s">
        <v>2343</v>
      </c>
      <c r="B2277" s="6">
        <v>45852</v>
      </c>
      <c r="C2277" s="2" t="s">
        <v>41</v>
      </c>
      <c r="D2277" s="2" t="s">
        <v>58</v>
      </c>
      <c r="E2277" s="2">
        <v>1</v>
      </c>
      <c r="F2277" s="7">
        <v>459</v>
      </c>
      <c r="G2277" s="8">
        <v>0</v>
      </c>
      <c r="H2277" s="9" t="str">
        <f>INDEX(Products!$B$2:$B$37, MATCH(D2277, Products!$A$2:$A$37, 0))</f>
        <v>Women's Abaya Classic</v>
      </c>
      <c r="I2277" t="str">
        <f>INDEX(Products!$C$2:$C$37, MATCH(D2277, Products!$A$2:$A$37, 0))</f>
        <v>Fashion</v>
      </c>
      <c r="J2277">
        <f>INDEX(Products!$E$2:$E$37, MATCH(D2277, Products!$A$2:$A$37, 0))</f>
        <v>190</v>
      </c>
      <c r="K2277" s="9">
        <f t="shared" si="140"/>
        <v>459</v>
      </c>
      <c r="L2277">
        <f t="shared" si="141"/>
        <v>190</v>
      </c>
      <c r="M2277" s="9">
        <f t="shared" si="142"/>
        <v>269</v>
      </c>
      <c r="N2277" t="str">
        <f t="shared" si="143"/>
        <v>Jul</v>
      </c>
    </row>
    <row r="2278" spans="1:14" x14ac:dyDescent="0.3">
      <c r="A2278" s="2" t="s">
        <v>2344</v>
      </c>
      <c r="B2278" s="6">
        <v>45852</v>
      </c>
      <c r="C2278" s="2" t="s">
        <v>48</v>
      </c>
      <c r="D2278" s="2" t="s">
        <v>103</v>
      </c>
      <c r="E2278" s="2">
        <v>2</v>
      </c>
      <c r="F2278" s="7">
        <v>89</v>
      </c>
      <c r="G2278" s="8">
        <v>0.3</v>
      </c>
      <c r="H2278" s="9" t="str">
        <f>INDEX(Products!$B$2:$B$37, MATCH(D2278, Products!$A$2:$A$37, 0))</f>
        <v>Sunscreen SPF50</v>
      </c>
      <c r="I2278" t="str">
        <f>INDEX(Products!$C$2:$C$37, MATCH(D2278, Products!$A$2:$A$37, 0))</f>
        <v>Beauty</v>
      </c>
      <c r="J2278">
        <f>INDEX(Products!$E$2:$E$37, MATCH(D2278, Products!$A$2:$A$37, 0))</f>
        <v>40</v>
      </c>
      <c r="K2278" s="9">
        <f t="shared" si="140"/>
        <v>124.6</v>
      </c>
      <c r="L2278">
        <f t="shared" si="141"/>
        <v>80</v>
      </c>
      <c r="M2278" s="9">
        <f t="shared" si="142"/>
        <v>44.599999999999994</v>
      </c>
      <c r="N2278" t="str">
        <f t="shared" si="143"/>
        <v>Jul</v>
      </c>
    </row>
    <row r="2279" spans="1:14" x14ac:dyDescent="0.3">
      <c r="A2279" s="2" t="s">
        <v>2345</v>
      </c>
      <c r="B2279" s="6">
        <v>45852</v>
      </c>
      <c r="C2279" s="2" t="s">
        <v>48</v>
      </c>
      <c r="D2279" s="2" t="s">
        <v>194</v>
      </c>
      <c r="E2279" s="2">
        <v>3</v>
      </c>
      <c r="F2279" s="7">
        <v>699</v>
      </c>
      <c r="G2279" s="8">
        <v>0</v>
      </c>
      <c r="H2279" s="9" t="str">
        <f>INDEX(Products!$B$2:$B$37, MATCH(D2279, Products!$A$2:$A$37, 0))</f>
        <v>Leather Handbag</v>
      </c>
      <c r="I2279" t="str">
        <f>INDEX(Products!$C$2:$C$37, MATCH(D2279, Products!$A$2:$A$37, 0))</f>
        <v>Fashion</v>
      </c>
      <c r="J2279">
        <f>INDEX(Products!$E$2:$E$37, MATCH(D2279, Products!$A$2:$A$37, 0))</f>
        <v>380</v>
      </c>
      <c r="K2279" s="9">
        <f t="shared" si="140"/>
        <v>2097</v>
      </c>
      <c r="L2279">
        <f t="shared" si="141"/>
        <v>1140</v>
      </c>
      <c r="M2279" s="9">
        <f t="shared" si="142"/>
        <v>957</v>
      </c>
      <c r="N2279" t="str">
        <f t="shared" si="143"/>
        <v>Jul</v>
      </c>
    </row>
    <row r="2280" spans="1:14" x14ac:dyDescent="0.3">
      <c r="A2280" s="2" t="s">
        <v>2346</v>
      </c>
      <c r="B2280" s="6">
        <v>45852</v>
      </c>
      <c r="C2280" s="2" t="s">
        <v>41</v>
      </c>
      <c r="D2280" s="2" t="s">
        <v>129</v>
      </c>
      <c r="E2280" s="2">
        <v>2</v>
      </c>
      <c r="F2280" s="7">
        <v>149</v>
      </c>
      <c r="G2280" s="8">
        <v>0.2</v>
      </c>
      <c r="H2280" s="9" t="str">
        <f>INDEX(Products!$B$2:$B$37, MATCH(D2280, Products!$A$2:$A$37, 0))</f>
        <v>Power Bank 20000mAh</v>
      </c>
      <c r="I2280" t="str">
        <f>INDEX(Products!$C$2:$C$37, MATCH(D2280, Products!$A$2:$A$37, 0))</f>
        <v>Electronics</v>
      </c>
      <c r="J2280">
        <f>INDEX(Products!$E$2:$E$37, MATCH(D2280, Products!$A$2:$A$37, 0))</f>
        <v>70</v>
      </c>
      <c r="K2280" s="9">
        <f t="shared" si="140"/>
        <v>238.4</v>
      </c>
      <c r="L2280">
        <f t="shared" si="141"/>
        <v>140</v>
      </c>
      <c r="M2280" s="9">
        <f t="shared" si="142"/>
        <v>98.4</v>
      </c>
      <c r="N2280" t="str">
        <f t="shared" si="143"/>
        <v>Jul</v>
      </c>
    </row>
    <row r="2281" spans="1:14" x14ac:dyDescent="0.3">
      <c r="A2281" s="2" t="s">
        <v>2347</v>
      </c>
      <c r="B2281" s="6">
        <v>45852</v>
      </c>
      <c r="C2281" s="2" t="s">
        <v>28</v>
      </c>
      <c r="D2281" s="2" t="s">
        <v>83</v>
      </c>
      <c r="E2281" s="2">
        <v>3</v>
      </c>
      <c r="F2281" s="7">
        <v>229</v>
      </c>
      <c r="G2281" s="8">
        <v>0.3</v>
      </c>
      <c r="H2281" s="9" t="str">
        <f>INDEX(Products!$B$2:$B$37, MATCH(D2281, Products!$A$2:$A$37, 0))</f>
        <v>Cycling Helmet</v>
      </c>
      <c r="I2281" t="str">
        <f>INDEX(Products!$C$2:$C$37, MATCH(D2281, Products!$A$2:$A$37, 0))</f>
        <v>Sports</v>
      </c>
      <c r="J2281">
        <f>INDEX(Products!$E$2:$E$37, MATCH(D2281, Products!$A$2:$A$37, 0))</f>
        <v>120</v>
      </c>
      <c r="K2281" s="9">
        <f t="shared" si="140"/>
        <v>480.9</v>
      </c>
      <c r="L2281">
        <f t="shared" si="141"/>
        <v>360</v>
      </c>
      <c r="M2281" s="9">
        <f t="shared" si="142"/>
        <v>120.89999999999998</v>
      </c>
      <c r="N2281" t="str">
        <f t="shared" si="143"/>
        <v>Jul</v>
      </c>
    </row>
    <row r="2282" spans="1:14" x14ac:dyDescent="0.3">
      <c r="A2282" s="2" t="s">
        <v>2348</v>
      </c>
      <c r="B2282" s="6">
        <v>45852</v>
      </c>
      <c r="C2282" s="2" t="s">
        <v>28</v>
      </c>
      <c r="D2282" s="2" t="s">
        <v>99</v>
      </c>
      <c r="E2282" s="2">
        <v>3</v>
      </c>
      <c r="F2282" s="7">
        <v>459</v>
      </c>
      <c r="G2282" s="8">
        <v>0</v>
      </c>
      <c r="H2282" s="9" t="str">
        <f>INDEX(Products!$B$2:$B$37, MATCH(D2282, Products!$A$2:$A$37, 0))</f>
        <v>Gaming Headset X</v>
      </c>
      <c r="I2282" t="str">
        <f>INDEX(Products!$C$2:$C$37, MATCH(D2282, Products!$A$2:$A$37, 0))</f>
        <v>Electronics</v>
      </c>
      <c r="J2282">
        <f>INDEX(Products!$E$2:$E$37, MATCH(D2282, Products!$A$2:$A$37, 0))</f>
        <v>300</v>
      </c>
      <c r="K2282" s="9">
        <f t="shared" si="140"/>
        <v>1377</v>
      </c>
      <c r="L2282">
        <f t="shared" si="141"/>
        <v>900</v>
      </c>
      <c r="M2282" s="9">
        <f t="shared" si="142"/>
        <v>477</v>
      </c>
      <c r="N2282" t="str">
        <f t="shared" si="143"/>
        <v>Jul</v>
      </c>
    </row>
    <row r="2283" spans="1:14" x14ac:dyDescent="0.3">
      <c r="A2283" s="2" t="s">
        <v>2349</v>
      </c>
      <c r="B2283" s="6">
        <v>45852</v>
      </c>
      <c r="C2283" s="2" t="s">
        <v>44</v>
      </c>
      <c r="D2283" s="2" t="s">
        <v>83</v>
      </c>
      <c r="E2283" s="2">
        <v>1</v>
      </c>
      <c r="F2283" s="7">
        <v>229</v>
      </c>
      <c r="G2283" s="8">
        <v>0</v>
      </c>
      <c r="H2283" s="9" t="str">
        <f>INDEX(Products!$B$2:$B$37, MATCH(D2283, Products!$A$2:$A$37, 0))</f>
        <v>Cycling Helmet</v>
      </c>
      <c r="I2283" t="str">
        <f>INDEX(Products!$C$2:$C$37, MATCH(D2283, Products!$A$2:$A$37, 0))</f>
        <v>Sports</v>
      </c>
      <c r="J2283">
        <f>INDEX(Products!$E$2:$E$37, MATCH(D2283, Products!$A$2:$A$37, 0))</f>
        <v>120</v>
      </c>
      <c r="K2283" s="9">
        <f t="shared" si="140"/>
        <v>229</v>
      </c>
      <c r="L2283">
        <f t="shared" si="141"/>
        <v>120</v>
      </c>
      <c r="M2283" s="9">
        <f t="shared" si="142"/>
        <v>109</v>
      </c>
      <c r="N2283" t="str">
        <f t="shared" si="143"/>
        <v>Jul</v>
      </c>
    </row>
    <row r="2284" spans="1:14" x14ac:dyDescent="0.3">
      <c r="A2284" s="2" t="s">
        <v>2350</v>
      </c>
      <c r="B2284" s="6">
        <v>45852</v>
      </c>
      <c r="C2284" s="2" t="s">
        <v>44</v>
      </c>
      <c r="D2284" s="2" t="s">
        <v>56</v>
      </c>
      <c r="E2284" s="2">
        <v>2</v>
      </c>
      <c r="F2284" s="7">
        <v>289</v>
      </c>
      <c r="G2284" s="8">
        <v>0</v>
      </c>
      <c r="H2284" s="9" t="str">
        <f>INDEX(Products!$B$2:$B$37, MATCH(D2284, Products!$A$2:$A$37, 0))</f>
        <v>Ceramic Dinner Set</v>
      </c>
      <c r="I2284" t="str">
        <f>INDEX(Products!$C$2:$C$37, MATCH(D2284, Products!$A$2:$A$37, 0))</f>
        <v>Home &amp; Kitchen</v>
      </c>
      <c r="J2284">
        <f>INDEX(Products!$E$2:$E$37, MATCH(D2284, Products!$A$2:$A$37, 0))</f>
        <v>140</v>
      </c>
      <c r="K2284" s="9">
        <f t="shared" si="140"/>
        <v>578</v>
      </c>
      <c r="L2284">
        <f t="shared" si="141"/>
        <v>280</v>
      </c>
      <c r="M2284" s="9">
        <f t="shared" si="142"/>
        <v>298</v>
      </c>
      <c r="N2284" t="str">
        <f t="shared" si="143"/>
        <v>Jul</v>
      </c>
    </row>
    <row r="2285" spans="1:14" x14ac:dyDescent="0.3">
      <c r="A2285" s="2" t="s">
        <v>2351</v>
      </c>
      <c r="B2285" s="6">
        <v>45852</v>
      </c>
      <c r="C2285" s="2" t="s">
        <v>28</v>
      </c>
      <c r="D2285" s="2" t="s">
        <v>37</v>
      </c>
      <c r="E2285" s="2">
        <v>1</v>
      </c>
      <c r="F2285" s="7">
        <v>249</v>
      </c>
      <c r="G2285" s="8">
        <v>0.2</v>
      </c>
      <c r="H2285" s="9" t="str">
        <f>INDEX(Products!$B$2:$B$37, MATCH(D2285, Products!$A$2:$A$37, 0))</f>
        <v>Sunglasses Polarised</v>
      </c>
      <c r="I2285" t="str">
        <f>INDEX(Products!$C$2:$C$37, MATCH(D2285, Products!$A$2:$A$37, 0))</f>
        <v>Fashion</v>
      </c>
      <c r="J2285">
        <f>INDEX(Products!$E$2:$E$37, MATCH(D2285, Products!$A$2:$A$37, 0))</f>
        <v>95</v>
      </c>
      <c r="K2285" s="9">
        <f t="shared" si="140"/>
        <v>199.20000000000002</v>
      </c>
      <c r="L2285">
        <f t="shared" si="141"/>
        <v>95</v>
      </c>
      <c r="M2285" s="9">
        <f t="shared" si="142"/>
        <v>104.20000000000002</v>
      </c>
      <c r="N2285" t="str">
        <f t="shared" si="143"/>
        <v>Jul</v>
      </c>
    </row>
    <row r="2286" spans="1:14" x14ac:dyDescent="0.3">
      <c r="A2286" s="2" t="s">
        <v>2352</v>
      </c>
      <c r="B2286" s="6">
        <v>45853</v>
      </c>
      <c r="C2286" s="2" t="s">
        <v>48</v>
      </c>
      <c r="D2286" s="2" t="s">
        <v>70</v>
      </c>
      <c r="E2286" s="2">
        <v>3</v>
      </c>
      <c r="F2286" s="7">
        <v>429</v>
      </c>
      <c r="G2286" s="8">
        <v>0.2</v>
      </c>
      <c r="H2286" s="9" t="str">
        <f>INDEX(Products!$B$2:$B$37, MATCH(D2286, Products!$A$2:$A$37, 0))</f>
        <v>Running Shoes Elite</v>
      </c>
      <c r="I2286" t="str">
        <f>INDEX(Products!$C$2:$C$37, MATCH(D2286, Products!$A$2:$A$37, 0))</f>
        <v>Fashion</v>
      </c>
      <c r="J2286">
        <f>INDEX(Products!$E$2:$E$37, MATCH(D2286, Products!$A$2:$A$37, 0))</f>
        <v>300</v>
      </c>
      <c r="K2286" s="9">
        <f t="shared" si="140"/>
        <v>1029.6000000000001</v>
      </c>
      <c r="L2286">
        <f t="shared" si="141"/>
        <v>900</v>
      </c>
      <c r="M2286" s="9">
        <f t="shared" si="142"/>
        <v>129.60000000000014</v>
      </c>
      <c r="N2286" t="str">
        <f t="shared" si="143"/>
        <v>Jul</v>
      </c>
    </row>
    <row r="2287" spans="1:14" x14ac:dyDescent="0.3">
      <c r="A2287" s="2" t="s">
        <v>2353</v>
      </c>
      <c r="B2287" s="6">
        <v>45853</v>
      </c>
      <c r="C2287" s="2" t="s">
        <v>48</v>
      </c>
      <c r="D2287" s="2" t="s">
        <v>106</v>
      </c>
      <c r="E2287" s="2">
        <v>1</v>
      </c>
      <c r="F2287" s="7">
        <v>1299</v>
      </c>
      <c r="G2287" s="8">
        <v>0</v>
      </c>
      <c r="H2287" s="9" t="str">
        <f>INDEX(Products!$B$2:$B$37, MATCH(D2287, Products!$A$2:$A$37, 0))</f>
        <v>Smart Watch Series 5</v>
      </c>
      <c r="I2287" t="str">
        <f>INDEX(Products!$C$2:$C$37, MATCH(D2287, Products!$A$2:$A$37, 0))</f>
        <v>Electronics</v>
      </c>
      <c r="J2287">
        <f>INDEX(Products!$E$2:$E$37, MATCH(D2287, Products!$A$2:$A$37, 0))</f>
        <v>820</v>
      </c>
      <c r="K2287" s="9">
        <f t="shared" si="140"/>
        <v>1299</v>
      </c>
      <c r="L2287">
        <f t="shared" si="141"/>
        <v>820</v>
      </c>
      <c r="M2287" s="9">
        <f t="shared" si="142"/>
        <v>479</v>
      </c>
      <c r="N2287" t="str">
        <f t="shared" si="143"/>
        <v>Jul</v>
      </c>
    </row>
    <row r="2288" spans="1:14" x14ac:dyDescent="0.3">
      <c r="A2288" s="2" t="s">
        <v>2354</v>
      </c>
      <c r="B2288" s="6">
        <v>45853</v>
      </c>
      <c r="C2288" s="2" t="s">
        <v>48</v>
      </c>
      <c r="D2288" s="2" t="s">
        <v>35</v>
      </c>
      <c r="E2288" s="2">
        <v>1</v>
      </c>
      <c r="F2288" s="7">
        <v>179</v>
      </c>
      <c r="G2288" s="8">
        <v>0.3</v>
      </c>
      <c r="H2288" s="9" t="str">
        <f>INDEX(Products!$B$2:$B$37, MATCH(D2288, Products!$A$2:$A$37, 0))</f>
        <v>Men's Linen Shirt</v>
      </c>
      <c r="I2288" t="str">
        <f>INDEX(Products!$C$2:$C$37, MATCH(D2288, Products!$A$2:$A$37, 0))</f>
        <v>Fashion</v>
      </c>
      <c r="J2288">
        <f>INDEX(Products!$E$2:$E$37, MATCH(D2288, Products!$A$2:$A$37, 0))</f>
        <v>70</v>
      </c>
      <c r="K2288" s="9">
        <f t="shared" si="140"/>
        <v>125.3</v>
      </c>
      <c r="L2288">
        <f t="shared" si="141"/>
        <v>70</v>
      </c>
      <c r="M2288" s="9">
        <f t="shared" si="142"/>
        <v>55.3</v>
      </c>
      <c r="N2288" t="str">
        <f t="shared" si="143"/>
        <v>Jul</v>
      </c>
    </row>
    <row r="2289" spans="1:14" x14ac:dyDescent="0.3">
      <c r="A2289" s="2" t="s">
        <v>2355</v>
      </c>
      <c r="B2289" s="6">
        <v>45853</v>
      </c>
      <c r="C2289" s="2" t="s">
        <v>28</v>
      </c>
      <c r="D2289" s="2" t="s">
        <v>42</v>
      </c>
      <c r="E2289" s="2">
        <v>2</v>
      </c>
      <c r="F2289" s="7">
        <v>399</v>
      </c>
      <c r="G2289" s="8">
        <v>0.05</v>
      </c>
      <c r="H2289" s="9" t="str">
        <f>INDEX(Products!$B$2:$B$37, MATCH(D2289, Products!$A$2:$A$37, 0))</f>
        <v>Wireless Earbuds Pro</v>
      </c>
      <c r="I2289" t="str">
        <f>INDEX(Products!$C$2:$C$37, MATCH(D2289, Products!$A$2:$A$37, 0))</f>
        <v>Electronics</v>
      </c>
      <c r="J2289">
        <f>INDEX(Products!$E$2:$E$37, MATCH(D2289, Products!$A$2:$A$37, 0))</f>
        <v>230</v>
      </c>
      <c r="K2289" s="9">
        <f t="shared" si="140"/>
        <v>758.09999999999991</v>
      </c>
      <c r="L2289">
        <f t="shared" si="141"/>
        <v>460</v>
      </c>
      <c r="M2289" s="9">
        <f t="shared" si="142"/>
        <v>298.09999999999991</v>
      </c>
      <c r="N2289" t="str">
        <f t="shared" si="143"/>
        <v>Jul</v>
      </c>
    </row>
    <row r="2290" spans="1:14" x14ac:dyDescent="0.3">
      <c r="A2290" s="2" t="s">
        <v>2356</v>
      </c>
      <c r="B2290" s="6">
        <v>45853</v>
      </c>
      <c r="C2290" s="2" t="s">
        <v>41</v>
      </c>
      <c r="D2290" s="2" t="s">
        <v>60</v>
      </c>
      <c r="E2290" s="2">
        <v>1</v>
      </c>
      <c r="F2290" s="7">
        <v>99</v>
      </c>
      <c r="G2290" s="8">
        <v>0.1</v>
      </c>
      <c r="H2290" s="9" t="str">
        <f>INDEX(Products!$B$2:$B$37, MATCH(D2290, Products!$A$2:$A$37, 0))</f>
        <v>Football Size 5</v>
      </c>
      <c r="I2290" t="str">
        <f>INDEX(Products!$C$2:$C$37, MATCH(D2290, Products!$A$2:$A$37, 0))</f>
        <v>Sports</v>
      </c>
      <c r="J2290">
        <f>INDEX(Products!$E$2:$E$37, MATCH(D2290, Products!$A$2:$A$37, 0))</f>
        <v>45</v>
      </c>
      <c r="K2290" s="9">
        <f t="shared" si="140"/>
        <v>89.100000000000009</v>
      </c>
      <c r="L2290">
        <f t="shared" si="141"/>
        <v>45</v>
      </c>
      <c r="M2290" s="9">
        <f t="shared" si="142"/>
        <v>44.100000000000009</v>
      </c>
      <c r="N2290" t="str">
        <f t="shared" si="143"/>
        <v>Jul</v>
      </c>
    </row>
    <row r="2291" spans="1:14" x14ac:dyDescent="0.3">
      <c r="A2291" s="2" t="s">
        <v>2357</v>
      </c>
      <c r="B2291" s="6">
        <v>45853</v>
      </c>
      <c r="C2291" s="2" t="s">
        <v>28</v>
      </c>
      <c r="D2291" s="2" t="s">
        <v>37</v>
      </c>
      <c r="E2291" s="2">
        <v>1</v>
      </c>
      <c r="F2291" s="7">
        <v>249</v>
      </c>
      <c r="G2291" s="8">
        <v>0</v>
      </c>
      <c r="H2291" s="9" t="str">
        <f>INDEX(Products!$B$2:$B$37, MATCH(D2291, Products!$A$2:$A$37, 0))</f>
        <v>Sunglasses Polarised</v>
      </c>
      <c r="I2291" t="str">
        <f>INDEX(Products!$C$2:$C$37, MATCH(D2291, Products!$A$2:$A$37, 0))</f>
        <v>Fashion</v>
      </c>
      <c r="J2291">
        <f>INDEX(Products!$E$2:$E$37, MATCH(D2291, Products!$A$2:$A$37, 0))</f>
        <v>95</v>
      </c>
      <c r="K2291" s="9">
        <f t="shared" si="140"/>
        <v>249</v>
      </c>
      <c r="L2291">
        <f t="shared" si="141"/>
        <v>95</v>
      </c>
      <c r="M2291" s="9">
        <f t="shared" si="142"/>
        <v>154</v>
      </c>
      <c r="N2291" t="str">
        <f t="shared" si="143"/>
        <v>Jul</v>
      </c>
    </row>
    <row r="2292" spans="1:14" x14ac:dyDescent="0.3">
      <c r="A2292" s="2" t="s">
        <v>2358</v>
      </c>
      <c r="B2292" s="6">
        <v>45853</v>
      </c>
      <c r="C2292" s="2" t="s">
        <v>28</v>
      </c>
      <c r="D2292" s="2" t="s">
        <v>95</v>
      </c>
      <c r="E2292" s="2">
        <v>2</v>
      </c>
      <c r="F2292" s="7">
        <v>259</v>
      </c>
      <c r="G2292" s="8">
        <v>0</v>
      </c>
      <c r="H2292" s="9" t="str">
        <f>INDEX(Products!$B$2:$B$37, MATCH(D2292, Products!$A$2:$A$37, 0))</f>
        <v>Bed Linen Set (King)</v>
      </c>
      <c r="I2292" t="str">
        <f>INDEX(Products!$C$2:$C$37, MATCH(D2292, Products!$A$2:$A$37, 0))</f>
        <v>Home &amp; Kitchen</v>
      </c>
      <c r="J2292">
        <f>INDEX(Products!$E$2:$E$37, MATCH(D2292, Products!$A$2:$A$37, 0))</f>
        <v>115</v>
      </c>
      <c r="K2292" s="9">
        <f t="shared" si="140"/>
        <v>518</v>
      </c>
      <c r="L2292">
        <f t="shared" si="141"/>
        <v>230</v>
      </c>
      <c r="M2292" s="9">
        <f t="shared" si="142"/>
        <v>288</v>
      </c>
      <c r="N2292" t="str">
        <f t="shared" si="143"/>
        <v>Jul</v>
      </c>
    </row>
    <row r="2293" spans="1:14" x14ac:dyDescent="0.3">
      <c r="A2293" s="2" t="s">
        <v>2359</v>
      </c>
      <c r="B2293" s="6">
        <v>45853</v>
      </c>
      <c r="C2293" s="2" t="s">
        <v>31</v>
      </c>
      <c r="D2293" s="2" t="s">
        <v>58</v>
      </c>
      <c r="E2293" s="2">
        <v>4</v>
      </c>
      <c r="F2293" s="7">
        <v>459</v>
      </c>
      <c r="G2293" s="8">
        <v>0</v>
      </c>
      <c r="H2293" s="9" t="str">
        <f>INDEX(Products!$B$2:$B$37, MATCH(D2293, Products!$A$2:$A$37, 0))</f>
        <v>Women's Abaya Classic</v>
      </c>
      <c r="I2293" t="str">
        <f>INDEX(Products!$C$2:$C$37, MATCH(D2293, Products!$A$2:$A$37, 0))</f>
        <v>Fashion</v>
      </c>
      <c r="J2293">
        <f>INDEX(Products!$E$2:$E$37, MATCH(D2293, Products!$A$2:$A$37, 0))</f>
        <v>190</v>
      </c>
      <c r="K2293" s="9">
        <f t="shared" si="140"/>
        <v>1836</v>
      </c>
      <c r="L2293">
        <f t="shared" si="141"/>
        <v>760</v>
      </c>
      <c r="M2293" s="9">
        <f t="shared" si="142"/>
        <v>1076</v>
      </c>
      <c r="N2293" t="str">
        <f t="shared" si="143"/>
        <v>Jul</v>
      </c>
    </row>
    <row r="2294" spans="1:14" x14ac:dyDescent="0.3">
      <c r="A2294" s="2" t="s">
        <v>2360</v>
      </c>
      <c r="B2294" s="6">
        <v>45853</v>
      </c>
      <c r="C2294" s="2" t="s">
        <v>28</v>
      </c>
      <c r="D2294" s="2" t="s">
        <v>46</v>
      </c>
      <c r="E2294" s="2">
        <v>1</v>
      </c>
      <c r="F2294" s="7">
        <v>189</v>
      </c>
      <c r="G2294" s="8">
        <v>0.05</v>
      </c>
      <c r="H2294" s="9" t="str">
        <f>INDEX(Products!$B$2:$B$37, MATCH(D2294, Products!$A$2:$A$37, 0))</f>
        <v>Makeup Palette</v>
      </c>
      <c r="I2294" t="str">
        <f>INDEX(Products!$C$2:$C$37, MATCH(D2294, Products!$A$2:$A$37, 0))</f>
        <v>Beauty</v>
      </c>
      <c r="J2294">
        <f>INDEX(Products!$E$2:$E$37, MATCH(D2294, Products!$A$2:$A$37, 0))</f>
        <v>85</v>
      </c>
      <c r="K2294" s="9">
        <f t="shared" si="140"/>
        <v>179.54999999999998</v>
      </c>
      <c r="L2294">
        <f t="shared" si="141"/>
        <v>85</v>
      </c>
      <c r="M2294" s="9">
        <f t="shared" si="142"/>
        <v>94.549999999999983</v>
      </c>
      <c r="N2294" t="str">
        <f t="shared" si="143"/>
        <v>Jul</v>
      </c>
    </row>
    <row r="2295" spans="1:14" x14ac:dyDescent="0.3">
      <c r="A2295" s="2" t="s">
        <v>2361</v>
      </c>
      <c r="B2295" s="6">
        <v>45853</v>
      </c>
      <c r="C2295" s="2" t="s">
        <v>48</v>
      </c>
      <c r="D2295" s="2" t="s">
        <v>83</v>
      </c>
      <c r="E2295" s="2">
        <v>1</v>
      </c>
      <c r="F2295" s="7">
        <v>229</v>
      </c>
      <c r="G2295" s="8">
        <v>0.05</v>
      </c>
      <c r="H2295" s="9" t="str">
        <f>INDEX(Products!$B$2:$B$37, MATCH(D2295, Products!$A$2:$A$37, 0))</f>
        <v>Cycling Helmet</v>
      </c>
      <c r="I2295" t="str">
        <f>INDEX(Products!$C$2:$C$37, MATCH(D2295, Products!$A$2:$A$37, 0))</f>
        <v>Sports</v>
      </c>
      <c r="J2295">
        <f>INDEX(Products!$E$2:$E$37, MATCH(D2295, Products!$A$2:$A$37, 0))</f>
        <v>120</v>
      </c>
      <c r="K2295" s="9">
        <f t="shared" si="140"/>
        <v>217.54999999999998</v>
      </c>
      <c r="L2295">
        <f t="shared" si="141"/>
        <v>120</v>
      </c>
      <c r="M2295" s="9">
        <f t="shared" si="142"/>
        <v>97.549999999999983</v>
      </c>
      <c r="N2295" t="str">
        <f t="shared" si="143"/>
        <v>Jul</v>
      </c>
    </row>
    <row r="2296" spans="1:14" x14ac:dyDescent="0.3">
      <c r="A2296" s="2" t="s">
        <v>2362</v>
      </c>
      <c r="B2296" s="6">
        <v>45853</v>
      </c>
      <c r="C2296" s="2" t="s">
        <v>28</v>
      </c>
      <c r="D2296" s="2" t="s">
        <v>39</v>
      </c>
      <c r="E2296" s="2">
        <v>1</v>
      </c>
      <c r="F2296" s="7">
        <v>199</v>
      </c>
      <c r="G2296" s="8">
        <v>0.3</v>
      </c>
      <c r="H2296" s="9" t="str">
        <f>INDEX(Products!$B$2:$B$37, MATCH(D2296, Products!$A$2:$A$37, 0))</f>
        <v>Bakhoor Gift Set</v>
      </c>
      <c r="I2296" t="str">
        <f>INDEX(Products!$C$2:$C$37, MATCH(D2296, Products!$A$2:$A$37, 0))</f>
        <v>Beauty</v>
      </c>
      <c r="J2296">
        <f>INDEX(Products!$E$2:$E$37, MATCH(D2296, Products!$A$2:$A$37, 0))</f>
        <v>90</v>
      </c>
      <c r="K2296" s="9">
        <f t="shared" si="140"/>
        <v>139.29999999999998</v>
      </c>
      <c r="L2296">
        <f t="shared" si="141"/>
        <v>90</v>
      </c>
      <c r="M2296" s="9">
        <f t="shared" si="142"/>
        <v>49.299999999999983</v>
      </c>
      <c r="N2296" t="str">
        <f t="shared" si="143"/>
        <v>Jul</v>
      </c>
    </row>
    <row r="2297" spans="1:14" x14ac:dyDescent="0.3">
      <c r="A2297" s="2" t="s">
        <v>2363</v>
      </c>
      <c r="B2297" s="6">
        <v>45853</v>
      </c>
      <c r="C2297" s="2" t="s">
        <v>28</v>
      </c>
      <c r="D2297" s="2" t="s">
        <v>75</v>
      </c>
      <c r="E2297" s="2">
        <v>2</v>
      </c>
      <c r="F2297" s="7">
        <v>549</v>
      </c>
      <c r="G2297" s="8">
        <v>0.15</v>
      </c>
      <c r="H2297" s="9" t="str">
        <f>INDEX(Products!$B$2:$B$37, MATCH(D2297, Products!$A$2:$A$37, 0))</f>
        <v>Oud Perfume 100ml</v>
      </c>
      <c r="I2297" t="str">
        <f>INDEX(Products!$C$2:$C$37, MATCH(D2297, Products!$A$2:$A$37, 0))</f>
        <v>Beauty</v>
      </c>
      <c r="J2297">
        <f>INDEX(Products!$E$2:$E$37, MATCH(D2297, Products!$A$2:$A$37, 0))</f>
        <v>250</v>
      </c>
      <c r="K2297" s="9">
        <f t="shared" si="140"/>
        <v>933.3</v>
      </c>
      <c r="L2297">
        <f t="shared" si="141"/>
        <v>500</v>
      </c>
      <c r="M2297" s="9">
        <f t="shared" si="142"/>
        <v>433.29999999999995</v>
      </c>
      <c r="N2297" t="str">
        <f t="shared" si="143"/>
        <v>Jul</v>
      </c>
    </row>
    <row r="2298" spans="1:14" x14ac:dyDescent="0.3">
      <c r="A2298" s="2" t="s">
        <v>2364</v>
      </c>
      <c r="B2298" s="6">
        <v>45853</v>
      </c>
      <c r="C2298" s="2" t="s">
        <v>31</v>
      </c>
      <c r="D2298" s="2" t="s">
        <v>35</v>
      </c>
      <c r="E2298" s="2">
        <v>1</v>
      </c>
      <c r="F2298" s="7">
        <v>179</v>
      </c>
      <c r="G2298" s="8">
        <v>0.05</v>
      </c>
      <c r="H2298" s="9" t="str">
        <f>INDEX(Products!$B$2:$B$37, MATCH(D2298, Products!$A$2:$A$37, 0))</f>
        <v>Men's Linen Shirt</v>
      </c>
      <c r="I2298" t="str">
        <f>INDEX(Products!$C$2:$C$37, MATCH(D2298, Products!$A$2:$A$37, 0))</f>
        <v>Fashion</v>
      </c>
      <c r="J2298">
        <f>INDEX(Products!$E$2:$E$37, MATCH(D2298, Products!$A$2:$A$37, 0))</f>
        <v>70</v>
      </c>
      <c r="K2298" s="9">
        <f t="shared" si="140"/>
        <v>170.04999999999998</v>
      </c>
      <c r="L2298">
        <f t="shared" si="141"/>
        <v>70</v>
      </c>
      <c r="M2298" s="9">
        <f t="shared" si="142"/>
        <v>100.04999999999998</v>
      </c>
      <c r="N2298" t="str">
        <f t="shared" si="143"/>
        <v>Jul</v>
      </c>
    </row>
    <row r="2299" spans="1:14" x14ac:dyDescent="0.3">
      <c r="A2299" s="2" t="s">
        <v>2365</v>
      </c>
      <c r="B2299" s="6">
        <v>45854</v>
      </c>
      <c r="C2299" s="2" t="s">
        <v>41</v>
      </c>
      <c r="D2299" s="2" t="s">
        <v>42</v>
      </c>
      <c r="E2299" s="2">
        <v>1</v>
      </c>
      <c r="F2299" s="7">
        <v>399</v>
      </c>
      <c r="G2299" s="8">
        <v>0</v>
      </c>
      <c r="H2299" s="9" t="str">
        <f>INDEX(Products!$B$2:$B$37, MATCH(D2299, Products!$A$2:$A$37, 0))</f>
        <v>Wireless Earbuds Pro</v>
      </c>
      <c r="I2299" t="str">
        <f>INDEX(Products!$C$2:$C$37, MATCH(D2299, Products!$A$2:$A$37, 0))</f>
        <v>Electronics</v>
      </c>
      <c r="J2299">
        <f>INDEX(Products!$E$2:$E$37, MATCH(D2299, Products!$A$2:$A$37, 0))</f>
        <v>230</v>
      </c>
      <c r="K2299" s="9">
        <f t="shared" si="140"/>
        <v>399</v>
      </c>
      <c r="L2299">
        <f t="shared" si="141"/>
        <v>230</v>
      </c>
      <c r="M2299" s="9">
        <f t="shared" si="142"/>
        <v>169</v>
      </c>
      <c r="N2299" t="str">
        <f t="shared" si="143"/>
        <v>Jul</v>
      </c>
    </row>
    <row r="2300" spans="1:14" x14ac:dyDescent="0.3">
      <c r="A2300" s="2" t="s">
        <v>2366</v>
      </c>
      <c r="B2300" s="6">
        <v>45854</v>
      </c>
      <c r="C2300" s="2" t="s">
        <v>28</v>
      </c>
      <c r="D2300" s="2" t="s">
        <v>106</v>
      </c>
      <c r="E2300" s="2">
        <v>1</v>
      </c>
      <c r="F2300" s="7">
        <v>1299</v>
      </c>
      <c r="G2300" s="8">
        <v>0</v>
      </c>
      <c r="H2300" s="9" t="str">
        <f>INDEX(Products!$B$2:$B$37, MATCH(D2300, Products!$A$2:$A$37, 0))</f>
        <v>Smart Watch Series 5</v>
      </c>
      <c r="I2300" t="str">
        <f>INDEX(Products!$C$2:$C$37, MATCH(D2300, Products!$A$2:$A$37, 0))</f>
        <v>Electronics</v>
      </c>
      <c r="J2300">
        <f>INDEX(Products!$E$2:$E$37, MATCH(D2300, Products!$A$2:$A$37, 0))</f>
        <v>820</v>
      </c>
      <c r="K2300" s="9">
        <f t="shared" si="140"/>
        <v>1299</v>
      </c>
      <c r="L2300">
        <f t="shared" si="141"/>
        <v>820</v>
      </c>
      <c r="M2300" s="9">
        <f t="shared" si="142"/>
        <v>479</v>
      </c>
      <c r="N2300" t="str">
        <f t="shared" si="143"/>
        <v>Jul</v>
      </c>
    </row>
    <row r="2301" spans="1:14" x14ac:dyDescent="0.3">
      <c r="A2301" s="2" t="s">
        <v>2367</v>
      </c>
      <c r="B2301" s="6">
        <v>45854</v>
      </c>
      <c r="C2301" s="2" t="s">
        <v>31</v>
      </c>
      <c r="D2301" s="2" t="s">
        <v>39</v>
      </c>
      <c r="E2301" s="2">
        <v>1</v>
      </c>
      <c r="F2301" s="7">
        <v>199</v>
      </c>
      <c r="G2301" s="8">
        <v>0.1</v>
      </c>
      <c r="H2301" s="9" t="str">
        <f>INDEX(Products!$B$2:$B$37, MATCH(D2301, Products!$A$2:$A$37, 0))</f>
        <v>Bakhoor Gift Set</v>
      </c>
      <c r="I2301" t="str">
        <f>INDEX(Products!$C$2:$C$37, MATCH(D2301, Products!$A$2:$A$37, 0))</f>
        <v>Beauty</v>
      </c>
      <c r="J2301">
        <f>INDEX(Products!$E$2:$E$37, MATCH(D2301, Products!$A$2:$A$37, 0))</f>
        <v>90</v>
      </c>
      <c r="K2301" s="9">
        <f t="shared" si="140"/>
        <v>179.1</v>
      </c>
      <c r="L2301">
        <f t="shared" si="141"/>
        <v>90</v>
      </c>
      <c r="M2301" s="9">
        <f t="shared" si="142"/>
        <v>89.1</v>
      </c>
      <c r="N2301" t="str">
        <f t="shared" si="143"/>
        <v>Jul</v>
      </c>
    </row>
    <row r="2302" spans="1:14" x14ac:dyDescent="0.3">
      <c r="A2302" s="2" t="s">
        <v>2368</v>
      </c>
      <c r="B2302" s="6">
        <v>45854</v>
      </c>
      <c r="C2302" s="2" t="s">
        <v>48</v>
      </c>
      <c r="D2302" s="2" t="s">
        <v>60</v>
      </c>
      <c r="E2302" s="2">
        <v>1</v>
      </c>
      <c r="F2302" s="7">
        <v>99</v>
      </c>
      <c r="G2302" s="8">
        <v>0.3</v>
      </c>
      <c r="H2302" s="9" t="str">
        <f>INDEX(Products!$B$2:$B$37, MATCH(D2302, Products!$A$2:$A$37, 0))</f>
        <v>Football Size 5</v>
      </c>
      <c r="I2302" t="str">
        <f>INDEX(Products!$C$2:$C$37, MATCH(D2302, Products!$A$2:$A$37, 0))</f>
        <v>Sports</v>
      </c>
      <c r="J2302">
        <f>INDEX(Products!$E$2:$E$37, MATCH(D2302, Products!$A$2:$A$37, 0))</f>
        <v>45</v>
      </c>
      <c r="K2302" s="9">
        <f t="shared" si="140"/>
        <v>69.3</v>
      </c>
      <c r="L2302">
        <f t="shared" si="141"/>
        <v>45</v>
      </c>
      <c r="M2302" s="9">
        <f t="shared" si="142"/>
        <v>24.299999999999997</v>
      </c>
      <c r="N2302" t="str">
        <f t="shared" si="143"/>
        <v>Jul</v>
      </c>
    </row>
    <row r="2303" spans="1:14" x14ac:dyDescent="0.3">
      <c r="A2303" s="2" t="s">
        <v>2369</v>
      </c>
      <c r="B2303" s="6">
        <v>45854</v>
      </c>
      <c r="C2303" s="2" t="s">
        <v>31</v>
      </c>
      <c r="D2303" s="2" t="s">
        <v>113</v>
      </c>
      <c r="E2303" s="2">
        <v>1</v>
      </c>
      <c r="F2303" s="7">
        <v>1199</v>
      </c>
      <c r="G2303" s="8">
        <v>0.2</v>
      </c>
      <c r="H2303" s="9" t="str">
        <f>INDEX(Products!$B$2:$B$37, MATCH(D2303, Products!$A$2:$A$37, 0))</f>
        <v>Robot Vacuum S3</v>
      </c>
      <c r="I2303" t="str">
        <f>INDEX(Products!$C$2:$C$37, MATCH(D2303, Products!$A$2:$A$37, 0))</f>
        <v>Home &amp; Kitchen</v>
      </c>
      <c r="J2303">
        <f>INDEX(Products!$E$2:$E$37, MATCH(D2303, Products!$A$2:$A$37, 0))</f>
        <v>1080</v>
      </c>
      <c r="K2303" s="9">
        <f t="shared" si="140"/>
        <v>959.2</v>
      </c>
      <c r="L2303">
        <f t="shared" si="141"/>
        <v>1080</v>
      </c>
      <c r="M2303" s="9">
        <f t="shared" si="142"/>
        <v>-120.79999999999995</v>
      </c>
      <c r="N2303" t="str">
        <f t="shared" si="143"/>
        <v>Jul</v>
      </c>
    </row>
    <row r="2304" spans="1:14" x14ac:dyDescent="0.3">
      <c r="A2304" s="2" t="s">
        <v>2370</v>
      </c>
      <c r="B2304" s="6">
        <v>45854</v>
      </c>
      <c r="C2304" s="2" t="s">
        <v>44</v>
      </c>
      <c r="D2304" s="2" t="s">
        <v>115</v>
      </c>
      <c r="E2304" s="2">
        <v>1</v>
      </c>
      <c r="F2304" s="7">
        <v>129</v>
      </c>
      <c r="G2304" s="8">
        <v>0</v>
      </c>
      <c r="H2304" s="9" t="str">
        <f>INDEX(Products!$B$2:$B$37, MATCH(D2304, Products!$A$2:$A$37, 0))</f>
        <v>Electric Kettle</v>
      </c>
      <c r="I2304" t="str">
        <f>INDEX(Products!$C$2:$C$37, MATCH(D2304, Products!$A$2:$A$37, 0))</f>
        <v>Home &amp; Kitchen</v>
      </c>
      <c r="J2304">
        <f>INDEX(Products!$E$2:$E$37, MATCH(D2304, Products!$A$2:$A$37, 0))</f>
        <v>60</v>
      </c>
      <c r="K2304" s="9">
        <f t="shared" si="140"/>
        <v>129</v>
      </c>
      <c r="L2304">
        <f t="shared" si="141"/>
        <v>60</v>
      </c>
      <c r="M2304" s="9">
        <f t="shared" si="142"/>
        <v>69</v>
      </c>
      <c r="N2304" t="str">
        <f t="shared" si="143"/>
        <v>Jul</v>
      </c>
    </row>
    <row r="2305" spans="1:14" x14ac:dyDescent="0.3">
      <c r="A2305" s="2" t="s">
        <v>2371</v>
      </c>
      <c r="B2305" s="6">
        <v>45854</v>
      </c>
      <c r="C2305" s="2" t="s">
        <v>28</v>
      </c>
      <c r="D2305" s="2" t="s">
        <v>52</v>
      </c>
      <c r="E2305" s="2">
        <v>2</v>
      </c>
      <c r="F2305" s="7">
        <v>299</v>
      </c>
      <c r="G2305" s="8">
        <v>0.2</v>
      </c>
      <c r="H2305" s="9" t="str">
        <f>INDEX(Products!$B$2:$B$37, MATCH(D2305, Products!$A$2:$A$37, 0))</f>
        <v>Hair Dryer Ionic</v>
      </c>
      <c r="I2305" t="str">
        <f>INDEX(Products!$C$2:$C$37, MATCH(D2305, Products!$A$2:$A$37, 0))</f>
        <v>Beauty</v>
      </c>
      <c r="J2305">
        <f>INDEX(Products!$E$2:$E$37, MATCH(D2305, Products!$A$2:$A$37, 0))</f>
        <v>240</v>
      </c>
      <c r="K2305" s="9">
        <f t="shared" si="140"/>
        <v>478.40000000000003</v>
      </c>
      <c r="L2305">
        <f t="shared" si="141"/>
        <v>480</v>
      </c>
      <c r="M2305" s="9">
        <f t="shared" si="142"/>
        <v>-1.5999999999999659</v>
      </c>
      <c r="N2305" t="str">
        <f t="shared" si="143"/>
        <v>Jul</v>
      </c>
    </row>
    <row r="2306" spans="1:14" x14ac:dyDescent="0.3">
      <c r="A2306" s="2" t="s">
        <v>2372</v>
      </c>
      <c r="B2306" s="6">
        <v>45854</v>
      </c>
      <c r="C2306" s="2" t="s">
        <v>41</v>
      </c>
      <c r="D2306" s="2" t="s">
        <v>49</v>
      </c>
      <c r="E2306" s="2">
        <v>3</v>
      </c>
      <c r="F2306" s="7">
        <v>149</v>
      </c>
      <c r="G2306" s="8">
        <v>0.1</v>
      </c>
      <c r="H2306" s="9" t="str">
        <f>INDEX(Products!$B$2:$B$37, MATCH(D2306, Products!$A$2:$A$37, 0))</f>
        <v>Kids' Sneakers</v>
      </c>
      <c r="I2306" t="str">
        <f>INDEX(Products!$C$2:$C$37, MATCH(D2306, Products!$A$2:$A$37, 0))</f>
        <v>Fashion</v>
      </c>
      <c r="J2306">
        <f>INDEX(Products!$E$2:$E$37, MATCH(D2306, Products!$A$2:$A$37, 0))</f>
        <v>80</v>
      </c>
      <c r="K2306" s="9">
        <f t="shared" ref="K2306:K2369" si="144">E2306*F2306*(1-G2306)</f>
        <v>402.3</v>
      </c>
      <c r="L2306">
        <f t="shared" ref="L2306:L2369" si="145">E2306*J2306</f>
        <v>240</v>
      </c>
      <c r="M2306" s="9">
        <f t="shared" ref="M2306:M2369" si="146">K2306-L2306</f>
        <v>162.30000000000001</v>
      </c>
      <c r="N2306" t="str">
        <f t="shared" ref="N2306:N2369" si="147">TEXT(B2306,"mmm")</f>
        <v>Jul</v>
      </c>
    </row>
    <row r="2307" spans="1:14" x14ac:dyDescent="0.3">
      <c r="A2307" s="2" t="s">
        <v>2373</v>
      </c>
      <c r="B2307" s="6">
        <v>45854</v>
      </c>
      <c r="C2307" s="2" t="s">
        <v>44</v>
      </c>
      <c r="D2307" s="2" t="s">
        <v>35</v>
      </c>
      <c r="E2307" s="2">
        <v>1</v>
      </c>
      <c r="F2307" s="7">
        <v>179</v>
      </c>
      <c r="G2307" s="8">
        <v>0</v>
      </c>
      <c r="H2307" s="9" t="str">
        <f>INDEX(Products!$B$2:$B$37, MATCH(D2307, Products!$A$2:$A$37, 0))</f>
        <v>Men's Linen Shirt</v>
      </c>
      <c r="I2307" t="str">
        <f>INDEX(Products!$C$2:$C$37, MATCH(D2307, Products!$A$2:$A$37, 0))</f>
        <v>Fashion</v>
      </c>
      <c r="J2307">
        <f>INDEX(Products!$E$2:$E$37, MATCH(D2307, Products!$A$2:$A$37, 0))</f>
        <v>70</v>
      </c>
      <c r="K2307" s="9">
        <f t="shared" si="144"/>
        <v>179</v>
      </c>
      <c r="L2307">
        <f t="shared" si="145"/>
        <v>70</v>
      </c>
      <c r="M2307" s="9">
        <f t="shared" si="146"/>
        <v>109</v>
      </c>
      <c r="N2307" t="str">
        <f t="shared" si="147"/>
        <v>Jul</v>
      </c>
    </row>
    <row r="2308" spans="1:14" x14ac:dyDescent="0.3">
      <c r="A2308" s="2" t="s">
        <v>2374</v>
      </c>
      <c r="B2308" s="6">
        <v>45854</v>
      </c>
      <c r="C2308" s="2" t="s">
        <v>28</v>
      </c>
      <c r="D2308" s="2" t="s">
        <v>115</v>
      </c>
      <c r="E2308" s="2">
        <v>2</v>
      </c>
      <c r="F2308" s="7">
        <v>129</v>
      </c>
      <c r="G2308" s="8">
        <v>0.05</v>
      </c>
      <c r="H2308" s="9" t="str">
        <f>INDEX(Products!$B$2:$B$37, MATCH(D2308, Products!$A$2:$A$37, 0))</f>
        <v>Electric Kettle</v>
      </c>
      <c r="I2308" t="str">
        <f>INDEX(Products!$C$2:$C$37, MATCH(D2308, Products!$A$2:$A$37, 0))</f>
        <v>Home &amp; Kitchen</v>
      </c>
      <c r="J2308">
        <f>INDEX(Products!$E$2:$E$37, MATCH(D2308, Products!$A$2:$A$37, 0))</f>
        <v>60</v>
      </c>
      <c r="K2308" s="9">
        <f t="shared" si="144"/>
        <v>245.1</v>
      </c>
      <c r="L2308">
        <f t="shared" si="145"/>
        <v>120</v>
      </c>
      <c r="M2308" s="9">
        <f t="shared" si="146"/>
        <v>125.1</v>
      </c>
      <c r="N2308" t="str">
        <f t="shared" si="147"/>
        <v>Jul</v>
      </c>
    </row>
    <row r="2309" spans="1:14" x14ac:dyDescent="0.3">
      <c r="A2309" s="2" t="s">
        <v>2375</v>
      </c>
      <c r="B2309" s="6">
        <v>45854</v>
      </c>
      <c r="C2309" s="2" t="s">
        <v>41</v>
      </c>
      <c r="D2309" s="2" t="s">
        <v>52</v>
      </c>
      <c r="E2309" s="2">
        <v>1</v>
      </c>
      <c r="F2309" s="7">
        <v>299</v>
      </c>
      <c r="G2309" s="8">
        <v>0.2</v>
      </c>
      <c r="H2309" s="9" t="str">
        <f>INDEX(Products!$B$2:$B$37, MATCH(D2309, Products!$A$2:$A$37, 0))</f>
        <v>Hair Dryer Ionic</v>
      </c>
      <c r="I2309" t="str">
        <f>INDEX(Products!$C$2:$C$37, MATCH(D2309, Products!$A$2:$A$37, 0))</f>
        <v>Beauty</v>
      </c>
      <c r="J2309">
        <f>INDEX(Products!$E$2:$E$37, MATCH(D2309, Products!$A$2:$A$37, 0))</f>
        <v>240</v>
      </c>
      <c r="K2309" s="9">
        <f t="shared" si="144"/>
        <v>239.20000000000002</v>
      </c>
      <c r="L2309">
        <f t="shared" si="145"/>
        <v>240</v>
      </c>
      <c r="M2309" s="9">
        <f t="shared" si="146"/>
        <v>-0.79999999999998295</v>
      </c>
      <c r="N2309" t="str">
        <f t="shared" si="147"/>
        <v>Jul</v>
      </c>
    </row>
    <row r="2310" spans="1:14" x14ac:dyDescent="0.3">
      <c r="A2310" s="2" t="s">
        <v>2376</v>
      </c>
      <c r="B2310" s="6">
        <v>45854</v>
      </c>
      <c r="C2310" s="2" t="s">
        <v>41</v>
      </c>
      <c r="D2310" s="2" t="s">
        <v>99</v>
      </c>
      <c r="E2310" s="2">
        <v>1</v>
      </c>
      <c r="F2310" s="7">
        <v>459</v>
      </c>
      <c r="G2310" s="8">
        <v>0.1</v>
      </c>
      <c r="H2310" s="9" t="str">
        <f>INDEX(Products!$B$2:$B$37, MATCH(D2310, Products!$A$2:$A$37, 0))</f>
        <v>Gaming Headset X</v>
      </c>
      <c r="I2310" t="str">
        <f>INDEX(Products!$C$2:$C$37, MATCH(D2310, Products!$A$2:$A$37, 0))</f>
        <v>Electronics</v>
      </c>
      <c r="J2310">
        <f>INDEX(Products!$E$2:$E$37, MATCH(D2310, Products!$A$2:$A$37, 0))</f>
        <v>300</v>
      </c>
      <c r="K2310" s="9">
        <f t="shared" si="144"/>
        <v>413.1</v>
      </c>
      <c r="L2310">
        <f t="shared" si="145"/>
        <v>300</v>
      </c>
      <c r="M2310" s="9">
        <f t="shared" si="146"/>
        <v>113.10000000000002</v>
      </c>
      <c r="N2310" t="str">
        <f t="shared" si="147"/>
        <v>Jul</v>
      </c>
    </row>
    <row r="2311" spans="1:14" x14ac:dyDescent="0.3">
      <c r="A2311" s="2" t="s">
        <v>2377</v>
      </c>
      <c r="B2311" s="6">
        <v>45854</v>
      </c>
      <c r="C2311" s="2" t="s">
        <v>44</v>
      </c>
      <c r="D2311" s="2" t="s">
        <v>99</v>
      </c>
      <c r="E2311" s="2">
        <v>2</v>
      </c>
      <c r="F2311" s="7">
        <v>459</v>
      </c>
      <c r="G2311" s="8">
        <v>0.05</v>
      </c>
      <c r="H2311" s="9" t="str">
        <f>INDEX(Products!$B$2:$B$37, MATCH(D2311, Products!$A$2:$A$37, 0))</f>
        <v>Gaming Headset X</v>
      </c>
      <c r="I2311" t="str">
        <f>INDEX(Products!$C$2:$C$37, MATCH(D2311, Products!$A$2:$A$37, 0))</f>
        <v>Electronics</v>
      </c>
      <c r="J2311">
        <f>INDEX(Products!$E$2:$E$37, MATCH(D2311, Products!$A$2:$A$37, 0))</f>
        <v>300</v>
      </c>
      <c r="K2311" s="9">
        <f t="shared" si="144"/>
        <v>872.09999999999991</v>
      </c>
      <c r="L2311">
        <f t="shared" si="145"/>
        <v>600</v>
      </c>
      <c r="M2311" s="9">
        <f t="shared" si="146"/>
        <v>272.09999999999991</v>
      </c>
      <c r="N2311" t="str">
        <f t="shared" si="147"/>
        <v>Jul</v>
      </c>
    </row>
    <row r="2312" spans="1:14" x14ac:dyDescent="0.3">
      <c r="A2312" s="2" t="s">
        <v>2378</v>
      </c>
      <c r="B2312" s="6">
        <v>45855</v>
      </c>
      <c r="C2312" s="2" t="s">
        <v>28</v>
      </c>
      <c r="D2312" s="2" t="s">
        <v>33</v>
      </c>
      <c r="E2312" s="2">
        <v>1</v>
      </c>
      <c r="F2312" s="7">
        <v>199</v>
      </c>
      <c r="G2312" s="8">
        <v>0.1</v>
      </c>
      <c r="H2312" s="9" t="str">
        <f>INDEX(Products!$B$2:$B$37, MATCH(D2312, Products!$A$2:$A$37, 0))</f>
        <v>Fitness Band Lite</v>
      </c>
      <c r="I2312" t="str">
        <f>INDEX(Products!$C$2:$C$37, MATCH(D2312, Products!$A$2:$A$37, 0))</f>
        <v>Electronics</v>
      </c>
      <c r="J2312">
        <f>INDEX(Products!$E$2:$E$37, MATCH(D2312, Products!$A$2:$A$37, 0))</f>
        <v>175</v>
      </c>
      <c r="K2312" s="9">
        <f t="shared" si="144"/>
        <v>179.1</v>
      </c>
      <c r="L2312">
        <f t="shared" si="145"/>
        <v>175</v>
      </c>
      <c r="M2312" s="9">
        <f t="shared" si="146"/>
        <v>4.0999999999999943</v>
      </c>
      <c r="N2312" t="str">
        <f t="shared" si="147"/>
        <v>Jul</v>
      </c>
    </row>
    <row r="2313" spans="1:14" x14ac:dyDescent="0.3">
      <c r="A2313" s="2" t="s">
        <v>2379</v>
      </c>
      <c r="B2313" s="6">
        <v>45855</v>
      </c>
      <c r="C2313" s="2" t="s">
        <v>44</v>
      </c>
      <c r="D2313" s="2" t="s">
        <v>68</v>
      </c>
      <c r="E2313" s="2">
        <v>1</v>
      </c>
      <c r="F2313" s="7">
        <v>249</v>
      </c>
      <c r="G2313" s="8">
        <v>0</v>
      </c>
      <c r="H2313" s="9" t="str">
        <f>INDEX(Products!$B$2:$B$37, MATCH(D2313, Products!$A$2:$A$37, 0))</f>
        <v>Bluetooth Speaker Mini</v>
      </c>
      <c r="I2313" t="str">
        <f>INDEX(Products!$C$2:$C$37, MATCH(D2313, Products!$A$2:$A$37, 0))</f>
        <v>Electronics</v>
      </c>
      <c r="J2313">
        <f>INDEX(Products!$E$2:$E$37, MATCH(D2313, Products!$A$2:$A$37, 0))</f>
        <v>150</v>
      </c>
      <c r="K2313" s="9">
        <f t="shared" si="144"/>
        <v>249</v>
      </c>
      <c r="L2313">
        <f t="shared" si="145"/>
        <v>150</v>
      </c>
      <c r="M2313" s="9">
        <f t="shared" si="146"/>
        <v>99</v>
      </c>
      <c r="N2313" t="str">
        <f t="shared" si="147"/>
        <v>Jul</v>
      </c>
    </row>
    <row r="2314" spans="1:14" x14ac:dyDescent="0.3">
      <c r="A2314" s="2" t="s">
        <v>2380</v>
      </c>
      <c r="B2314" s="6">
        <v>45855</v>
      </c>
      <c r="C2314" s="2" t="s">
        <v>41</v>
      </c>
      <c r="D2314" s="2" t="s">
        <v>83</v>
      </c>
      <c r="E2314" s="2">
        <v>1</v>
      </c>
      <c r="F2314" s="7">
        <v>229</v>
      </c>
      <c r="G2314" s="8">
        <v>0.1</v>
      </c>
      <c r="H2314" s="9" t="str">
        <f>INDEX(Products!$B$2:$B$37, MATCH(D2314, Products!$A$2:$A$37, 0))</f>
        <v>Cycling Helmet</v>
      </c>
      <c r="I2314" t="str">
        <f>INDEX(Products!$C$2:$C$37, MATCH(D2314, Products!$A$2:$A$37, 0))</f>
        <v>Sports</v>
      </c>
      <c r="J2314">
        <f>INDEX(Products!$E$2:$E$37, MATCH(D2314, Products!$A$2:$A$37, 0))</f>
        <v>120</v>
      </c>
      <c r="K2314" s="9">
        <f t="shared" si="144"/>
        <v>206.1</v>
      </c>
      <c r="L2314">
        <f t="shared" si="145"/>
        <v>120</v>
      </c>
      <c r="M2314" s="9">
        <f t="shared" si="146"/>
        <v>86.1</v>
      </c>
      <c r="N2314" t="str">
        <f t="shared" si="147"/>
        <v>Jul</v>
      </c>
    </row>
    <row r="2315" spans="1:14" x14ac:dyDescent="0.3">
      <c r="A2315" s="2" t="s">
        <v>2381</v>
      </c>
      <c r="B2315" s="6">
        <v>45855</v>
      </c>
      <c r="C2315" s="2" t="s">
        <v>44</v>
      </c>
      <c r="D2315" s="2" t="s">
        <v>68</v>
      </c>
      <c r="E2315" s="2">
        <v>1</v>
      </c>
      <c r="F2315" s="7">
        <v>249</v>
      </c>
      <c r="G2315" s="8">
        <v>0.1</v>
      </c>
      <c r="H2315" s="9" t="str">
        <f>INDEX(Products!$B$2:$B$37, MATCH(D2315, Products!$A$2:$A$37, 0))</f>
        <v>Bluetooth Speaker Mini</v>
      </c>
      <c r="I2315" t="str">
        <f>INDEX(Products!$C$2:$C$37, MATCH(D2315, Products!$A$2:$A$37, 0))</f>
        <v>Electronics</v>
      </c>
      <c r="J2315">
        <f>INDEX(Products!$E$2:$E$37, MATCH(D2315, Products!$A$2:$A$37, 0))</f>
        <v>150</v>
      </c>
      <c r="K2315" s="9">
        <f t="shared" si="144"/>
        <v>224.1</v>
      </c>
      <c r="L2315">
        <f t="shared" si="145"/>
        <v>150</v>
      </c>
      <c r="M2315" s="9">
        <f t="shared" si="146"/>
        <v>74.099999999999994</v>
      </c>
      <c r="N2315" t="str">
        <f t="shared" si="147"/>
        <v>Jul</v>
      </c>
    </row>
    <row r="2316" spans="1:14" x14ac:dyDescent="0.3">
      <c r="A2316" s="2" t="s">
        <v>2382</v>
      </c>
      <c r="B2316" s="6">
        <v>45855</v>
      </c>
      <c r="C2316" s="2" t="s">
        <v>31</v>
      </c>
      <c r="D2316" s="2" t="s">
        <v>46</v>
      </c>
      <c r="E2316" s="2">
        <v>1</v>
      </c>
      <c r="F2316" s="7">
        <v>189</v>
      </c>
      <c r="G2316" s="8">
        <v>0</v>
      </c>
      <c r="H2316" s="9" t="str">
        <f>INDEX(Products!$B$2:$B$37, MATCH(D2316, Products!$A$2:$A$37, 0))</f>
        <v>Makeup Palette</v>
      </c>
      <c r="I2316" t="str">
        <f>INDEX(Products!$C$2:$C$37, MATCH(D2316, Products!$A$2:$A$37, 0))</f>
        <v>Beauty</v>
      </c>
      <c r="J2316">
        <f>INDEX(Products!$E$2:$E$37, MATCH(D2316, Products!$A$2:$A$37, 0))</f>
        <v>85</v>
      </c>
      <c r="K2316" s="9">
        <f t="shared" si="144"/>
        <v>189</v>
      </c>
      <c r="L2316">
        <f t="shared" si="145"/>
        <v>85</v>
      </c>
      <c r="M2316" s="9">
        <f t="shared" si="146"/>
        <v>104</v>
      </c>
      <c r="N2316" t="str">
        <f t="shared" si="147"/>
        <v>Jul</v>
      </c>
    </row>
    <row r="2317" spans="1:14" x14ac:dyDescent="0.3">
      <c r="A2317" s="2" t="s">
        <v>2383</v>
      </c>
      <c r="B2317" s="6">
        <v>45855</v>
      </c>
      <c r="C2317" s="2" t="s">
        <v>44</v>
      </c>
      <c r="D2317" s="2" t="s">
        <v>115</v>
      </c>
      <c r="E2317" s="2">
        <v>1</v>
      </c>
      <c r="F2317" s="7">
        <v>129</v>
      </c>
      <c r="G2317" s="8">
        <v>0</v>
      </c>
      <c r="H2317" s="9" t="str">
        <f>INDEX(Products!$B$2:$B$37, MATCH(D2317, Products!$A$2:$A$37, 0))</f>
        <v>Electric Kettle</v>
      </c>
      <c r="I2317" t="str">
        <f>INDEX(Products!$C$2:$C$37, MATCH(D2317, Products!$A$2:$A$37, 0))</f>
        <v>Home &amp; Kitchen</v>
      </c>
      <c r="J2317">
        <f>INDEX(Products!$E$2:$E$37, MATCH(D2317, Products!$A$2:$A$37, 0))</f>
        <v>60</v>
      </c>
      <c r="K2317" s="9">
        <f t="shared" si="144"/>
        <v>129</v>
      </c>
      <c r="L2317">
        <f t="shared" si="145"/>
        <v>60</v>
      </c>
      <c r="M2317" s="9">
        <f t="shared" si="146"/>
        <v>69</v>
      </c>
      <c r="N2317" t="str">
        <f t="shared" si="147"/>
        <v>Jul</v>
      </c>
    </row>
    <row r="2318" spans="1:14" x14ac:dyDescent="0.3">
      <c r="A2318" s="2" t="s">
        <v>2384</v>
      </c>
      <c r="B2318" s="6">
        <v>45855</v>
      </c>
      <c r="C2318" s="2" t="s">
        <v>41</v>
      </c>
      <c r="D2318" s="2" t="s">
        <v>60</v>
      </c>
      <c r="E2318" s="2">
        <v>1</v>
      </c>
      <c r="F2318" s="7">
        <v>99</v>
      </c>
      <c r="G2318" s="8">
        <v>0.2</v>
      </c>
      <c r="H2318" s="9" t="str">
        <f>INDEX(Products!$B$2:$B$37, MATCH(D2318, Products!$A$2:$A$37, 0))</f>
        <v>Football Size 5</v>
      </c>
      <c r="I2318" t="str">
        <f>INDEX(Products!$C$2:$C$37, MATCH(D2318, Products!$A$2:$A$37, 0))</f>
        <v>Sports</v>
      </c>
      <c r="J2318">
        <f>INDEX(Products!$E$2:$E$37, MATCH(D2318, Products!$A$2:$A$37, 0))</f>
        <v>45</v>
      </c>
      <c r="K2318" s="9">
        <f t="shared" si="144"/>
        <v>79.2</v>
      </c>
      <c r="L2318">
        <f t="shared" si="145"/>
        <v>45</v>
      </c>
      <c r="M2318" s="9">
        <f t="shared" si="146"/>
        <v>34.200000000000003</v>
      </c>
      <c r="N2318" t="str">
        <f t="shared" si="147"/>
        <v>Jul</v>
      </c>
    </row>
    <row r="2319" spans="1:14" x14ac:dyDescent="0.3">
      <c r="A2319" s="2" t="s">
        <v>2385</v>
      </c>
      <c r="B2319" s="6">
        <v>45855</v>
      </c>
      <c r="C2319" s="2" t="s">
        <v>44</v>
      </c>
      <c r="D2319" s="2" t="s">
        <v>35</v>
      </c>
      <c r="E2319" s="2">
        <v>1</v>
      </c>
      <c r="F2319" s="7">
        <v>179</v>
      </c>
      <c r="G2319" s="8">
        <v>0</v>
      </c>
      <c r="H2319" s="9" t="str">
        <f>INDEX(Products!$B$2:$B$37, MATCH(D2319, Products!$A$2:$A$37, 0))</f>
        <v>Men's Linen Shirt</v>
      </c>
      <c r="I2319" t="str">
        <f>INDEX(Products!$C$2:$C$37, MATCH(D2319, Products!$A$2:$A$37, 0))</f>
        <v>Fashion</v>
      </c>
      <c r="J2319">
        <f>INDEX(Products!$E$2:$E$37, MATCH(D2319, Products!$A$2:$A$37, 0))</f>
        <v>70</v>
      </c>
      <c r="K2319" s="9">
        <f t="shared" si="144"/>
        <v>179</v>
      </c>
      <c r="L2319">
        <f t="shared" si="145"/>
        <v>70</v>
      </c>
      <c r="M2319" s="9">
        <f t="shared" si="146"/>
        <v>109</v>
      </c>
      <c r="N2319" t="str">
        <f t="shared" si="147"/>
        <v>Jul</v>
      </c>
    </row>
    <row r="2320" spans="1:14" x14ac:dyDescent="0.3">
      <c r="A2320" s="2" t="s">
        <v>2386</v>
      </c>
      <c r="B2320" s="6">
        <v>45855</v>
      </c>
      <c r="C2320" s="2" t="s">
        <v>48</v>
      </c>
      <c r="D2320" s="2" t="s">
        <v>37</v>
      </c>
      <c r="E2320" s="2">
        <v>1</v>
      </c>
      <c r="F2320" s="7">
        <v>249</v>
      </c>
      <c r="G2320" s="8">
        <v>0.05</v>
      </c>
      <c r="H2320" s="9" t="str">
        <f>INDEX(Products!$B$2:$B$37, MATCH(D2320, Products!$A$2:$A$37, 0))</f>
        <v>Sunglasses Polarised</v>
      </c>
      <c r="I2320" t="str">
        <f>INDEX(Products!$C$2:$C$37, MATCH(D2320, Products!$A$2:$A$37, 0))</f>
        <v>Fashion</v>
      </c>
      <c r="J2320">
        <f>INDEX(Products!$E$2:$E$37, MATCH(D2320, Products!$A$2:$A$37, 0))</f>
        <v>95</v>
      </c>
      <c r="K2320" s="9">
        <f t="shared" si="144"/>
        <v>236.54999999999998</v>
      </c>
      <c r="L2320">
        <f t="shared" si="145"/>
        <v>95</v>
      </c>
      <c r="M2320" s="9">
        <f t="shared" si="146"/>
        <v>141.54999999999998</v>
      </c>
      <c r="N2320" t="str">
        <f t="shared" si="147"/>
        <v>Jul</v>
      </c>
    </row>
    <row r="2321" spans="1:14" x14ac:dyDescent="0.3">
      <c r="A2321" s="2" t="s">
        <v>2387</v>
      </c>
      <c r="B2321" s="6">
        <v>45855</v>
      </c>
      <c r="C2321" s="2" t="s">
        <v>48</v>
      </c>
      <c r="D2321" s="2" t="s">
        <v>89</v>
      </c>
      <c r="E2321" s="2">
        <v>2</v>
      </c>
      <c r="F2321" s="7">
        <v>399</v>
      </c>
      <c r="G2321" s="8">
        <v>0.1</v>
      </c>
      <c r="H2321" s="9" t="str">
        <f>INDEX(Products!$B$2:$B$37, MATCH(D2321, Products!$A$2:$A$37, 0))</f>
        <v>Men's Kandura Premium</v>
      </c>
      <c r="I2321" t="str">
        <f>INDEX(Products!$C$2:$C$37, MATCH(D2321, Products!$A$2:$A$37, 0))</f>
        <v>Fashion</v>
      </c>
      <c r="J2321">
        <f>INDEX(Products!$E$2:$E$37, MATCH(D2321, Products!$A$2:$A$37, 0))</f>
        <v>210</v>
      </c>
      <c r="K2321" s="9">
        <f t="shared" si="144"/>
        <v>718.2</v>
      </c>
      <c r="L2321">
        <f t="shared" si="145"/>
        <v>420</v>
      </c>
      <c r="M2321" s="9">
        <f t="shared" si="146"/>
        <v>298.20000000000005</v>
      </c>
      <c r="N2321" t="str">
        <f t="shared" si="147"/>
        <v>Jul</v>
      </c>
    </row>
    <row r="2322" spans="1:14" x14ac:dyDescent="0.3">
      <c r="A2322" s="2" t="s">
        <v>2388</v>
      </c>
      <c r="B2322" s="6">
        <v>45855</v>
      </c>
      <c r="C2322" s="2" t="s">
        <v>31</v>
      </c>
      <c r="D2322" s="2" t="s">
        <v>29</v>
      </c>
      <c r="E2322" s="2">
        <v>2</v>
      </c>
      <c r="F2322" s="7">
        <v>229</v>
      </c>
      <c r="G2322" s="8">
        <v>0</v>
      </c>
      <c r="H2322" s="9" t="str">
        <f>INDEX(Products!$B$2:$B$37, MATCH(D2322, Products!$A$2:$A$37, 0))</f>
        <v>Women's Summer Dress</v>
      </c>
      <c r="I2322" t="str">
        <f>INDEX(Products!$C$2:$C$37, MATCH(D2322, Products!$A$2:$A$37, 0))</f>
        <v>Fashion</v>
      </c>
      <c r="J2322">
        <f>INDEX(Products!$E$2:$E$37, MATCH(D2322, Products!$A$2:$A$37, 0))</f>
        <v>120</v>
      </c>
      <c r="K2322" s="9">
        <f t="shared" si="144"/>
        <v>458</v>
      </c>
      <c r="L2322">
        <f t="shared" si="145"/>
        <v>240</v>
      </c>
      <c r="M2322" s="9">
        <f t="shared" si="146"/>
        <v>218</v>
      </c>
      <c r="N2322" t="str">
        <f t="shared" si="147"/>
        <v>Jul</v>
      </c>
    </row>
    <row r="2323" spans="1:14" x14ac:dyDescent="0.3">
      <c r="A2323" s="2" t="s">
        <v>2389</v>
      </c>
      <c r="B2323" s="6">
        <v>45855</v>
      </c>
      <c r="C2323" s="2" t="s">
        <v>44</v>
      </c>
      <c r="D2323" s="2" t="s">
        <v>115</v>
      </c>
      <c r="E2323" s="2">
        <v>2</v>
      </c>
      <c r="F2323" s="7">
        <v>129</v>
      </c>
      <c r="G2323" s="8">
        <v>0.3</v>
      </c>
      <c r="H2323" s="9" t="str">
        <f>INDEX(Products!$B$2:$B$37, MATCH(D2323, Products!$A$2:$A$37, 0))</f>
        <v>Electric Kettle</v>
      </c>
      <c r="I2323" t="str">
        <f>INDEX(Products!$C$2:$C$37, MATCH(D2323, Products!$A$2:$A$37, 0))</f>
        <v>Home &amp; Kitchen</v>
      </c>
      <c r="J2323">
        <f>INDEX(Products!$E$2:$E$37, MATCH(D2323, Products!$A$2:$A$37, 0))</f>
        <v>60</v>
      </c>
      <c r="K2323" s="9">
        <f t="shared" si="144"/>
        <v>180.6</v>
      </c>
      <c r="L2323">
        <f t="shared" si="145"/>
        <v>120</v>
      </c>
      <c r="M2323" s="9">
        <f t="shared" si="146"/>
        <v>60.599999999999994</v>
      </c>
      <c r="N2323" t="str">
        <f t="shared" si="147"/>
        <v>Jul</v>
      </c>
    </row>
    <row r="2324" spans="1:14" x14ac:dyDescent="0.3">
      <c r="A2324" s="2" t="s">
        <v>2390</v>
      </c>
      <c r="B2324" s="6">
        <v>45855</v>
      </c>
      <c r="C2324" s="2" t="s">
        <v>44</v>
      </c>
      <c r="D2324" s="2" t="s">
        <v>129</v>
      </c>
      <c r="E2324" s="2">
        <v>2</v>
      </c>
      <c r="F2324" s="7">
        <v>149</v>
      </c>
      <c r="G2324" s="8">
        <v>0</v>
      </c>
      <c r="H2324" s="9" t="str">
        <f>INDEX(Products!$B$2:$B$37, MATCH(D2324, Products!$A$2:$A$37, 0))</f>
        <v>Power Bank 20000mAh</v>
      </c>
      <c r="I2324" t="str">
        <f>INDEX(Products!$C$2:$C$37, MATCH(D2324, Products!$A$2:$A$37, 0))</f>
        <v>Electronics</v>
      </c>
      <c r="J2324">
        <f>INDEX(Products!$E$2:$E$37, MATCH(D2324, Products!$A$2:$A$37, 0))</f>
        <v>70</v>
      </c>
      <c r="K2324" s="9">
        <f t="shared" si="144"/>
        <v>298</v>
      </c>
      <c r="L2324">
        <f t="shared" si="145"/>
        <v>140</v>
      </c>
      <c r="M2324" s="9">
        <f t="shared" si="146"/>
        <v>158</v>
      </c>
      <c r="N2324" t="str">
        <f t="shared" si="147"/>
        <v>Jul</v>
      </c>
    </row>
    <row r="2325" spans="1:14" x14ac:dyDescent="0.3">
      <c r="A2325" s="2" t="s">
        <v>2391</v>
      </c>
      <c r="B2325" s="6">
        <v>45855</v>
      </c>
      <c r="C2325" s="2" t="s">
        <v>41</v>
      </c>
      <c r="D2325" s="2" t="s">
        <v>65</v>
      </c>
      <c r="E2325" s="2">
        <v>1</v>
      </c>
      <c r="F2325" s="7">
        <v>129</v>
      </c>
      <c r="G2325" s="8">
        <v>0.1</v>
      </c>
      <c r="H2325" s="9" t="str">
        <f>INDEX(Products!$B$2:$B$37, MATCH(D2325, Products!$A$2:$A$37, 0))</f>
        <v>Yoga Mat Premium</v>
      </c>
      <c r="I2325" t="str">
        <f>INDEX(Products!$C$2:$C$37, MATCH(D2325, Products!$A$2:$A$37, 0))</f>
        <v>Sports</v>
      </c>
      <c r="J2325">
        <f>INDEX(Products!$E$2:$E$37, MATCH(D2325, Products!$A$2:$A$37, 0))</f>
        <v>60</v>
      </c>
      <c r="K2325" s="9">
        <f t="shared" si="144"/>
        <v>116.10000000000001</v>
      </c>
      <c r="L2325">
        <f t="shared" si="145"/>
        <v>60</v>
      </c>
      <c r="M2325" s="9">
        <f t="shared" si="146"/>
        <v>56.100000000000009</v>
      </c>
      <c r="N2325" t="str">
        <f t="shared" si="147"/>
        <v>Jul</v>
      </c>
    </row>
    <row r="2326" spans="1:14" x14ac:dyDescent="0.3">
      <c r="A2326" s="2" t="s">
        <v>2392</v>
      </c>
      <c r="B2326" s="6">
        <v>45855</v>
      </c>
      <c r="C2326" s="2" t="s">
        <v>28</v>
      </c>
      <c r="D2326" s="2" t="s">
        <v>92</v>
      </c>
      <c r="E2326" s="2">
        <v>2</v>
      </c>
      <c r="F2326" s="7">
        <v>349</v>
      </c>
      <c r="G2326" s="8">
        <v>0</v>
      </c>
      <c r="H2326" s="9" t="str">
        <f>INDEX(Products!$B$2:$B$37, MATCH(D2326, Products!$A$2:$A$37, 0))</f>
        <v>Non-stick Cookware Set</v>
      </c>
      <c r="I2326" t="str">
        <f>INDEX(Products!$C$2:$C$37, MATCH(D2326, Products!$A$2:$A$37, 0))</f>
        <v>Home &amp; Kitchen</v>
      </c>
      <c r="J2326">
        <f>INDEX(Products!$E$2:$E$37, MATCH(D2326, Products!$A$2:$A$37, 0))</f>
        <v>170</v>
      </c>
      <c r="K2326" s="9">
        <f t="shared" si="144"/>
        <v>698</v>
      </c>
      <c r="L2326">
        <f t="shared" si="145"/>
        <v>340</v>
      </c>
      <c r="M2326" s="9">
        <f t="shared" si="146"/>
        <v>358</v>
      </c>
      <c r="N2326" t="str">
        <f t="shared" si="147"/>
        <v>Jul</v>
      </c>
    </row>
    <row r="2327" spans="1:14" x14ac:dyDescent="0.3">
      <c r="A2327" s="2" t="s">
        <v>2393</v>
      </c>
      <c r="B2327" s="6">
        <v>45855</v>
      </c>
      <c r="C2327" s="2" t="s">
        <v>44</v>
      </c>
      <c r="D2327" s="2" t="s">
        <v>95</v>
      </c>
      <c r="E2327" s="2">
        <v>1</v>
      </c>
      <c r="F2327" s="7">
        <v>259</v>
      </c>
      <c r="G2327" s="8">
        <v>0.1</v>
      </c>
      <c r="H2327" s="9" t="str">
        <f>INDEX(Products!$B$2:$B$37, MATCH(D2327, Products!$A$2:$A$37, 0))</f>
        <v>Bed Linen Set (King)</v>
      </c>
      <c r="I2327" t="str">
        <f>INDEX(Products!$C$2:$C$37, MATCH(D2327, Products!$A$2:$A$37, 0))</f>
        <v>Home &amp; Kitchen</v>
      </c>
      <c r="J2327">
        <f>INDEX(Products!$E$2:$E$37, MATCH(D2327, Products!$A$2:$A$37, 0))</f>
        <v>115</v>
      </c>
      <c r="K2327" s="9">
        <f t="shared" si="144"/>
        <v>233.1</v>
      </c>
      <c r="L2327">
        <f t="shared" si="145"/>
        <v>115</v>
      </c>
      <c r="M2327" s="9">
        <f t="shared" si="146"/>
        <v>118.1</v>
      </c>
      <c r="N2327" t="str">
        <f t="shared" si="147"/>
        <v>Jul</v>
      </c>
    </row>
    <row r="2328" spans="1:14" x14ac:dyDescent="0.3">
      <c r="A2328" s="2" t="s">
        <v>2394</v>
      </c>
      <c r="B2328" s="6">
        <v>45855</v>
      </c>
      <c r="C2328" s="2" t="s">
        <v>28</v>
      </c>
      <c r="D2328" s="2" t="s">
        <v>83</v>
      </c>
      <c r="E2328" s="2">
        <v>1</v>
      </c>
      <c r="F2328" s="7">
        <v>229</v>
      </c>
      <c r="G2328" s="8">
        <v>0.1</v>
      </c>
      <c r="H2328" s="9" t="str">
        <f>INDEX(Products!$B$2:$B$37, MATCH(D2328, Products!$A$2:$A$37, 0))</f>
        <v>Cycling Helmet</v>
      </c>
      <c r="I2328" t="str">
        <f>INDEX(Products!$C$2:$C$37, MATCH(D2328, Products!$A$2:$A$37, 0))</f>
        <v>Sports</v>
      </c>
      <c r="J2328">
        <f>INDEX(Products!$E$2:$E$37, MATCH(D2328, Products!$A$2:$A$37, 0))</f>
        <v>120</v>
      </c>
      <c r="K2328" s="9">
        <f t="shared" si="144"/>
        <v>206.1</v>
      </c>
      <c r="L2328">
        <f t="shared" si="145"/>
        <v>120</v>
      </c>
      <c r="M2328" s="9">
        <f t="shared" si="146"/>
        <v>86.1</v>
      </c>
      <c r="N2328" t="str">
        <f t="shared" si="147"/>
        <v>Jul</v>
      </c>
    </row>
    <row r="2329" spans="1:14" x14ac:dyDescent="0.3">
      <c r="A2329" s="2" t="s">
        <v>2395</v>
      </c>
      <c r="B2329" s="6">
        <v>45855</v>
      </c>
      <c r="C2329" s="2" t="s">
        <v>41</v>
      </c>
      <c r="D2329" s="2" t="s">
        <v>49</v>
      </c>
      <c r="E2329" s="2">
        <v>2</v>
      </c>
      <c r="F2329" s="7">
        <v>149</v>
      </c>
      <c r="G2329" s="8">
        <v>0</v>
      </c>
      <c r="H2329" s="9" t="str">
        <f>INDEX(Products!$B$2:$B$37, MATCH(D2329, Products!$A$2:$A$37, 0))</f>
        <v>Kids' Sneakers</v>
      </c>
      <c r="I2329" t="str">
        <f>INDEX(Products!$C$2:$C$37, MATCH(D2329, Products!$A$2:$A$37, 0))</f>
        <v>Fashion</v>
      </c>
      <c r="J2329">
        <f>INDEX(Products!$E$2:$E$37, MATCH(D2329, Products!$A$2:$A$37, 0))</f>
        <v>80</v>
      </c>
      <c r="K2329" s="9">
        <f t="shared" si="144"/>
        <v>298</v>
      </c>
      <c r="L2329">
        <f t="shared" si="145"/>
        <v>160</v>
      </c>
      <c r="M2329" s="9">
        <f t="shared" si="146"/>
        <v>138</v>
      </c>
      <c r="N2329" t="str">
        <f t="shared" si="147"/>
        <v>Jul</v>
      </c>
    </row>
    <row r="2330" spans="1:14" x14ac:dyDescent="0.3">
      <c r="A2330" s="2" t="s">
        <v>2396</v>
      </c>
      <c r="B2330" s="6">
        <v>45855</v>
      </c>
      <c r="C2330" s="2" t="s">
        <v>41</v>
      </c>
      <c r="D2330" s="2" t="s">
        <v>52</v>
      </c>
      <c r="E2330" s="2">
        <v>1</v>
      </c>
      <c r="F2330" s="7">
        <v>299</v>
      </c>
      <c r="G2330" s="8">
        <v>0.2</v>
      </c>
      <c r="H2330" s="9" t="str">
        <f>INDEX(Products!$B$2:$B$37, MATCH(D2330, Products!$A$2:$A$37, 0))</f>
        <v>Hair Dryer Ionic</v>
      </c>
      <c r="I2330" t="str">
        <f>INDEX(Products!$C$2:$C$37, MATCH(D2330, Products!$A$2:$A$37, 0))</f>
        <v>Beauty</v>
      </c>
      <c r="J2330">
        <f>INDEX(Products!$E$2:$E$37, MATCH(D2330, Products!$A$2:$A$37, 0))</f>
        <v>240</v>
      </c>
      <c r="K2330" s="9">
        <f t="shared" si="144"/>
        <v>239.20000000000002</v>
      </c>
      <c r="L2330">
        <f t="shared" si="145"/>
        <v>240</v>
      </c>
      <c r="M2330" s="9">
        <f t="shared" si="146"/>
        <v>-0.79999999999998295</v>
      </c>
      <c r="N2330" t="str">
        <f t="shared" si="147"/>
        <v>Jul</v>
      </c>
    </row>
    <row r="2331" spans="1:14" x14ac:dyDescent="0.3">
      <c r="A2331" s="2" t="s">
        <v>2397</v>
      </c>
      <c r="B2331" s="6">
        <v>45856</v>
      </c>
      <c r="C2331" s="2" t="s">
        <v>31</v>
      </c>
      <c r="D2331" s="2" t="s">
        <v>83</v>
      </c>
      <c r="E2331" s="2">
        <v>1</v>
      </c>
      <c r="F2331" s="7">
        <v>229</v>
      </c>
      <c r="G2331" s="8">
        <v>0.05</v>
      </c>
      <c r="H2331" s="9" t="str">
        <f>INDEX(Products!$B$2:$B$37, MATCH(D2331, Products!$A$2:$A$37, 0))</f>
        <v>Cycling Helmet</v>
      </c>
      <c r="I2331" t="str">
        <f>INDEX(Products!$C$2:$C$37, MATCH(D2331, Products!$A$2:$A$37, 0))</f>
        <v>Sports</v>
      </c>
      <c r="J2331">
        <f>INDEX(Products!$E$2:$E$37, MATCH(D2331, Products!$A$2:$A$37, 0))</f>
        <v>120</v>
      </c>
      <c r="K2331" s="9">
        <f t="shared" si="144"/>
        <v>217.54999999999998</v>
      </c>
      <c r="L2331">
        <f t="shared" si="145"/>
        <v>120</v>
      </c>
      <c r="M2331" s="9">
        <f t="shared" si="146"/>
        <v>97.549999999999983</v>
      </c>
      <c r="N2331" t="str">
        <f t="shared" si="147"/>
        <v>Jul</v>
      </c>
    </row>
    <row r="2332" spans="1:14" x14ac:dyDescent="0.3">
      <c r="A2332" s="2" t="s">
        <v>2398</v>
      </c>
      <c r="B2332" s="6">
        <v>45856</v>
      </c>
      <c r="C2332" s="2" t="s">
        <v>44</v>
      </c>
      <c r="D2332" s="2" t="s">
        <v>106</v>
      </c>
      <c r="E2332" s="2">
        <v>1</v>
      </c>
      <c r="F2332" s="7">
        <v>1299</v>
      </c>
      <c r="G2332" s="8">
        <v>0</v>
      </c>
      <c r="H2332" s="9" t="str">
        <f>INDEX(Products!$B$2:$B$37, MATCH(D2332, Products!$A$2:$A$37, 0))</f>
        <v>Smart Watch Series 5</v>
      </c>
      <c r="I2332" t="str">
        <f>INDEX(Products!$C$2:$C$37, MATCH(D2332, Products!$A$2:$A$37, 0))</f>
        <v>Electronics</v>
      </c>
      <c r="J2332">
        <f>INDEX(Products!$E$2:$E$37, MATCH(D2332, Products!$A$2:$A$37, 0))</f>
        <v>820</v>
      </c>
      <c r="K2332" s="9">
        <f t="shared" si="144"/>
        <v>1299</v>
      </c>
      <c r="L2332">
        <f t="shared" si="145"/>
        <v>820</v>
      </c>
      <c r="M2332" s="9">
        <f t="shared" si="146"/>
        <v>479</v>
      </c>
      <c r="N2332" t="str">
        <f t="shared" si="147"/>
        <v>Jul</v>
      </c>
    </row>
    <row r="2333" spans="1:14" x14ac:dyDescent="0.3">
      <c r="A2333" s="2" t="s">
        <v>2399</v>
      </c>
      <c r="B2333" s="6">
        <v>45856</v>
      </c>
      <c r="C2333" s="2" t="s">
        <v>28</v>
      </c>
      <c r="D2333" s="2" t="s">
        <v>68</v>
      </c>
      <c r="E2333" s="2">
        <v>3</v>
      </c>
      <c r="F2333" s="7">
        <v>249</v>
      </c>
      <c r="G2333" s="8">
        <v>0.15</v>
      </c>
      <c r="H2333" s="9" t="str">
        <f>INDEX(Products!$B$2:$B$37, MATCH(D2333, Products!$A$2:$A$37, 0))</f>
        <v>Bluetooth Speaker Mini</v>
      </c>
      <c r="I2333" t="str">
        <f>INDEX(Products!$C$2:$C$37, MATCH(D2333, Products!$A$2:$A$37, 0))</f>
        <v>Electronics</v>
      </c>
      <c r="J2333">
        <f>INDEX(Products!$E$2:$E$37, MATCH(D2333, Products!$A$2:$A$37, 0))</f>
        <v>150</v>
      </c>
      <c r="K2333" s="9">
        <f t="shared" si="144"/>
        <v>634.94999999999993</v>
      </c>
      <c r="L2333">
        <f t="shared" si="145"/>
        <v>450</v>
      </c>
      <c r="M2333" s="9">
        <f t="shared" si="146"/>
        <v>184.94999999999993</v>
      </c>
      <c r="N2333" t="str">
        <f t="shared" si="147"/>
        <v>Jul</v>
      </c>
    </row>
    <row r="2334" spans="1:14" x14ac:dyDescent="0.3">
      <c r="A2334" s="2" t="s">
        <v>2400</v>
      </c>
      <c r="B2334" s="6">
        <v>45856</v>
      </c>
      <c r="C2334" s="2" t="s">
        <v>31</v>
      </c>
      <c r="D2334" s="2" t="s">
        <v>39</v>
      </c>
      <c r="E2334" s="2">
        <v>1</v>
      </c>
      <c r="F2334" s="7">
        <v>199</v>
      </c>
      <c r="G2334" s="8">
        <v>0</v>
      </c>
      <c r="H2334" s="9" t="str">
        <f>INDEX(Products!$B$2:$B$37, MATCH(D2334, Products!$A$2:$A$37, 0))</f>
        <v>Bakhoor Gift Set</v>
      </c>
      <c r="I2334" t="str">
        <f>INDEX(Products!$C$2:$C$37, MATCH(D2334, Products!$A$2:$A$37, 0))</f>
        <v>Beauty</v>
      </c>
      <c r="J2334">
        <f>INDEX(Products!$E$2:$E$37, MATCH(D2334, Products!$A$2:$A$37, 0))</f>
        <v>90</v>
      </c>
      <c r="K2334" s="9">
        <f t="shared" si="144"/>
        <v>199</v>
      </c>
      <c r="L2334">
        <f t="shared" si="145"/>
        <v>90</v>
      </c>
      <c r="M2334" s="9">
        <f t="shared" si="146"/>
        <v>109</v>
      </c>
      <c r="N2334" t="str">
        <f t="shared" si="147"/>
        <v>Jul</v>
      </c>
    </row>
    <row r="2335" spans="1:14" x14ac:dyDescent="0.3">
      <c r="A2335" s="2" t="s">
        <v>2401</v>
      </c>
      <c r="B2335" s="6">
        <v>45856</v>
      </c>
      <c r="C2335" s="2" t="s">
        <v>31</v>
      </c>
      <c r="D2335" s="2" t="s">
        <v>103</v>
      </c>
      <c r="E2335" s="2">
        <v>1</v>
      </c>
      <c r="F2335" s="7">
        <v>89</v>
      </c>
      <c r="G2335" s="8">
        <v>0.15</v>
      </c>
      <c r="H2335" s="9" t="str">
        <f>INDEX(Products!$B$2:$B$37, MATCH(D2335, Products!$A$2:$A$37, 0))</f>
        <v>Sunscreen SPF50</v>
      </c>
      <c r="I2335" t="str">
        <f>INDEX(Products!$C$2:$C$37, MATCH(D2335, Products!$A$2:$A$37, 0))</f>
        <v>Beauty</v>
      </c>
      <c r="J2335">
        <f>INDEX(Products!$E$2:$E$37, MATCH(D2335, Products!$A$2:$A$37, 0))</f>
        <v>40</v>
      </c>
      <c r="K2335" s="9">
        <f t="shared" si="144"/>
        <v>75.649999999999991</v>
      </c>
      <c r="L2335">
        <f t="shared" si="145"/>
        <v>40</v>
      </c>
      <c r="M2335" s="9">
        <f t="shared" si="146"/>
        <v>35.649999999999991</v>
      </c>
      <c r="N2335" t="str">
        <f t="shared" si="147"/>
        <v>Jul</v>
      </c>
    </row>
    <row r="2336" spans="1:14" x14ac:dyDescent="0.3">
      <c r="A2336" s="2" t="s">
        <v>2402</v>
      </c>
      <c r="B2336" s="6">
        <v>45856</v>
      </c>
      <c r="C2336" s="2" t="s">
        <v>31</v>
      </c>
      <c r="D2336" s="2" t="s">
        <v>194</v>
      </c>
      <c r="E2336" s="2">
        <v>1</v>
      </c>
      <c r="F2336" s="7">
        <v>699</v>
      </c>
      <c r="G2336" s="8">
        <v>0.05</v>
      </c>
      <c r="H2336" s="9" t="str">
        <f>INDEX(Products!$B$2:$B$37, MATCH(D2336, Products!$A$2:$A$37, 0))</f>
        <v>Leather Handbag</v>
      </c>
      <c r="I2336" t="str">
        <f>INDEX(Products!$C$2:$C$37, MATCH(D2336, Products!$A$2:$A$37, 0))</f>
        <v>Fashion</v>
      </c>
      <c r="J2336">
        <f>INDEX(Products!$E$2:$E$37, MATCH(D2336, Products!$A$2:$A$37, 0))</f>
        <v>380</v>
      </c>
      <c r="K2336" s="9">
        <f t="shared" si="144"/>
        <v>664.05</v>
      </c>
      <c r="L2336">
        <f t="shared" si="145"/>
        <v>380</v>
      </c>
      <c r="M2336" s="9">
        <f t="shared" si="146"/>
        <v>284.04999999999995</v>
      </c>
      <c r="N2336" t="str">
        <f t="shared" si="147"/>
        <v>Jul</v>
      </c>
    </row>
    <row r="2337" spans="1:14" x14ac:dyDescent="0.3">
      <c r="A2337" s="2" t="s">
        <v>2403</v>
      </c>
      <c r="B2337" s="6">
        <v>45857</v>
      </c>
      <c r="C2337" s="2" t="s">
        <v>41</v>
      </c>
      <c r="D2337" s="2" t="s">
        <v>194</v>
      </c>
      <c r="E2337" s="2">
        <v>1</v>
      </c>
      <c r="F2337" s="7">
        <v>699</v>
      </c>
      <c r="G2337" s="8">
        <v>0</v>
      </c>
      <c r="H2337" s="9" t="str">
        <f>INDEX(Products!$B$2:$B$37, MATCH(D2337, Products!$A$2:$A$37, 0))</f>
        <v>Leather Handbag</v>
      </c>
      <c r="I2337" t="str">
        <f>INDEX(Products!$C$2:$C$37, MATCH(D2337, Products!$A$2:$A$37, 0))</f>
        <v>Fashion</v>
      </c>
      <c r="J2337">
        <f>INDEX(Products!$E$2:$E$37, MATCH(D2337, Products!$A$2:$A$37, 0))</f>
        <v>380</v>
      </c>
      <c r="K2337" s="9">
        <f t="shared" si="144"/>
        <v>699</v>
      </c>
      <c r="L2337">
        <f t="shared" si="145"/>
        <v>380</v>
      </c>
      <c r="M2337" s="9">
        <f t="shared" si="146"/>
        <v>319</v>
      </c>
      <c r="N2337" t="str">
        <f t="shared" si="147"/>
        <v>Jul</v>
      </c>
    </row>
    <row r="2338" spans="1:14" x14ac:dyDescent="0.3">
      <c r="A2338" s="2" t="s">
        <v>2404</v>
      </c>
      <c r="B2338" s="6">
        <v>45857</v>
      </c>
      <c r="C2338" s="2" t="s">
        <v>44</v>
      </c>
      <c r="D2338" s="2" t="s">
        <v>165</v>
      </c>
      <c r="E2338" s="2">
        <v>1</v>
      </c>
      <c r="F2338" s="7">
        <v>69</v>
      </c>
      <c r="G2338" s="8">
        <v>0.05</v>
      </c>
      <c r="H2338" s="9" t="str">
        <f>INDEX(Products!$B$2:$B$37, MATCH(D2338, Products!$A$2:$A$37, 0))</f>
        <v>Swim Goggles</v>
      </c>
      <c r="I2338" t="str">
        <f>INDEX(Products!$C$2:$C$37, MATCH(D2338, Products!$A$2:$A$37, 0))</f>
        <v>Sports</v>
      </c>
      <c r="J2338">
        <f>INDEX(Products!$E$2:$E$37, MATCH(D2338, Products!$A$2:$A$37, 0))</f>
        <v>25</v>
      </c>
      <c r="K2338" s="9">
        <f t="shared" si="144"/>
        <v>65.55</v>
      </c>
      <c r="L2338">
        <f t="shared" si="145"/>
        <v>25</v>
      </c>
      <c r="M2338" s="9">
        <f t="shared" si="146"/>
        <v>40.549999999999997</v>
      </c>
      <c r="N2338" t="str">
        <f t="shared" si="147"/>
        <v>Jul</v>
      </c>
    </row>
    <row r="2339" spans="1:14" x14ac:dyDescent="0.3">
      <c r="A2339" s="2" t="s">
        <v>2405</v>
      </c>
      <c r="B2339" s="6">
        <v>45857</v>
      </c>
      <c r="C2339" s="2" t="s">
        <v>28</v>
      </c>
      <c r="D2339" s="2" t="s">
        <v>58</v>
      </c>
      <c r="E2339" s="2">
        <v>2</v>
      </c>
      <c r="F2339" s="7">
        <v>459</v>
      </c>
      <c r="G2339" s="8">
        <v>0.05</v>
      </c>
      <c r="H2339" s="9" t="str">
        <f>INDEX(Products!$B$2:$B$37, MATCH(D2339, Products!$A$2:$A$37, 0))</f>
        <v>Women's Abaya Classic</v>
      </c>
      <c r="I2339" t="str">
        <f>INDEX(Products!$C$2:$C$37, MATCH(D2339, Products!$A$2:$A$37, 0))</f>
        <v>Fashion</v>
      </c>
      <c r="J2339">
        <f>INDEX(Products!$E$2:$E$37, MATCH(D2339, Products!$A$2:$A$37, 0))</f>
        <v>190</v>
      </c>
      <c r="K2339" s="9">
        <f t="shared" si="144"/>
        <v>872.09999999999991</v>
      </c>
      <c r="L2339">
        <f t="shared" si="145"/>
        <v>380</v>
      </c>
      <c r="M2339" s="9">
        <f t="shared" si="146"/>
        <v>492.09999999999991</v>
      </c>
      <c r="N2339" t="str">
        <f t="shared" si="147"/>
        <v>Jul</v>
      </c>
    </row>
    <row r="2340" spans="1:14" x14ac:dyDescent="0.3">
      <c r="A2340" s="2" t="s">
        <v>2406</v>
      </c>
      <c r="B2340" s="6">
        <v>45857</v>
      </c>
      <c r="C2340" s="2" t="s">
        <v>31</v>
      </c>
      <c r="D2340" s="2" t="s">
        <v>194</v>
      </c>
      <c r="E2340" s="2">
        <v>1</v>
      </c>
      <c r="F2340" s="7">
        <v>699</v>
      </c>
      <c r="G2340" s="8">
        <v>0</v>
      </c>
      <c r="H2340" s="9" t="str">
        <f>INDEX(Products!$B$2:$B$37, MATCH(D2340, Products!$A$2:$A$37, 0))</f>
        <v>Leather Handbag</v>
      </c>
      <c r="I2340" t="str">
        <f>INDEX(Products!$C$2:$C$37, MATCH(D2340, Products!$A$2:$A$37, 0))</f>
        <v>Fashion</v>
      </c>
      <c r="J2340">
        <f>INDEX(Products!$E$2:$E$37, MATCH(D2340, Products!$A$2:$A$37, 0))</f>
        <v>380</v>
      </c>
      <c r="K2340" s="9">
        <f t="shared" si="144"/>
        <v>699</v>
      </c>
      <c r="L2340">
        <f t="shared" si="145"/>
        <v>380</v>
      </c>
      <c r="M2340" s="9">
        <f t="shared" si="146"/>
        <v>319</v>
      </c>
      <c r="N2340" t="str">
        <f t="shared" si="147"/>
        <v>Jul</v>
      </c>
    </row>
    <row r="2341" spans="1:14" x14ac:dyDescent="0.3">
      <c r="A2341" s="2" t="s">
        <v>2407</v>
      </c>
      <c r="B2341" s="6">
        <v>45857</v>
      </c>
      <c r="C2341" s="2" t="s">
        <v>48</v>
      </c>
      <c r="D2341" s="2" t="s">
        <v>115</v>
      </c>
      <c r="E2341" s="2">
        <v>1</v>
      </c>
      <c r="F2341" s="7">
        <v>129</v>
      </c>
      <c r="G2341" s="8">
        <v>0</v>
      </c>
      <c r="H2341" s="9" t="str">
        <f>INDEX(Products!$B$2:$B$37, MATCH(D2341, Products!$A$2:$A$37, 0))</f>
        <v>Electric Kettle</v>
      </c>
      <c r="I2341" t="str">
        <f>INDEX(Products!$C$2:$C$37, MATCH(D2341, Products!$A$2:$A$37, 0))</f>
        <v>Home &amp; Kitchen</v>
      </c>
      <c r="J2341">
        <f>INDEX(Products!$E$2:$E$37, MATCH(D2341, Products!$A$2:$A$37, 0))</f>
        <v>60</v>
      </c>
      <c r="K2341" s="9">
        <f t="shared" si="144"/>
        <v>129</v>
      </c>
      <c r="L2341">
        <f t="shared" si="145"/>
        <v>60</v>
      </c>
      <c r="M2341" s="9">
        <f t="shared" si="146"/>
        <v>69</v>
      </c>
      <c r="N2341" t="str">
        <f t="shared" si="147"/>
        <v>Jul</v>
      </c>
    </row>
    <row r="2342" spans="1:14" x14ac:dyDescent="0.3">
      <c r="A2342" s="2" t="s">
        <v>2408</v>
      </c>
      <c r="B2342" s="6">
        <v>45857</v>
      </c>
      <c r="C2342" s="2" t="s">
        <v>28</v>
      </c>
      <c r="D2342" s="2" t="s">
        <v>60</v>
      </c>
      <c r="E2342" s="2">
        <v>2</v>
      </c>
      <c r="F2342" s="7">
        <v>99</v>
      </c>
      <c r="G2342" s="8">
        <v>0.1</v>
      </c>
      <c r="H2342" s="9" t="str">
        <f>INDEX(Products!$B$2:$B$37, MATCH(D2342, Products!$A$2:$A$37, 0))</f>
        <v>Football Size 5</v>
      </c>
      <c r="I2342" t="str">
        <f>INDEX(Products!$C$2:$C$37, MATCH(D2342, Products!$A$2:$A$37, 0))</f>
        <v>Sports</v>
      </c>
      <c r="J2342">
        <f>INDEX(Products!$E$2:$E$37, MATCH(D2342, Products!$A$2:$A$37, 0))</f>
        <v>45</v>
      </c>
      <c r="K2342" s="9">
        <f t="shared" si="144"/>
        <v>178.20000000000002</v>
      </c>
      <c r="L2342">
        <f t="shared" si="145"/>
        <v>90</v>
      </c>
      <c r="M2342" s="9">
        <f t="shared" si="146"/>
        <v>88.200000000000017</v>
      </c>
      <c r="N2342" t="str">
        <f t="shared" si="147"/>
        <v>Jul</v>
      </c>
    </row>
    <row r="2343" spans="1:14" x14ac:dyDescent="0.3">
      <c r="A2343" s="2" t="s">
        <v>2409</v>
      </c>
      <c r="B2343" s="6">
        <v>45857</v>
      </c>
      <c r="C2343" s="2" t="s">
        <v>31</v>
      </c>
      <c r="D2343" s="2" t="s">
        <v>103</v>
      </c>
      <c r="E2343" s="2">
        <v>1</v>
      </c>
      <c r="F2343" s="7">
        <v>89</v>
      </c>
      <c r="G2343" s="8">
        <v>0</v>
      </c>
      <c r="H2343" s="9" t="str">
        <f>INDEX(Products!$B$2:$B$37, MATCH(D2343, Products!$A$2:$A$37, 0))</f>
        <v>Sunscreen SPF50</v>
      </c>
      <c r="I2343" t="str">
        <f>INDEX(Products!$C$2:$C$37, MATCH(D2343, Products!$A$2:$A$37, 0))</f>
        <v>Beauty</v>
      </c>
      <c r="J2343">
        <f>INDEX(Products!$E$2:$E$37, MATCH(D2343, Products!$A$2:$A$37, 0))</f>
        <v>40</v>
      </c>
      <c r="K2343" s="9">
        <f t="shared" si="144"/>
        <v>89</v>
      </c>
      <c r="L2343">
        <f t="shared" si="145"/>
        <v>40</v>
      </c>
      <c r="M2343" s="9">
        <f t="shared" si="146"/>
        <v>49</v>
      </c>
      <c r="N2343" t="str">
        <f t="shared" si="147"/>
        <v>Jul</v>
      </c>
    </row>
    <row r="2344" spans="1:14" x14ac:dyDescent="0.3">
      <c r="A2344" s="2" t="s">
        <v>2410</v>
      </c>
      <c r="B2344" s="6">
        <v>45858</v>
      </c>
      <c r="C2344" s="2" t="s">
        <v>41</v>
      </c>
      <c r="D2344" s="2" t="s">
        <v>131</v>
      </c>
      <c r="E2344" s="2">
        <v>3</v>
      </c>
      <c r="F2344" s="7">
        <v>899</v>
      </c>
      <c r="G2344" s="8">
        <v>0</v>
      </c>
      <c r="H2344" s="9" t="str">
        <f>INDEX(Products!$B$2:$B$37, MATCH(D2344, Products!$A$2:$A$37, 0))</f>
        <v>4K Action Camera</v>
      </c>
      <c r="I2344" t="str">
        <f>INDEX(Products!$C$2:$C$37, MATCH(D2344, Products!$A$2:$A$37, 0))</f>
        <v>Electronics</v>
      </c>
      <c r="J2344">
        <f>INDEX(Products!$E$2:$E$37, MATCH(D2344, Products!$A$2:$A$37, 0))</f>
        <v>610</v>
      </c>
      <c r="K2344" s="9">
        <f t="shared" si="144"/>
        <v>2697</v>
      </c>
      <c r="L2344">
        <f t="shared" si="145"/>
        <v>1830</v>
      </c>
      <c r="M2344" s="9">
        <f t="shared" si="146"/>
        <v>867</v>
      </c>
      <c r="N2344" t="str">
        <f t="shared" si="147"/>
        <v>Jul</v>
      </c>
    </row>
    <row r="2345" spans="1:14" x14ac:dyDescent="0.3">
      <c r="A2345" s="2" t="s">
        <v>2411</v>
      </c>
      <c r="B2345" s="6">
        <v>45858</v>
      </c>
      <c r="C2345" s="2" t="s">
        <v>28</v>
      </c>
      <c r="D2345" s="2" t="s">
        <v>126</v>
      </c>
      <c r="E2345" s="2">
        <v>2</v>
      </c>
      <c r="F2345" s="7">
        <v>89</v>
      </c>
      <c r="G2345" s="8">
        <v>0</v>
      </c>
      <c r="H2345" s="9" t="str">
        <f>INDEX(Products!$B$2:$B$37, MATCH(D2345, Products!$A$2:$A$37, 0))</f>
        <v>USB-C Fast Charger</v>
      </c>
      <c r="I2345" t="str">
        <f>INDEX(Products!$C$2:$C$37, MATCH(D2345, Products!$A$2:$A$37, 0))</f>
        <v>Electronics</v>
      </c>
      <c r="J2345">
        <f>INDEX(Products!$E$2:$E$37, MATCH(D2345, Products!$A$2:$A$37, 0))</f>
        <v>35</v>
      </c>
      <c r="K2345" s="9">
        <f t="shared" si="144"/>
        <v>178</v>
      </c>
      <c r="L2345">
        <f t="shared" si="145"/>
        <v>70</v>
      </c>
      <c r="M2345" s="9">
        <f t="shared" si="146"/>
        <v>108</v>
      </c>
      <c r="N2345" t="str">
        <f t="shared" si="147"/>
        <v>Jul</v>
      </c>
    </row>
    <row r="2346" spans="1:14" x14ac:dyDescent="0.3">
      <c r="A2346" s="2" t="s">
        <v>2412</v>
      </c>
      <c r="B2346" s="6">
        <v>45858</v>
      </c>
      <c r="C2346" s="2" t="s">
        <v>31</v>
      </c>
      <c r="D2346" s="2" t="s">
        <v>52</v>
      </c>
      <c r="E2346" s="2">
        <v>1</v>
      </c>
      <c r="F2346" s="7">
        <v>299</v>
      </c>
      <c r="G2346" s="8">
        <v>0.15</v>
      </c>
      <c r="H2346" s="9" t="str">
        <f>INDEX(Products!$B$2:$B$37, MATCH(D2346, Products!$A$2:$A$37, 0))</f>
        <v>Hair Dryer Ionic</v>
      </c>
      <c r="I2346" t="str">
        <f>INDEX(Products!$C$2:$C$37, MATCH(D2346, Products!$A$2:$A$37, 0))</f>
        <v>Beauty</v>
      </c>
      <c r="J2346">
        <f>INDEX(Products!$E$2:$E$37, MATCH(D2346, Products!$A$2:$A$37, 0))</f>
        <v>240</v>
      </c>
      <c r="K2346" s="9">
        <f t="shared" si="144"/>
        <v>254.15</v>
      </c>
      <c r="L2346">
        <f t="shared" si="145"/>
        <v>240</v>
      </c>
      <c r="M2346" s="9">
        <f t="shared" si="146"/>
        <v>14.150000000000006</v>
      </c>
      <c r="N2346" t="str">
        <f t="shared" si="147"/>
        <v>Jul</v>
      </c>
    </row>
    <row r="2347" spans="1:14" x14ac:dyDescent="0.3">
      <c r="A2347" s="2" t="s">
        <v>2413</v>
      </c>
      <c r="B2347" s="6">
        <v>45858</v>
      </c>
      <c r="C2347" s="2" t="s">
        <v>41</v>
      </c>
      <c r="D2347" s="2" t="s">
        <v>75</v>
      </c>
      <c r="E2347" s="2">
        <v>1</v>
      </c>
      <c r="F2347" s="7">
        <v>549</v>
      </c>
      <c r="G2347" s="8">
        <v>0.3</v>
      </c>
      <c r="H2347" s="9" t="str">
        <f>INDEX(Products!$B$2:$B$37, MATCH(D2347, Products!$A$2:$A$37, 0))</f>
        <v>Oud Perfume 100ml</v>
      </c>
      <c r="I2347" t="str">
        <f>INDEX(Products!$C$2:$C$37, MATCH(D2347, Products!$A$2:$A$37, 0))</f>
        <v>Beauty</v>
      </c>
      <c r="J2347">
        <f>INDEX(Products!$E$2:$E$37, MATCH(D2347, Products!$A$2:$A$37, 0))</f>
        <v>250</v>
      </c>
      <c r="K2347" s="9">
        <f t="shared" si="144"/>
        <v>384.29999999999995</v>
      </c>
      <c r="L2347">
        <f t="shared" si="145"/>
        <v>250</v>
      </c>
      <c r="M2347" s="9">
        <f t="shared" si="146"/>
        <v>134.29999999999995</v>
      </c>
      <c r="N2347" t="str">
        <f t="shared" si="147"/>
        <v>Jul</v>
      </c>
    </row>
    <row r="2348" spans="1:14" x14ac:dyDescent="0.3">
      <c r="A2348" s="2" t="s">
        <v>2414</v>
      </c>
      <c r="B2348" s="6">
        <v>45858</v>
      </c>
      <c r="C2348" s="2" t="s">
        <v>48</v>
      </c>
      <c r="D2348" s="2" t="s">
        <v>52</v>
      </c>
      <c r="E2348" s="2">
        <v>1</v>
      </c>
      <c r="F2348" s="7">
        <v>299</v>
      </c>
      <c r="G2348" s="8">
        <v>0.25</v>
      </c>
      <c r="H2348" s="9" t="str">
        <f>INDEX(Products!$B$2:$B$37, MATCH(D2348, Products!$A$2:$A$37, 0))</f>
        <v>Hair Dryer Ionic</v>
      </c>
      <c r="I2348" t="str">
        <f>INDEX(Products!$C$2:$C$37, MATCH(D2348, Products!$A$2:$A$37, 0))</f>
        <v>Beauty</v>
      </c>
      <c r="J2348">
        <f>INDEX(Products!$E$2:$E$37, MATCH(D2348, Products!$A$2:$A$37, 0))</f>
        <v>240</v>
      </c>
      <c r="K2348" s="9">
        <f t="shared" si="144"/>
        <v>224.25</v>
      </c>
      <c r="L2348">
        <f t="shared" si="145"/>
        <v>240</v>
      </c>
      <c r="M2348" s="9">
        <f t="shared" si="146"/>
        <v>-15.75</v>
      </c>
      <c r="N2348" t="str">
        <f t="shared" si="147"/>
        <v>Jul</v>
      </c>
    </row>
    <row r="2349" spans="1:14" x14ac:dyDescent="0.3">
      <c r="A2349" s="2" t="s">
        <v>2415</v>
      </c>
      <c r="B2349" s="6">
        <v>45858</v>
      </c>
      <c r="C2349" s="2" t="s">
        <v>44</v>
      </c>
      <c r="D2349" s="2" t="s">
        <v>58</v>
      </c>
      <c r="E2349" s="2">
        <v>1</v>
      </c>
      <c r="F2349" s="7">
        <v>459</v>
      </c>
      <c r="G2349" s="8">
        <v>0</v>
      </c>
      <c r="H2349" s="9" t="str">
        <f>INDEX(Products!$B$2:$B$37, MATCH(D2349, Products!$A$2:$A$37, 0))</f>
        <v>Women's Abaya Classic</v>
      </c>
      <c r="I2349" t="str">
        <f>INDEX(Products!$C$2:$C$37, MATCH(D2349, Products!$A$2:$A$37, 0))</f>
        <v>Fashion</v>
      </c>
      <c r="J2349">
        <f>INDEX(Products!$E$2:$E$37, MATCH(D2349, Products!$A$2:$A$37, 0))</f>
        <v>190</v>
      </c>
      <c r="K2349" s="9">
        <f t="shared" si="144"/>
        <v>459</v>
      </c>
      <c r="L2349">
        <f t="shared" si="145"/>
        <v>190</v>
      </c>
      <c r="M2349" s="9">
        <f t="shared" si="146"/>
        <v>269</v>
      </c>
      <c r="N2349" t="str">
        <f t="shared" si="147"/>
        <v>Jul</v>
      </c>
    </row>
    <row r="2350" spans="1:14" x14ac:dyDescent="0.3">
      <c r="A2350" s="2" t="s">
        <v>2416</v>
      </c>
      <c r="B2350" s="6">
        <v>45858</v>
      </c>
      <c r="C2350" s="2" t="s">
        <v>44</v>
      </c>
      <c r="D2350" s="2" t="s">
        <v>80</v>
      </c>
      <c r="E2350" s="2">
        <v>2</v>
      </c>
      <c r="F2350" s="7">
        <v>149</v>
      </c>
      <c r="G2350" s="8">
        <v>0</v>
      </c>
      <c r="H2350" s="9" t="str">
        <f>INDEX(Products!$B$2:$B$37, MATCH(D2350, Products!$A$2:$A$37, 0))</f>
        <v>Vitamin C Serum</v>
      </c>
      <c r="I2350" t="str">
        <f>INDEX(Products!$C$2:$C$37, MATCH(D2350, Products!$A$2:$A$37, 0))</f>
        <v>Beauty</v>
      </c>
      <c r="J2350">
        <f>INDEX(Products!$E$2:$E$37, MATCH(D2350, Products!$A$2:$A$37, 0))</f>
        <v>55</v>
      </c>
      <c r="K2350" s="9">
        <f t="shared" si="144"/>
        <v>298</v>
      </c>
      <c r="L2350">
        <f t="shared" si="145"/>
        <v>110</v>
      </c>
      <c r="M2350" s="9">
        <f t="shared" si="146"/>
        <v>188</v>
      </c>
      <c r="N2350" t="str">
        <f t="shared" si="147"/>
        <v>Jul</v>
      </c>
    </row>
    <row r="2351" spans="1:14" x14ac:dyDescent="0.3">
      <c r="A2351" s="2" t="s">
        <v>2417</v>
      </c>
      <c r="B2351" s="6">
        <v>45858</v>
      </c>
      <c r="C2351" s="2" t="s">
        <v>44</v>
      </c>
      <c r="D2351" s="2" t="s">
        <v>92</v>
      </c>
      <c r="E2351" s="2">
        <v>2</v>
      </c>
      <c r="F2351" s="7">
        <v>349</v>
      </c>
      <c r="G2351" s="8">
        <v>0.05</v>
      </c>
      <c r="H2351" s="9" t="str">
        <f>INDEX(Products!$B$2:$B$37, MATCH(D2351, Products!$A$2:$A$37, 0))</f>
        <v>Non-stick Cookware Set</v>
      </c>
      <c r="I2351" t="str">
        <f>INDEX(Products!$C$2:$C$37, MATCH(D2351, Products!$A$2:$A$37, 0))</f>
        <v>Home &amp; Kitchen</v>
      </c>
      <c r="J2351">
        <f>INDEX(Products!$E$2:$E$37, MATCH(D2351, Products!$A$2:$A$37, 0))</f>
        <v>170</v>
      </c>
      <c r="K2351" s="9">
        <f t="shared" si="144"/>
        <v>663.1</v>
      </c>
      <c r="L2351">
        <f t="shared" si="145"/>
        <v>340</v>
      </c>
      <c r="M2351" s="9">
        <f t="shared" si="146"/>
        <v>323.10000000000002</v>
      </c>
      <c r="N2351" t="str">
        <f t="shared" si="147"/>
        <v>Jul</v>
      </c>
    </row>
    <row r="2352" spans="1:14" x14ac:dyDescent="0.3">
      <c r="A2352" s="2" t="s">
        <v>2418</v>
      </c>
      <c r="B2352" s="6">
        <v>45859</v>
      </c>
      <c r="C2352" s="2" t="s">
        <v>48</v>
      </c>
      <c r="D2352" s="2" t="s">
        <v>42</v>
      </c>
      <c r="E2352" s="2">
        <v>2</v>
      </c>
      <c r="F2352" s="7">
        <v>399</v>
      </c>
      <c r="G2352" s="8">
        <v>0.15</v>
      </c>
      <c r="H2352" s="9" t="str">
        <f>INDEX(Products!$B$2:$B$37, MATCH(D2352, Products!$A$2:$A$37, 0))</f>
        <v>Wireless Earbuds Pro</v>
      </c>
      <c r="I2352" t="str">
        <f>INDEX(Products!$C$2:$C$37, MATCH(D2352, Products!$A$2:$A$37, 0))</f>
        <v>Electronics</v>
      </c>
      <c r="J2352">
        <f>INDEX(Products!$E$2:$E$37, MATCH(D2352, Products!$A$2:$A$37, 0))</f>
        <v>230</v>
      </c>
      <c r="K2352" s="9">
        <f t="shared" si="144"/>
        <v>678.3</v>
      </c>
      <c r="L2352">
        <f t="shared" si="145"/>
        <v>460</v>
      </c>
      <c r="M2352" s="9">
        <f t="shared" si="146"/>
        <v>218.29999999999995</v>
      </c>
      <c r="N2352" t="str">
        <f t="shared" si="147"/>
        <v>Jul</v>
      </c>
    </row>
    <row r="2353" spans="1:14" x14ac:dyDescent="0.3">
      <c r="A2353" s="2" t="s">
        <v>2419</v>
      </c>
      <c r="B2353" s="6">
        <v>45859</v>
      </c>
      <c r="C2353" s="2" t="s">
        <v>31</v>
      </c>
      <c r="D2353" s="2" t="s">
        <v>68</v>
      </c>
      <c r="E2353" s="2">
        <v>1</v>
      </c>
      <c r="F2353" s="7">
        <v>249</v>
      </c>
      <c r="G2353" s="8">
        <v>0.2</v>
      </c>
      <c r="H2353" s="9" t="str">
        <f>INDEX(Products!$B$2:$B$37, MATCH(D2353, Products!$A$2:$A$37, 0))</f>
        <v>Bluetooth Speaker Mini</v>
      </c>
      <c r="I2353" t="str">
        <f>INDEX(Products!$C$2:$C$37, MATCH(D2353, Products!$A$2:$A$37, 0))</f>
        <v>Electronics</v>
      </c>
      <c r="J2353">
        <f>INDEX(Products!$E$2:$E$37, MATCH(D2353, Products!$A$2:$A$37, 0))</f>
        <v>150</v>
      </c>
      <c r="K2353" s="9">
        <f t="shared" si="144"/>
        <v>199.20000000000002</v>
      </c>
      <c r="L2353">
        <f t="shared" si="145"/>
        <v>150</v>
      </c>
      <c r="M2353" s="9">
        <f t="shared" si="146"/>
        <v>49.200000000000017</v>
      </c>
      <c r="N2353" t="str">
        <f t="shared" si="147"/>
        <v>Jul</v>
      </c>
    </row>
    <row r="2354" spans="1:14" x14ac:dyDescent="0.3">
      <c r="A2354" s="2" t="s">
        <v>2420</v>
      </c>
      <c r="B2354" s="6">
        <v>45859</v>
      </c>
      <c r="C2354" s="2" t="s">
        <v>48</v>
      </c>
      <c r="D2354" s="2" t="s">
        <v>95</v>
      </c>
      <c r="E2354" s="2">
        <v>1</v>
      </c>
      <c r="F2354" s="7">
        <v>259</v>
      </c>
      <c r="G2354" s="8">
        <v>0.05</v>
      </c>
      <c r="H2354" s="9" t="str">
        <f>INDEX(Products!$B$2:$B$37, MATCH(D2354, Products!$A$2:$A$37, 0))</f>
        <v>Bed Linen Set (King)</v>
      </c>
      <c r="I2354" t="str">
        <f>INDEX(Products!$C$2:$C$37, MATCH(D2354, Products!$A$2:$A$37, 0))</f>
        <v>Home &amp; Kitchen</v>
      </c>
      <c r="J2354">
        <f>INDEX(Products!$E$2:$E$37, MATCH(D2354, Products!$A$2:$A$37, 0))</f>
        <v>115</v>
      </c>
      <c r="K2354" s="9">
        <f t="shared" si="144"/>
        <v>246.04999999999998</v>
      </c>
      <c r="L2354">
        <f t="shared" si="145"/>
        <v>115</v>
      </c>
      <c r="M2354" s="9">
        <f t="shared" si="146"/>
        <v>131.04999999999998</v>
      </c>
      <c r="N2354" t="str">
        <f t="shared" si="147"/>
        <v>Jul</v>
      </c>
    </row>
    <row r="2355" spans="1:14" x14ac:dyDescent="0.3">
      <c r="A2355" s="2" t="s">
        <v>2421</v>
      </c>
      <c r="B2355" s="6">
        <v>45859</v>
      </c>
      <c r="C2355" s="2" t="s">
        <v>44</v>
      </c>
      <c r="D2355" s="2" t="s">
        <v>49</v>
      </c>
      <c r="E2355" s="2">
        <v>1</v>
      </c>
      <c r="F2355" s="7">
        <v>149</v>
      </c>
      <c r="G2355" s="8">
        <v>0</v>
      </c>
      <c r="H2355" s="9" t="str">
        <f>INDEX(Products!$B$2:$B$37, MATCH(D2355, Products!$A$2:$A$37, 0))</f>
        <v>Kids' Sneakers</v>
      </c>
      <c r="I2355" t="str">
        <f>INDEX(Products!$C$2:$C$37, MATCH(D2355, Products!$A$2:$A$37, 0))</f>
        <v>Fashion</v>
      </c>
      <c r="J2355">
        <f>INDEX(Products!$E$2:$E$37, MATCH(D2355, Products!$A$2:$A$37, 0))</f>
        <v>80</v>
      </c>
      <c r="K2355" s="9">
        <f t="shared" si="144"/>
        <v>149</v>
      </c>
      <c r="L2355">
        <f t="shared" si="145"/>
        <v>80</v>
      </c>
      <c r="M2355" s="9">
        <f t="shared" si="146"/>
        <v>69</v>
      </c>
      <c r="N2355" t="str">
        <f t="shared" si="147"/>
        <v>Jul</v>
      </c>
    </row>
    <row r="2356" spans="1:14" x14ac:dyDescent="0.3">
      <c r="A2356" s="2" t="s">
        <v>2422</v>
      </c>
      <c r="B2356" s="6">
        <v>45859</v>
      </c>
      <c r="C2356" s="2" t="s">
        <v>41</v>
      </c>
      <c r="D2356" s="2" t="s">
        <v>33</v>
      </c>
      <c r="E2356" s="2">
        <v>2</v>
      </c>
      <c r="F2356" s="7">
        <v>199</v>
      </c>
      <c r="G2356" s="8">
        <v>0.1</v>
      </c>
      <c r="H2356" s="9" t="str">
        <f>INDEX(Products!$B$2:$B$37, MATCH(D2356, Products!$A$2:$A$37, 0))</f>
        <v>Fitness Band Lite</v>
      </c>
      <c r="I2356" t="str">
        <f>INDEX(Products!$C$2:$C$37, MATCH(D2356, Products!$A$2:$A$37, 0))</f>
        <v>Electronics</v>
      </c>
      <c r="J2356">
        <f>INDEX(Products!$E$2:$E$37, MATCH(D2356, Products!$A$2:$A$37, 0))</f>
        <v>175</v>
      </c>
      <c r="K2356" s="9">
        <f t="shared" si="144"/>
        <v>358.2</v>
      </c>
      <c r="L2356">
        <f t="shared" si="145"/>
        <v>350</v>
      </c>
      <c r="M2356" s="9">
        <f t="shared" si="146"/>
        <v>8.1999999999999886</v>
      </c>
      <c r="N2356" t="str">
        <f t="shared" si="147"/>
        <v>Jul</v>
      </c>
    </row>
    <row r="2357" spans="1:14" x14ac:dyDescent="0.3">
      <c r="A2357" s="2" t="s">
        <v>2423</v>
      </c>
      <c r="B2357" s="6">
        <v>45859</v>
      </c>
      <c r="C2357" s="2" t="s">
        <v>28</v>
      </c>
      <c r="D2357" s="2" t="s">
        <v>42</v>
      </c>
      <c r="E2357" s="2">
        <v>1</v>
      </c>
      <c r="F2357" s="7">
        <v>399</v>
      </c>
      <c r="G2357" s="8">
        <v>0.05</v>
      </c>
      <c r="H2357" s="9" t="str">
        <f>INDEX(Products!$B$2:$B$37, MATCH(D2357, Products!$A$2:$A$37, 0))</f>
        <v>Wireless Earbuds Pro</v>
      </c>
      <c r="I2357" t="str">
        <f>INDEX(Products!$C$2:$C$37, MATCH(D2357, Products!$A$2:$A$37, 0))</f>
        <v>Electronics</v>
      </c>
      <c r="J2357">
        <f>INDEX(Products!$E$2:$E$37, MATCH(D2357, Products!$A$2:$A$37, 0))</f>
        <v>230</v>
      </c>
      <c r="K2357" s="9">
        <f t="shared" si="144"/>
        <v>379.04999999999995</v>
      </c>
      <c r="L2357">
        <f t="shared" si="145"/>
        <v>230</v>
      </c>
      <c r="M2357" s="9">
        <f t="shared" si="146"/>
        <v>149.04999999999995</v>
      </c>
      <c r="N2357" t="str">
        <f t="shared" si="147"/>
        <v>Jul</v>
      </c>
    </row>
    <row r="2358" spans="1:14" x14ac:dyDescent="0.3">
      <c r="A2358" s="2" t="s">
        <v>2424</v>
      </c>
      <c r="B2358" s="6">
        <v>45859</v>
      </c>
      <c r="C2358" s="2" t="s">
        <v>28</v>
      </c>
      <c r="D2358" s="2" t="s">
        <v>103</v>
      </c>
      <c r="E2358" s="2">
        <v>1</v>
      </c>
      <c r="F2358" s="7">
        <v>89</v>
      </c>
      <c r="G2358" s="8">
        <v>0</v>
      </c>
      <c r="H2358" s="9" t="str">
        <f>INDEX(Products!$B$2:$B$37, MATCH(D2358, Products!$A$2:$A$37, 0))</f>
        <v>Sunscreen SPF50</v>
      </c>
      <c r="I2358" t="str">
        <f>INDEX(Products!$C$2:$C$37, MATCH(D2358, Products!$A$2:$A$37, 0))</f>
        <v>Beauty</v>
      </c>
      <c r="J2358">
        <f>INDEX(Products!$E$2:$E$37, MATCH(D2358, Products!$A$2:$A$37, 0))</f>
        <v>40</v>
      </c>
      <c r="K2358" s="9">
        <f t="shared" si="144"/>
        <v>89</v>
      </c>
      <c r="L2358">
        <f t="shared" si="145"/>
        <v>40</v>
      </c>
      <c r="M2358" s="9">
        <f t="shared" si="146"/>
        <v>49</v>
      </c>
      <c r="N2358" t="str">
        <f t="shared" si="147"/>
        <v>Jul</v>
      </c>
    </row>
    <row r="2359" spans="1:14" x14ac:dyDescent="0.3">
      <c r="A2359" s="2" t="s">
        <v>2425</v>
      </c>
      <c r="B2359" s="6">
        <v>45859</v>
      </c>
      <c r="C2359" s="2" t="s">
        <v>44</v>
      </c>
      <c r="D2359" s="2" t="s">
        <v>92</v>
      </c>
      <c r="E2359" s="2">
        <v>1</v>
      </c>
      <c r="F2359" s="7">
        <v>349</v>
      </c>
      <c r="G2359" s="8">
        <v>0</v>
      </c>
      <c r="H2359" s="9" t="str">
        <f>INDEX(Products!$B$2:$B$37, MATCH(D2359, Products!$A$2:$A$37, 0))</f>
        <v>Non-stick Cookware Set</v>
      </c>
      <c r="I2359" t="str">
        <f>INDEX(Products!$C$2:$C$37, MATCH(D2359, Products!$A$2:$A$37, 0))</f>
        <v>Home &amp; Kitchen</v>
      </c>
      <c r="J2359">
        <f>INDEX(Products!$E$2:$E$37, MATCH(D2359, Products!$A$2:$A$37, 0))</f>
        <v>170</v>
      </c>
      <c r="K2359" s="9">
        <f t="shared" si="144"/>
        <v>349</v>
      </c>
      <c r="L2359">
        <f t="shared" si="145"/>
        <v>170</v>
      </c>
      <c r="M2359" s="9">
        <f t="shared" si="146"/>
        <v>179</v>
      </c>
      <c r="N2359" t="str">
        <f t="shared" si="147"/>
        <v>Jul</v>
      </c>
    </row>
    <row r="2360" spans="1:14" x14ac:dyDescent="0.3">
      <c r="A2360" s="2" t="s">
        <v>2426</v>
      </c>
      <c r="B2360" s="6">
        <v>45859</v>
      </c>
      <c r="C2360" s="2" t="s">
        <v>31</v>
      </c>
      <c r="D2360" s="2" t="s">
        <v>37</v>
      </c>
      <c r="E2360" s="2">
        <v>1</v>
      </c>
      <c r="F2360" s="7">
        <v>249</v>
      </c>
      <c r="G2360" s="8">
        <v>0.15</v>
      </c>
      <c r="H2360" s="9" t="str">
        <f>INDEX(Products!$B$2:$B$37, MATCH(D2360, Products!$A$2:$A$37, 0))</f>
        <v>Sunglasses Polarised</v>
      </c>
      <c r="I2360" t="str">
        <f>INDEX(Products!$C$2:$C$37, MATCH(D2360, Products!$A$2:$A$37, 0))</f>
        <v>Fashion</v>
      </c>
      <c r="J2360">
        <f>INDEX(Products!$E$2:$E$37, MATCH(D2360, Products!$A$2:$A$37, 0))</f>
        <v>95</v>
      </c>
      <c r="K2360" s="9">
        <f t="shared" si="144"/>
        <v>211.65</v>
      </c>
      <c r="L2360">
        <f t="shared" si="145"/>
        <v>95</v>
      </c>
      <c r="M2360" s="9">
        <f t="shared" si="146"/>
        <v>116.65</v>
      </c>
      <c r="N2360" t="str">
        <f t="shared" si="147"/>
        <v>Jul</v>
      </c>
    </row>
    <row r="2361" spans="1:14" x14ac:dyDescent="0.3">
      <c r="A2361" s="2" t="s">
        <v>2427</v>
      </c>
      <c r="B2361" s="6">
        <v>45859</v>
      </c>
      <c r="C2361" s="2" t="s">
        <v>48</v>
      </c>
      <c r="D2361" s="2" t="s">
        <v>99</v>
      </c>
      <c r="E2361" s="2">
        <v>1</v>
      </c>
      <c r="F2361" s="7">
        <v>459</v>
      </c>
      <c r="G2361" s="8">
        <v>0</v>
      </c>
      <c r="H2361" s="9" t="str">
        <f>INDEX(Products!$B$2:$B$37, MATCH(D2361, Products!$A$2:$A$37, 0))</f>
        <v>Gaming Headset X</v>
      </c>
      <c r="I2361" t="str">
        <f>INDEX(Products!$C$2:$C$37, MATCH(D2361, Products!$A$2:$A$37, 0))</f>
        <v>Electronics</v>
      </c>
      <c r="J2361">
        <f>INDEX(Products!$E$2:$E$37, MATCH(D2361, Products!$A$2:$A$37, 0))</f>
        <v>300</v>
      </c>
      <c r="K2361" s="9">
        <f t="shared" si="144"/>
        <v>459</v>
      </c>
      <c r="L2361">
        <f t="shared" si="145"/>
        <v>300</v>
      </c>
      <c r="M2361" s="9">
        <f t="shared" si="146"/>
        <v>159</v>
      </c>
      <c r="N2361" t="str">
        <f t="shared" si="147"/>
        <v>Jul</v>
      </c>
    </row>
    <row r="2362" spans="1:14" x14ac:dyDescent="0.3">
      <c r="A2362" s="2" t="s">
        <v>2428</v>
      </c>
      <c r="B2362" s="6">
        <v>45859</v>
      </c>
      <c r="C2362" s="2" t="s">
        <v>44</v>
      </c>
      <c r="D2362" s="2" t="s">
        <v>58</v>
      </c>
      <c r="E2362" s="2">
        <v>2</v>
      </c>
      <c r="F2362" s="7">
        <v>459</v>
      </c>
      <c r="G2362" s="8">
        <v>0.1</v>
      </c>
      <c r="H2362" s="9" t="str">
        <f>INDEX(Products!$B$2:$B$37, MATCH(D2362, Products!$A$2:$A$37, 0))</f>
        <v>Women's Abaya Classic</v>
      </c>
      <c r="I2362" t="str">
        <f>INDEX(Products!$C$2:$C$37, MATCH(D2362, Products!$A$2:$A$37, 0))</f>
        <v>Fashion</v>
      </c>
      <c r="J2362">
        <f>INDEX(Products!$E$2:$E$37, MATCH(D2362, Products!$A$2:$A$37, 0))</f>
        <v>190</v>
      </c>
      <c r="K2362" s="9">
        <f t="shared" si="144"/>
        <v>826.2</v>
      </c>
      <c r="L2362">
        <f t="shared" si="145"/>
        <v>380</v>
      </c>
      <c r="M2362" s="9">
        <f t="shared" si="146"/>
        <v>446.20000000000005</v>
      </c>
      <c r="N2362" t="str">
        <f t="shared" si="147"/>
        <v>Jul</v>
      </c>
    </row>
    <row r="2363" spans="1:14" x14ac:dyDescent="0.3">
      <c r="A2363" s="2" t="s">
        <v>2429</v>
      </c>
      <c r="B2363" s="6">
        <v>45860</v>
      </c>
      <c r="C2363" s="2" t="s">
        <v>41</v>
      </c>
      <c r="D2363" s="2" t="s">
        <v>70</v>
      </c>
      <c r="E2363" s="2">
        <v>2</v>
      </c>
      <c r="F2363" s="7">
        <v>429</v>
      </c>
      <c r="G2363" s="8">
        <v>0</v>
      </c>
      <c r="H2363" s="9" t="str">
        <f>INDEX(Products!$B$2:$B$37, MATCH(D2363, Products!$A$2:$A$37, 0))</f>
        <v>Running Shoes Elite</v>
      </c>
      <c r="I2363" t="str">
        <f>INDEX(Products!$C$2:$C$37, MATCH(D2363, Products!$A$2:$A$37, 0))</f>
        <v>Fashion</v>
      </c>
      <c r="J2363">
        <f>INDEX(Products!$E$2:$E$37, MATCH(D2363, Products!$A$2:$A$37, 0))</f>
        <v>300</v>
      </c>
      <c r="K2363" s="9">
        <f t="shared" si="144"/>
        <v>858</v>
      </c>
      <c r="L2363">
        <f t="shared" si="145"/>
        <v>600</v>
      </c>
      <c r="M2363" s="9">
        <f t="shared" si="146"/>
        <v>258</v>
      </c>
      <c r="N2363" t="str">
        <f t="shared" si="147"/>
        <v>Jul</v>
      </c>
    </row>
    <row r="2364" spans="1:14" x14ac:dyDescent="0.3">
      <c r="A2364" s="2" t="s">
        <v>2430</v>
      </c>
      <c r="B2364" s="6">
        <v>45860</v>
      </c>
      <c r="C2364" s="2" t="s">
        <v>41</v>
      </c>
      <c r="D2364" s="2" t="s">
        <v>33</v>
      </c>
      <c r="E2364" s="2">
        <v>1</v>
      </c>
      <c r="F2364" s="7">
        <v>199</v>
      </c>
      <c r="G2364" s="8">
        <v>0.2</v>
      </c>
      <c r="H2364" s="9" t="str">
        <f>INDEX(Products!$B$2:$B$37, MATCH(D2364, Products!$A$2:$A$37, 0))</f>
        <v>Fitness Band Lite</v>
      </c>
      <c r="I2364" t="str">
        <f>INDEX(Products!$C$2:$C$37, MATCH(D2364, Products!$A$2:$A$37, 0))</f>
        <v>Electronics</v>
      </c>
      <c r="J2364">
        <f>INDEX(Products!$E$2:$E$37, MATCH(D2364, Products!$A$2:$A$37, 0))</f>
        <v>175</v>
      </c>
      <c r="K2364" s="9">
        <f t="shared" si="144"/>
        <v>159.20000000000002</v>
      </c>
      <c r="L2364">
        <f t="shared" si="145"/>
        <v>175</v>
      </c>
      <c r="M2364" s="9">
        <f t="shared" si="146"/>
        <v>-15.799999999999983</v>
      </c>
      <c r="N2364" t="str">
        <f t="shared" si="147"/>
        <v>Jul</v>
      </c>
    </row>
    <row r="2365" spans="1:14" x14ac:dyDescent="0.3">
      <c r="A2365" s="2" t="s">
        <v>2431</v>
      </c>
      <c r="B2365" s="6">
        <v>45860</v>
      </c>
      <c r="C2365" s="2" t="s">
        <v>44</v>
      </c>
      <c r="D2365" s="2" t="s">
        <v>115</v>
      </c>
      <c r="E2365" s="2">
        <v>1</v>
      </c>
      <c r="F2365" s="7">
        <v>129</v>
      </c>
      <c r="G2365" s="8">
        <v>0.3</v>
      </c>
      <c r="H2365" s="9" t="str">
        <f>INDEX(Products!$B$2:$B$37, MATCH(D2365, Products!$A$2:$A$37, 0))</f>
        <v>Electric Kettle</v>
      </c>
      <c r="I2365" t="str">
        <f>INDEX(Products!$C$2:$C$37, MATCH(D2365, Products!$A$2:$A$37, 0))</f>
        <v>Home &amp; Kitchen</v>
      </c>
      <c r="J2365">
        <f>INDEX(Products!$E$2:$E$37, MATCH(D2365, Products!$A$2:$A$37, 0))</f>
        <v>60</v>
      </c>
      <c r="K2365" s="9">
        <f t="shared" si="144"/>
        <v>90.3</v>
      </c>
      <c r="L2365">
        <f t="shared" si="145"/>
        <v>60</v>
      </c>
      <c r="M2365" s="9">
        <f t="shared" si="146"/>
        <v>30.299999999999997</v>
      </c>
      <c r="N2365" t="str">
        <f t="shared" si="147"/>
        <v>Jul</v>
      </c>
    </row>
    <row r="2366" spans="1:14" x14ac:dyDescent="0.3">
      <c r="A2366" s="2" t="s">
        <v>2432</v>
      </c>
      <c r="B2366" s="6">
        <v>45860</v>
      </c>
      <c r="C2366" s="2" t="s">
        <v>31</v>
      </c>
      <c r="D2366" s="2" t="s">
        <v>165</v>
      </c>
      <c r="E2366" s="2">
        <v>1</v>
      </c>
      <c r="F2366" s="7">
        <v>69</v>
      </c>
      <c r="G2366" s="8">
        <v>0</v>
      </c>
      <c r="H2366" s="9" t="str">
        <f>INDEX(Products!$B$2:$B$37, MATCH(D2366, Products!$A$2:$A$37, 0))</f>
        <v>Swim Goggles</v>
      </c>
      <c r="I2366" t="str">
        <f>INDEX(Products!$C$2:$C$37, MATCH(D2366, Products!$A$2:$A$37, 0))</f>
        <v>Sports</v>
      </c>
      <c r="J2366">
        <f>INDEX(Products!$E$2:$E$37, MATCH(D2366, Products!$A$2:$A$37, 0))</f>
        <v>25</v>
      </c>
      <c r="K2366" s="9">
        <f t="shared" si="144"/>
        <v>69</v>
      </c>
      <c r="L2366">
        <f t="shared" si="145"/>
        <v>25</v>
      </c>
      <c r="M2366" s="9">
        <f t="shared" si="146"/>
        <v>44</v>
      </c>
      <c r="N2366" t="str">
        <f t="shared" si="147"/>
        <v>Jul</v>
      </c>
    </row>
    <row r="2367" spans="1:14" x14ac:dyDescent="0.3">
      <c r="A2367" s="2" t="s">
        <v>2433</v>
      </c>
      <c r="B2367" s="6">
        <v>45860</v>
      </c>
      <c r="C2367" s="2" t="s">
        <v>48</v>
      </c>
      <c r="D2367" s="2" t="s">
        <v>52</v>
      </c>
      <c r="E2367" s="2">
        <v>1</v>
      </c>
      <c r="F2367" s="7">
        <v>299</v>
      </c>
      <c r="G2367" s="8">
        <v>0.2</v>
      </c>
      <c r="H2367" s="9" t="str">
        <f>INDEX(Products!$B$2:$B$37, MATCH(D2367, Products!$A$2:$A$37, 0))</f>
        <v>Hair Dryer Ionic</v>
      </c>
      <c r="I2367" t="str">
        <f>INDEX(Products!$C$2:$C$37, MATCH(D2367, Products!$A$2:$A$37, 0))</f>
        <v>Beauty</v>
      </c>
      <c r="J2367">
        <f>INDEX(Products!$E$2:$E$37, MATCH(D2367, Products!$A$2:$A$37, 0))</f>
        <v>240</v>
      </c>
      <c r="K2367" s="9">
        <f t="shared" si="144"/>
        <v>239.20000000000002</v>
      </c>
      <c r="L2367">
        <f t="shared" si="145"/>
        <v>240</v>
      </c>
      <c r="M2367" s="9">
        <f t="shared" si="146"/>
        <v>-0.79999999999998295</v>
      </c>
      <c r="N2367" t="str">
        <f t="shared" si="147"/>
        <v>Jul</v>
      </c>
    </row>
    <row r="2368" spans="1:14" x14ac:dyDescent="0.3">
      <c r="A2368" s="2" t="s">
        <v>2434</v>
      </c>
      <c r="B2368" s="6">
        <v>45860</v>
      </c>
      <c r="C2368" s="2" t="s">
        <v>31</v>
      </c>
      <c r="D2368" s="2" t="s">
        <v>78</v>
      </c>
      <c r="E2368" s="2">
        <v>1</v>
      </c>
      <c r="F2368" s="7">
        <v>499</v>
      </c>
      <c r="G2368" s="8">
        <v>0.3</v>
      </c>
      <c r="H2368" s="9" t="str">
        <f>INDEX(Products!$B$2:$B$37, MATCH(D2368, Products!$A$2:$A$37, 0))</f>
        <v>Air Fryer 5L</v>
      </c>
      <c r="I2368" t="str">
        <f>INDEX(Products!$C$2:$C$37, MATCH(D2368, Products!$A$2:$A$37, 0))</f>
        <v>Home &amp; Kitchen</v>
      </c>
      <c r="J2368">
        <f>INDEX(Products!$E$2:$E$37, MATCH(D2368, Products!$A$2:$A$37, 0))</f>
        <v>290</v>
      </c>
      <c r="K2368" s="9">
        <f t="shared" si="144"/>
        <v>349.29999999999995</v>
      </c>
      <c r="L2368">
        <f t="shared" si="145"/>
        <v>290</v>
      </c>
      <c r="M2368" s="9">
        <f t="shared" si="146"/>
        <v>59.299999999999955</v>
      </c>
      <c r="N2368" t="str">
        <f t="shared" si="147"/>
        <v>Jul</v>
      </c>
    </row>
    <row r="2369" spans="1:14" x14ac:dyDescent="0.3">
      <c r="A2369" s="2" t="s">
        <v>2435</v>
      </c>
      <c r="B2369" s="6">
        <v>45860</v>
      </c>
      <c r="C2369" s="2" t="s">
        <v>28</v>
      </c>
      <c r="D2369" s="2" t="s">
        <v>103</v>
      </c>
      <c r="E2369" s="2">
        <v>1</v>
      </c>
      <c r="F2369" s="7">
        <v>89</v>
      </c>
      <c r="G2369" s="8">
        <v>0.2</v>
      </c>
      <c r="H2369" s="9" t="str">
        <f>INDEX(Products!$B$2:$B$37, MATCH(D2369, Products!$A$2:$A$37, 0))</f>
        <v>Sunscreen SPF50</v>
      </c>
      <c r="I2369" t="str">
        <f>INDEX(Products!$C$2:$C$37, MATCH(D2369, Products!$A$2:$A$37, 0))</f>
        <v>Beauty</v>
      </c>
      <c r="J2369">
        <f>INDEX(Products!$E$2:$E$37, MATCH(D2369, Products!$A$2:$A$37, 0))</f>
        <v>40</v>
      </c>
      <c r="K2369" s="9">
        <f t="shared" si="144"/>
        <v>71.2</v>
      </c>
      <c r="L2369">
        <f t="shared" si="145"/>
        <v>40</v>
      </c>
      <c r="M2369" s="9">
        <f t="shared" si="146"/>
        <v>31.200000000000003</v>
      </c>
      <c r="N2369" t="str">
        <f t="shared" si="147"/>
        <v>Jul</v>
      </c>
    </row>
    <row r="2370" spans="1:14" x14ac:dyDescent="0.3">
      <c r="A2370" s="2" t="s">
        <v>2436</v>
      </c>
      <c r="B2370" s="6">
        <v>45860</v>
      </c>
      <c r="C2370" s="2" t="s">
        <v>28</v>
      </c>
      <c r="D2370" s="2" t="s">
        <v>83</v>
      </c>
      <c r="E2370" s="2">
        <v>1</v>
      </c>
      <c r="F2370" s="7">
        <v>229</v>
      </c>
      <c r="G2370" s="8">
        <v>0</v>
      </c>
      <c r="H2370" s="9" t="str">
        <f>INDEX(Products!$B$2:$B$37, MATCH(D2370, Products!$A$2:$A$37, 0))</f>
        <v>Cycling Helmet</v>
      </c>
      <c r="I2370" t="str">
        <f>INDEX(Products!$C$2:$C$37, MATCH(D2370, Products!$A$2:$A$37, 0))</f>
        <v>Sports</v>
      </c>
      <c r="J2370">
        <f>INDEX(Products!$E$2:$E$37, MATCH(D2370, Products!$A$2:$A$37, 0))</f>
        <v>120</v>
      </c>
      <c r="K2370" s="9">
        <f t="shared" ref="K2370:K2433" si="148">E2370*F2370*(1-G2370)</f>
        <v>229</v>
      </c>
      <c r="L2370">
        <f t="shared" ref="L2370:L2433" si="149">E2370*J2370</f>
        <v>120</v>
      </c>
      <c r="M2370" s="9">
        <f t="shared" ref="M2370:M2433" si="150">K2370-L2370</f>
        <v>109</v>
      </c>
      <c r="N2370" t="str">
        <f t="shared" ref="N2370:N2433" si="151">TEXT(B2370,"mmm")</f>
        <v>Jul</v>
      </c>
    </row>
    <row r="2371" spans="1:14" x14ac:dyDescent="0.3">
      <c r="A2371" s="2" t="s">
        <v>2437</v>
      </c>
      <c r="B2371" s="6">
        <v>45860</v>
      </c>
      <c r="C2371" s="2" t="s">
        <v>28</v>
      </c>
      <c r="D2371" s="2" t="s">
        <v>42</v>
      </c>
      <c r="E2371" s="2">
        <v>1</v>
      </c>
      <c r="F2371" s="7">
        <v>399</v>
      </c>
      <c r="G2371" s="8">
        <v>0</v>
      </c>
      <c r="H2371" s="9" t="str">
        <f>INDEX(Products!$B$2:$B$37, MATCH(D2371, Products!$A$2:$A$37, 0))</f>
        <v>Wireless Earbuds Pro</v>
      </c>
      <c r="I2371" t="str">
        <f>INDEX(Products!$C$2:$C$37, MATCH(D2371, Products!$A$2:$A$37, 0))</f>
        <v>Electronics</v>
      </c>
      <c r="J2371">
        <f>INDEX(Products!$E$2:$E$37, MATCH(D2371, Products!$A$2:$A$37, 0))</f>
        <v>230</v>
      </c>
      <c r="K2371" s="9">
        <f t="shared" si="148"/>
        <v>399</v>
      </c>
      <c r="L2371">
        <f t="shared" si="149"/>
        <v>230</v>
      </c>
      <c r="M2371" s="9">
        <f t="shared" si="150"/>
        <v>169</v>
      </c>
      <c r="N2371" t="str">
        <f t="shared" si="151"/>
        <v>Jul</v>
      </c>
    </row>
    <row r="2372" spans="1:14" x14ac:dyDescent="0.3">
      <c r="A2372" s="2" t="s">
        <v>2438</v>
      </c>
      <c r="B2372" s="6">
        <v>45860</v>
      </c>
      <c r="C2372" s="2" t="s">
        <v>28</v>
      </c>
      <c r="D2372" s="2" t="s">
        <v>29</v>
      </c>
      <c r="E2372" s="2">
        <v>1</v>
      </c>
      <c r="F2372" s="7">
        <v>229</v>
      </c>
      <c r="G2372" s="8">
        <v>0.05</v>
      </c>
      <c r="H2372" s="9" t="str">
        <f>INDEX(Products!$B$2:$B$37, MATCH(D2372, Products!$A$2:$A$37, 0))</f>
        <v>Women's Summer Dress</v>
      </c>
      <c r="I2372" t="str">
        <f>INDEX(Products!$C$2:$C$37, MATCH(D2372, Products!$A$2:$A$37, 0))</f>
        <v>Fashion</v>
      </c>
      <c r="J2372">
        <f>INDEX(Products!$E$2:$E$37, MATCH(D2372, Products!$A$2:$A$37, 0))</f>
        <v>120</v>
      </c>
      <c r="K2372" s="9">
        <f t="shared" si="148"/>
        <v>217.54999999999998</v>
      </c>
      <c r="L2372">
        <f t="shared" si="149"/>
        <v>120</v>
      </c>
      <c r="M2372" s="9">
        <f t="shared" si="150"/>
        <v>97.549999999999983</v>
      </c>
      <c r="N2372" t="str">
        <f t="shared" si="151"/>
        <v>Jul</v>
      </c>
    </row>
    <row r="2373" spans="1:14" x14ac:dyDescent="0.3">
      <c r="A2373" s="2" t="s">
        <v>2439</v>
      </c>
      <c r="B2373" s="6">
        <v>45860</v>
      </c>
      <c r="C2373" s="2" t="s">
        <v>31</v>
      </c>
      <c r="D2373" s="2" t="s">
        <v>115</v>
      </c>
      <c r="E2373" s="2">
        <v>1</v>
      </c>
      <c r="F2373" s="7">
        <v>129</v>
      </c>
      <c r="G2373" s="8">
        <v>0.3</v>
      </c>
      <c r="H2373" s="9" t="str">
        <f>INDEX(Products!$B$2:$B$37, MATCH(D2373, Products!$A$2:$A$37, 0))</f>
        <v>Electric Kettle</v>
      </c>
      <c r="I2373" t="str">
        <f>INDEX(Products!$C$2:$C$37, MATCH(D2373, Products!$A$2:$A$37, 0))</f>
        <v>Home &amp; Kitchen</v>
      </c>
      <c r="J2373">
        <f>INDEX(Products!$E$2:$E$37, MATCH(D2373, Products!$A$2:$A$37, 0))</f>
        <v>60</v>
      </c>
      <c r="K2373" s="9">
        <f t="shared" si="148"/>
        <v>90.3</v>
      </c>
      <c r="L2373">
        <f t="shared" si="149"/>
        <v>60</v>
      </c>
      <c r="M2373" s="9">
        <f t="shared" si="150"/>
        <v>30.299999999999997</v>
      </c>
      <c r="N2373" t="str">
        <f t="shared" si="151"/>
        <v>Jul</v>
      </c>
    </row>
    <row r="2374" spans="1:14" x14ac:dyDescent="0.3">
      <c r="A2374" s="2" t="s">
        <v>2440</v>
      </c>
      <c r="B2374" s="6">
        <v>45860</v>
      </c>
      <c r="C2374" s="2" t="s">
        <v>28</v>
      </c>
      <c r="D2374" s="2" t="s">
        <v>89</v>
      </c>
      <c r="E2374" s="2">
        <v>3</v>
      </c>
      <c r="F2374" s="7">
        <v>399</v>
      </c>
      <c r="G2374" s="8">
        <v>0.15</v>
      </c>
      <c r="H2374" s="9" t="str">
        <f>INDEX(Products!$B$2:$B$37, MATCH(D2374, Products!$A$2:$A$37, 0))</f>
        <v>Men's Kandura Premium</v>
      </c>
      <c r="I2374" t="str">
        <f>INDEX(Products!$C$2:$C$37, MATCH(D2374, Products!$A$2:$A$37, 0))</f>
        <v>Fashion</v>
      </c>
      <c r="J2374">
        <f>INDEX(Products!$E$2:$E$37, MATCH(D2374, Products!$A$2:$A$37, 0))</f>
        <v>210</v>
      </c>
      <c r="K2374" s="9">
        <f t="shared" si="148"/>
        <v>1017.4499999999999</v>
      </c>
      <c r="L2374">
        <f t="shared" si="149"/>
        <v>630</v>
      </c>
      <c r="M2374" s="9">
        <f t="shared" si="150"/>
        <v>387.44999999999993</v>
      </c>
      <c r="N2374" t="str">
        <f t="shared" si="151"/>
        <v>Jul</v>
      </c>
    </row>
    <row r="2375" spans="1:14" x14ac:dyDescent="0.3">
      <c r="A2375" s="2" t="s">
        <v>2441</v>
      </c>
      <c r="B2375" s="6">
        <v>45860</v>
      </c>
      <c r="C2375" s="2" t="s">
        <v>41</v>
      </c>
      <c r="D2375" s="2" t="s">
        <v>29</v>
      </c>
      <c r="E2375" s="2">
        <v>1</v>
      </c>
      <c r="F2375" s="7">
        <v>229</v>
      </c>
      <c r="G2375" s="8">
        <v>0</v>
      </c>
      <c r="H2375" s="9" t="str">
        <f>INDEX(Products!$B$2:$B$37, MATCH(D2375, Products!$A$2:$A$37, 0))</f>
        <v>Women's Summer Dress</v>
      </c>
      <c r="I2375" t="str">
        <f>INDEX(Products!$C$2:$C$37, MATCH(D2375, Products!$A$2:$A$37, 0))</f>
        <v>Fashion</v>
      </c>
      <c r="J2375">
        <f>INDEX(Products!$E$2:$E$37, MATCH(D2375, Products!$A$2:$A$37, 0))</f>
        <v>120</v>
      </c>
      <c r="K2375" s="9">
        <f t="shared" si="148"/>
        <v>229</v>
      </c>
      <c r="L2375">
        <f t="shared" si="149"/>
        <v>120</v>
      </c>
      <c r="M2375" s="9">
        <f t="shared" si="150"/>
        <v>109</v>
      </c>
      <c r="N2375" t="str">
        <f t="shared" si="151"/>
        <v>Jul</v>
      </c>
    </row>
    <row r="2376" spans="1:14" x14ac:dyDescent="0.3">
      <c r="A2376" s="2" t="s">
        <v>2442</v>
      </c>
      <c r="B2376" s="6">
        <v>45860</v>
      </c>
      <c r="C2376" s="2" t="s">
        <v>44</v>
      </c>
      <c r="D2376" s="2" t="s">
        <v>95</v>
      </c>
      <c r="E2376" s="2">
        <v>1</v>
      </c>
      <c r="F2376" s="7">
        <v>259</v>
      </c>
      <c r="G2376" s="8">
        <v>0.05</v>
      </c>
      <c r="H2376" s="9" t="str">
        <f>INDEX(Products!$B$2:$B$37, MATCH(D2376, Products!$A$2:$A$37, 0))</f>
        <v>Bed Linen Set (King)</v>
      </c>
      <c r="I2376" t="str">
        <f>INDEX(Products!$C$2:$C$37, MATCH(D2376, Products!$A$2:$A$37, 0))</f>
        <v>Home &amp; Kitchen</v>
      </c>
      <c r="J2376">
        <f>INDEX(Products!$E$2:$E$37, MATCH(D2376, Products!$A$2:$A$37, 0))</f>
        <v>115</v>
      </c>
      <c r="K2376" s="9">
        <f t="shared" si="148"/>
        <v>246.04999999999998</v>
      </c>
      <c r="L2376">
        <f t="shared" si="149"/>
        <v>115</v>
      </c>
      <c r="M2376" s="9">
        <f t="shared" si="150"/>
        <v>131.04999999999998</v>
      </c>
      <c r="N2376" t="str">
        <f t="shared" si="151"/>
        <v>Jul</v>
      </c>
    </row>
    <row r="2377" spans="1:14" x14ac:dyDescent="0.3">
      <c r="A2377" s="2" t="s">
        <v>2443</v>
      </c>
      <c r="B2377" s="6">
        <v>45861</v>
      </c>
      <c r="C2377" s="2" t="s">
        <v>41</v>
      </c>
      <c r="D2377" s="2" t="s">
        <v>68</v>
      </c>
      <c r="E2377" s="2">
        <v>3</v>
      </c>
      <c r="F2377" s="7">
        <v>249</v>
      </c>
      <c r="G2377" s="8">
        <v>0</v>
      </c>
      <c r="H2377" s="9" t="str">
        <f>INDEX(Products!$B$2:$B$37, MATCH(D2377, Products!$A$2:$A$37, 0))</f>
        <v>Bluetooth Speaker Mini</v>
      </c>
      <c r="I2377" t="str">
        <f>INDEX(Products!$C$2:$C$37, MATCH(D2377, Products!$A$2:$A$37, 0))</f>
        <v>Electronics</v>
      </c>
      <c r="J2377">
        <f>INDEX(Products!$E$2:$E$37, MATCH(D2377, Products!$A$2:$A$37, 0))</f>
        <v>150</v>
      </c>
      <c r="K2377" s="9">
        <f t="shared" si="148"/>
        <v>747</v>
      </c>
      <c r="L2377">
        <f t="shared" si="149"/>
        <v>450</v>
      </c>
      <c r="M2377" s="9">
        <f t="shared" si="150"/>
        <v>297</v>
      </c>
      <c r="N2377" t="str">
        <f t="shared" si="151"/>
        <v>Jul</v>
      </c>
    </row>
    <row r="2378" spans="1:14" x14ac:dyDescent="0.3">
      <c r="A2378" s="2" t="s">
        <v>2444</v>
      </c>
      <c r="B2378" s="6">
        <v>45861</v>
      </c>
      <c r="C2378" s="2" t="s">
        <v>41</v>
      </c>
      <c r="D2378" s="2" t="s">
        <v>92</v>
      </c>
      <c r="E2378" s="2">
        <v>2</v>
      </c>
      <c r="F2378" s="7">
        <v>349</v>
      </c>
      <c r="G2378" s="8">
        <v>0</v>
      </c>
      <c r="H2378" s="9" t="str">
        <f>INDEX(Products!$B$2:$B$37, MATCH(D2378, Products!$A$2:$A$37, 0))</f>
        <v>Non-stick Cookware Set</v>
      </c>
      <c r="I2378" t="str">
        <f>INDEX(Products!$C$2:$C$37, MATCH(D2378, Products!$A$2:$A$37, 0))</f>
        <v>Home &amp; Kitchen</v>
      </c>
      <c r="J2378">
        <f>INDEX(Products!$E$2:$E$37, MATCH(D2378, Products!$A$2:$A$37, 0))</f>
        <v>170</v>
      </c>
      <c r="K2378" s="9">
        <f t="shared" si="148"/>
        <v>698</v>
      </c>
      <c r="L2378">
        <f t="shared" si="149"/>
        <v>340</v>
      </c>
      <c r="M2378" s="9">
        <f t="shared" si="150"/>
        <v>358</v>
      </c>
      <c r="N2378" t="str">
        <f t="shared" si="151"/>
        <v>Jul</v>
      </c>
    </row>
    <row r="2379" spans="1:14" x14ac:dyDescent="0.3">
      <c r="A2379" s="2" t="s">
        <v>2445</v>
      </c>
      <c r="B2379" s="6">
        <v>45861</v>
      </c>
      <c r="C2379" s="2" t="s">
        <v>44</v>
      </c>
      <c r="D2379" s="2" t="s">
        <v>49</v>
      </c>
      <c r="E2379" s="2">
        <v>1</v>
      </c>
      <c r="F2379" s="7">
        <v>149</v>
      </c>
      <c r="G2379" s="8">
        <v>0.1</v>
      </c>
      <c r="H2379" s="9" t="str">
        <f>INDEX(Products!$B$2:$B$37, MATCH(D2379, Products!$A$2:$A$37, 0))</f>
        <v>Kids' Sneakers</v>
      </c>
      <c r="I2379" t="str">
        <f>INDEX(Products!$C$2:$C$37, MATCH(D2379, Products!$A$2:$A$37, 0))</f>
        <v>Fashion</v>
      </c>
      <c r="J2379">
        <f>INDEX(Products!$E$2:$E$37, MATCH(D2379, Products!$A$2:$A$37, 0))</f>
        <v>80</v>
      </c>
      <c r="K2379" s="9">
        <f t="shared" si="148"/>
        <v>134.1</v>
      </c>
      <c r="L2379">
        <f t="shared" si="149"/>
        <v>80</v>
      </c>
      <c r="M2379" s="9">
        <f t="shared" si="150"/>
        <v>54.099999999999994</v>
      </c>
      <c r="N2379" t="str">
        <f t="shared" si="151"/>
        <v>Jul</v>
      </c>
    </row>
    <row r="2380" spans="1:14" x14ac:dyDescent="0.3">
      <c r="A2380" s="2" t="s">
        <v>2446</v>
      </c>
      <c r="B2380" s="6">
        <v>45861</v>
      </c>
      <c r="C2380" s="2" t="s">
        <v>28</v>
      </c>
      <c r="D2380" s="2" t="s">
        <v>49</v>
      </c>
      <c r="E2380" s="2">
        <v>1</v>
      </c>
      <c r="F2380" s="7">
        <v>149</v>
      </c>
      <c r="G2380" s="8">
        <v>0</v>
      </c>
      <c r="H2380" s="9" t="str">
        <f>INDEX(Products!$B$2:$B$37, MATCH(D2380, Products!$A$2:$A$37, 0))</f>
        <v>Kids' Sneakers</v>
      </c>
      <c r="I2380" t="str">
        <f>INDEX(Products!$C$2:$C$37, MATCH(D2380, Products!$A$2:$A$37, 0))</f>
        <v>Fashion</v>
      </c>
      <c r="J2380">
        <f>INDEX(Products!$E$2:$E$37, MATCH(D2380, Products!$A$2:$A$37, 0))</f>
        <v>80</v>
      </c>
      <c r="K2380" s="9">
        <f t="shared" si="148"/>
        <v>149</v>
      </c>
      <c r="L2380">
        <f t="shared" si="149"/>
        <v>80</v>
      </c>
      <c r="M2380" s="9">
        <f t="shared" si="150"/>
        <v>69</v>
      </c>
      <c r="N2380" t="str">
        <f t="shared" si="151"/>
        <v>Jul</v>
      </c>
    </row>
    <row r="2381" spans="1:14" x14ac:dyDescent="0.3">
      <c r="A2381" s="2" t="s">
        <v>2447</v>
      </c>
      <c r="B2381" s="6">
        <v>45861</v>
      </c>
      <c r="C2381" s="2" t="s">
        <v>31</v>
      </c>
      <c r="D2381" s="2" t="s">
        <v>131</v>
      </c>
      <c r="E2381" s="2">
        <v>1</v>
      </c>
      <c r="F2381" s="7">
        <v>899</v>
      </c>
      <c r="G2381" s="8">
        <v>0.05</v>
      </c>
      <c r="H2381" s="9" t="str">
        <f>INDEX(Products!$B$2:$B$37, MATCH(D2381, Products!$A$2:$A$37, 0))</f>
        <v>4K Action Camera</v>
      </c>
      <c r="I2381" t="str">
        <f>INDEX(Products!$C$2:$C$37, MATCH(D2381, Products!$A$2:$A$37, 0))</f>
        <v>Electronics</v>
      </c>
      <c r="J2381">
        <f>INDEX(Products!$E$2:$E$37, MATCH(D2381, Products!$A$2:$A$37, 0))</f>
        <v>610</v>
      </c>
      <c r="K2381" s="9">
        <f t="shared" si="148"/>
        <v>854.05</v>
      </c>
      <c r="L2381">
        <f t="shared" si="149"/>
        <v>610</v>
      </c>
      <c r="M2381" s="9">
        <f t="shared" si="150"/>
        <v>244.04999999999995</v>
      </c>
      <c r="N2381" t="str">
        <f t="shared" si="151"/>
        <v>Jul</v>
      </c>
    </row>
    <row r="2382" spans="1:14" x14ac:dyDescent="0.3">
      <c r="A2382" s="2" t="s">
        <v>2448</v>
      </c>
      <c r="B2382" s="6">
        <v>45861</v>
      </c>
      <c r="C2382" s="2" t="s">
        <v>44</v>
      </c>
      <c r="D2382" s="2" t="s">
        <v>68</v>
      </c>
      <c r="E2382" s="2">
        <v>2</v>
      </c>
      <c r="F2382" s="7">
        <v>249</v>
      </c>
      <c r="G2382" s="8">
        <v>0.3</v>
      </c>
      <c r="H2382" s="9" t="str">
        <f>INDEX(Products!$B$2:$B$37, MATCH(D2382, Products!$A$2:$A$37, 0))</f>
        <v>Bluetooth Speaker Mini</v>
      </c>
      <c r="I2382" t="str">
        <f>INDEX(Products!$C$2:$C$37, MATCH(D2382, Products!$A$2:$A$37, 0))</f>
        <v>Electronics</v>
      </c>
      <c r="J2382">
        <f>INDEX(Products!$E$2:$E$37, MATCH(D2382, Products!$A$2:$A$37, 0))</f>
        <v>150</v>
      </c>
      <c r="K2382" s="9">
        <f t="shared" si="148"/>
        <v>348.59999999999997</v>
      </c>
      <c r="L2382">
        <f t="shared" si="149"/>
        <v>300</v>
      </c>
      <c r="M2382" s="9">
        <f t="shared" si="150"/>
        <v>48.599999999999966</v>
      </c>
      <c r="N2382" t="str">
        <f t="shared" si="151"/>
        <v>Jul</v>
      </c>
    </row>
    <row r="2383" spans="1:14" x14ac:dyDescent="0.3">
      <c r="A2383" s="2" t="s">
        <v>2449</v>
      </c>
      <c r="B2383" s="6">
        <v>45861</v>
      </c>
      <c r="C2383" s="2" t="s">
        <v>44</v>
      </c>
      <c r="D2383" s="2" t="s">
        <v>33</v>
      </c>
      <c r="E2383" s="2">
        <v>1</v>
      </c>
      <c r="F2383" s="7">
        <v>199</v>
      </c>
      <c r="G2383" s="8">
        <v>0.25</v>
      </c>
      <c r="H2383" s="9" t="str">
        <f>INDEX(Products!$B$2:$B$37, MATCH(D2383, Products!$A$2:$A$37, 0))</f>
        <v>Fitness Band Lite</v>
      </c>
      <c r="I2383" t="str">
        <f>INDEX(Products!$C$2:$C$37, MATCH(D2383, Products!$A$2:$A$37, 0))</f>
        <v>Electronics</v>
      </c>
      <c r="J2383">
        <f>INDEX(Products!$E$2:$E$37, MATCH(D2383, Products!$A$2:$A$37, 0))</f>
        <v>175</v>
      </c>
      <c r="K2383" s="9">
        <f t="shared" si="148"/>
        <v>149.25</v>
      </c>
      <c r="L2383">
        <f t="shared" si="149"/>
        <v>175</v>
      </c>
      <c r="M2383" s="9">
        <f t="shared" si="150"/>
        <v>-25.75</v>
      </c>
      <c r="N2383" t="str">
        <f t="shared" si="151"/>
        <v>Jul</v>
      </c>
    </row>
    <row r="2384" spans="1:14" x14ac:dyDescent="0.3">
      <c r="A2384" s="2" t="s">
        <v>2450</v>
      </c>
      <c r="B2384" s="6">
        <v>45861</v>
      </c>
      <c r="C2384" s="2" t="s">
        <v>44</v>
      </c>
      <c r="D2384" s="2" t="s">
        <v>163</v>
      </c>
      <c r="E2384" s="2">
        <v>2</v>
      </c>
      <c r="F2384" s="7">
        <v>2499</v>
      </c>
      <c r="G2384" s="8">
        <v>0.25</v>
      </c>
      <c r="H2384" s="9" t="str">
        <f>INDEX(Products!$B$2:$B$37, MATCH(D2384, Products!$A$2:$A$37, 0))</f>
        <v>Treadmill Compact</v>
      </c>
      <c r="I2384" t="str">
        <f>INDEX(Products!$C$2:$C$37, MATCH(D2384, Products!$A$2:$A$37, 0))</f>
        <v>Sports</v>
      </c>
      <c r="J2384">
        <f>INDEX(Products!$E$2:$E$37, MATCH(D2384, Products!$A$2:$A$37, 0))</f>
        <v>2150</v>
      </c>
      <c r="K2384" s="9">
        <f t="shared" si="148"/>
        <v>3748.5</v>
      </c>
      <c r="L2384">
        <f t="shared" si="149"/>
        <v>4300</v>
      </c>
      <c r="M2384" s="9">
        <f t="shared" si="150"/>
        <v>-551.5</v>
      </c>
      <c r="N2384" t="str">
        <f t="shared" si="151"/>
        <v>Jul</v>
      </c>
    </row>
    <row r="2385" spans="1:14" x14ac:dyDescent="0.3">
      <c r="A2385" s="2" t="s">
        <v>2451</v>
      </c>
      <c r="B2385" s="6">
        <v>45861</v>
      </c>
      <c r="C2385" s="2" t="s">
        <v>31</v>
      </c>
      <c r="D2385" s="2" t="s">
        <v>70</v>
      </c>
      <c r="E2385" s="2">
        <v>1</v>
      </c>
      <c r="F2385" s="7">
        <v>429</v>
      </c>
      <c r="G2385" s="8">
        <v>0.1</v>
      </c>
      <c r="H2385" s="9" t="str">
        <f>INDEX(Products!$B$2:$B$37, MATCH(D2385, Products!$A$2:$A$37, 0))</f>
        <v>Running Shoes Elite</v>
      </c>
      <c r="I2385" t="str">
        <f>INDEX(Products!$C$2:$C$37, MATCH(D2385, Products!$A$2:$A$37, 0))</f>
        <v>Fashion</v>
      </c>
      <c r="J2385">
        <f>INDEX(Products!$E$2:$E$37, MATCH(D2385, Products!$A$2:$A$37, 0))</f>
        <v>300</v>
      </c>
      <c r="K2385" s="9">
        <f t="shared" si="148"/>
        <v>386.1</v>
      </c>
      <c r="L2385">
        <f t="shared" si="149"/>
        <v>300</v>
      </c>
      <c r="M2385" s="9">
        <f t="shared" si="150"/>
        <v>86.100000000000023</v>
      </c>
      <c r="N2385" t="str">
        <f t="shared" si="151"/>
        <v>Jul</v>
      </c>
    </row>
    <row r="2386" spans="1:14" x14ac:dyDescent="0.3">
      <c r="A2386" s="2" t="s">
        <v>2452</v>
      </c>
      <c r="B2386" s="6">
        <v>45861</v>
      </c>
      <c r="C2386" s="2" t="s">
        <v>31</v>
      </c>
      <c r="D2386" s="2" t="s">
        <v>131</v>
      </c>
      <c r="E2386" s="2">
        <v>1</v>
      </c>
      <c r="F2386" s="7">
        <v>899</v>
      </c>
      <c r="G2386" s="8">
        <v>0</v>
      </c>
      <c r="H2386" s="9" t="str">
        <f>INDEX(Products!$B$2:$B$37, MATCH(D2386, Products!$A$2:$A$37, 0))</f>
        <v>4K Action Camera</v>
      </c>
      <c r="I2386" t="str">
        <f>INDEX(Products!$C$2:$C$37, MATCH(D2386, Products!$A$2:$A$37, 0))</f>
        <v>Electronics</v>
      </c>
      <c r="J2386">
        <f>INDEX(Products!$E$2:$E$37, MATCH(D2386, Products!$A$2:$A$37, 0))</f>
        <v>610</v>
      </c>
      <c r="K2386" s="9">
        <f t="shared" si="148"/>
        <v>899</v>
      </c>
      <c r="L2386">
        <f t="shared" si="149"/>
        <v>610</v>
      </c>
      <c r="M2386" s="9">
        <f t="shared" si="150"/>
        <v>289</v>
      </c>
      <c r="N2386" t="str">
        <f t="shared" si="151"/>
        <v>Jul</v>
      </c>
    </row>
    <row r="2387" spans="1:14" x14ac:dyDescent="0.3">
      <c r="A2387" s="2" t="s">
        <v>2453</v>
      </c>
      <c r="B2387" s="6">
        <v>45861</v>
      </c>
      <c r="C2387" s="2" t="s">
        <v>31</v>
      </c>
      <c r="D2387" s="2" t="s">
        <v>129</v>
      </c>
      <c r="E2387" s="2">
        <v>1</v>
      </c>
      <c r="F2387" s="7">
        <v>149</v>
      </c>
      <c r="G2387" s="8">
        <v>0.1</v>
      </c>
      <c r="H2387" s="9" t="str">
        <f>INDEX(Products!$B$2:$B$37, MATCH(D2387, Products!$A$2:$A$37, 0))</f>
        <v>Power Bank 20000mAh</v>
      </c>
      <c r="I2387" t="str">
        <f>INDEX(Products!$C$2:$C$37, MATCH(D2387, Products!$A$2:$A$37, 0))</f>
        <v>Electronics</v>
      </c>
      <c r="J2387">
        <f>INDEX(Products!$E$2:$E$37, MATCH(D2387, Products!$A$2:$A$37, 0))</f>
        <v>70</v>
      </c>
      <c r="K2387" s="9">
        <f t="shared" si="148"/>
        <v>134.1</v>
      </c>
      <c r="L2387">
        <f t="shared" si="149"/>
        <v>70</v>
      </c>
      <c r="M2387" s="9">
        <f t="shared" si="150"/>
        <v>64.099999999999994</v>
      </c>
      <c r="N2387" t="str">
        <f t="shared" si="151"/>
        <v>Jul</v>
      </c>
    </row>
    <row r="2388" spans="1:14" x14ac:dyDescent="0.3">
      <c r="A2388" s="2" t="s">
        <v>2454</v>
      </c>
      <c r="B2388" s="6">
        <v>45862</v>
      </c>
      <c r="C2388" s="2" t="s">
        <v>41</v>
      </c>
      <c r="D2388" s="2" t="s">
        <v>68</v>
      </c>
      <c r="E2388" s="2">
        <v>2</v>
      </c>
      <c r="F2388" s="7">
        <v>249</v>
      </c>
      <c r="G2388" s="8">
        <v>0</v>
      </c>
      <c r="H2388" s="9" t="str">
        <f>INDEX(Products!$B$2:$B$37, MATCH(D2388, Products!$A$2:$A$37, 0))</f>
        <v>Bluetooth Speaker Mini</v>
      </c>
      <c r="I2388" t="str">
        <f>INDEX(Products!$C$2:$C$37, MATCH(D2388, Products!$A$2:$A$37, 0))</f>
        <v>Electronics</v>
      </c>
      <c r="J2388">
        <f>INDEX(Products!$E$2:$E$37, MATCH(D2388, Products!$A$2:$A$37, 0))</f>
        <v>150</v>
      </c>
      <c r="K2388" s="9">
        <f t="shared" si="148"/>
        <v>498</v>
      </c>
      <c r="L2388">
        <f t="shared" si="149"/>
        <v>300</v>
      </c>
      <c r="M2388" s="9">
        <f t="shared" si="150"/>
        <v>198</v>
      </c>
      <c r="N2388" t="str">
        <f t="shared" si="151"/>
        <v>Jul</v>
      </c>
    </row>
    <row r="2389" spans="1:14" x14ac:dyDescent="0.3">
      <c r="A2389" s="2" t="s">
        <v>2455</v>
      </c>
      <c r="B2389" s="6">
        <v>45862</v>
      </c>
      <c r="C2389" s="2" t="s">
        <v>31</v>
      </c>
      <c r="D2389" s="2" t="s">
        <v>83</v>
      </c>
      <c r="E2389" s="2">
        <v>1</v>
      </c>
      <c r="F2389" s="7">
        <v>229</v>
      </c>
      <c r="G2389" s="8">
        <v>0.1</v>
      </c>
      <c r="H2389" s="9" t="str">
        <f>INDEX(Products!$B$2:$B$37, MATCH(D2389, Products!$A$2:$A$37, 0))</f>
        <v>Cycling Helmet</v>
      </c>
      <c r="I2389" t="str">
        <f>INDEX(Products!$C$2:$C$37, MATCH(D2389, Products!$A$2:$A$37, 0))</f>
        <v>Sports</v>
      </c>
      <c r="J2389">
        <f>INDEX(Products!$E$2:$E$37, MATCH(D2389, Products!$A$2:$A$37, 0))</f>
        <v>120</v>
      </c>
      <c r="K2389" s="9">
        <f t="shared" si="148"/>
        <v>206.1</v>
      </c>
      <c r="L2389">
        <f t="shared" si="149"/>
        <v>120</v>
      </c>
      <c r="M2389" s="9">
        <f t="shared" si="150"/>
        <v>86.1</v>
      </c>
      <c r="N2389" t="str">
        <f t="shared" si="151"/>
        <v>Jul</v>
      </c>
    </row>
    <row r="2390" spans="1:14" x14ac:dyDescent="0.3">
      <c r="A2390" s="2" t="s">
        <v>2456</v>
      </c>
      <c r="B2390" s="6">
        <v>45862</v>
      </c>
      <c r="C2390" s="2" t="s">
        <v>28</v>
      </c>
      <c r="D2390" s="2" t="s">
        <v>56</v>
      </c>
      <c r="E2390" s="2">
        <v>1</v>
      </c>
      <c r="F2390" s="7">
        <v>289</v>
      </c>
      <c r="G2390" s="8">
        <v>0.1</v>
      </c>
      <c r="H2390" s="9" t="str">
        <f>INDEX(Products!$B$2:$B$37, MATCH(D2390, Products!$A$2:$A$37, 0))</f>
        <v>Ceramic Dinner Set</v>
      </c>
      <c r="I2390" t="str">
        <f>INDEX(Products!$C$2:$C$37, MATCH(D2390, Products!$A$2:$A$37, 0))</f>
        <v>Home &amp; Kitchen</v>
      </c>
      <c r="J2390">
        <f>INDEX(Products!$E$2:$E$37, MATCH(D2390, Products!$A$2:$A$37, 0))</f>
        <v>140</v>
      </c>
      <c r="K2390" s="9">
        <f t="shared" si="148"/>
        <v>260.10000000000002</v>
      </c>
      <c r="L2390">
        <f t="shared" si="149"/>
        <v>140</v>
      </c>
      <c r="M2390" s="9">
        <f t="shared" si="150"/>
        <v>120.10000000000002</v>
      </c>
      <c r="N2390" t="str">
        <f t="shared" si="151"/>
        <v>Jul</v>
      </c>
    </row>
    <row r="2391" spans="1:14" x14ac:dyDescent="0.3">
      <c r="A2391" s="2" t="s">
        <v>2457</v>
      </c>
      <c r="B2391" s="6">
        <v>45862</v>
      </c>
      <c r="C2391" s="2" t="s">
        <v>44</v>
      </c>
      <c r="D2391" s="2" t="s">
        <v>68</v>
      </c>
      <c r="E2391" s="2">
        <v>1</v>
      </c>
      <c r="F2391" s="7">
        <v>249</v>
      </c>
      <c r="G2391" s="8">
        <v>0.1</v>
      </c>
      <c r="H2391" s="9" t="str">
        <f>INDEX(Products!$B$2:$B$37, MATCH(D2391, Products!$A$2:$A$37, 0))</f>
        <v>Bluetooth Speaker Mini</v>
      </c>
      <c r="I2391" t="str">
        <f>INDEX(Products!$C$2:$C$37, MATCH(D2391, Products!$A$2:$A$37, 0))</f>
        <v>Electronics</v>
      </c>
      <c r="J2391">
        <f>INDEX(Products!$E$2:$E$37, MATCH(D2391, Products!$A$2:$A$37, 0))</f>
        <v>150</v>
      </c>
      <c r="K2391" s="9">
        <f t="shared" si="148"/>
        <v>224.1</v>
      </c>
      <c r="L2391">
        <f t="shared" si="149"/>
        <v>150</v>
      </c>
      <c r="M2391" s="9">
        <f t="shared" si="150"/>
        <v>74.099999999999994</v>
      </c>
      <c r="N2391" t="str">
        <f t="shared" si="151"/>
        <v>Jul</v>
      </c>
    </row>
    <row r="2392" spans="1:14" x14ac:dyDescent="0.3">
      <c r="A2392" s="2" t="s">
        <v>2458</v>
      </c>
      <c r="B2392" s="6">
        <v>45862</v>
      </c>
      <c r="C2392" s="2" t="s">
        <v>41</v>
      </c>
      <c r="D2392" s="2" t="s">
        <v>35</v>
      </c>
      <c r="E2392" s="2">
        <v>1</v>
      </c>
      <c r="F2392" s="7">
        <v>179</v>
      </c>
      <c r="G2392" s="8">
        <v>0.15</v>
      </c>
      <c r="H2392" s="9" t="str">
        <f>INDEX(Products!$B$2:$B$37, MATCH(D2392, Products!$A$2:$A$37, 0))</f>
        <v>Men's Linen Shirt</v>
      </c>
      <c r="I2392" t="str">
        <f>INDEX(Products!$C$2:$C$37, MATCH(D2392, Products!$A$2:$A$37, 0))</f>
        <v>Fashion</v>
      </c>
      <c r="J2392">
        <f>INDEX(Products!$E$2:$E$37, MATCH(D2392, Products!$A$2:$A$37, 0))</f>
        <v>70</v>
      </c>
      <c r="K2392" s="9">
        <f t="shared" si="148"/>
        <v>152.15</v>
      </c>
      <c r="L2392">
        <f t="shared" si="149"/>
        <v>70</v>
      </c>
      <c r="M2392" s="9">
        <f t="shared" si="150"/>
        <v>82.15</v>
      </c>
      <c r="N2392" t="str">
        <f t="shared" si="151"/>
        <v>Jul</v>
      </c>
    </row>
    <row r="2393" spans="1:14" x14ac:dyDescent="0.3">
      <c r="A2393" s="2" t="s">
        <v>2459</v>
      </c>
      <c r="B2393" s="6">
        <v>45862</v>
      </c>
      <c r="C2393" s="2" t="s">
        <v>44</v>
      </c>
      <c r="D2393" s="2" t="s">
        <v>165</v>
      </c>
      <c r="E2393" s="2">
        <v>1</v>
      </c>
      <c r="F2393" s="7">
        <v>69</v>
      </c>
      <c r="G2393" s="8">
        <v>0</v>
      </c>
      <c r="H2393" s="9" t="str">
        <f>INDEX(Products!$B$2:$B$37, MATCH(D2393, Products!$A$2:$A$37, 0))</f>
        <v>Swim Goggles</v>
      </c>
      <c r="I2393" t="str">
        <f>INDEX(Products!$C$2:$C$37, MATCH(D2393, Products!$A$2:$A$37, 0))</f>
        <v>Sports</v>
      </c>
      <c r="J2393">
        <f>INDEX(Products!$E$2:$E$37, MATCH(D2393, Products!$A$2:$A$37, 0))</f>
        <v>25</v>
      </c>
      <c r="K2393" s="9">
        <f t="shared" si="148"/>
        <v>69</v>
      </c>
      <c r="L2393">
        <f t="shared" si="149"/>
        <v>25</v>
      </c>
      <c r="M2393" s="9">
        <f t="shared" si="150"/>
        <v>44</v>
      </c>
      <c r="N2393" t="str">
        <f t="shared" si="151"/>
        <v>Jul</v>
      </c>
    </row>
    <row r="2394" spans="1:14" x14ac:dyDescent="0.3">
      <c r="A2394" s="2" t="s">
        <v>2460</v>
      </c>
      <c r="B2394" s="6">
        <v>45862</v>
      </c>
      <c r="C2394" s="2" t="s">
        <v>44</v>
      </c>
      <c r="D2394" s="2" t="s">
        <v>129</v>
      </c>
      <c r="E2394" s="2">
        <v>1</v>
      </c>
      <c r="F2394" s="7">
        <v>149</v>
      </c>
      <c r="G2394" s="8">
        <v>0</v>
      </c>
      <c r="H2394" s="9" t="str">
        <f>INDEX(Products!$B$2:$B$37, MATCH(D2394, Products!$A$2:$A$37, 0))</f>
        <v>Power Bank 20000mAh</v>
      </c>
      <c r="I2394" t="str">
        <f>INDEX(Products!$C$2:$C$37, MATCH(D2394, Products!$A$2:$A$37, 0))</f>
        <v>Electronics</v>
      </c>
      <c r="J2394">
        <f>INDEX(Products!$E$2:$E$37, MATCH(D2394, Products!$A$2:$A$37, 0))</f>
        <v>70</v>
      </c>
      <c r="K2394" s="9">
        <f t="shared" si="148"/>
        <v>149</v>
      </c>
      <c r="L2394">
        <f t="shared" si="149"/>
        <v>70</v>
      </c>
      <c r="M2394" s="9">
        <f t="shared" si="150"/>
        <v>79</v>
      </c>
      <c r="N2394" t="str">
        <f t="shared" si="151"/>
        <v>Jul</v>
      </c>
    </row>
    <row r="2395" spans="1:14" x14ac:dyDescent="0.3">
      <c r="A2395" s="2" t="s">
        <v>2461</v>
      </c>
      <c r="B2395" s="6">
        <v>45862</v>
      </c>
      <c r="C2395" s="2" t="s">
        <v>44</v>
      </c>
      <c r="D2395" s="2" t="s">
        <v>65</v>
      </c>
      <c r="E2395" s="2">
        <v>4</v>
      </c>
      <c r="F2395" s="7">
        <v>129</v>
      </c>
      <c r="G2395" s="8">
        <v>0.05</v>
      </c>
      <c r="H2395" s="9" t="str">
        <f>INDEX(Products!$B$2:$B$37, MATCH(D2395, Products!$A$2:$A$37, 0))</f>
        <v>Yoga Mat Premium</v>
      </c>
      <c r="I2395" t="str">
        <f>INDEX(Products!$C$2:$C$37, MATCH(D2395, Products!$A$2:$A$37, 0))</f>
        <v>Sports</v>
      </c>
      <c r="J2395">
        <f>INDEX(Products!$E$2:$E$37, MATCH(D2395, Products!$A$2:$A$37, 0))</f>
        <v>60</v>
      </c>
      <c r="K2395" s="9">
        <f t="shared" si="148"/>
        <v>490.2</v>
      </c>
      <c r="L2395">
        <f t="shared" si="149"/>
        <v>240</v>
      </c>
      <c r="M2395" s="9">
        <f t="shared" si="150"/>
        <v>250.2</v>
      </c>
      <c r="N2395" t="str">
        <f t="shared" si="151"/>
        <v>Jul</v>
      </c>
    </row>
    <row r="2396" spans="1:14" x14ac:dyDescent="0.3">
      <c r="A2396" s="2" t="s">
        <v>2462</v>
      </c>
      <c r="B2396" s="6">
        <v>45862</v>
      </c>
      <c r="C2396" s="2" t="s">
        <v>41</v>
      </c>
      <c r="D2396" s="2" t="s">
        <v>95</v>
      </c>
      <c r="E2396" s="2">
        <v>1</v>
      </c>
      <c r="F2396" s="7">
        <v>259</v>
      </c>
      <c r="G2396" s="8">
        <v>0</v>
      </c>
      <c r="H2396" s="9" t="str">
        <f>INDEX(Products!$B$2:$B$37, MATCH(D2396, Products!$A$2:$A$37, 0))</f>
        <v>Bed Linen Set (King)</v>
      </c>
      <c r="I2396" t="str">
        <f>INDEX(Products!$C$2:$C$37, MATCH(D2396, Products!$A$2:$A$37, 0))</f>
        <v>Home &amp; Kitchen</v>
      </c>
      <c r="J2396">
        <f>INDEX(Products!$E$2:$E$37, MATCH(D2396, Products!$A$2:$A$37, 0))</f>
        <v>115</v>
      </c>
      <c r="K2396" s="9">
        <f t="shared" si="148"/>
        <v>259</v>
      </c>
      <c r="L2396">
        <f t="shared" si="149"/>
        <v>115</v>
      </c>
      <c r="M2396" s="9">
        <f t="shared" si="150"/>
        <v>144</v>
      </c>
      <c r="N2396" t="str">
        <f t="shared" si="151"/>
        <v>Jul</v>
      </c>
    </row>
    <row r="2397" spans="1:14" x14ac:dyDescent="0.3">
      <c r="A2397" s="2" t="s">
        <v>2463</v>
      </c>
      <c r="B2397" s="6">
        <v>45862</v>
      </c>
      <c r="C2397" s="2" t="s">
        <v>41</v>
      </c>
      <c r="D2397" s="2" t="s">
        <v>129</v>
      </c>
      <c r="E2397" s="2">
        <v>2</v>
      </c>
      <c r="F2397" s="7">
        <v>149</v>
      </c>
      <c r="G2397" s="8">
        <v>0</v>
      </c>
      <c r="H2397" s="9" t="str">
        <f>INDEX(Products!$B$2:$B$37, MATCH(D2397, Products!$A$2:$A$37, 0))</f>
        <v>Power Bank 20000mAh</v>
      </c>
      <c r="I2397" t="str">
        <f>INDEX(Products!$C$2:$C$37, MATCH(D2397, Products!$A$2:$A$37, 0))</f>
        <v>Electronics</v>
      </c>
      <c r="J2397">
        <f>INDEX(Products!$E$2:$E$37, MATCH(D2397, Products!$A$2:$A$37, 0))</f>
        <v>70</v>
      </c>
      <c r="K2397" s="9">
        <f t="shared" si="148"/>
        <v>298</v>
      </c>
      <c r="L2397">
        <f t="shared" si="149"/>
        <v>140</v>
      </c>
      <c r="M2397" s="9">
        <f t="shared" si="150"/>
        <v>158</v>
      </c>
      <c r="N2397" t="str">
        <f t="shared" si="151"/>
        <v>Jul</v>
      </c>
    </row>
    <row r="2398" spans="1:14" x14ac:dyDescent="0.3">
      <c r="A2398" s="2" t="s">
        <v>2464</v>
      </c>
      <c r="B2398" s="6">
        <v>45863</v>
      </c>
      <c r="C2398" s="2" t="s">
        <v>48</v>
      </c>
      <c r="D2398" s="2" t="s">
        <v>52</v>
      </c>
      <c r="E2398" s="2">
        <v>1</v>
      </c>
      <c r="F2398" s="7">
        <v>299</v>
      </c>
      <c r="G2398" s="8">
        <v>0.25</v>
      </c>
      <c r="H2398" s="9" t="str">
        <f>INDEX(Products!$B$2:$B$37, MATCH(D2398, Products!$A$2:$A$37, 0))</f>
        <v>Hair Dryer Ionic</v>
      </c>
      <c r="I2398" t="str">
        <f>INDEX(Products!$C$2:$C$37, MATCH(D2398, Products!$A$2:$A$37, 0))</f>
        <v>Beauty</v>
      </c>
      <c r="J2398">
        <f>INDEX(Products!$E$2:$E$37, MATCH(D2398, Products!$A$2:$A$37, 0))</f>
        <v>240</v>
      </c>
      <c r="K2398" s="9">
        <f t="shared" si="148"/>
        <v>224.25</v>
      </c>
      <c r="L2398">
        <f t="shared" si="149"/>
        <v>240</v>
      </c>
      <c r="M2398" s="9">
        <f t="shared" si="150"/>
        <v>-15.75</v>
      </c>
      <c r="N2398" t="str">
        <f t="shared" si="151"/>
        <v>Jul</v>
      </c>
    </row>
    <row r="2399" spans="1:14" x14ac:dyDescent="0.3">
      <c r="A2399" s="2" t="s">
        <v>2465</v>
      </c>
      <c r="B2399" s="6">
        <v>45863</v>
      </c>
      <c r="C2399" s="2" t="s">
        <v>44</v>
      </c>
      <c r="D2399" s="2" t="s">
        <v>129</v>
      </c>
      <c r="E2399" s="2">
        <v>1</v>
      </c>
      <c r="F2399" s="7">
        <v>149</v>
      </c>
      <c r="G2399" s="8">
        <v>0</v>
      </c>
      <c r="H2399" s="9" t="str">
        <f>INDEX(Products!$B$2:$B$37, MATCH(D2399, Products!$A$2:$A$37, 0))</f>
        <v>Power Bank 20000mAh</v>
      </c>
      <c r="I2399" t="str">
        <f>INDEX(Products!$C$2:$C$37, MATCH(D2399, Products!$A$2:$A$37, 0))</f>
        <v>Electronics</v>
      </c>
      <c r="J2399">
        <f>INDEX(Products!$E$2:$E$37, MATCH(D2399, Products!$A$2:$A$37, 0))</f>
        <v>70</v>
      </c>
      <c r="K2399" s="9">
        <f t="shared" si="148"/>
        <v>149</v>
      </c>
      <c r="L2399">
        <f t="shared" si="149"/>
        <v>70</v>
      </c>
      <c r="M2399" s="9">
        <f t="shared" si="150"/>
        <v>79</v>
      </c>
      <c r="N2399" t="str">
        <f t="shared" si="151"/>
        <v>Jul</v>
      </c>
    </row>
    <row r="2400" spans="1:14" x14ac:dyDescent="0.3">
      <c r="A2400" s="2" t="s">
        <v>2466</v>
      </c>
      <c r="B2400" s="6">
        <v>45863</v>
      </c>
      <c r="C2400" s="2" t="s">
        <v>31</v>
      </c>
      <c r="D2400" s="2" t="s">
        <v>37</v>
      </c>
      <c r="E2400" s="2">
        <v>1</v>
      </c>
      <c r="F2400" s="7">
        <v>249</v>
      </c>
      <c r="G2400" s="8">
        <v>0.15</v>
      </c>
      <c r="H2400" s="9" t="str">
        <f>INDEX(Products!$B$2:$B$37, MATCH(D2400, Products!$A$2:$A$37, 0))</f>
        <v>Sunglasses Polarised</v>
      </c>
      <c r="I2400" t="str">
        <f>INDEX(Products!$C$2:$C$37, MATCH(D2400, Products!$A$2:$A$37, 0))</f>
        <v>Fashion</v>
      </c>
      <c r="J2400">
        <f>INDEX(Products!$E$2:$E$37, MATCH(D2400, Products!$A$2:$A$37, 0))</f>
        <v>95</v>
      </c>
      <c r="K2400" s="9">
        <f t="shared" si="148"/>
        <v>211.65</v>
      </c>
      <c r="L2400">
        <f t="shared" si="149"/>
        <v>95</v>
      </c>
      <c r="M2400" s="9">
        <f t="shared" si="150"/>
        <v>116.65</v>
      </c>
      <c r="N2400" t="str">
        <f t="shared" si="151"/>
        <v>Jul</v>
      </c>
    </row>
    <row r="2401" spans="1:14" x14ac:dyDescent="0.3">
      <c r="A2401" s="2" t="s">
        <v>2467</v>
      </c>
      <c r="B2401" s="6">
        <v>45863</v>
      </c>
      <c r="C2401" s="2" t="s">
        <v>41</v>
      </c>
      <c r="D2401" s="2" t="s">
        <v>194</v>
      </c>
      <c r="E2401" s="2">
        <v>2</v>
      </c>
      <c r="F2401" s="7">
        <v>699</v>
      </c>
      <c r="G2401" s="8">
        <v>0.05</v>
      </c>
      <c r="H2401" s="9" t="str">
        <f>INDEX(Products!$B$2:$B$37, MATCH(D2401, Products!$A$2:$A$37, 0))</f>
        <v>Leather Handbag</v>
      </c>
      <c r="I2401" t="str">
        <f>INDEX(Products!$C$2:$C$37, MATCH(D2401, Products!$A$2:$A$37, 0))</f>
        <v>Fashion</v>
      </c>
      <c r="J2401">
        <f>INDEX(Products!$E$2:$E$37, MATCH(D2401, Products!$A$2:$A$37, 0))</f>
        <v>380</v>
      </c>
      <c r="K2401" s="9">
        <f t="shared" si="148"/>
        <v>1328.1</v>
      </c>
      <c r="L2401">
        <f t="shared" si="149"/>
        <v>760</v>
      </c>
      <c r="M2401" s="9">
        <f t="shared" si="150"/>
        <v>568.09999999999991</v>
      </c>
      <c r="N2401" t="str">
        <f t="shared" si="151"/>
        <v>Jul</v>
      </c>
    </row>
    <row r="2402" spans="1:14" x14ac:dyDescent="0.3">
      <c r="A2402" s="2" t="s">
        <v>2468</v>
      </c>
      <c r="B2402" s="6">
        <v>45863</v>
      </c>
      <c r="C2402" s="2" t="s">
        <v>28</v>
      </c>
      <c r="D2402" s="2" t="s">
        <v>33</v>
      </c>
      <c r="E2402" s="2">
        <v>1</v>
      </c>
      <c r="F2402" s="7">
        <v>199</v>
      </c>
      <c r="G2402" s="8">
        <v>0.25</v>
      </c>
      <c r="H2402" s="9" t="str">
        <f>INDEX(Products!$B$2:$B$37, MATCH(D2402, Products!$A$2:$A$37, 0))</f>
        <v>Fitness Band Lite</v>
      </c>
      <c r="I2402" t="str">
        <f>INDEX(Products!$C$2:$C$37, MATCH(D2402, Products!$A$2:$A$37, 0))</f>
        <v>Electronics</v>
      </c>
      <c r="J2402">
        <f>INDEX(Products!$E$2:$E$37, MATCH(D2402, Products!$A$2:$A$37, 0))</f>
        <v>175</v>
      </c>
      <c r="K2402" s="9">
        <f t="shared" si="148"/>
        <v>149.25</v>
      </c>
      <c r="L2402">
        <f t="shared" si="149"/>
        <v>175</v>
      </c>
      <c r="M2402" s="9">
        <f t="shared" si="150"/>
        <v>-25.75</v>
      </c>
      <c r="N2402" t="str">
        <f t="shared" si="151"/>
        <v>Jul</v>
      </c>
    </row>
    <row r="2403" spans="1:14" x14ac:dyDescent="0.3">
      <c r="A2403" s="2" t="s">
        <v>2469</v>
      </c>
      <c r="B2403" s="6">
        <v>45863</v>
      </c>
      <c r="C2403" s="2" t="s">
        <v>41</v>
      </c>
      <c r="D2403" s="2" t="s">
        <v>149</v>
      </c>
      <c r="E2403" s="2">
        <v>3</v>
      </c>
      <c r="F2403" s="7">
        <v>399</v>
      </c>
      <c r="G2403" s="8">
        <v>0</v>
      </c>
      <c r="H2403" s="9" t="str">
        <f>INDEX(Products!$B$2:$B$37, MATCH(D2403, Products!$A$2:$A$37, 0))</f>
        <v>Blender Pro 1200W</v>
      </c>
      <c r="I2403" t="str">
        <f>INDEX(Products!$C$2:$C$37, MATCH(D2403, Products!$A$2:$A$37, 0))</f>
        <v>Home &amp; Kitchen</v>
      </c>
      <c r="J2403">
        <f>INDEX(Products!$E$2:$E$37, MATCH(D2403, Products!$A$2:$A$37, 0))</f>
        <v>250</v>
      </c>
      <c r="K2403" s="9">
        <f t="shared" si="148"/>
        <v>1197</v>
      </c>
      <c r="L2403">
        <f t="shared" si="149"/>
        <v>750</v>
      </c>
      <c r="M2403" s="9">
        <f t="shared" si="150"/>
        <v>447</v>
      </c>
      <c r="N2403" t="str">
        <f t="shared" si="151"/>
        <v>Jul</v>
      </c>
    </row>
    <row r="2404" spans="1:14" x14ac:dyDescent="0.3">
      <c r="A2404" s="2" t="s">
        <v>2470</v>
      </c>
      <c r="B2404" s="6">
        <v>45863</v>
      </c>
      <c r="C2404" s="2" t="s">
        <v>44</v>
      </c>
      <c r="D2404" s="2" t="s">
        <v>33</v>
      </c>
      <c r="E2404" s="2">
        <v>3</v>
      </c>
      <c r="F2404" s="7">
        <v>199</v>
      </c>
      <c r="G2404" s="8">
        <v>0.2</v>
      </c>
      <c r="H2404" s="9" t="str">
        <f>INDEX(Products!$B$2:$B$37, MATCH(D2404, Products!$A$2:$A$37, 0))</f>
        <v>Fitness Band Lite</v>
      </c>
      <c r="I2404" t="str">
        <f>INDEX(Products!$C$2:$C$37, MATCH(D2404, Products!$A$2:$A$37, 0))</f>
        <v>Electronics</v>
      </c>
      <c r="J2404">
        <f>INDEX(Products!$E$2:$E$37, MATCH(D2404, Products!$A$2:$A$37, 0))</f>
        <v>175</v>
      </c>
      <c r="K2404" s="9">
        <f t="shared" si="148"/>
        <v>477.6</v>
      </c>
      <c r="L2404">
        <f t="shared" si="149"/>
        <v>525</v>
      </c>
      <c r="M2404" s="9">
        <f t="shared" si="150"/>
        <v>-47.399999999999977</v>
      </c>
      <c r="N2404" t="str">
        <f t="shared" si="151"/>
        <v>Jul</v>
      </c>
    </row>
    <row r="2405" spans="1:14" x14ac:dyDescent="0.3">
      <c r="A2405" s="2" t="s">
        <v>2471</v>
      </c>
      <c r="B2405" s="6">
        <v>45863</v>
      </c>
      <c r="C2405" s="2" t="s">
        <v>44</v>
      </c>
      <c r="D2405" s="2" t="s">
        <v>52</v>
      </c>
      <c r="E2405" s="2">
        <v>2</v>
      </c>
      <c r="F2405" s="7">
        <v>299</v>
      </c>
      <c r="G2405" s="8">
        <v>0.2</v>
      </c>
      <c r="H2405" s="9" t="str">
        <f>INDEX(Products!$B$2:$B$37, MATCH(D2405, Products!$A$2:$A$37, 0))</f>
        <v>Hair Dryer Ionic</v>
      </c>
      <c r="I2405" t="str">
        <f>INDEX(Products!$C$2:$C$37, MATCH(D2405, Products!$A$2:$A$37, 0))</f>
        <v>Beauty</v>
      </c>
      <c r="J2405">
        <f>INDEX(Products!$E$2:$E$37, MATCH(D2405, Products!$A$2:$A$37, 0))</f>
        <v>240</v>
      </c>
      <c r="K2405" s="9">
        <f t="shared" si="148"/>
        <v>478.40000000000003</v>
      </c>
      <c r="L2405">
        <f t="shared" si="149"/>
        <v>480</v>
      </c>
      <c r="M2405" s="9">
        <f t="shared" si="150"/>
        <v>-1.5999999999999659</v>
      </c>
      <c r="N2405" t="str">
        <f t="shared" si="151"/>
        <v>Jul</v>
      </c>
    </row>
    <row r="2406" spans="1:14" x14ac:dyDescent="0.3">
      <c r="A2406" s="2" t="s">
        <v>2472</v>
      </c>
      <c r="B2406" s="6">
        <v>45864</v>
      </c>
      <c r="C2406" s="2" t="s">
        <v>41</v>
      </c>
      <c r="D2406" s="2" t="s">
        <v>37</v>
      </c>
      <c r="E2406" s="2">
        <v>1</v>
      </c>
      <c r="F2406" s="7">
        <v>249</v>
      </c>
      <c r="G2406" s="8">
        <v>0.05</v>
      </c>
      <c r="H2406" s="9" t="str">
        <f>INDEX(Products!$B$2:$B$37, MATCH(D2406, Products!$A$2:$A$37, 0))</f>
        <v>Sunglasses Polarised</v>
      </c>
      <c r="I2406" t="str">
        <f>INDEX(Products!$C$2:$C$37, MATCH(D2406, Products!$A$2:$A$37, 0))</f>
        <v>Fashion</v>
      </c>
      <c r="J2406">
        <f>INDEX(Products!$E$2:$E$37, MATCH(D2406, Products!$A$2:$A$37, 0))</f>
        <v>95</v>
      </c>
      <c r="K2406" s="9">
        <f t="shared" si="148"/>
        <v>236.54999999999998</v>
      </c>
      <c r="L2406">
        <f t="shared" si="149"/>
        <v>95</v>
      </c>
      <c r="M2406" s="9">
        <f t="shared" si="150"/>
        <v>141.54999999999998</v>
      </c>
      <c r="N2406" t="str">
        <f t="shared" si="151"/>
        <v>Jul</v>
      </c>
    </row>
    <row r="2407" spans="1:14" x14ac:dyDescent="0.3">
      <c r="A2407" s="2" t="s">
        <v>2473</v>
      </c>
      <c r="B2407" s="6">
        <v>45864</v>
      </c>
      <c r="C2407" s="2" t="s">
        <v>31</v>
      </c>
      <c r="D2407" s="2" t="s">
        <v>60</v>
      </c>
      <c r="E2407" s="2">
        <v>1</v>
      </c>
      <c r="F2407" s="7">
        <v>99</v>
      </c>
      <c r="G2407" s="8">
        <v>0</v>
      </c>
      <c r="H2407" s="9" t="str">
        <f>INDEX(Products!$B$2:$B$37, MATCH(D2407, Products!$A$2:$A$37, 0))</f>
        <v>Football Size 5</v>
      </c>
      <c r="I2407" t="str">
        <f>INDEX(Products!$C$2:$C$37, MATCH(D2407, Products!$A$2:$A$37, 0))</f>
        <v>Sports</v>
      </c>
      <c r="J2407">
        <f>INDEX(Products!$E$2:$E$37, MATCH(D2407, Products!$A$2:$A$37, 0))</f>
        <v>45</v>
      </c>
      <c r="K2407" s="9">
        <f t="shared" si="148"/>
        <v>99</v>
      </c>
      <c r="L2407">
        <f t="shared" si="149"/>
        <v>45</v>
      </c>
      <c r="M2407" s="9">
        <f t="shared" si="150"/>
        <v>54</v>
      </c>
      <c r="N2407" t="str">
        <f t="shared" si="151"/>
        <v>Jul</v>
      </c>
    </row>
    <row r="2408" spans="1:14" x14ac:dyDescent="0.3">
      <c r="A2408" s="2" t="s">
        <v>2474</v>
      </c>
      <c r="B2408" s="6">
        <v>45864</v>
      </c>
      <c r="C2408" s="2" t="s">
        <v>31</v>
      </c>
      <c r="D2408" s="2" t="s">
        <v>70</v>
      </c>
      <c r="E2408" s="2">
        <v>4</v>
      </c>
      <c r="F2408" s="7">
        <v>429</v>
      </c>
      <c r="G2408" s="8">
        <v>0.05</v>
      </c>
      <c r="H2408" s="9" t="str">
        <f>INDEX(Products!$B$2:$B$37, MATCH(D2408, Products!$A$2:$A$37, 0))</f>
        <v>Running Shoes Elite</v>
      </c>
      <c r="I2408" t="str">
        <f>INDEX(Products!$C$2:$C$37, MATCH(D2408, Products!$A$2:$A$37, 0))</f>
        <v>Fashion</v>
      </c>
      <c r="J2408">
        <f>INDEX(Products!$E$2:$E$37, MATCH(D2408, Products!$A$2:$A$37, 0))</f>
        <v>300</v>
      </c>
      <c r="K2408" s="9">
        <f t="shared" si="148"/>
        <v>1630.1999999999998</v>
      </c>
      <c r="L2408">
        <f t="shared" si="149"/>
        <v>1200</v>
      </c>
      <c r="M2408" s="9">
        <f t="shared" si="150"/>
        <v>430.19999999999982</v>
      </c>
      <c r="N2408" t="str">
        <f t="shared" si="151"/>
        <v>Jul</v>
      </c>
    </row>
    <row r="2409" spans="1:14" x14ac:dyDescent="0.3">
      <c r="A2409" s="2" t="s">
        <v>2475</v>
      </c>
      <c r="B2409" s="6">
        <v>45864</v>
      </c>
      <c r="C2409" s="2" t="s">
        <v>28</v>
      </c>
      <c r="D2409" s="2" t="s">
        <v>129</v>
      </c>
      <c r="E2409" s="2">
        <v>1</v>
      </c>
      <c r="F2409" s="7">
        <v>149</v>
      </c>
      <c r="G2409" s="8">
        <v>0.1</v>
      </c>
      <c r="H2409" s="9" t="str">
        <f>INDEX(Products!$B$2:$B$37, MATCH(D2409, Products!$A$2:$A$37, 0))</f>
        <v>Power Bank 20000mAh</v>
      </c>
      <c r="I2409" t="str">
        <f>INDEX(Products!$C$2:$C$37, MATCH(D2409, Products!$A$2:$A$37, 0))</f>
        <v>Electronics</v>
      </c>
      <c r="J2409">
        <f>INDEX(Products!$E$2:$E$37, MATCH(D2409, Products!$A$2:$A$37, 0))</f>
        <v>70</v>
      </c>
      <c r="K2409" s="9">
        <f t="shared" si="148"/>
        <v>134.1</v>
      </c>
      <c r="L2409">
        <f t="shared" si="149"/>
        <v>70</v>
      </c>
      <c r="M2409" s="9">
        <f t="shared" si="150"/>
        <v>64.099999999999994</v>
      </c>
      <c r="N2409" t="str">
        <f t="shared" si="151"/>
        <v>Jul</v>
      </c>
    </row>
    <row r="2410" spans="1:14" x14ac:dyDescent="0.3">
      <c r="A2410" s="2" t="s">
        <v>2476</v>
      </c>
      <c r="B2410" s="6">
        <v>45864</v>
      </c>
      <c r="C2410" s="2" t="s">
        <v>48</v>
      </c>
      <c r="D2410" s="2" t="s">
        <v>126</v>
      </c>
      <c r="E2410" s="2">
        <v>1</v>
      </c>
      <c r="F2410" s="7">
        <v>89</v>
      </c>
      <c r="G2410" s="8">
        <v>0.15</v>
      </c>
      <c r="H2410" s="9" t="str">
        <f>INDEX(Products!$B$2:$B$37, MATCH(D2410, Products!$A$2:$A$37, 0))</f>
        <v>USB-C Fast Charger</v>
      </c>
      <c r="I2410" t="str">
        <f>INDEX(Products!$C$2:$C$37, MATCH(D2410, Products!$A$2:$A$37, 0))</f>
        <v>Electronics</v>
      </c>
      <c r="J2410">
        <f>INDEX(Products!$E$2:$E$37, MATCH(D2410, Products!$A$2:$A$37, 0))</f>
        <v>35</v>
      </c>
      <c r="K2410" s="9">
        <f t="shared" si="148"/>
        <v>75.649999999999991</v>
      </c>
      <c r="L2410">
        <f t="shared" si="149"/>
        <v>35</v>
      </c>
      <c r="M2410" s="9">
        <f t="shared" si="150"/>
        <v>40.649999999999991</v>
      </c>
      <c r="N2410" t="str">
        <f t="shared" si="151"/>
        <v>Jul</v>
      </c>
    </row>
    <row r="2411" spans="1:14" x14ac:dyDescent="0.3">
      <c r="A2411" s="2" t="s">
        <v>2477</v>
      </c>
      <c r="B2411" s="6">
        <v>45864</v>
      </c>
      <c r="C2411" s="2" t="s">
        <v>44</v>
      </c>
      <c r="D2411" s="2" t="s">
        <v>35</v>
      </c>
      <c r="E2411" s="2">
        <v>4</v>
      </c>
      <c r="F2411" s="7">
        <v>179</v>
      </c>
      <c r="G2411" s="8">
        <v>0</v>
      </c>
      <c r="H2411" s="9" t="str">
        <f>INDEX(Products!$B$2:$B$37, MATCH(D2411, Products!$A$2:$A$37, 0))</f>
        <v>Men's Linen Shirt</v>
      </c>
      <c r="I2411" t="str">
        <f>INDEX(Products!$C$2:$C$37, MATCH(D2411, Products!$A$2:$A$37, 0))</f>
        <v>Fashion</v>
      </c>
      <c r="J2411">
        <f>INDEX(Products!$E$2:$E$37, MATCH(D2411, Products!$A$2:$A$37, 0))</f>
        <v>70</v>
      </c>
      <c r="K2411" s="9">
        <f t="shared" si="148"/>
        <v>716</v>
      </c>
      <c r="L2411">
        <f t="shared" si="149"/>
        <v>280</v>
      </c>
      <c r="M2411" s="9">
        <f t="shared" si="150"/>
        <v>436</v>
      </c>
      <c r="N2411" t="str">
        <f t="shared" si="151"/>
        <v>Jul</v>
      </c>
    </row>
    <row r="2412" spans="1:14" x14ac:dyDescent="0.3">
      <c r="A2412" s="2" t="s">
        <v>2478</v>
      </c>
      <c r="B2412" s="6">
        <v>45864</v>
      </c>
      <c r="C2412" s="2" t="s">
        <v>28</v>
      </c>
      <c r="D2412" s="2" t="s">
        <v>29</v>
      </c>
      <c r="E2412" s="2">
        <v>1</v>
      </c>
      <c r="F2412" s="7">
        <v>229</v>
      </c>
      <c r="G2412" s="8">
        <v>0.15</v>
      </c>
      <c r="H2412" s="9" t="str">
        <f>INDEX(Products!$B$2:$B$37, MATCH(D2412, Products!$A$2:$A$37, 0))</f>
        <v>Women's Summer Dress</v>
      </c>
      <c r="I2412" t="str">
        <f>INDEX(Products!$C$2:$C$37, MATCH(D2412, Products!$A$2:$A$37, 0))</f>
        <v>Fashion</v>
      </c>
      <c r="J2412">
        <f>INDEX(Products!$E$2:$E$37, MATCH(D2412, Products!$A$2:$A$37, 0))</f>
        <v>120</v>
      </c>
      <c r="K2412" s="9">
        <f t="shared" si="148"/>
        <v>194.65</v>
      </c>
      <c r="L2412">
        <f t="shared" si="149"/>
        <v>120</v>
      </c>
      <c r="M2412" s="9">
        <f t="shared" si="150"/>
        <v>74.650000000000006</v>
      </c>
      <c r="N2412" t="str">
        <f t="shared" si="151"/>
        <v>Jul</v>
      </c>
    </row>
    <row r="2413" spans="1:14" x14ac:dyDescent="0.3">
      <c r="A2413" s="2" t="s">
        <v>2479</v>
      </c>
      <c r="B2413" s="6">
        <v>45864</v>
      </c>
      <c r="C2413" s="2" t="s">
        <v>28</v>
      </c>
      <c r="D2413" s="2" t="s">
        <v>37</v>
      </c>
      <c r="E2413" s="2">
        <v>1</v>
      </c>
      <c r="F2413" s="7">
        <v>249</v>
      </c>
      <c r="G2413" s="8">
        <v>0.05</v>
      </c>
      <c r="H2413" s="9" t="str">
        <f>INDEX(Products!$B$2:$B$37, MATCH(D2413, Products!$A$2:$A$37, 0))</f>
        <v>Sunglasses Polarised</v>
      </c>
      <c r="I2413" t="str">
        <f>INDEX(Products!$C$2:$C$37, MATCH(D2413, Products!$A$2:$A$37, 0))</f>
        <v>Fashion</v>
      </c>
      <c r="J2413">
        <f>INDEX(Products!$E$2:$E$37, MATCH(D2413, Products!$A$2:$A$37, 0))</f>
        <v>95</v>
      </c>
      <c r="K2413" s="9">
        <f t="shared" si="148"/>
        <v>236.54999999999998</v>
      </c>
      <c r="L2413">
        <f t="shared" si="149"/>
        <v>95</v>
      </c>
      <c r="M2413" s="9">
        <f t="shared" si="150"/>
        <v>141.54999999999998</v>
      </c>
      <c r="N2413" t="str">
        <f t="shared" si="151"/>
        <v>Jul</v>
      </c>
    </row>
    <row r="2414" spans="1:14" x14ac:dyDescent="0.3">
      <c r="A2414" s="2" t="s">
        <v>2480</v>
      </c>
      <c r="B2414" s="6">
        <v>45864</v>
      </c>
      <c r="C2414" s="2" t="s">
        <v>28</v>
      </c>
      <c r="D2414" s="2" t="s">
        <v>129</v>
      </c>
      <c r="E2414" s="2">
        <v>1</v>
      </c>
      <c r="F2414" s="7">
        <v>149</v>
      </c>
      <c r="G2414" s="8">
        <v>0.05</v>
      </c>
      <c r="H2414" s="9" t="str">
        <f>INDEX(Products!$B$2:$B$37, MATCH(D2414, Products!$A$2:$A$37, 0))</f>
        <v>Power Bank 20000mAh</v>
      </c>
      <c r="I2414" t="str">
        <f>INDEX(Products!$C$2:$C$37, MATCH(D2414, Products!$A$2:$A$37, 0))</f>
        <v>Electronics</v>
      </c>
      <c r="J2414">
        <f>INDEX(Products!$E$2:$E$37, MATCH(D2414, Products!$A$2:$A$37, 0))</f>
        <v>70</v>
      </c>
      <c r="K2414" s="9">
        <f t="shared" si="148"/>
        <v>141.54999999999998</v>
      </c>
      <c r="L2414">
        <f t="shared" si="149"/>
        <v>70</v>
      </c>
      <c r="M2414" s="9">
        <f t="shared" si="150"/>
        <v>71.549999999999983</v>
      </c>
      <c r="N2414" t="str">
        <f t="shared" si="151"/>
        <v>Jul</v>
      </c>
    </row>
    <row r="2415" spans="1:14" x14ac:dyDescent="0.3">
      <c r="A2415" s="2" t="s">
        <v>2481</v>
      </c>
      <c r="B2415" s="6">
        <v>45865</v>
      </c>
      <c r="C2415" s="2" t="s">
        <v>44</v>
      </c>
      <c r="D2415" s="2" t="s">
        <v>35</v>
      </c>
      <c r="E2415" s="2">
        <v>2</v>
      </c>
      <c r="F2415" s="7">
        <v>179</v>
      </c>
      <c r="G2415" s="8">
        <v>0</v>
      </c>
      <c r="H2415" s="9" t="str">
        <f>INDEX(Products!$B$2:$B$37, MATCH(D2415, Products!$A$2:$A$37, 0))</f>
        <v>Men's Linen Shirt</v>
      </c>
      <c r="I2415" t="str">
        <f>INDEX(Products!$C$2:$C$37, MATCH(D2415, Products!$A$2:$A$37, 0))</f>
        <v>Fashion</v>
      </c>
      <c r="J2415">
        <f>INDEX(Products!$E$2:$E$37, MATCH(D2415, Products!$A$2:$A$37, 0))</f>
        <v>70</v>
      </c>
      <c r="K2415" s="9">
        <f t="shared" si="148"/>
        <v>358</v>
      </c>
      <c r="L2415">
        <f t="shared" si="149"/>
        <v>140</v>
      </c>
      <c r="M2415" s="9">
        <f t="shared" si="150"/>
        <v>218</v>
      </c>
      <c r="N2415" t="str">
        <f t="shared" si="151"/>
        <v>Jul</v>
      </c>
    </row>
    <row r="2416" spans="1:14" x14ac:dyDescent="0.3">
      <c r="A2416" s="2" t="s">
        <v>2482</v>
      </c>
      <c r="B2416" s="6">
        <v>45865</v>
      </c>
      <c r="C2416" s="2" t="s">
        <v>28</v>
      </c>
      <c r="D2416" s="2" t="s">
        <v>131</v>
      </c>
      <c r="E2416" s="2">
        <v>1</v>
      </c>
      <c r="F2416" s="7">
        <v>899</v>
      </c>
      <c r="G2416" s="8">
        <v>0</v>
      </c>
      <c r="H2416" s="9" t="str">
        <f>INDEX(Products!$B$2:$B$37, MATCH(D2416, Products!$A$2:$A$37, 0))</f>
        <v>4K Action Camera</v>
      </c>
      <c r="I2416" t="str">
        <f>INDEX(Products!$C$2:$C$37, MATCH(D2416, Products!$A$2:$A$37, 0))</f>
        <v>Electronics</v>
      </c>
      <c r="J2416">
        <f>INDEX(Products!$E$2:$E$37, MATCH(D2416, Products!$A$2:$A$37, 0))</f>
        <v>610</v>
      </c>
      <c r="K2416" s="9">
        <f t="shared" si="148"/>
        <v>899</v>
      </c>
      <c r="L2416">
        <f t="shared" si="149"/>
        <v>610</v>
      </c>
      <c r="M2416" s="9">
        <f t="shared" si="150"/>
        <v>289</v>
      </c>
      <c r="N2416" t="str">
        <f t="shared" si="151"/>
        <v>Jul</v>
      </c>
    </row>
    <row r="2417" spans="1:14" x14ac:dyDescent="0.3">
      <c r="A2417" s="2" t="s">
        <v>2483</v>
      </c>
      <c r="B2417" s="6">
        <v>45865</v>
      </c>
      <c r="C2417" s="2" t="s">
        <v>28</v>
      </c>
      <c r="D2417" s="2" t="s">
        <v>80</v>
      </c>
      <c r="E2417" s="2">
        <v>1</v>
      </c>
      <c r="F2417" s="7">
        <v>149</v>
      </c>
      <c r="G2417" s="8">
        <v>0</v>
      </c>
      <c r="H2417" s="9" t="str">
        <f>INDEX(Products!$B$2:$B$37, MATCH(D2417, Products!$A$2:$A$37, 0))</f>
        <v>Vitamin C Serum</v>
      </c>
      <c r="I2417" t="str">
        <f>INDEX(Products!$C$2:$C$37, MATCH(D2417, Products!$A$2:$A$37, 0))</f>
        <v>Beauty</v>
      </c>
      <c r="J2417">
        <f>INDEX(Products!$E$2:$E$37, MATCH(D2417, Products!$A$2:$A$37, 0))</f>
        <v>55</v>
      </c>
      <c r="K2417" s="9">
        <f t="shared" si="148"/>
        <v>149</v>
      </c>
      <c r="L2417">
        <f t="shared" si="149"/>
        <v>55</v>
      </c>
      <c r="M2417" s="9">
        <f t="shared" si="150"/>
        <v>94</v>
      </c>
      <c r="N2417" t="str">
        <f t="shared" si="151"/>
        <v>Jul</v>
      </c>
    </row>
    <row r="2418" spans="1:14" x14ac:dyDescent="0.3">
      <c r="A2418" s="2" t="s">
        <v>2484</v>
      </c>
      <c r="B2418" s="6">
        <v>45865</v>
      </c>
      <c r="C2418" s="2" t="s">
        <v>48</v>
      </c>
      <c r="D2418" s="2" t="s">
        <v>39</v>
      </c>
      <c r="E2418" s="2">
        <v>2</v>
      </c>
      <c r="F2418" s="7">
        <v>199</v>
      </c>
      <c r="G2418" s="8">
        <v>0</v>
      </c>
      <c r="H2418" s="9" t="str">
        <f>INDEX(Products!$B$2:$B$37, MATCH(D2418, Products!$A$2:$A$37, 0))</f>
        <v>Bakhoor Gift Set</v>
      </c>
      <c r="I2418" t="str">
        <f>INDEX(Products!$C$2:$C$37, MATCH(D2418, Products!$A$2:$A$37, 0))</f>
        <v>Beauty</v>
      </c>
      <c r="J2418">
        <f>INDEX(Products!$E$2:$E$37, MATCH(D2418, Products!$A$2:$A$37, 0))</f>
        <v>90</v>
      </c>
      <c r="K2418" s="9">
        <f t="shared" si="148"/>
        <v>398</v>
      </c>
      <c r="L2418">
        <f t="shared" si="149"/>
        <v>180</v>
      </c>
      <c r="M2418" s="9">
        <f t="shared" si="150"/>
        <v>218</v>
      </c>
      <c r="N2418" t="str">
        <f t="shared" si="151"/>
        <v>Jul</v>
      </c>
    </row>
    <row r="2419" spans="1:14" x14ac:dyDescent="0.3">
      <c r="A2419" s="2" t="s">
        <v>2485</v>
      </c>
      <c r="B2419" s="6">
        <v>45865</v>
      </c>
      <c r="C2419" s="2" t="s">
        <v>48</v>
      </c>
      <c r="D2419" s="2" t="s">
        <v>46</v>
      </c>
      <c r="E2419" s="2">
        <v>1</v>
      </c>
      <c r="F2419" s="7">
        <v>189</v>
      </c>
      <c r="G2419" s="8">
        <v>0.05</v>
      </c>
      <c r="H2419" s="9" t="str">
        <f>INDEX(Products!$B$2:$B$37, MATCH(D2419, Products!$A$2:$A$37, 0))</f>
        <v>Makeup Palette</v>
      </c>
      <c r="I2419" t="str">
        <f>INDEX(Products!$C$2:$C$37, MATCH(D2419, Products!$A$2:$A$37, 0))</f>
        <v>Beauty</v>
      </c>
      <c r="J2419">
        <f>INDEX(Products!$E$2:$E$37, MATCH(D2419, Products!$A$2:$A$37, 0))</f>
        <v>85</v>
      </c>
      <c r="K2419" s="9">
        <f t="shared" si="148"/>
        <v>179.54999999999998</v>
      </c>
      <c r="L2419">
        <f t="shared" si="149"/>
        <v>85</v>
      </c>
      <c r="M2419" s="9">
        <f t="shared" si="150"/>
        <v>94.549999999999983</v>
      </c>
      <c r="N2419" t="str">
        <f t="shared" si="151"/>
        <v>Jul</v>
      </c>
    </row>
    <row r="2420" spans="1:14" x14ac:dyDescent="0.3">
      <c r="A2420" s="2" t="s">
        <v>2486</v>
      </c>
      <c r="B2420" s="6">
        <v>45865</v>
      </c>
      <c r="C2420" s="2" t="s">
        <v>28</v>
      </c>
      <c r="D2420" s="2" t="s">
        <v>49</v>
      </c>
      <c r="E2420" s="2">
        <v>2</v>
      </c>
      <c r="F2420" s="7">
        <v>149</v>
      </c>
      <c r="G2420" s="8">
        <v>0.1</v>
      </c>
      <c r="H2420" s="9" t="str">
        <f>INDEX(Products!$B$2:$B$37, MATCH(D2420, Products!$A$2:$A$37, 0))</f>
        <v>Kids' Sneakers</v>
      </c>
      <c r="I2420" t="str">
        <f>INDEX(Products!$C$2:$C$37, MATCH(D2420, Products!$A$2:$A$37, 0))</f>
        <v>Fashion</v>
      </c>
      <c r="J2420">
        <f>INDEX(Products!$E$2:$E$37, MATCH(D2420, Products!$A$2:$A$37, 0))</f>
        <v>80</v>
      </c>
      <c r="K2420" s="9">
        <f t="shared" si="148"/>
        <v>268.2</v>
      </c>
      <c r="L2420">
        <f t="shared" si="149"/>
        <v>160</v>
      </c>
      <c r="M2420" s="9">
        <f t="shared" si="150"/>
        <v>108.19999999999999</v>
      </c>
      <c r="N2420" t="str">
        <f t="shared" si="151"/>
        <v>Jul</v>
      </c>
    </row>
    <row r="2421" spans="1:14" x14ac:dyDescent="0.3">
      <c r="A2421" s="2" t="s">
        <v>2487</v>
      </c>
      <c r="B2421" s="6">
        <v>45865</v>
      </c>
      <c r="C2421" s="2" t="s">
        <v>31</v>
      </c>
      <c r="D2421" s="2" t="s">
        <v>115</v>
      </c>
      <c r="E2421" s="2">
        <v>1</v>
      </c>
      <c r="F2421" s="7">
        <v>129</v>
      </c>
      <c r="G2421" s="8">
        <v>0</v>
      </c>
      <c r="H2421" s="9" t="str">
        <f>INDEX(Products!$B$2:$B$37, MATCH(D2421, Products!$A$2:$A$37, 0))</f>
        <v>Electric Kettle</v>
      </c>
      <c r="I2421" t="str">
        <f>INDEX(Products!$C$2:$C$37, MATCH(D2421, Products!$A$2:$A$37, 0))</f>
        <v>Home &amp; Kitchen</v>
      </c>
      <c r="J2421">
        <f>INDEX(Products!$E$2:$E$37, MATCH(D2421, Products!$A$2:$A$37, 0))</f>
        <v>60</v>
      </c>
      <c r="K2421" s="9">
        <f t="shared" si="148"/>
        <v>129</v>
      </c>
      <c r="L2421">
        <f t="shared" si="149"/>
        <v>60</v>
      </c>
      <c r="M2421" s="9">
        <f t="shared" si="150"/>
        <v>69</v>
      </c>
      <c r="N2421" t="str">
        <f t="shared" si="151"/>
        <v>Jul</v>
      </c>
    </row>
    <row r="2422" spans="1:14" x14ac:dyDescent="0.3">
      <c r="A2422" s="2" t="s">
        <v>2488</v>
      </c>
      <c r="B2422" s="6">
        <v>45865</v>
      </c>
      <c r="C2422" s="2" t="s">
        <v>44</v>
      </c>
      <c r="D2422" s="2" t="s">
        <v>37</v>
      </c>
      <c r="E2422" s="2">
        <v>2</v>
      </c>
      <c r="F2422" s="7">
        <v>249</v>
      </c>
      <c r="G2422" s="8">
        <v>0</v>
      </c>
      <c r="H2422" s="9" t="str">
        <f>INDEX(Products!$B$2:$B$37, MATCH(D2422, Products!$A$2:$A$37, 0))</f>
        <v>Sunglasses Polarised</v>
      </c>
      <c r="I2422" t="str">
        <f>INDEX(Products!$C$2:$C$37, MATCH(D2422, Products!$A$2:$A$37, 0))</f>
        <v>Fashion</v>
      </c>
      <c r="J2422">
        <f>INDEX(Products!$E$2:$E$37, MATCH(D2422, Products!$A$2:$A$37, 0))</f>
        <v>95</v>
      </c>
      <c r="K2422" s="9">
        <f t="shared" si="148"/>
        <v>498</v>
      </c>
      <c r="L2422">
        <f t="shared" si="149"/>
        <v>190</v>
      </c>
      <c r="M2422" s="9">
        <f t="shared" si="150"/>
        <v>308</v>
      </c>
      <c r="N2422" t="str">
        <f t="shared" si="151"/>
        <v>Jul</v>
      </c>
    </row>
    <row r="2423" spans="1:14" x14ac:dyDescent="0.3">
      <c r="A2423" s="2" t="s">
        <v>2489</v>
      </c>
      <c r="B2423" s="6">
        <v>45865</v>
      </c>
      <c r="C2423" s="2" t="s">
        <v>41</v>
      </c>
      <c r="D2423" s="2" t="s">
        <v>56</v>
      </c>
      <c r="E2423" s="2">
        <v>1</v>
      </c>
      <c r="F2423" s="7">
        <v>289</v>
      </c>
      <c r="G2423" s="8">
        <v>0</v>
      </c>
      <c r="H2423" s="9" t="str">
        <f>INDEX(Products!$B$2:$B$37, MATCH(D2423, Products!$A$2:$A$37, 0))</f>
        <v>Ceramic Dinner Set</v>
      </c>
      <c r="I2423" t="str">
        <f>INDEX(Products!$C$2:$C$37, MATCH(D2423, Products!$A$2:$A$37, 0))</f>
        <v>Home &amp; Kitchen</v>
      </c>
      <c r="J2423">
        <f>INDEX(Products!$E$2:$E$37, MATCH(D2423, Products!$A$2:$A$37, 0))</f>
        <v>140</v>
      </c>
      <c r="K2423" s="9">
        <f t="shared" si="148"/>
        <v>289</v>
      </c>
      <c r="L2423">
        <f t="shared" si="149"/>
        <v>140</v>
      </c>
      <c r="M2423" s="9">
        <f t="shared" si="150"/>
        <v>149</v>
      </c>
      <c r="N2423" t="str">
        <f t="shared" si="151"/>
        <v>Jul</v>
      </c>
    </row>
    <row r="2424" spans="1:14" x14ac:dyDescent="0.3">
      <c r="A2424" s="2" t="s">
        <v>2490</v>
      </c>
      <c r="B2424" s="6">
        <v>45865</v>
      </c>
      <c r="C2424" s="2" t="s">
        <v>48</v>
      </c>
      <c r="D2424" s="2" t="s">
        <v>89</v>
      </c>
      <c r="E2424" s="2">
        <v>2</v>
      </c>
      <c r="F2424" s="7">
        <v>399</v>
      </c>
      <c r="G2424" s="8">
        <v>0.05</v>
      </c>
      <c r="H2424" s="9" t="str">
        <f>INDEX(Products!$B$2:$B$37, MATCH(D2424, Products!$A$2:$A$37, 0))</f>
        <v>Men's Kandura Premium</v>
      </c>
      <c r="I2424" t="str">
        <f>INDEX(Products!$C$2:$C$37, MATCH(D2424, Products!$A$2:$A$37, 0))</f>
        <v>Fashion</v>
      </c>
      <c r="J2424">
        <f>INDEX(Products!$E$2:$E$37, MATCH(D2424, Products!$A$2:$A$37, 0))</f>
        <v>210</v>
      </c>
      <c r="K2424" s="9">
        <f t="shared" si="148"/>
        <v>758.09999999999991</v>
      </c>
      <c r="L2424">
        <f t="shared" si="149"/>
        <v>420</v>
      </c>
      <c r="M2424" s="9">
        <f t="shared" si="150"/>
        <v>338.09999999999991</v>
      </c>
      <c r="N2424" t="str">
        <f t="shared" si="151"/>
        <v>Jul</v>
      </c>
    </row>
    <row r="2425" spans="1:14" x14ac:dyDescent="0.3">
      <c r="A2425" s="2" t="s">
        <v>2491</v>
      </c>
      <c r="B2425" s="6">
        <v>45865</v>
      </c>
      <c r="C2425" s="2" t="s">
        <v>28</v>
      </c>
      <c r="D2425" s="2" t="s">
        <v>33</v>
      </c>
      <c r="E2425" s="2">
        <v>1</v>
      </c>
      <c r="F2425" s="7">
        <v>199</v>
      </c>
      <c r="G2425" s="8">
        <v>0.15</v>
      </c>
      <c r="H2425" s="9" t="str">
        <f>INDEX(Products!$B$2:$B$37, MATCH(D2425, Products!$A$2:$A$37, 0))</f>
        <v>Fitness Band Lite</v>
      </c>
      <c r="I2425" t="str">
        <f>INDEX(Products!$C$2:$C$37, MATCH(D2425, Products!$A$2:$A$37, 0))</f>
        <v>Electronics</v>
      </c>
      <c r="J2425">
        <f>INDEX(Products!$E$2:$E$37, MATCH(D2425, Products!$A$2:$A$37, 0))</f>
        <v>175</v>
      </c>
      <c r="K2425" s="9">
        <f t="shared" si="148"/>
        <v>169.15</v>
      </c>
      <c r="L2425">
        <f t="shared" si="149"/>
        <v>175</v>
      </c>
      <c r="M2425" s="9">
        <f t="shared" si="150"/>
        <v>-5.8499999999999943</v>
      </c>
      <c r="N2425" t="str">
        <f t="shared" si="151"/>
        <v>Jul</v>
      </c>
    </row>
    <row r="2426" spans="1:14" x14ac:dyDescent="0.3">
      <c r="A2426" s="2" t="s">
        <v>2492</v>
      </c>
      <c r="B2426" s="6">
        <v>45865</v>
      </c>
      <c r="C2426" s="2" t="s">
        <v>28</v>
      </c>
      <c r="D2426" s="2" t="s">
        <v>46</v>
      </c>
      <c r="E2426" s="2">
        <v>1</v>
      </c>
      <c r="F2426" s="7">
        <v>189</v>
      </c>
      <c r="G2426" s="8">
        <v>0.2</v>
      </c>
      <c r="H2426" s="9" t="str">
        <f>INDEX(Products!$B$2:$B$37, MATCH(D2426, Products!$A$2:$A$37, 0))</f>
        <v>Makeup Palette</v>
      </c>
      <c r="I2426" t="str">
        <f>INDEX(Products!$C$2:$C$37, MATCH(D2426, Products!$A$2:$A$37, 0))</f>
        <v>Beauty</v>
      </c>
      <c r="J2426">
        <f>INDEX(Products!$E$2:$E$37, MATCH(D2426, Products!$A$2:$A$37, 0))</f>
        <v>85</v>
      </c>
      <c r="K2426" s="9">
        <f t="shared" si="148"/>
        <v>151.20000000000002</v>
      </c>
      <c r="L2426">
        <f t="shared" si="149"/>
        <v>85</v>
      </c>
      <c r="M2426" s="9">
        <f t="shared" si="150"/>
        <v>66.200000000000017</v>
      </c>
      <c r="N2426" t="str">
        <f t="shared" si="151"/>
        <v>Jul</v>
      </c>
    </row>
    <row r="2427" spans="1:14" x14ac:dyDescent="0.3">
      <c r="A2427" s="2" t="s">
        <v>2493</v>
      </c>
      <c r="B2427" s="6">
        <v>45865</v>
      </c>
      <c r="C2427" s="2" t="s">
        <v>31</v>
      </c>
      <c r="D2427" s="2" t="s">
        <v>92</v>
      </c>
      <c r="E2427" s="2">
        <v>3</v>
      </c>
      <c r="F2427" s="7">
        <v>349</v>
      </c>
      <c r="G2427" s="8">
        <v>0.05</v>
      </c>
      <c r="H2427" s="9" t="str">
        <f>INDEX(Products!$B$2:$B$37, MATCH(D2427, Products!$A$2:$A$37, 0))</f>
        <v>Non-stick Cookware Set</v>
      </c>
      <c r="I2427" t="str">
        <f>INDEX(Products!$C$2:$C$37, MATCH(D2427, Products!$A$2:$A$37, 0))</f>
        <v>Home &amp; Kitchen</v>
      </c>
      <c r="J2427">
        <f>INDEX(Products!$E$2:$E$37, MATCH(D2427, Products!$A$2:$A$37, 0))</f>
        <v>170</v>
      </c>
      <c r="K2427" s="9">
        <f t="shared" si="148"/>
        <v>994.65</v>
      </c>
      <c r="L2427">
        <f t="shared" si="149"/>
        <v>510</v>
      </c>
      <c r="M2427" s="9">
        <f t="shared" si="150"/>
        <v>484.65</v>
      </c>
      <c r="N2427" t="str">
        <f t="shared" si="151"/>
        <v>Jul</v>
      </c>
    </row>
    <row r="2428" spans="1:14" x14ac:dyDescent="0.3">
      <c r="A2428" s="2" t="s">
        <v>2494</v>
      </c>
      <c r="B2428" s="6">
        <v>45865</v>
      </c>
      <c r="C2428" s="2" t="s">
        <v>44</v>
      </c>
      <c r="D2428" s="2" t="s">
        <v>29</v>
      </c>
      <c r="E2428" s="2">
        <v>3</v>
      </c>
      <c r="F2428" s="7">
        <v>229</v>
      </c>
      <c r="G2428" s="8">
        <v>0</v>
      </c>
      <c r="H2428" s="9" t="str">
        <f>INDEX(Products!$B$2:$B$37, MATCH(D2428, Products!$A$2:$A$37, 0))</f>
        <v>Women's Summer Dress</v>
      </c>
      <c r="I2428" t="str">
        <f>INDEX(Products!$C$2:$C$37, MATCH(D2428, Products!$A$2:$A$37, 0))</f>
        <v>Fashion</v>
      </c>
      <c r="J2428">
        <f>INDEX(Products!$E$2:$E$37, MATCH(D2428, Products!$A$2:$A$37, 0))</f>
        <v>120</v>
      </c>
      <c r="K2428" s="9">
        <f t="shared" si="148"/>
        <v>687</v>
      </c>
      <c r="L2428">
        <f t="shared" si="149"/>
        <v>360</v>
      </c>
      <c r="M2428" s="9">
        <f t="shared" si="150"/>
        <v>327</v>
      </c>
      <c r="N2428" t="str">
        <f t="shared" si="151"/>
        <v>Jul</v>
      </c>
    </row>
    <row r="2429" spans="1:14" x14ac:dyDescent="0.3">
      <c r="A2429" s="2" t="s">
        <v>2495</v>
      </c>
      <c r="B2429" s="6">
        <v>45866</v>
      </c>
      <c r="C2429" s="2" t="s">
        <v>31</v>
      </c>
      <c r="D2429" s="2" t="s">
        <v>46</v>
      </c>
      <c r="E2429" s="2">
        <v>2</v>
      </c>
      <c r="F2429" s="7">
        <v>189</v>
      </c>
      <c r="G2429" s="8">
        <v>0</v>
      </c>
      <c r="H2429" s="9" t="str">
        <f>INDEX(Products!$B$2:$B$37, MATCH(D2429, Products!$A$2:$A$37, 0))</f>
        <v>Makeup Palette</v>
      </c>
      <c r="I2429" t="str">
        <f>INDEX(Products!$C$2:$C$37, MATCH(D2429, Products!$A$2:$A$37, 0))</f>
        <v>Beauty</v>
      </c>
      <c r="J2429">
        <f>INDEX(Products!$E$2:$E$37, MATCH(D2429, Products!$A$2:$A$37, 0))</f>
        <v>85</v>
      </c>
      <c r="K2429" s="9">
        <f t="shared" si="148"/>
        <v>378</v>
      </c>
      <c r="L2429">
        <f t="shared" si="149"/>
        <v>170</v>
      </c>
      <c r="M2429" s="9">
        <f t="shared" si="150"/>
        <v>208</v>
      </c>
      <c r="N2429" t="str">
        <f t="shared" si="151"/>
        <v>Jul</v>
      </c>
    </row>
    <row r="2430" spans="1:14" x14ac:dyDescent="0.3">
      <c r="A2430" s="2" t="s">
        <v>2496</v>
      </c>
      <c r="B2430" s="6">
        <v>45866</v>
      </c>
      <c r="C2430" s="2" t="s">
        <v>41</v>
      </c>
      <c r="D2430" s="2" t="s">
        <v>106</v>
      </c>
      <c r="E2430" s="2">
        <v>1</v>
      </c>
      <c r="F2430" s="7">
        <v>1299</v>
      </c>
      <c r="G2430" s="8">
        <v>0</v>
      </c>
      <c r="H2430" s="9" t="str">
        <f>INDEX(Products!$B$2:$B$37, MATCH(D2430, Products!$A$2:$A$37, 0))</f>
        <v>Smart Watch Series 5</v>
      </c>
      <c r="I2430" t="str">
        <f>INDEX(Products!$C$2:$C$37, MATCH(D2430, Products!$A$2:$A$37, 0))</f>
        <v>Electronics</v>
      </c>
      <c r="J2430">
        <f>INDEX(Products!$E$2:$E$37, MATCH(D2430, Products!$A$2:$A$37, 0))</f>
        <v>820</v>
      </c>
      <c r="K2430" s="9">
        <f t="shared" si="148"/>
        <v>1299</v>
      </c>
      <c r="L2430">
        <f t="shared" si="149"/>
        <v>820</v>
      </c>
      <c r="M2430" s="9">
        <f t="shared" si="150"/>
        <v>479</v>
      </c>
      <c r="N2430" t="str">
        <f t="shared" si="151"/>
        <v>Jul</v>
      </c>
    </row>
    <row r="2431" spans="1:14" x14ac:dyDescent="0.3">
      <c r="A2431" s="2" t="s">
        <v>2497</v>
      </c>
      <c r="B2431" s="6">
        <v>45866</v>
      </c>
      <c r="C2431" s="2" t="s">
        <v>48</v>
      </c>
      <c r="D2431" s="2" t="s">
        <v>33</v>
      </c>
      <c r="E2431" s="2">
        <v>1</v>
      </c>
      <c r="F2431" s="7">
        <v>199</v>
      </c>
      <c r="G2431" s="8">
        <v>0.25</v>
      </c>
      <c r="H2431" s="9" t="str">
        <f>INDEX(Products!$B$2:$B$37, MATCH(D2431, Products!$A$2:$A$37, 0))</f>
        <v>Fitness Band Lite</v>
      </c>
      <c r="I2431" t="str">
        <f>INDEX(Products!$C$2:$C$37, MATCH(D2431, Products!$A$2:$A$37, 0))</f>
        <v>Electronics</v>
      </c>
      <c r="J2431">
        <f>INDEX(Products!$E$2:$E$37, MATCH(D2431, Products!$A$2:$A$37, 0))</f>
        <v>175</v>
      </c>
      <c r="K2431" s="9">
        <f t="shared" si="148"/>
        <v>149.25</v>
      </c>
      <c r="L2431">
        <f t="shared" si="149"/>
        <v>175</v>
      </c>
      <c r="M2431" s="9">
        <f t="shared" si="150"/>
        <v>-25.75</v>
      </c>
      <c r="N2431" t="str">
        <f t="shared" si="151"/>
        <v>Jul</v>
      </c>
    </row>
    <row r="2432" spans="1:14" x14ac:dyDescent="0.3">
      <c r="A2432" s="2" t="s">
        <v>2498</v>
      </c>
      <c r="B2432" s="6">
        <v>45866</v>
      </c>
      <c r="C2432" s="2" t="s">
        <v>41</v>
      </c>
      <c r="D2432" s="2" t="s">
        <v>37</v>
      </c>
      <c r="E2432" s="2">
        <v>2</v>
      </c>
      <c r="F2432" s="7">
        <v>249</v>
      </c>
      <c r="G2432" s="8">
        <v>0.05</v>
      </c>
      <c r="H2432" s="9" t="str">
        <f>INDEX(Products!$B$2:$B$37, MATCH(D2432, Products!$A$2:$A$37, 0))</f>
        <v>Sunglasses Polarised</v>
      </c>
      <c r="I2432" t="str">
        <f>INDEX(Products!$C$2:$C$37, MATCH(D2432, Products!$A$2:$A$37, 0))</f>
        <v>Fashion</v>
      </c>
      <c r="J2432">
        <f>INDEX(Products!$E$2:$E$37, MATCH(D2432, Products!$A$2:$A$37, 0))</f>
        <v>95</v>
      </c>
      <c r="K2432" s="9">
        <f t="shared" si="148"/>
        <v>473.09999999999997</v>
      </c>
      <c r="L2432">
        <f t="shared" si="149"/>
        <v>190</v>
      </c>
      <c r="M2432" s="9">
        <f t="shared" si="150"/>
        <v>283.09999999999997</v>
      </c>
      <c r="N2432" t="str">
        <f t="shared" si="151"/>
        <v>Jul</v>
      </c>
    </row>
    <row r="2433" spans="1:14" x14ac:dyDescent="0.3">
      <c r="A2433" s="2" t="s">
        <v>2499</v>
      </c>
      <c r="B2433" s="6">
        <v>45866</v>
      </c>
      <c r="C2433" s="2" t="s">
        <v>28</v>
      </c>
      <c r="D2433" s="2" t="s">
        <v>99</v>
      </c>
      <c r="E2433" s="2">
        <v>2</v>
      </c>
      <c r="F2433" s="7">
        <v>459</v>
      </c>
      <c r="G2433" s="8">
        <v>0.05</v>
      </c>
      <c r="H2433" s="9" t="str">
        <f>INDEX(Products!$B$2:$B$37, MATCH(D2433, Products!$A$2:$A$37, 0))</f>
        <v>Gaming Headset X</v>
      </c>
      <c r="I2433" t="str">
        <f>INDEX(Products!$C$2:$C$37, MATCH(D2433, Products!$A$2:$A$37, 0))</f>
        <v>Electronics</v>
      </c>
      <c r="J2433">
        <f>INDEX(Products!$E$2:$E$37, MATCH(D2433, Products!$A$2:$A$37, 0))</f>
        <v>300</v>
      </c>
      <c r="K2433" s="9">
        <f t="shared" si="148"/>
        <v>872.09999999999991</v>
      </c>
      <c r="L2433">
        <f t="shared" si="149"/>
        <v>600</v>
      </c>
      <c r="M2433" s="9">
        <f t="shared" si="150"/>
        <v>272.09999999999991</v>
      </c>
      <c r="N2433" t="str">
        <f t="shared" si="151"/>
        <v>Jul</v>
      </c>
    </row>
    <row r="2434" spans="1:14" x14ac:dyDescent="0.3">
      <c r="A2434" s="2" t="s">
        <v>2500</v>
      </c>
      <c r="B2434" s="6">
        <v>45866</v>
      </c>
      <c r="C2434" s="2" t="s">
        <v>28</v>
      </c>
      <c r="D2434" s="2" t="s">
        <v>33</v>
      </c>
      <c r="E2434" s="2">
        <v>1</v>
      </c>
      <c r="F2434" s="7">
        <v>199</v>
      </c>
      <c r="G2434" s="8">
        <v>0.15</v>
      </c>
      <c r="H2434" s="9" t="str">
        <f>INDEX(Products!$B$2:$B$37, MATCH(D2434, Products!$A$2:$A$37, 0))</f>
        <v>Fitness Band Lite</v>
      </c>
      <c r="I2434" t="str">
        <f>INDEX(Products!$C$2:$C$37, MATCH(D2434, Products!$A$2:$A$37, 0))</f>
        <v>Electronics</v>
      </c>
      <c r="J2434">
        <f>INDEX(Products!$E$2:$E$37, MATCH(D2434, Products!$A$2:$A$37, 0))</f>
        <v>175</v>
      </c>
      <c r="K2434" s="9">
        <f t="shared" ref="K2434:K2497" si="152">E2434*F2434*(1-G2434)</f>
        <v>169.15</v>
      </c>
      <c r="L2434">
        <f t="shared" ref="L2434:L2497" si="153">E2434*J2434</f>
        <v>175</v>
      </c>
      <c r="M2434" s="9">
        <f t="shared" ref="M2434:M2497" si="154">K2434-L2434</f>
        <v>-5.8499999999999943</v>
      </c>
      <c r="N2434" t="str">
        <f t="shared" ref="N2434:N2497" si="155">TEXT(B2434,"mmm")</f>
        <v>Jul</v>
      </c>
    </row>
    <row r="2435" spans="1:14" x14ac:dyDescent="0.3">
      <c r="A2435" s="2" t="s">
        <v>2501</v>
      </c>
      <c r="B2435" s="6">
        <v>45866</v>
      </c>
      <c r="C2435" s="2" t="s">
        <v>48</v>
      </c>
      <c r="D2435" s="2" t="s">
        <v>42</v>
      </c>
      <c r="E2435" s="2">
        <v>4</v>
      </c>
      <c r="F2435" s="7">
        <v>399</v>
      </c>
      <c r="G2435" s="8">
        <v>0</v>
      </c>
      <c r="H2435" s="9" t="str">
        <f>INDEX(Products!$B$2:$B$37, MATCH(D2435, Products!$A$2:$A$37, 0))</f>
        <v>Wireless Earbuds Pro</v>
      </c>
      <c r="I2435" t="str">
        <f>INDEX(Products!$C$2:$C$37, MATCH(D2435, Products!$A$2:$A$37, 0))</f>
        <v>Electronics</v>
      </c>
      <c r="J2435">
        <f>INDEX(Products!$E$2:$E$37, MATCH(D2435, Products!$A$2:$A$37, 0))</f>
        <v>230</v>
      </c>
      <c r="K2435" s="9">
        <f t="shared" si="152"/>
        <v>1596</v>
      </c>
      <c r="L2435">
        <f t="shared" si="153"/>
        <v>920</v>
      </c>
      <c r="M2435" s="9">
        <f t="shared" si="154"/>
        <v>676</v>
      </c>
      <c r="N2435" t="str">
        <f t="shared" si="155"/>
        <v>Jul</v>
      </c>
    </row>
    <row r="2436" spans="1:14" x14ac:dyDescent="0.3">
      <c r="A2436" s="2" t="s">
        <v>2502</v>
      </c>
      <c r="B2436" s="6">
        <v>45866</v>
      </c>
      <c r="C2436" s="2" t="s">
        <v>41</v>
      </c>
      <c r="D2436" s="2" t="s">
        <v>35</v>
      </c>
      <c r="E2436" s="2">
        <v>1</v>
      </c>
      <c r="F2436" s="7">
        <v>179</v>
      </c>
      <c r="G2436" s="8">
        <v>0.3</v>
      </c>
      <c r="H2436" s="9" t="str">
        <f>INDEX(Products!$B$2:$B$37, MATCH(D2436, Products!$A$2:$A$37, 0))</f>
        <v>Men's Linen Shirt</v>
      </c>
      <c r="I2436" t="str">
        <f>INDEX(Products!$C$2:$C$37, MATCH(D2436, Products!$A$2:$A$37, 0))</f>
        <v>Fashion</v>
      </c>
      <c r="J2436">
        <f>INDEX(Products!$E$2:$E$37, MATCH(D2436, Products!$A$2:$A$37, 0))</f>
        <v>70</v>
      </c>
      <c r="K2436" s="9">
        <f t="shared" si="152"/>
        <v>125.3</v>
      </c>
      <c r="L2436">
        <f t="shared" si="153"/>
        <v>70</v>
      </c>
      <c r="M2436" s="9">
        <f t="shared" si="154"/>
        <v>55.3</v>
      </c>
      <c r="N2436" t="str">
        <f t="shared" si="155"/>
        <v>Jul</v>
      </c>
    </row>
    <row r="2437" spans="1:14" x14ac:dyDescent="0.3">
      <c r="A2437" s="2" t="s">
        <v>2503</v>
      </c>
      <c r="B2437" s="6">
        <v>45866</v>
      </c>
      <c r="C2437" s="2" t="s">
        <v>31</v>
      </c>
      <c r="D2437" s="2" t="s">
        <v>29</v>
      </c>
      <c r="E2437" s="2">
        <v>1</v>
      </c>
      <c r="F2437" s="7">
        <v>229</v>
      </c>
      <c r="G2437" s="8">
        <v>0</v>
      </c>
      <c r="H2437" s="9" t="str">
        <f>INDEX(Products!$B$2:$B$37, MATCH(D2437, Products!$A$2:$A$37, 0))</f>
        <v>Women's Summer Dress</v>
      </c>
      <c r="I2437" t="str">
        <f>INDEX(Products!$C$2:$C$37, MATCH(D2437, Products!$A$2:$A$37, 0))</f>
        <v>Fashion</v>
      </c>
      <c r="J2437">
        <f>INDEX(Products!$E$2:$E$37, MATCH(D2437, Products!$A$2:$A$37, 0))</f>
        <v>120</v>
      </c>
      <c r="K2437" s="9">
        <f t="shared" si="152"/>
        <v>229</v>
      </c>
      <c r="L2437">
        <f t="shared" si="153"/>
        <v>120</v>
      </c>
      <c r="M2437" s="9">
        <f t="shared" si="154"/>
        <v>109</v>
      </c>
      <c r="N2437" t="str">
        <f t="shared" si="155"/>
        <v>Jul</v>
      </c>
    </row>
    <row r="2438" spans="1:14" x14ac:dyDescent="0.3">
      <c r="A2438" s="2" t="s">
        <v>2504</v>
      </c>
      <c r="B2438" s="6">
        <v>45866</v>
      </c>
      <c r="C2438" s="2" t="s">
        <v>28</v>
      </c>
      <c r="D2438" s="2" t="s">
        <v>39</v>
      </c>
      <c r="E2438" s="2">
        <v>1</v>
      </c>
      <c r="F2438" s="7">
        <v>199</v>
      </c>
      <c r="G2438" s="8">
        <v>0.2</v>
      </c>
      <c r="H2438" s="9" t="str">
        <f>INDEX(Products!$B$2:$B$37, MATCH(D2438, Products!$A$2:$A$37, 0))</f>
        <v>Bakhoor Gift Set</v>
      </c>
      <c r="I2438" t="str">
        <f>INDEX(Products!$C$2:$C$37, MATCH(D2438, Products!$A$2:$A$37, 0))</f>
        <v>Beauty</v>
      </c>
      <c r="J2438">
        <f>INDEX(Products!$E$2:$E$37, MATCH(D2438, Products!$A$2:$A$37, 0))</f>
        <v>90</v>
      </c>
      <c r="K2438" s="9">
        <f t="shared" si="152"/>
        <v>159.20000000000002</v>
      </c>
      <c r="L2438">
        <f t="shared" si="153"/>
        <v>90</v>
      </c>
      <c r="M2438" s="9">
        <f t="shared" si="154"/>
        <v>69.200000000000017</v>
      </c>
      <c r="N2438" t="str">
        <f t="shared" si="155"/>
        <v>Jul</v>
      </c>
    </row>
    <row r="2439" spans="1:14" x14ac:dyDescent="0.3">
      <c r="A2439" s="2" t="s">
        <v>2505</v>
      </c>
      <c r="B2439" s="6">
        <v>45867</v>
      </c>
      <c r="C2439" s="2" t="s">
        <v>44</v>
      </c>
      <c r="D2439" s="2" t="s">
        <v>80</v>
      </c>
      <c r="E2439" s="2">
        <v>1</v>
      </c>
      <c r="F2439" s="7">
        <v>149</v>
      </c>
      <c r="G2439" s="8">
        <v>0</v>
      </c>
      <c r="H2439" s="9" t="str">
        <f>INDEX(Products!$B$2:$B$37, MATCH(D2439, Products!$A$2:$A$37, 0))</f>
        <v>Vitamin C Serum</v>
      </c>
      <c r="I2439" t="str">
        <f>INDEX(Products!$C$2:$C$37, MATCH(D2439, Products!$A$2:$A$37, 0))</f>
        <v>Beauty</v>
      </c>
      <c r="J2439">
        <f>INDEX(Products!$E$2:$E$37, MATCH(D2439, Products!$A$2:$A$37, 0))</f>
        <v>55</v>
      </c>
      <c r="K2439" s="9">
        <f t="shared" si="152"/>
        <v>149</v>
      </c>
      <c r="L2439">
        <f t="shared" si="153"/>
        <v>55</v>
      </c>
      <c r="M2439" s="9">
        <f t="shared" si="154"/>
        <v>94</v>
      </c>
      <c r="N2439" t="str">
        <f t="shared" si="155"/>
        <v>Jul</v>
      </c>
    </row>
    <row r="2440" spans="1:14" x14ac:dyDescent="0.3">
      <c r="A2440" s="2" t="s">
        <v>2506</v>
      </c>
      <c r="B2440" s="6">
        <v>45867</v>
      </c>
      <c r="C2440" s="2" t="s">
        <v>44</v>
      </c>
      <c r="D2440" s="2" t="s">
        <v>35</v>
      </c>
      <c r="E2440" s="2">
        <v>2</v>
      </c>
      <c r="F2440" s="7">
        <v>179</v>
      </c>
      <c r="G2440" s="8">
        <v>0</v>
      </c>
      <c r="H2440" s="9" t="str">
        <f>INDEX(Products!$B$2:$B$37, MATCH(D2440, Products!$A$2:$A$37, 0))</f>
        <v>Men's Linen Shirt</v>
      </c>
      <c r="I2440" t="str">
        <f>INDEX(Products!$C$2:$C$37, MATCH(D2440, Products!$A$2:$A$37, 0))</f>
        <v>Fashion</v>
      </c>
      <c r="J2440">
        <f>INDEX(Products!$E$2:$E$37, MATCH(D2440, Products!$A$2:$A$37, 0))</f>
        <v>70</v>
      </c>
      <c r="K2440" s="9">
        <f t="shared" si="152"/>
        <v>358</v>
      </c>
      <c r="L2440">
        <f t="shared" si="153"/>
        <v>140</v>
      </c>
      <c r="M2440" s="9">
        <f t="shared" si="154"/>
        <v>218</v>
      </c>
      <c r="N2440" t="str">
        <f t="shared" si="155"/>
        <v>Jul</v>
      </c>
    </row>
    <row r="2441" spans="1:14" x14ac:dyDescent="0.3">
      <c r="A2441" s="2" t="s">
        <v>2507</v>
      </c>
      <c r="B2441" s="6">
        <v>45867</v>
      </c>
      <c r="C2441" s="2" t="s">
        <v>28</v>
      </c>
      <c r="D2441" s="2" t="s">
        <v>52</v>
      </c>
      <c r="E2441" s="2">
        <v>3</v>
      </c>
      <c r="F2441" s="7">
        <v>299</v>
      </c>
      <c r="G2441" s="8">
        <v>0.2</v>
      </c>
      <c r="H2441" s="9" t="str">
        <f>INDEX(Products!$B$2:$B$37, MATCH(D2441, Products!$A$2:$A$37, 0))</f>
        <v>Hair Dryer Ionic</v>
      </c>
      <c r="I2441" t="str">
        <f>INDEX(Products!$C$2:$C$37, MATCH(D2441, Products!$A$2:$A$37, 0))</f>
        <v>Beauty</v>
      </c>
      <c r="J2441">
        <f>INDEX(Products!$E$2:$E$37, MATCH(D2441, Products!$A$2:$A$37, 0))</f>
        <v>240</v>
      </c>
      <c r="K2441" s="9">
        <f t="shared" si="152"/>
        <v>717.6</v>
      </c>
      <c r="L2441">
        <f t="shared" si="153"/>
        <v>720</v>
      </c>
      <c r="M2441" s="9">
        <f t="shared" si="154"/>
        <v>-2.3999999999999773</v>
      </c>
      <c r="N2441" t="str">
        <f t="shared" si="155"/>
        <v>Jul</v>
      </c>
    </row>
    <row r="2442" spans="1:14" x14ac:dyDescent="0.3">
      <c r="A2442" s="2" t="s">
        <v>2508</v>
      </c>
      <c r="B2442" s="6">
        <v>45867</v>
      </c>
      <c r="C2442" s="2" t="s">
        <v>48</v>
      </c>
      <c r="D2442" s="2" t="s">
        <v>92</v>
      </c>
      <c r="E2442" s="2">
        <v>2</v>
      </c>
      <c r="F2442" s="7">
        <v>349</v>
      </c>
      <c r="G2442" s="8">
        <v>0</v>
      </c>
      <c r="H2442" s="9" t="str">
        <f>INDEX(Products!$B$2:$B$37, MATCH(D2442, Products!$A$2:$A$37, 0))</f>
        <v>Non-stick Cookware Set</v>
      </c>
      <c r="I2442" t="str">
        <f>INDEX(Products!$C$2:$C$37, MATCH(D2442, Products!$A$2:$A$37, 0))</f>
        <v>Home &amp; Kitchen</v>
      </c>
      <c r="J2442">
        <f>INDEX(Products!$E$2:$E$37, MATCH(D2442, Products!$A$2:$A$37, 0))</f>
        <v>170</v>
      </c>
      <c r="K2442" s="9">
        <f t="shared" si="152"/>
        <v>698</v>
      </c>
      <c r="L2442">
        <f t="shared" si="153"/>
        <v>340</v>
      </c>
      <c r="M2442" s="9">
        <f t="shared" si="154"/>
        <v>358</v>
      </c>
      <c r="N2442" t="str">
        <f t="shared" si="155"/>
        <v>Jul</v>
      </c>
    </row>
    <row r="2443" spans="1:14" x14ac:dyDescent="0.3">
      <c r="A2443" s="2" t="s">
        <v>2509</v>
      </c>
      <c r="B2443" s="6">
        <v>45867</v>
      </c>
      <c r="C2443" s="2" t="s">
        <v>28</v>
      </c>
      <c r="D2443" s="2" t="s">
        <v>39</v>
      </c>
      <c r="E2443" s="2">
        <v>1</v>
      </c>
      <c r="F2443" s="7">
        <v>199</v>
      </c>
      <c r="G2443" s="8">
        <v>0.1</v>
      </c>
      <c r="H2443" s="9" t="str">
        <f>INDEX(Products!$B$2:$B$37, MATCH(D2443, Products!$A$2:$A$37, 0))</f>
        <v>Bakhoor Gift Set</v>
      </c>
      <c r="I2443" t="str">
        <f>INDEX(Products!$C$2:$C$37, MATCH(D2443, Products!$A$2:$A$37, 0))</f>
        <v>Beauty</v>
      </c>
      <c r="J2443">
        <f>INDEX(Products!$E$2:$E$37, MATCH(D2443, Products!$A$2:$A$37, 0))</f>
        <v>90</v>
      </c>
      <c r="K2443" s="9">
        <f t="shared" si="152"/>
        <v>179.1</v>
      </c>
      <c r="L2443">
        <f t="shared" si="153"/>
        <v>90</v>
      </c>
      <c r="M2443" s="9">
        <f t="shared" si="154"/>
        <v>89.1</v>
      </c>
      <c r="N2443" t="str">
        <f t="shared" si="155"/>
        <v>Jul</v>
      </c>
    </row>
    <row r="2444" spans="1:14" x14ac:dyDescent="0.3">
      <c r="A2444" s="2" t="s">
        <v>2510</v>
      </c>
      <c r="B2444" s="6">
        <v>45867</v>
      </c>
      <c r="C2444" s="2" t="s">
        <v>31</v>
      </c>
      <c r="D2444" s="2" t="s">
        <v>49</v>
      </c>
      <c r="E2444" s="2">
        <v>1</v>
      </c>
      <c r="F2444" s="7">
        <v>149</v>
      </c>
      <c r="G2444" s="8">
        <v>0.1</v>
      </c>
      <c r="H2444" s="9" t="str">
        <f>INDEX(Products!$B$2:$B$37, MATCH(D2444, Products!$A$2:$A$37, 0))</f>
        <v>Kids' Sneakers</v>
      </c>
      <c r="I2444" t="str">
        <f>INDEX(Products!$C$2:$C$37, MATCH(D2444, Products!$A$2:$A$37, 0))</f>
        <v>Fashion</v>
      </c>
      <c r="J2444">
        <f>INDEX(Products!$E$2:$E$37, MATCH(D2444, Products!$A$2:$A$37, 0))</f>
        <v>80</v>
      </c>
      <c r="K2444" s="9">
        <f t="shared" si="152"/>
        <v>134.1</v>
      </c>
      <c r="L2444">
        <f t="shared" si="153"/>
        <v>80</v>
      </c>
      <c r="M2444" s="9">
        <f t="shared" si="154"/>
        <v>54.099999999999994</v>
      </c>
      <c r="N2444" t="str">
        <f t="shared" si="155"/>
        <v>Jul</v>
      </c>
    </row>
    <row r="2445" spans="1:14" x14ac:dyDescent="0.3">
      <c r="A2445" s="2" t="s">
        <v>2511</v>
      </c>
      <c r="B2445" s="6">
        <v>45867</v>
      </c>
      <c r="C2445" s="2" t="s">
        <v>41</v>
      </c>
      <c r="D2445" s="2" t="s">
        <v>106</v>
      </c>
      <c r="E2445" s="2">
        <v>2</v>
      </c>
      <c r="F2445" s="7">
        <v>1299</v>
      </c>
      <c r="G2445" s="8">
        <v>0.2</v>
      </c>
      <c r="H2445" s="9" t="str">
        <f>INDEX(Products!$B$2:$B$37, MATCH(D2445, Products!$A$2:$A$37, 0))</f>
        <v>Smart Watch Series 5</v>
      </c>
      <c r="I2445" t="str">
        <f>INDEX(Products!$C$2:$C$37, MATCH(D2445, Products!$A$2:$A$37, 0))</f>
        <v>Electronics</v>
      </c>
      <c r="J2445">
        <f>INDEX(Products!$E$2:$E$37, MATCH(D2445, Products!$A$2:$A$37, 0))</f>
        <v>820</v>
      </c>
      <c r="K2445" s="9">
        <f t="shared" si="152"/>
        <v>2078.4</v>
      </c>
      <c r="L2445">
        <f t="shared" si="153"/>
        <v>1640</v>
      </c>
      <c r="M2445" s="9">
        <f t="shared" si="154"/>
        <v>438.40000000000009</v>
      </c>
      <c r="N2445" t="str">
        <f t="shared" si="155"/>
        <v>Jul</v>
      </c>
    </row>
    <row r="2446" spans="1:14" x14ac:dyDescent="0.3">
      <c r="A2446" s="2" t="s">
        <v>2512</v>
      </c>
      <c r="B2446" s="6">
        <v>45867</v>
      </c>
      <c r="C2446" s="2" t="s">
        <v>31</v>
      </c>
      <c r="D2446" s="2" t="s">
        <v>131</v>
      </c>
      <c r="E2446" s="2">
        <v>2</v>
      </c>
      <c r="F2446" s="7">
        <v>899</v>
      </c>
      <c r="G2446" s="8">
        <v>0.05</v>
      </c>
      <c r="H2446" s="9" t="str">
        <f>INDEX(Products!$B$2:$B$37, MATCH(D2446, Products!$A$2:$A$37, 0))</f>
        <v>4K Action Camera</v>
      </c>
      <c r="I2446" t="str">
        <f>INDEX(Products!$C$2:$C$37, MATCH(D2446, Products!$A$2:$A$37, 0))</f>
        <v>Electronics</v>
      </c>
      <c r="J2446">
        <f>INDEX(Products!$E$2:$E$37, MATCH(D2446, Products!$A$2:$A$37, 0))</f>
        <v>610</v>
      </c>
      <c r="K2446" s="9">
        <f t="shared" si="152"/>
        <v>1708.1</v>
      </c>
      <c r="L2446">
        <f t="shared" si="153"/>
        <v>1220</v>
      </c>
      <c r="M2446" s="9">
        <f t="shared" si="154"/>
        <v>488.09999999999991</v>
      </c>
      <c r="N2446" t="str">
        <f t="shared" si="155"/>
        <v>Jul</v>
      </c>
    </row>
    <row r="2447" spans="1:14" x14ac:dyDescent="0.3">
      <c r="A2447" s="2" t="s">
        <v>2513</v>
      </c>
      <c r="B2447" s="6">
        <v>45867</v>
      </c>
      <c r="C2447" s="2" t="s">
        <v>48</v>
      </c>
      <c r="D2447" s="2" t="s">
        <v>95</v>
      </c>
      <c r="E2447" s="2">
        <v>2</v>
      </c>
      <c r="F2447" s="7">
        <v>259</v>
      </c>
      <c r="G2447" s="8">
        <v>0.2</v>
      </c>
      <c r="H2447" s="9" t="str">
        <f>INDEX(Products!$B$2:$B$37, MATCH(D2447, Products!$A$2:$A$37, 0))</f>
        <v>Bed Linen Set (King)</v>
      </c>
      <c r="I2447" t="str">
        <f>INDEX(Products!$C$2:$C$37, MATCH(D2447, Products!$A$2:$A$37, 0))</f>
        <v>Home &amp; Kitchen</v>
      </c>
      <c r="J2447">
        <f>INDEX(Products!$E$2:$E$37, MATCH(D2447, Products!$A$2:$A$37, 0))</f>
        <v>115</v>
      </c>
      <c r="K2447" s="9">
        <f t="shared" si="152"/>
        <v>414.40000000000003</v>
      </c>
      <c r="L2447">
        <f t="shared" si="153"/>
        <v>230</v>
      </c>
      <c r="M2447" s="9">
        <f t="shared" si="154"/>
        <v>184.40000000000003</v>
      </c>
      <c r="N2447" t="str">
        <f t="shared" si="155"/>
        <v>Jul</v>
      </c>
    </row>
    <row r="2448" spans="1:14" x14ac:dyDescent="0.3">
      <c r="A2448" s="2" t="s">
        <v>2514</v>
      </c>
      <c r="B2448" s="6">
        <v>45867</v>
      </c>
      <c r="C2448" s="2" t="s">
        <v>28</v>
      </c>
      <c r="D2448" s="2" t="s">
        <v>29</v>
      </c>
      <c r="E2448" s="2">
        <v>2</v>
      </c>
      <c r="F2448" s="7">
        <v>229</v>
      </c>
      <c r="G2448" s="8">
        <v>0</v>
      </c>
      <c r="H2448" s="9" t="str">
        <f>INDEX(Products!$B$2:$B$37, MATCH(D2448, Products!$A$2:$A$37, 0))</f>
        <v>Women's Summer Dress</v>
      </c>
      <c r="I2448" t="str">
        <f>INDEX(Products!$C$2:$C$37, MATCH(D2448, Products!$A$2:$A$37, 0))</f>
        <v>Fashion</v>
      </c>
      <c r="J2448">
        <f>INDEX(Products!$E$2:$E$37, MATCH(D2448, Products!$A$2:$A$37, 0))</f>
        <v>120</v>
      </c>
      <c r="K2448" s="9">
        <f t="shared" si="152"/>
        <v>458</v>
      </c>
      <c r="L2448">
        <f t="shared" si="153"/>
        <v>240</v>
      </c>
      <c r="M2448" s="9">
        <f t="shared" si="154"/>
        <v>218</v>
      </c>
      <c r="N2448" t="str">
        <f t="shared" si="155"/>
        <v>Jul</v>
      </c>
    </row>
    <row r="2449" spans="1:14" x14ac:dyDescent="0.3">
      <c r="A2449" s="2" t="s">
        <v>2515</v>
      </c>
      <c r="B2449" s="6">
        <v>45868</v>
      </c>
      <c r="C2449" s="2" t="s">
        <v>48</v>
      </c>
      <c r="D2449" s="2" t="s">
        <v>35</v>
      </c>
      <c r="E2449" s="2">
        <v>1</v>
      </c>
      <c r="F2449" s="7">
        <v>179</v>
      </c>
      <c r="G2449" s="8">
        <v>0.1</v>
      </c>
      <c r="H2449" s="9" t="str">
        <f>INDEX(Products!$B$2:$B$37, MATCH(D2449, Products!$A$2:$A$37, 0))</f>
        <v>Men's Linen Shirt</v>
      </c>
      <c r="I2449" t="str">
        <f>INDEX(Products!$C$2:$C$37, MATCH(D2449, Products!$A$2:$A$37, 0))</f>
        <v>Fashion</v>
      </c>
      <c r="J2449">
        <f>INDEX(Products!$E$2:$E$37, MATCH(D2449, Products!$A$2:$A$37, 0))</f>
        <v>70</v>
      </c>
      <c r="K2449" s="9">
        <f t="shared" si="152"/>
        <v>161.1</v>
      </c>
      <c r="L2449">
        <f t="shared" si="153"/>
        <v>70</v>
      </c>
      <c r="M2449" s="9">
        <f t="shared" si="154"/>
        <v>91.1</v>
      </c>
      <c r="N2449" t="str">
        <f t="shared" si="155"/>
        <v>Jul</v>
      </c>
    </row>
    <row r="2450" spans="1:14" x14ac:dyDescent="0.3">
      <c r="A2450" s="2" t="s">
        <v>2516</v>
      </c>
      <c r="B2450" s="6">
        <v>45868</v>
      </c>
      <c r="C2450" s="2" t="s">
        <v>41</v>
      </c>
      <c r="D2450" s="2" t="s">
        <v>80</v>
      </c>
      <c r="E2450" s="2">
        <v>1</v>
      </c>
      <c r="F2450" s="7">
        <v>149</v>
      </c>
      <c r="G2450" s="8">
        <v>0</v>
      </c>
      <c r="H2450" s="9" t="str">
        <f>INDEX(Products!$B$2:$B$37, MATCH(D2450, Products!$A$2:$A$37, 0))</f>
        <v>Vitamin C Serum</v>
      </c>
      <c r="I2450" t="str">
        <f>INDEX(Products!$C$2:$C$37, MATCH(D2450, Products!$A$2:$A$37, 0))</f>
        <v>Beauty</v>
      </c>
      <c r="J2450">
        <f>INDEX(Products!$E$2:$E$37, MATCH(D2450, Products!$A$2:$A$37, 0))</f>
        <v>55</v>
      </c>
      <c r="K2450" s="9">
        <f t="shared" si="152"/>
        <v>149</v>
      </c>
      <c r="L2450">
        <f t="shared" si="153"/>
        <v>55</v>
      </c>
      <c r="M2450" s="9">
        <f t="shared" si="154"/>
        <v>94</v>
      </c>
      <c r="N2450" t="str">
        <f t="shared" si="155"/>
        <v>Jul</v>
      </c>
    </row>
    <row r="2451" spans="1:14" x14ac:dyDescent="0.3">
      <c r="A2451" s="2" t="s">
        <v>2517</v>
      </c>
      <c r="B2451" s="6">
        <v>45868</v>
      </c>
      <c r="C2451" s="2" t="s">
        <v>44</v>
      </c>
      <c r="D2451" s="2" t="s">
        <v>56</v>
      </c>
      <c r="E2451" s="2">
        <v>2</v>
      </c>
      <c r="F2451" s="7">
        <v>289</v>
      </c>
      <c r="G2451" s="8">
        <v>0</v>
      </c>
      <c r="H2451" s="9" t="str">
        <f>INDEX(Products!$B$2:$B$37, MATCH(D2451, Products!$A$2:$A$37, 0))</f>
        <v>Ceramic Dinner Set</v>
      </c>
      <c r="I2451" t="str">
        <f>INDEX(Products!$C$2:$C$37, MATCH(D2451, Products!$A$2:$A$37, 0))</f>
        <v>Home &amp; Kitchen</v>
      </c>
      <c r="J2451">
        <f>INDEX(Products!$E$2:$E$37, MATCH(D2451, Products!$A$2:$A$37, 0))</f>
        <v>140</v>
      </c>
      <c r="K2451" s="9">
        <f t="shared" si="152"/>
        <v>578</v>
      </c>
      <c r="L2451">
        <f t="shared" si="153"/>
        <v>280</v>
      </c>
      <c r="M2451" s="9">
        <f t="shared" si="154"/>
        <v>298</v>
      </c>
      <c r="N2451" t="str">
        <f t="shared" si="155"/>
        <v>Jul</v>
      </c>
    </row>
    <row r="2452" spans="1:14" x14ac:dyDescent="0.3">
      <c r="A2452" s="2" t="s">
        <v>2518</v>
      </c>
      <c r="B2452" s="6">
        <v>45868</v>
      </c>
      <c r="C2452" s="2" t="s">
        <v>28</v>
      </c>
      <c r="D2452" s="2" t="s">
        <v>42</v>
      </c>
      <c r="E2452" s="2">
        <v>1</v>
      </c>
      <c r="F2452" s="7">
        <v>399</v>
      </c>
      <c r="G2452" s="8">
        <v>0.2</v>
      </c>
      <c r="H2452" s="9" t="str">
        <f>INDEX(Products!$B$2:$B$37, MATCH(D2452, Products!$A$2:$A$37, 0))</f>
        <v>Wireless Earbuds Pro</v>
      </c>
      <c r="I2452" t="str">
        <f>INDEX(Products!$C$2:$C$37, MATCH(D2452, Products!$A$2:$A$37, 0))</f>
        <v>Electronics</v>
      </c>
      <c r="J2452">
        <f>INDEX(Products!$E$2:$E$37, MATCH(D2452, Products!$A$2:$A$37, 0))</f>
        <v>230</v>
      </c>
      <c r="K2452" s="9">
        <f t="shared" si="152"/>
        <v>319.20000000000005</v>
      </c>
      <c r="L2452">
        <f t="shared" si="153"/>
        <v>230</v>
      </c>
      <c r="M2452" s="9">
        <f t="shared" si="154"/>
        <v>89.200000000000045</v>
      </c>
      <c r="N2452" t="str">
        <f t="shared" si="155"/>
        <v>Jul</v>
      </c>
    </row>
    <row r="2453" spans="1:14" x14ac:dyDescent="0.3">
      <c r="A2453" s="2" t="s">
        <v>2519</v>
      </c>
      <c r="B2453" s="6">
        <v>45868</v>
      </c>
      <c r="C2453" s="2" t="s">
        <v>44</v>
      </c>
      <c r="D2453" s="2" t="s">
        <v>109</v>
      </c>
      <c r="E2453" s="2">
        <v>2</v>
      </c>
      <c r="F2453" s="7">
        <v>1499</v>
      </c>
      <c r="G2453" s="8">
        <v>0.2</v>
      </c>
      <c r="H2453" s="9" t="str">
        <f>INDEX(Products!$B$2:$B$37, MATCH(D2453, Products!$A$2:$A$37, 0))</f>
        <v>Espresso Machine</v>
      </c>
      <c r="I2453" t="str">
        <f>INDEX(Products!$C$2:$C$37, MATCH(D2453, Products!$A$2:$A$37, 0))</f>
        <v>Home &amp; Kitchen</v>
      </c>
      <c r="J2453">
        <f>INDEX(Products!$E$2:$E$37, MATCH(D2453, Products!$A$2:$A$37, 0))</f>
        <v>1050</v>
      </c>
      <c r="K2453" s="9">
        <f t="shared" si="152"/>
        <v>2398.4</v>
      </c>
      <c r="L2453">
        <f t="shared" si="153"/>
        <v>2100</v>
      </c>
      <c r="M2453" s="9">
        <f t="shared" si="154"/>
        <v>298.40000000000009</v>
      </c>
      <c r="N2453" t="str">
        <f t="shared" si="155"/>
        <v>Jul</v>
      </c>
    </row>
    <row r="2454" spans="1:14" x14ac:dyDescent="0.3">
      <c r="A2454" s="2" t="s">
        <v>2520</v>
      </c>
      <c r="B2454" s="6">
        <v>45868</v>
      </c>
      <c r="C2454" s="2" t="s">
        <v>44</v>
      </c>
      <c r="D2454" s="2" t="s">
        <v>70</v>
      </c>
      <c r="E2454" s="2">
        <v>2</v>
      </c>
      <c r="F2454" s="7">
        <v>429</v>
      </c>
      <c r="G2454" s="8">
        <v>0.05</v>
      </c>
      <c r="H2454" s="9" t="str">
        <f>INDEX(Products!$B$2:$B$37, MATCH(D2454, Products!$A$2:$A$37, 0))</f>
        <v>Running Shoes Elite</v>
      </c>
      <c r="I2454" t="str">
        <f>INDEX(Products!$C$2:$C$37, MATCH(D2454, Products!$A$2:$A$37, 0))</f>
        <v>Fashion</v>
      </c>
      <c r="J2454">
        <f>INDEX(Products!$E$2:$E$37, MATCH(D2454, Products!$A$2:$A$37, 0))</f>
        <v>300</v>
      </c>
      <c r="K2454" s="9">
        <f t="shared" si="152"/>
        <v>815.09999999999991</v>
      </c>
      <c r="L2454">
        <f t="shared" si="153"/>
        <v>600</v>
      </c>
      <c r="M2454" s="9">
        <f t="shared" si="154"/>
        <v>215.09999999999991</v>
      </c>
      <c r="N2454" t="str">
        <f t="shared" si="155"/>
        <v>Jul</v>
      </c>
    </row>
    <row r="2455" spans="1:14" x14ac:dyDescent="0.3">
      <c r="A2455" s="2" t="s">
        <v>2521</v>
      </c>
      <c r="B2455" s="6">
        <v>45868</v>
      </c>
      <c r="C2455" s="2" t="s">
        <v>41</v>
      </c>
      <c r="D2455" s="2" t="s">
        <v>33</v>
      </c>
      <c r="E2455" s="2">
        <v>1</v>
      </c>
      <c r="F2455" s="7">
        <v>199</v>
      </c>
      <c r="G2455" s="8">
        <v>0.2</v>
      </c>
      <c r="H2455" s="9" t="str">
        <f>INDEX(Products!$B$2:$B$37, MATCH(D2455, Products!$A$2:$A$37, 0))</f>
        <v>Fitness Band Lite</v>
      </c>
      <c r="I2455" t="str">
        <f>INDEX(Products!$C$2:$C$37, MATCH(D2455, Products!$A$2:$A$37, 0))</f>
        <v>Electronics</v>
      </c>
      <c r="J2455">
        <f>INDEX(Products!$E$2:$E$37, MATCH(D2455, Products!$A$2:$A$37, 0))</f>
        <v>175</v>
      </c>
      <c r="K2455" s="9">
        <f t="shared" si="152"/>
        <v>159.20000000000002</v>
      </c>
      <c r="L2455">
        <f t="shared" si="153"/>
        <v>175</v>
      </c>
      <c r="M2455" s="9">
        <f t="shared" si="154"/>
        <v>-15.799999999999983</v>
      </c>
      <c r="N2455" t="str">
        <f t="shared" si="155"/>
        <v>Jul</v>
      </c>
    </row>
    <row r="2456" spans="1:14" x14ac:dyDescent="0.3">
      <c r="A2456" s="2" t="s">
        <v>2522</v>
      </c>
      <c r="B2456" s="6">
        <v>45868</v>
      </c>
      <c r="C2456" s="2" t="s">
        <v>31</v>
      </c>
      <c r="D2456" s="2" t="s">
        <v>58</v>
      </c>
      <c r="E2456" s="2">
        <v>3</v>
      </c>
      <c r="F2456" s="7">
        <v>459</v>
      </c>
      <c r="G2456" s="8">
        <v>0</v>
      </c>
      <c r="H2456" s="9" t="str">
        <f>INDEX(Products!$B$2:$B$37, MATCH(D2456, Products!$A$2:$A$37, 0))</f>
        <v>Women's Abaya Classic</v>
      </c>
      <c r="I2456" t="str">
        <f>INDEX(Products!$C$2:$C$37, MATCH(D2456, Products!$A$2:$A$37, 0))</f>
        <v>Fashion</v>
      </c>
      <c r="J2456">
        <f>INDEX(Products!$E$2:$E$37, MATCH(D2456, Products!$A$2:$A$37, 0))</f>
        <v>190</v>
      </c>
      <c r="K2456" s="9">
        <f t="shared" si="152"/>
        <v>1377</v>
      </c>
      <c r="L2456">
        <f t="shared" si="153"/>
        <v>570</v>
      </c>
      <c r="M2456" s="9">
        <f t="shared" si="154"/>
        <v>807</v>
      </c>
      <c r="N2456" t="str">
        <f t="shared" si="155"/>
        <v>Jul</v>
      </c>
    </row>
    <row r="2457" spans="1:14" x14ac:dyDescent="0.3">
      <c r="A2457" s="2" t="s">
        <v>2523</v>
      </c>
      <c r="B2457" s="6">
        <v>45868</v>
      </c>
      <c r="C2457" s="2" t="s">
        <v>41</v>
      </c>
      <c r="D2457" s="2" t="s">
        <v>49</v>
      </c>
      <c r="E2457" s="2">
        <v>2</v>
      </c>
      <c r="F2457" s="7">
        <v>149</v>
      </c>
      <c r="G2457" s="8">
        <v>0</v>
      </c>
      <c r="H2457" s="9" t="str">
        <f>INDEX(Products!$B$2:$B$37, MATCH(D2457, Products!$A$2:$A$37, 0))</f>
        <v>Kids' Sneakers</v>
      </c>
      <c r="I2457" t="str">
        <f>INDEX(Products!$C$2:$C$37, MATCH(D2457, Products!$A$2:$A$37, 0))</f>
        <v>Fashion</v>
      </c>
      <c r="J2457">
        <f>INDEX(Products!$E$2:$E$37, MATCH(D2457, Products!$A$2:$A$37, 0))</f>
        <v>80</v>
      </c>
      <c r="K2457" s="9">
        <f t="shared" si="152"/>
        <v>298</v>
      </c>
      <c r="L2457">
        <f t="shared" si="153"/>
        <v>160</v>
      </c>
      <c r="M2457" s="9">
        <f t="shared" si="154"/>
        <v>138</v>
      </c>
      <c r="N2457" t="str">
        <f t="shared" si="155"/>
        <v>Jul</v>
      </c>
    </row>
    <row r="2458" spans="1:14" x14ac:dyDescent="0.3">
      <c r="A2458" s="2" t="s">
        <v>2524</v>
      </c>
      <c r="B2458" s="6">
        <v>45868</v>
      </c>
      <c r="C2458" s="2" t="s">
        <v>44</v>
      </c>
      <c r="D2458" s="2" t="s">
        <v>83</v>
      </c>
      <c r="E2458" s="2">
        <v>3</v>
      </c>
      <c r="F2458" s="7">
        <v>229</v>
      </c>
      <c r="G2458" s="8">
        <v>0</v>
      </c>
      <c r="H2458" s="9" t="str">
        <f>INDEX(Products!$B$2:$B$37, MATCH(D2458, Products!$A$2:$A$37, 0))</f>
        <v>Cycling Helmet</v>
      </c>
      <c r="I2458" t="str">
        <f>INDEX(Products!$C$2:$C$37, MATCH(D2458, Products!$A$2:$A$37, 0))</f>
        <v>Sports</v>
      </c>
      <c r="J2458">
        <f>INDEX(Products!$E$2:$E$37, MATCH(D2458, Products!$A$2:$A$37, 0))</f>
        <v>120</v>
      </c>
      <c r="K2458" s="9">
        <f t="shared" si="152"/>
        <v>687</v>
      </c>
      <c r="L2458">
        <f t="shared" si="153"/>
        <v>360</v>
      </c>
      <c r="M2458" s="9">
        <f t="shared" si="154"/>
        <v>327</v>
      </c>
      <c r="N2458" t="str">
        <f t="shared" si="155"/>
        <v>Jul</v>
      </c>
    </row>
    <row r="2459" spans="1:14" x14ac:dyDescent="0.3">
      <c r="A2459" s="2" t="s">
        <v>2525</v>
      </c>
      <c r="B2459" s="6">
        <v>45869</v>
      </c>
      <c r="C2459" s="2" t="s">
        <v>48</v>
      </c>
      <c r="D2459" s="2" t="s">
        <v>149</v>
      </c>
      <c r="E2459" s="2">
        <v>2</v>
      </c>
      <c r="F2459" s="7">
        <v>399</v>
      </c>
      <c r="G2459" s="8">
        <v>0.1</v>
      </c>
      <c r="H2459" s="9" t="str">
        <f>INDEX(Products!$B$2:$B$37, MATCH(D2459, Products!$A$2:$A$37, 0))</f>
        <v>Blender Pro 1200W</v>
      </c>
      <c r="I2459" t="str">
        <f>INDEX(Products!$C$2:$C$37, MATCH(D2459, Products!$A$2:$A$37, 0))</f>
        <v>Home &amp; Kitchen</v>
      </c>
      <c r="J2459">
        <f>INDEX(Products!$E$2:$E$37, MATCH(D2459, Products!$A$2:$A$37, 0))</f>
        <v>250</v>
      </c>
      <c r="K2459" s="9">
        <f t="shared" si="152"/>
        <v>718.2</v>
      </c>
      <c r="L2459">
        <f t="shared" si="153"/>
        <v>500</v>
      </c>
      <c r="M2459" s="9">
        <f t="shared" si="154"/>
        <v>218.20000000000005</v>
      </c>
      <c r="N2459" t="str">
        <f t="shared" si="155"/>
        <v>Jul</v>
      </c>
    </row>
    <row r="2460" spans="1:14" x14ac:dyDescent="0.3">
      <c r="A2460" s="2" t="s">
        <v>2526</v>
      </c>
      <c r="B2460" s="6">
        <v>45869</v>
      </c>
      <c r="C2460" s="2" t="s">
        <v>44</v>
      </c>
      <c r="D2460" s="2" t="s">
        <v>39</v>
      </c>
      <c r="E2460" s="2">
        <v>1</v>
      </c>
      <c r="F2460" s="7">
        <v>199</v>
      </c>
      <c r="G2460" s="8">
        <v>0.05</v>
      </c>
      <c r="H2460" s="9" t="str">
        <f>INDEX(Products!$B$2:$B$37, MATCH(D2460, Products!$A$2:$A$37, 0))</f>
        <v>Bakhoor Gift Set</v>
      </c>
      <c r="I2460" t="str">
        <f>INDEX(Products!$C$2:$C$37, MATCH(D2460, Products!$A$2:$A$37, 0))</f>
        <v>Beauty</v>
      </c>
      <c r="J2460">
        <f>INDEX(Products!$E$2:$E$37, MATCH(D2460, Products!$A$2:$A$37, 0))</f>
        <v>90</v>
      </c>
      <c r="K2460" s="9">
        <f t="shared" si="152"/>
        <v>189.04999999999998</v>
      </c>
      <c r="L2460">
        <f t="shared" si="153"/>
        <v>90</v>
      </c>
      <c r="M2460" s="9">
        <f t="shared" si="154"/>
        <v>99.049999999999983</v>
      </c>
      <c r="N2460" t="str">
        <f t="shared" si="155"/>
        <v>Jul</v>
      </c>
    </row>
    <row r="2461" spans="1:14" x14ac:dyDescent="0.3">
      <c r="A2461" s="2" t="s">
        <v>2527</v>
      </c>
      <c r="B2461" s="6">
        <v>45869</v>
      </c>
      <c r="C2461" s="2" t="s">
        <v>41</v>
      </c>
      <c r="D2461" s="2" t="s">
        <v>115</v>
      </c>
      <c r="E2461" s="2">
        <v>1</v>
      </c>
      <c r="F2461" s="7">
        <v>129</v>
      </c>
      <c r="G2461" s="8">
        <v>0.15</v>
      </c>
      <c r="H2461" s="9" t="str">
        <f>INDEX(Products!$B$2:$B$37, MATCH(D2461, Products!$A$2:$A$37, 0))</f>
        <v>Electric Kettle</v>
      </c>
      <c r="I2461" t="str">
        <f>INDEX(Products!$C$2:$C$37, MATCH(D2461, Products!$A$2:$A$37, 0))</f>
        <v>Home &amp; Kitchen</v>
      </c>
      <c r="J2461">
        <f>INDEX(Products!$E$2:$E$37, MATCH(D2461, Products!$A$2:$A$37, 0))</f>
        <v>60</v>
      </c>
      <c r="K2461" s="9">
        <f t="shared" si="152"/>
        <v>109.64999999999999</v>
      </c>
      <c r="L2461">
        <f t="shared" si="153"/>
        <v>60</v>
      </c>
      <c r="M2461" s="9">
        <f t="shared" si="154"/>
        <v>49.649999999999991</v>
      </c>
      <c r="N2461" t="str">
        <f t="shared" si="155"/>
        <v>Jul</v>
      </c>
    </row>
    <row r="2462" spans="1:14" x14ac:dyDescent="0.3">
      <c r="A2462" s="2" t="s">
        <v>2528</v>
      </c>
      <c r="B2462" s="6">
        <v>45869</v>
      </c>
      <c r="C2462" s="2" t="s">
        <v>48</v>
      </c>
      <c r="D2462" s="2" t="s">
        <v>29</v>
      </c>
      <c r="E2462" s="2">
        <v>2</v>
      </c>
      <c r="F2462" s="7">
        <v>229</v>
      </c>
      <c r="G2462" s="8">
        <v>0.2</v>
      </c>
      <c r="H2462" s="9" t="str">
        <f>INDEX(Products!$B$2:$B$37, MATCH(D2462, Products!$A$2:$A$37, 0))</f>
        <v>Women's Summer Dress</v>
      </c>
      <c r="I2462" t="str">
        <f>INDEX(Products!$C$2:$C$37, MATCH(D2462, Products!$A$2:$A$37, 0))</f>
        <v>Fashion</v>
      </c>
      <c r="J2462">
        <f>INDEX(Products!$E$2:$E$37, MATCH(D2462, Products!$A$2:$A$37, 0))</f>
        <v>120</v>
      </c>
      <c r="K2462" s="9">
        <f t="shared" si="152"/>
        <v>366.40000000000003</v>
      </c>
      <c r="L2462">
        <f t="shared" si="153"/>
        <v>240</v>
      </c>
      <c r="M2462" s="9">
        <f t="shared" si="154"/>
        <v>126.40000000000003</v>
      </c>
      <c r="N2462" t="str">
        <f t="shared" si="155"/>
        <v>Jul</v>
      </c>
    </row>
    <row r="2463" spans="1:14" x14ac:dyDescent="0.3">
      <c r="A2463" s="2" t="s">
        <v>2529</v>
      </c>
      <c r="B2463" s="6">
        <v>45869</v>
      </c>
      <c r="C2463" s="2" t="s">
        <v>28</v>
      </c>
      <c r="D2463" s="2" t="s">
        <v>83</v>
      </c>
      <c r="E2463" s="2">
        <v>2</v>
      </c>
      <c r="F2463" s="7">
        <v>229</v>
      </c>
      <c r="G2463" s="8">
        <v>0.2</v>
      </c>
      <c r="H2463" s="9" t="str">
        <f>INDEX(Products!$B$2:$B$37, MATCH(D2463, Products!$A$2:$A$37, 0))</f>
        <v>Cycling Helmet</v>
      </c>
      <c r="I2463" t="str">
        <f>INDEX(Products!$C$2:$C$37, MATCH(D2463, Products!$A$2:$A$37, 0))</f>
        <v>Sports</v>
      </c>
      <c r="J2463">
        <f>INDEX(Products!$E$2:$E$37, MATCH(D2463, Products!$A$2:$A$37, 0))</f>
        <v>120</v>
      </c>
      <c r="K2463" s="9">
        <f t="shared" si="152"/>
        <v>366.40000000000003</v>
      </c>
      <c r="L2463">
        <f t="shared" si="153"/>
        <v>240</v>
      </c>
      <c r="M2463" s="9">
        <f t="shared" si="154"/>
        <v>126.40000000000003</v>
      </c>
      <c r="N2463" t="str">
        <f t="shared" si="155"/>
        <v>Jul</v>
      </c>
    </row>
    <row r="2464" spans="1:14" x14ac:dyDescent="0.3">
      <c r="A2464" s="2" t="s">
        <v>2530</v>
      </c>
      <c r="B2464" s="6">
        <v>45869</v>
      </c>
      <c r="C2464" s="2" t="s">
        <v>28</v>
      </c>
      <c r="D2464" s="2" t="s">
        <v>129</v>
      </c>
      <c r="E2464" s="2">
        <v>1</v>
      </c>
      <c r="F2464" s="7">
        <v>149</v>
      </c>
      <c r="G2464" s="8">
        <v>0</v>
      </c>
      <c r="H2464" s="9" t="str">
        <f>INDEX(Products!$B$2:$B$37, MATCH(D2464, Products!$A$2:$A$37, 0))</f>
        <v>Power Bank 20000mAh</v>
      </c>
      <c r="I2464" t="str">
        <f>INDEX(Products!$C$2:$C$37, MATCH(D2464, Products!$A$2:$A$37, 0))</f>
        <v>Electronics</v>
      </c>
      <c r="J2464">
        <f>INDEX(Products!$E$2:$E$37, MATCH(D2464, Products!$A$2:$A$37, 0))</f>
        <v>70</v>
      </c>
      <c r="K2464" s="9">
        <f t="shared" si="152"/>
        <v>149</v>
      </c>
      <c r="L2464">
        <f t="shared" si="153"/>
        <v>70</v>
      </c>
      <c r="M2464" s="9">
        <f t="shared" si="154"/>
        <v>79</v>
      </c>
      <c r="N2464" t="str">
        <f t="shared" si="155"/>
        <v>Jul</v>
      </c>
    </row>
    <row r="2465" spans="1:14" x14ac:dyDescent="0.3">
      <c r="A2465" s="2" t="s">
        <v>2531</v>
      </c>
      <c r="B2465" s="6">
        <v>45869</v>
      </c>
      <c r="C2465" s="2" t="s">
        <v>28</v>
      </c>
      <c r="D2465" s="2" t="s">
        <v>99</v>
      </c>
      <c r="E2465" s="2">
        <v>1</v>
      </c>
      <c r="F2465" s="7">
        <v>459</v>
      </c>
      <c r="G2465" s="8">
        <v>0</v>
      </c>
      <c r="H2465" s="9" t="str">
        <f>INDEX(Products!$B$2:$B$37, MATCH(D2465, Products!$A$2:$A$37, 0))</f>
        <v>Gaming Headset X</v>
      </c>
      <c r="I2465" t="str">
        <f>INDEX(Products!$C$2:$C$37, MATCH(D2465, Products!$A$2:$A$37, 0))</f>
        <v>Electronics</v>
      </c>
      <c r="J2465">
        <f>INDEX(Products!$E$2:$E$37, MATCH(D2465, Products!$A$2:$A$37, 0))</f>
        <v>300</v>
      </c>
      <c r="K2465" s="9">
        <f t="shared" si="152"/>
        <v>459</v>
      </c>
      <c r="L2465">
        <f t="shared" si="153"/>
        <v>300</v>
      </c>
      <c r="M2465" s="9">
        <f t="shared" si="154"/>
        <v>159</v>
      </c>
      <c r="N2465" t="str">
        <f t="shared" si="155"/>
        <v>Jul</v>
      </c>
    </row>
    <row r="2466" spans="1:14" x14ac:dyDescent="0.3">
      <c r="A2466" s="2" t="s">
        <v>2532</v>
      </c>
      <c r="B2466" s="6">
        <v>45869</v>
      </c>
      <c r="C2466" s="2" t="s">
        <v>31</v>
      </c>
      <c r="D2466" s="2" t="s">
        <v>65</v>
      </c>
      <c r="E2466" s="2">
        <v>2</v>
      </c>
      <c r="F2466" s="7">
        <v>129</v>
      </c>
      <c r="G2466" s="8">
        <v>0.2</v>
      </c>
      <c r="H2466" s="9" t="str">
        <f>INDEX(Products!$B$2:$B$37, MATCH(D2466, Products!$A$2:$A$37, 0))</f>
        <v>Yoga Mat Premium</v>
      </c>
      <c r="I2466" t="str">
        <f>INDEX(Products!$C$2:$C$37, MATCH(D2466, Products!$A$2:$A$37, 0))</f>
        <v>Sports</v>
      </c>
      <c r="J2466">
        <f>INDEX(Products!$E$2:$E$37, MATCH(D2466, Products!$A$2:$A$37, 0))</f>
        <v>60</v>
      </c>
      <c r="K2466" s="9">
        <f t="shared" si="152"/>
        <v>206.4</v>
      </c>
      <c r="L2466">
        <f t="shared" si="153"/>
        <v>120</v>
      </c>
      <c r="M2466" s="9">
        <f t="shared" si="154"/>
        <v>86.4</v>
      </c>
      <c r="N2466" t="str">
        <f t="shared" si="155"/>
        <v>Jul</v>
      </c>
    </row>
    <row r="2467" spans="1:14" x14ac:dyDescent="0.3">
      <c r="A2467" s="2" t="s">
        <v>2533</v>
      </c>
      <c r="B2467" s="6">
        <v>45869</v>
      </c>
      <c r="C2467" s="2" t="s">
        <v>44</v>
      </c>
      <c r="D2467" s="2" t="s">
        <v>95</v>
      </c>
      <c r="E2467" s="2">
        <v>1</v>
      </c>
      <c r="F2467" s="7">
        <v>259</v>
      </c>
      <c r="G2467" s="8">
        <v>0.1</v>
      </c>
      <c r="H2467" s="9" t="str">
        <f>INDEX(Products!$B$2:$B$37, MATCH(D2467, Products!$A$2:$A$37, 0))</f>
        <v>Bed Linen Set (King)</v>
      </c>
      <c r="I2467" t="str">
        <f>INDEX(Products!$C$2:$C$37, MATCH(D2467, Products!$A$2:$A$37, 0))</f>
        <v>Home &amp; Kitchen</v>
      </c>
      <c r="J2467">
        <f>INDEX(Products!$E$2:$E$37, MATCH(D2467, Products!$A$2:$A$37, 0))</f>
        <v>115</v>
      </c>
      <c r="K2467" s="9">
        <f t="shared" si="152"/>
        <v>233.1</v>
      </c>
      <c r="L2467">
        <f t="shared" si="153"/>
        <v>115</v>
      </c>
      <c r="M2467" s="9">
        <f t="shared" si="154"/>
        <v>118.1</v>
      </c>
      <c r="N2467" t="str">
        <f t="shared" si="155"/>
        <v>Jul</v>
      </c>
    </row>
    <row r="2468" spans="1:14" x14ac:dyDescent="0.3">
      <c r="A2468" s="2" t="s">
        <v>2534</v>
      </c>
      <c r="B2468" s="6">
        <v>45869</v>
      </c>
      <c r="C2468" s="2" t="s">
        <v>41</v>
      </c>
      <c r="D2468" s="2" t="s">
        <v>95</v>
      </c>
      <c r="E2468" s="2">
        <v>3</v>
      </c>
      <c r="F2468" s="7">
        <v>259</v>
      </c>
      <c r="G2468" s="8">
        <v>0</v>
      </c>
      <c r="H2468" s="9" t="str">
        <f>INDEX(Products!$B$2:$B$37, MATCH(D2468, Products!$A$2:$A$37, 0))</f>
        <v>Bed Linen Set (King)</v>
      </c>
      <c r="I2468" t="str">
        <f>INDEX(Products!$C$2:$C$37, MATCH(D2468, Products!$A$2:$A$37, 0))</f>
        <v>Home &amp; Kitchen</v>
      </c>
      <c r="J2468">
        <f>INDEX(Products!$E$2:$E$37, MATCH(D2468, Products!$A$2:$A$37, 0))</f>
        <v>115</v>
      </c>
      <c r="K2468" s="9">
        <f t="shared" si="152"/>
        <v>777</v>
      </c>
      <c r="L2468">
        <f t="shared" si="153"/>
        <v>345</v>
      </c>
      <c r="M2468" s="9">
        <f t="shared" si="154"/>
        <v>432</v>
      </c>
      <c r="N2468" t="str">
        <f t="shared" si="155"/>
        <v>Jul</v>
      </c>
    </row>
    <row r="2469" spans="1:14" x14ac:dyDescent="0.3">
      <c r="A2469" s="2" t="s">
        <v>2535</v>
      </c>
      <c r="B2469" s="6">
        <v>45869</v>
      </c>
      <c r="C2469" s="2" t="s">
        <v>28</v>
      </c>
      <c r="D2469" s="2" t="s">
        <v>52</v>
      </c>
      <c r="E2469" s="2">
        <v>1</v>
      </c>
      <c r="F2469" s="7">
        <v>299</v>
      </c>
      <c r="G2469" s="8">
        <v>0.1</v>
      </c>
      <c r="H2469" s="9" t="str">
        <f>INDEX(Products!$B$2:$B$37, MATCH(D2469, Products!$A$2:$A$37, 0))</f>
        <v>Hair Dryer Ionic</v>
      </c>
      <c r="I2469" t="str">
        <f>INDEX(Products!$C$2:$C$37, MATCH(D2469, Products!$A$2:$A$37, 0))</f>
        <v>Beauty</v>
      </c>
      <c r="J2469">
        <f>INDEX(Products!$E$2:$E$37, MATCH(D2469, Products!$A$2:$A$37, 0))</f>
        <v>240</v>
      </c>
      <c r="K2469" s="9">
        <f t="shared" si="152"/>
        <v>269.10000000000002</v>
      </c>
      <c r="L2469">
        <f t="shared" si="153"/>
        <v>240</v>
      </c>
      <c r="M2469" s="9">
        <f t="shared" si="154"/>
        <v>29.100000000000023</v>
      </c>
      <c r="N2469" t="str">
        <f t="shared" si="155"/>
        <v>Jul</v>
      </c>
    </row>
    <row r="2470" spans="1:14" x14ac:dyDescent="0.3">
      <c r="A2470" s="2" t="s">
        <v>2536</v>
      </c>
      <c r="B2470" s="6">
        <v>45869</v>
      </c>
      <c r="C2470" s="2" t="s">
        <v>28</v>
      </c>
      <c r="D2470" s="2" t="s">
        <v>129</v>
      </c>
      <c r="E2470" s="2">
        <v>1</v>
      </c>
      <c r="F2470" s="7">
        <v>149</v>
      </c>
      <c r="G2470" s="8">
        <v>0</v>
      </c>
      <c r="H2470" s="9" t="str">
        <f>INDEX(Products!$B$2:$B$37, MATCH(D2470, Products!$A$2:$A$37, 0))</f>
        <v>Power Bank 20000mAh</v>
      </c>
      <c r="I2470" t="str">
        <f>INDEX(Products!$C$2:$C$37, MATCH(D2470, Products!$A$2:$A$37, 0))</f>
        <v>Electronics</v>
      </c>
      <c r="J2470">
        <f>INDEX(Products!$E$2:$E$37, MATCH(D2470, Products!$A$2:$A$37, 0))</f>
        <v>70</v>
      </c>
      <c r="K2470" s="9">
        <f t="shared" si="152"/>
        <v>149</v>
      </c>
      <c r="L2470">
        <f t="shared" si="153"/>
        <v>70</v>
      </c>
      <c r="M2470" s="9">
        <f t="shared" si="154"/>
        <v>79</v>
      </c>
      <c r="N2470" t="str">
        <f t="shared" si="155"/>
        <v>Jul</v>
      </c>
    </row>
    <row r="2471" spans="1:14" x14ac:dyDescent="0.3">
      <c r="A2471" s="2" t="s">
        <v>2537</v>
      </c>
      <c r="B2471" s="6">
        <v>45869</v>
      </c>
      <c r="C2471" s="2" t="s">
        <v>31</v>
      </c>
      <c r="D2471" s="2" t="s">
        <v>99</v>
      </c>
      <c r="E2471" s="2">
        <v>4</v>
      </c>
      <c r="F2471" s="7">
        <v>459</v>
      </c>
      <c r="G2471" s="8">
        <v>0</v>
      </c>
      <c r="H2471" s="9" t="str">
        <f>INDEX(Products!$B$2:$B$37, MATCH(D2471, Products!$A$2:$A$37, 0))</f>
        <v>Gaming Headset X</v>
      </c>
      <c r="I2471" t="str">
        <f>INDEX(Products!$C$2:$C$37, MATCH(D2471, Products!$A$2:$A$37, 0))</f>
        <v>Electronics</v>
      </c>
      <c r="J2471">
        <f>INDEX(Products!$E$2:$E$37, MATCH(D2471, Products!$A$2:$A$37, 0))</f>
        <v>300</v>
      </c>
      <c r="K2471" s="9">
        <f t="shared" si="152"/>
        <v>1836</v>
      </c>
      <c r="L2471">
        <f t="shared" si="153"/>
        <v>1200</v>
      </c>
      <c r="M2471" s="9">
        <f t="shared" si="154"/>
        <v>636</v>
      </c>
      <c r="N2471" t="str">
        <f t="shared" si="155"/>
        <v>Jul</v>
      </c>
    </row>
    <row r="2472" spans="1:14" x14ac:dyDescent="0.3">
      <c r="A2472" s="2" t="s">
        <v>2538</v>
      </c>
      <c r="B2472" s="6">
        <v>45869</v>
      </c>
      <c r="C2472" s="2" t="s">
        <v>31</v>
      </c>
      <c r="D2472" s="2" t="s">
        <v>49</v>
      </c>
      <c r="E2472" s="2">
        <v>1</v>
      </c>
      <c r="F2472" s="7">
        <v>149</v>
      </c>
      <c r="G2472" s="8">
        <v>0.05</v>
      </c>
      <c r="H2472" s="9" t="str">
        <f>INDEX(Products!$B$2:$B$37, MATCH(D2472, Products!$A$2:$A$37, 0))</f>
        <v>Kids' Sneakers</v>
      </c>
      <c r="I2472" t="str">
        <f>INDEX(Products!$C$2:$C$37, MATCH(D2472, Products!$A$2:$A$37, 0))</f>
        <v>Fashion</v>
      </c>
      <c r="J2472">
        <f>INDEX(Products!$E$2:$E$37, MATCH(D2472, Products!$A$2:$A$37, 0))</f>
        <v>80</v>
      </c>
      <c r="K2472" s="9">
        <f t="shared" si="152"/>
        <v>141.54999999999998</v>
      </c>
      <c r="L2472">
        <f t="shared" si="153"/>
        <v>80</v>
      </c>
      <c r="M2472" s="9">
        <f t="shared" si="154"/>
        <v>61.549999999999983</v>
      </c>
      <c r="N2472" t="str">
        <f t="shared" si="155"/>
        <v>Jul</v>
      </c>
    </row>
    <row r="2473" spans="1:14" x14ac:dyDescent="0.3">
      <c r="A2473" s="2" t="s">
        <v>2539</v>
      </c>
      <c r="B2473" s="6">
        <v>45869</v>
      </c>
      <c r="C2473" s="2" t="s">
        <v>28</v>
      </c>
      <c r="D2473" s="2" t="s">
        <v>89</v>
      </c>
      <c r="E2473" s="2">
        <v>4</v>
      </c>
      <c r="F2473" s="7">
        <v>399</v>
      </c>
      <c r="G2473" s="8">
        <v>0.1</v>
      </c>
      <c r="H2473" s="9" t="str">
        <f>INDEX(Products!$B$2:$B$37, MATCH(D2473, Products!$A$2:$A$37, 0))</f>
        <v>Men's Kandura Premium</v>
      </c>
      <c r="I2473" t="str">
        <f>INDEX(Products!$C$2:$C$37, MATCH(D2473, Products!$A$2:$A$37, 0))</f>
        <v>Fashion</v>
      </c>
      <c r="J2473">
        <f>INDEX(Products!$E$2:$E$37, MATCH(D2473, Products!$A$2:$A$37, 0))</f>
        <v>210</v>
      </c>
      <c r="K2473" s="9">
        <f t="shared" si="152"/>
        <v>1436.4</v>
      </c>
      <c r="L2473">
        <f t="shared" si="153"/>
        <v>840</v>
      </c>
      <c r="M2473" s="9">
        <f t="shared" si="154"/>
        <v>596.40000000000009</v>
      </c>
      <c r="N2473" t="str">
        <f t="shared" si="155"/>
        <v>Jul</v>
      </c>
    </row>
    <row r="2474" spans="1:14" x14ac:dyDescent="0.3">
      <c r="A2474" s="2" t="s">
        <v>2540</v>
      </c>
      <c r="B2474" s="6">
        <v>45870</v>
      </c>
      <c r="C2474" s="2" t="s">
        <v>31</v>
      </c>
      <c r="D2474" s="2" t="s">
        <v>92</v>
      </c>
      <c r="E2474" s="2">
        <v>1</v>
      </c>
      <c r="F2474" s="7">
        <v>349</v>
      </c>
      <c r="G2474" s="8">
        <v>0</v>
      </c>
      <c r="H2474" s="9" t="str">
        <f>INDEX(Products!$B$2:$B$37, MATCH(D2474, Products!$A$2:$A$37, 0))</f>
        <v>Non-stick Cookware Set</v>
      </c>
      <c r="I2474" t="str">
        <f>INDEX(Products!$C$2:$C$37, MATCH(D2474, Products!$A$2:$A$37, 0))</f>
        <v>Home &amp; Kitchen</v>
      </c>
      <c r="J2474">
        <f>INDEX(Products!$E$2:$E$37, MATCH(D2474, Products!$A$2:$A$37, 0))</f>
        <v>170</v>
      </c>
      <c r="K2474" s="9">
        <f t="shared" si="152"/>
        <v>349</v>
      </c>
      <c r="L2474">
        <f t="shared" si="153"/>
        <v>170</v>
      </c>
      <c r="M2474" s="9">
        <f t="shared" si="154"/>
        <v>179</v>
      </c>
      <c r="N2474" t="str">
        <f t="shared" si="155"/>
        <v>Aug</v>
      </c>
    </row>
    <row r="2475" spans="1:14" x14ac:dyDescent="0.3">
      <c r="A2475" s="2" t="s">
        <v>2541</v>
      </c>
      <c r="B2475" s="6">
        <v>45870</v>
      </c>
      <c r="C2475" s="2" t="s">
        <v>44</v>
      </c>
      <c r="D2475" s="2" t="s">
        <v>194</v>
      </c>
      <c r="E2475" s="2">
        <v>2</v>
      </c>
      <c r="F2475" s="7">
        <v>699</v>
      </c>
      <c r="G2475" s="8">
        <v>0</v>
      </c>
      <c r="H2475" s="9" t="str">
        <f>INDEX(Products!$B$2:$B$37, MATCH(D2475, Products!$A$2:$A$37, 0))</f>
        <v>Leather Handbag</v>
      </c>
      <c r="I2475" t="str">
        <f>INDEX(Products!$C$2:$C$37, MATCH(D2475, Products!$A$2:$A$37, 0))</f>
        <v>Fashion</v>
      </c>
      <c r="J2475">
        <f>INDEX(Products!$E$2:$E$37, MATCH(D2475, Products!$A$2:$A$37, 0))</f>
        <v>380</v>
      </c>
      <c r="K2475" s="9">
        <f t="shared" si="152"/>
        <v>1398</v>
      </c>
      <c r="L2475">
        <f t="shared" si="153"/>
        <v>760</v>
      </c>
      <c r="M2475" s="9">
        <f t="shared" si="154"/>
        <v>638</v>
      </c>
      <c r="N2475" t="str">
        <f t="shared" si="155"/>
        <v>Aug</v>
      </c>
    </row>
    <row r="2476" spans="1:14" x14ac:dyDescent="0.3">
      <c r="A2476" s="2" t="s">
        <v>2542</v>
      </c>
      <c r="B2476" s="6">
        <v>45870</v>
      </c>
      <c r="C2476" s="2" t="s">
        <v>41</v>
      </c>
      <c r="D2476" s="2" t="s">
        <v>49</v>
      </c>
      <c r="E2476" s="2">
        <v>1</v>
      </c>
      <c r="F2476" s="7">
        <v>149</v>
      </c>
      <c r="G2476" s="8">
        <v>0</v>
      </c>
      <c r="H2476" s="9" t="str">
        <f>INDEX(Products!$B$2:$B$37, MATCH(D2476, Products!$A$2:$A$37, 0))</f>
        <v>Kids' Sneakers</v>
      </c>
      <c r="I2476" t="str">
        <f>INDEX(Products!$C$2:$C$37, MATCH(D2476, Products!$A$2:$A$37, 0))</f>
        <v>Fashion</v>
      </c>
      <c r="J2476">
        <f>INDEX(Products!$E$2:$E$37, MATCH(D2476, Products!$A$2:$A$37, 0))</f>
        <v>80</v>
      </c>
      <c r="K2476" s="9">
        <f t="shared" si="152"/>
        <v>149</v>
      </c>
      <c r="L2476">
        <f t="shared" si="153"/>
        <v>80</v>
      </c>
      <c r="M2476" s="9">
        <f t="shared" si="154"/>
        <v>69</v>
      </c>
      <c r="N2476" t="str">
        <f t="shared" si="155"/>
        <v>Aug</v>
      </c>
    </row>
    <row r="2477" spans="1:14" x14ac:dyDescent="0.3">
      <c r="A2477" s="2" t="s">
        <v>2543</v>
      </c>
      <c r="B2477" s="6">
        <v>45870</v>
      </c>
      <c r="C2477" s="2" t="s">
        <v>31</v>
      </c>
      <c r="D2477" s="2" t="s">
        <v>37</v>
      </c>
      <c r="E2477" s="2">
        <v>1</v>
      </c>
      <c r="F2477" s="7">
        <v>249</v>
      </c>
      <c r="G2477" s="8">
        <v>0</v>
      </c>
      <c r="H2477" s="9" t="str">
        <f>INDEX(Products!$B$2:$B$37, MATCH(D2477, Products!$A$2:$A$37, 0))</f>
        <v>Sunglasses Polarised</v>
      </c>
      <c r="I2477" t="str">
        <f>INDEX(Products!$C$2:$C$37, MATCH(D2477, Products!$A$2:$A$37, 0))</f>
        <v>Fashion</v>
      </c>
      <c r="J2477">
        <f>INDEX(Products!$E$2:$E$37, MATCH(D2477, Products!$A$2:$A$37, 0))</f>
        <v>95</v>
      </c>
      <c r="K2477" s="9">
        <f t="shared" si="152"/>
        <v>249</v>
      </c>
      <c r="L2477">
        <f t="shared" si="153"/>
        <v>95</v>
      </c>
      <c r="M2477" s="9">
        <f t="shared" si="154"/>
        <v>154</v>
      </c>
      <c r="N2477" t="str">
        <f t="shared" si="155"/>
        <v>Aug</v>
      </c>
    </row>
    <row r="2478" spans="1:14" x14ac:dyDescent="0.3">
      <c r="A2478" s="2" t="s">
        <v>2544</v>
      </c>
      <c r="B2478" s="6">
        <v>45870</v>
      </c>
      <c r="C2478" s="2" t="s">
        <v>28</v>
      </c>
      <c r="D2478" s="2" t="s">
        <v>35</v>
      </c>
      <c r="E2478" s="2">
        <v>2</v>
      </c>
      <c r="F2478" s="7">
        <v>179</v>
      </c>
      <c r="G2478" s="8">
        <v>0</v>
      </c>
      <c r="H2478" s="9" t="str">
        <f>INDEX(Products!$B$2:$B$37, MATCH(D2478, Products!$A$2:$A$37, 0))</f>
        <v>Men's Linen Shirt</v>
      </c>
      <c r="I2478" t="str">
        <f>INDEX(Products!$C$2:$C$37, MATCH(D2478, Products!$A$2:$A$37, 0))</f>
        <v>Fashion</v>
      </c>
      <c r="J2478">
        <f>INDEX(Products!$E$2:$E$37, MATCH(D2478, Products!$A$2:$A$37, 0))</f>
        <v>70</v>
      </c>
      <c r="K2478" s="9">
        <f t="shared" si="152"/>
        <v>358</v>
      </c>
      <c r="L2478">
        <f t="shared" si="153"/>
        <v>140</v>
      </c>
      <c r="M2478" s="9">
        <f t="shared" si="154"/>
        <v>218</v>
      </c>
      <c r="N2478" t="str">
        <f t="shared" si="155"/>
        <v>Aug</v>
      </c>
    </row>
    <row r="2479" spans="1:14" x14ac:dyDescent="0.3">
      <c r="A2479" s="2" t="s">
        <v>2545</v>
      </c>
      <c r="B2479" s="6">
        <v>45870</v>
      </c>
      <c r="C2479" s="2" t="s">
        <v>44</v>
      </c>
      <c r="D2479" s="2" t="s">
        <v>46</v>
      </c>
      <c r="E2479" s="2">
        <v>2</v>
      </c>
      <c r="F2479" s="7">
        <v>189</v>
      </c>
      <c r="G2479" s="8">
        <v>0</v>
      </c>
      <c r="H2479" s="9" t="str">
        <f>INDEX(Products!$B$2:$B$37, MATCH(D2479, Products!$A$2:$A$37, 0))</f>
        <v>Makeup Palette</v>
      </c>
      <c r="I2479" t="str">
        <f>INDEX(Products!$C$2:$C$37, MATCH(D2479, Products!$A$2:$A$37, 0))</f>
        <v>Beauty</v>
      </c>
      <c r="J2479">
        <f>INDEX(Products!$E$2:$E$37, MATCH(D2479, Products!$A$2:$A$37, 0))</f>
        <v>85</v>
      </c>
      <c r="K2479" s="9">
        <f t="shared" si="152"/>
        <v>378</v>
      </c>
      <c r="L2479">
        <f t="shared" si="153"/>
        <v>170</v>
      </c>
      <c r="M2479" s="9">
        <f t="shared" si="154"/>
        <v>208</v>
      </c>
      <c r="N2479" t="str">
        <f t="shared" si="155"/>
        <v>Aug</v>
      </c>
    </row>
    <row r="2480" spans="1:14" x14ac:dyDescent="0.3">
      <c r="A2480" s="2" t="s">
        <v>2546</v>
      </c>
      <c r="B2480" s="6">
        <v>45870</v>
      </c>
      <c r="C2480" s="2" t="s">
        <v>44</v>
      </c>
      <c r="D2480" s="2" t="s">
        <v>68</v>
      </c>
      <c r="E2480" s="2">
        <v>1</v>
      </c>
      <c r="F2480" s="7">
        <v>249</v>
      </c>
      <c r="G2480" s="8">
        <v>0</v>
      </c>
      <c r="H2480" s="9" t="str">
        <f>INDEX(Products!$B$2:$B$37, MATCH(D2480, Products!$A$2:$A$37, 0))</f>
        <v>Bluetooth Speaker Mini</v>
      </c>
      <c r="I2480" t="str">
        <f>INDEX(Products!$C$2:$C$37, MATCH(D2480, Products!$A$2:$A$37, 0))</f>
        <v>Electronics</v>
      </c>
      <c r="J2480">
        <f>INDEX(Products!$E$2:$E$37, MATCH(D2480, Products!$A$2:$A$37, 0))</f>
        <v>150</v>
      </c>
      <c r="K2480" s="9">
        <f t="shared" si="152"/>
        <v>249</v>
      </c>
      <c r="L2480">
        <f t="shared" si="153"/>
        <v>150</v>
      </c>
      <c r="M2480" s="9">
        <f t="shared" si="154"/>
        <v>99</v>
      </c>
      <c r="N2480" t="str">
        <f t="shared" si="155"/>
        <v>Aug</v>
      </c>
    </row>
    <row r="2481" spans="1:14" x14ac:dyDescent="0.3">
      <c r="A2481" s="2" t="s">
        <v>2547</v>
      </c>
      <c r="B2481" s="6">
        <v>45870</v>
      </c>
      <c r="C2481" s="2" t="s">
        <v>48</v>
      </c>
      <c r="D2481" s="2" t="s">
        <v>83</v>
      </c>
      <c r="E2481" s="2">
        <v>1</v>
      </c>
      <c r="F2481" s="7">
        <v>229</v>
      </c>
      <c r="G2481" s="8">
        <v>0</v>
      </c>
      <c r="H2481" s="9" t="str">
        <f>INDEX(Products!$B$2:$B$37, MATCH(D2481, Products!$A$2:$A$37, 0))</f>
        <v>Cycling Helmet</v>
      </c>
      <c r="I2481" t="str">
        <f>INDEX(Products!$C$2:$C$37, MATCH(D2481, Products!$A$2:$A$37, 0))</f>
        <v>Sports</v>
      </c>
      <c r="J2481">
        <f>INDEX(Products!$E$2:$E$37, MATCH(D2481, Products!$A$2:$A$37, 0))</f>
        <v>120</v>
      </c>
      <c r="K2481" s="9">
        <f t="shared" si="152"/>
        <v>229</v>
      </c>
      <c r="L2481">
        <f t="shared" si="153"/>
        <v>120</v>
      </c>
      <c r="M2481" s="9">
        <f t="shared" si="154"/>
        <v>109</v>
      </c>
      <c r="N2481" t="str">
        <f t="shared" si="155"/>
        <v>Aug</v>
      </c>
    </row>
    <row r="2482" spans="1:14" x14ac:dyDescent="0.3">
      <c r="A2482" s="2" t="s">
        <v>2548</v>
      </c>
      <c r="B2482" s="6">
        <v>45871</v>
      </c>
      <c r="C2482" s="2" t="s">
        <v>48</v>
      </c>
      <c r="D2482" s="2" t="s">
        <v>99</v>
      </c>
      <c r="E2482" s="2">
        <v>1</v>
      </c>
      <c r="F2482" s="7">
        <v>459</v>
      </c>
      <c r="G2482" s="8">
        <v>0.2</v>
      </c>
      <c r="H2482" s="9" t="str">
        <f>INDEX(Products!$B$2:$B$37, MATCH(D2482, Products!$A$2:$A$37, 0))</f>
        <v>Gaming Headset X</v>
      </c>
      <c r="I2482" t="str">
        <f>INDEX(Products!$C$2:$C$37, MATCH(D2482, Products!$A$2:$A$37, 0))</f>
        <v>Electronics</v>
      </c>
      <c r="J2482">
        <f>INDEX(Products!$E$2:$E$37, MATCH(D2482, Products!$A$2:$A$37, 0))</f>
        <v>300</v>
      </c>
      <c r="K2482" s="9">
        <f t="shared" si="152"/>
        <v>367.20000000000005</v>
      </c>
      <c r="L2482">
        <f t="shared" si="153"/>
        <v>300</v>
      </c>
      <c r="M2482" s="9">
        <f t="shared" si="154"/>
        <v>67.200000000000045</v>
      </c>
      <c r="N2482" t="str">
        <f t="shared" si="155"/>
        <v>Aug</v>
      </c>
    </row>
    <row r="2483" spans="1:14" x14ac:dyDescent="0.3">
      <c r="A2483" s="2" t="s">
        <v>2549</v>
      </c>
      <c r="B2483" s="6">
        <v>45871</v>
      </c>
      <c r="C2483" s="2" t="s">
        <v>28</v>
      </c>
      <c r="D2483" s="2" t="s">
        <v>115</v>
      </c>
      <c r="E2483" s="2">
        <v>1</v>
      </c>
      <c r="F2483" s="7">
        <v>129</v>
      </c>
      <c r="G2483" s="8">
        <v>0</v>
      </c>
      <c r="H2483" s="9" t="str">
        <f>INDEX(Products!$B$2:$B$37, MATCH(D2483, Products!$A$2:$A$37, 0))</f>
        <v>Electric Kettle</v>
      </c>
      <c r="I2483" t="str">
        <f>INDEX(Products!$C$2:$C$37, MATCH(D2483, Products!$A$2:$A$37, 0))</f>
        <v>Home &amp; Kitchen</v>
      </c>
      <c r="J2483">
        <f>INDEX(Products!$E$2:$E$37, MATCH(D2483, Products!$A$2:$A$37, 0))</f>
        <v>60</v>
      </c>
      <c r="K2483" s="9">
        <f t="shared" si="152"/>
        <v>129</v>
      </c>
      <c r="L2483">
        <f t="shared" si="153"/>
        <v>60</v>
      </c>
      <c r="M2483" s="9">
        <f t="shared" si="154"/>
        <v>69</v>
      </c>
      <c r="N2483" t="str">
        <f t="shared" si="155"/>
        <v>Aug</v>
      </c>
    </row>
    <row r="2484" spans="1:14" x14ac:dyDescent="0.3">
      <c r="A2484" s="2" t="s">
        <v>2550</v>
      </c>
      <c r="B2484" s="6">
        <v>45871</v>
      </c>
      <c r="C2484" s="2" t="s">
        <v>28</v>
      </c>
      <c r="D2484" s="2" t="s">
        <v>65</v>
      </c>
      <c r="E2484" s="2">
        <v>1</v>
      </c>
      <c r="F2484" s="7">
        <v>129</v>
      </c>
      <c r="G2484" s="8">
        <v>0.05</v>
      </c>
      <c r="H2484" s="9" t="str">
        <f>INDEX(Products!$B$2:$B$37, MATCH(D2484, Products!$A$2:$A$37, 0))</f>
        <v>Yoga Mat Premium</v>
      </c>
      <c r="I2484" t="str">
        <f>INDEX(Products!$C$2:$C$37, MATCH(D2484, Products!$A$2:$A$37, 0))</f>
        <v>Sports</v>
      </c>
      <c r="J2484">
        <f>INDEX(Products!$E$2:$E$37, MATCH(D2484, Products!$A$2:$A$37, 0))</f>
        <v>60</v>
      </c>
      <c r="K2484" s="9">
        <f t="shared" si="152"/>
        <v>122.55</v>
      </c>
      <c r="L2484">
        <f t="shared" si="153"/>
        <v>60</v>
      </c>
      <c r="M2484" s="9">
        <f t="shared" si="154"/>
        <v>62.55</v>
      </c>
      <c r="N2484" t="str">
        <f t="shared" si="155"/>
        <v>Aug</v>
      </c>
    </row>
    <row r="2485" spans="1:14" x14ac:dyDescent="0.3">
      <c r="A2485" s="2" t="s">
        <v>2551</v>
      </c>
      <c r="B2485" s="6">
        <v>45871</v>
      </c>
      <c r="C2485" s="2" t="s">
        <v>44</v>
      </c>
      <c r="D2485" s="2" t="s">
        <v>58</v>
      </c>
      <c r="E2485" s="2">
        <v>1</v>
      </c>
      <c r="F2485" s="7">
        <v>459</v>
      </c>
      <c r="G2485" s="8">
        <v>0</v>
      </c>
      <c r="H2485" s="9" t="str">
        <f>INDEX(Products!$B$2:$B$37, MATCH(D2485, Products!$A$2:$A$37, 0))</f>
        <v>Women's Abaya Classic</v>
      </c>
      <c r="I2485" t="str">
        <f>INDEX(Products!$C$2:$C$37, MATCH(D2485, Products!$A$2:$A$37, 0))</f>
        <v>Fashion</v>
      </c>
      <c r="J2485">
        <f>INDEX(Products!$E$2:$E$37, MATCH(D2485, Products!$A$2:$A$37, 0))</f>
        <v>190</v>
      </c>
      <c r="K2485" s="9">
        <f t="shared" si="152"/>
        <v>459</v>
      </c>
      <c r="L2485">
        <f t="shared" si="153"/>
        <v>190</v>
      </c>
      <c r="M2485" s="9">
        <f t="shared" si="154"/>
        <v>269</v>
      </c>
      <c r="N2485" t="str">
        <f t="shared" si="155"/>
        <v>Aug</v>
      </c>
    </row>
    <row r="2486" spans="1:14" x14ac:dyDescent="0.3">
      <c r="A2486" s="2" t="s">
        <v>2552</v>
      </c>
      <c r="B2486" s="6">
        <v>45871</v>
      </c>
      <c r="C2486" s="2" t="s">
        <v>41</v>
      </c>
      <c r="D2486" s="2" t="s">
        <v>126</v>
      </c>
      <c r="E2486" s="2">
        <v>4</v>
      </c>
      <c r="F2486" s="7">
        <v>89</v>
      </c>
      <c r="G2486" s="8">
        <v>0</v>
      </c>
      <c r="H2486" s="9" t="str">
        <f>INDEX(Products!$B$2:$B$37, MATCH(D2486, Products!$A$2:$A$37, 0))</f>
        <v>USB-C Fast Charger</v>
      </c>
      <c r="I2486" t="str">
        <f>INDEX(Products!$C$2:$C$37, MATCH(D2486, Products!$A$2:$A$37, 0))</f>
        <v>Electronics</v>
      </c>
      <c r="J2486">
        <f>INDEX(Products!$E$2:$E$37, MATCH(D2486, Products!$A$2:$A$37, 0))</f>
        <v>35</v>
      </c>
      <c r="K2486" s="9">
        <f t="shared" si="152"/>
        <v>356</v>
      </c>
      <c r="L2486">
        <f t="shared" si="153"/>
        <v>140</v>
      </c>
      <c r="M2486" s="9">
        <f t="shared" si="154"/>
        <v>216</v>
      </c>
      <c r="N2486" t="str">
        <f t="shared" si="155"/>
        <v>Aug</v>
      </c>
    </row>
    <row r="2487" spans="1:14" x14ac:dyDescent="0.3">
      <c r="A2487" s="2" t="s">
        <v>2553</v>
      </c>
      <c r="B2487" s="6">
        <v>45871</v>
      </c>
      <c r="C2487" s="2" t="s">
        <v>44</v>
      </c>
      <c r="D2487" s="2" t="s">
        <v>35</v>
      </c>
      <c r="E2487" s="2">
        <v>2</v>
      </c>
      <c r="F2487" s="7">
        <v>179</v>
      </c>
      <c r="G2487" s="8">
        <v>0</v>
      </c>
      <c r="H2487" s="9" t="str">
        <f>INDEX(Products!$B$2:$B$37, MATCH(D2487, Products!$A$2:$A$37, 0))</f>
        <v>Men's Linen Shirt</v>
      </c>
      <c r="I2487" t="str">
        <f>INDEX(Products!$C$2:$C$37, MATCH(D2487, Products!$A$2:$A$37, 0))</f>
        <v>Fashion</v>
      </c>
      <c r="J2487">
        <f>INDEX(Products!$E$2:$E$37, MATCH(D2487, Products!$A$2:$A$37, 0))</f>
        <v>70</v>
      </c>
      <c r="K2487" s="9">
        <f t="shared" si="152"/>
        <v>358</v>
      </c>
      <c r="L2487">
        <f t="shared" si="153"/>
        <v>140</v>
      </c>
      <c r="M2487" s="9">
        <f t="shared" si="154"/>
        <v>218</v>
      </c>
      <c r="N2487" t="str">
        <f t="shared" si="155"/>
        <v>Aug</v>
      </c>
    </row>
    <row r="2488" spans="1:14" x14ac:dyDescent="0.3">
      <c r="A2488" s="2" t="s">
        <v>2554</v>
      </c>
      <c r="B2488" s="6">
        <v>45871</v>
      </c>
      <c r="C2488" s="2" t="s">
        <v>31</v>
      </c>
      <c r="D2488" s="2" t="s">
        <v>129</v>
      </c>
      <c r="E2488" s="2">
        <v>1</v>
      </c>
      <c r="F2488" s="7">
        <v>149</v>
      </c>
      <c r="G2488" s="8">
        <v>0.2</v>
      </c>
      <c r="H2488" s="9" t="str">
        <f>INDEX(Products!$B$2:$B$37, MATCH(D2488, Products!$A$2:$A$37, 0))</f>
        <v>Power Bank 20000mAh</v>
      </c>
      <c r="I2488" t="str">
        <f>INDEX(Products!$C$2:$C$37, MATCH(D2488, Products!$A$2:$A$37, 0))</f>
        <v>Electronics</v>
      </c>
      <c r="J2488">
        <f>INDEX(Products!$E$2:$E$37, MATCH(D2488, Products!$A$2:$A$37, 0))</f>
        <v>70</v>
      </c>
      <c r="K2488" s="9">
        <f t="shared" si="152"/>
        <v>119.2</v>
      </c>
      <c r="L2488">
        <f t="shared" si="153"/>
        <v>70</v>
      </c>
      <c r="M2488" s="9">
        <f t="shared" si="154"/>
        <v>49.2</v>
      </c>
      <c r="N2488" t="str">
        <f t="shared" si="155"/>
        <v>Aug</v>
      </c>
    </row>
    <row r="2489" spans="1:14" x14ac:dyDescent="0.3">
      <c r="A2489" s="2" t="s">
        <v>2555</v>
      </c>
      <c r="B2489" s="6">
        <v>45871</v>
      </c>
      <c r="C2489" s="2" t="s">
        <v>31</v>
      </c>
      <c r="D2489" s="2" t="s">
        <v>49</v>
      </c>
      <c r="E2489" s="2">
        <v>4</v>
      </c>
      <c r="F2489" s="7">
        <v>149</v>
      </c>
      <c r="G2489" s="8">
        <v>0.1</v>
      </c>
      <c r="H2489" s="9" t="str">
        <f>INDEX(Products!$B$2:$B$37, MATCH(D2489, Products!$A$2:$A$37, 0))</f>
        <v>Kids' Sneakers</v>
      </c>
      <c r="I2489" t="str">
        <f>INDEX(Products!$C$2:$C$37, MATCH(D2489, Products!$A$2:$A$37, 0))</f>
        <v>Fashion</v>
      </c>
      <c r="J2489">
        <f>INDEX(Products!$E$2:$E$37, MATCH(D2489, Products!$A$2:$A$37, 0))</f>
        <v>80</v>
      </c>
      <c r="K2489" s="9">
        <f t="shared" si="152"/>
        <v>536.4</v>
      </c>
      <c r="L2489">
        <f t="shared" si="153"/>
        <v>320</v>
      </c>
      <c r="M2489" s="9">
        <f t="shared" si="154"/>
        <v>216.39999999999998</v>
      </c>
      <c r="N2489" t="str">
        <f t="shared" si="155"/>
        <v>Aug</v>
      </c>
    </row>
    <row r="2490" spans="1:14" x14ac:dyDescent="0.3">
      <c r="A2490" s="2" t="s">
        <v>2556</v>
      </c>
      <c r="B2490" s="6">
        <v>45871</v>
      </c>
      <c r="C2490" s="2" t="s">
        <v>44</v>
      </c>
      <c r="D2490" s="2" t="s">
        <v>78</v>
      </c>
      <c r="E2490" s="2">
        <v>2</v>
      </c>
      <c r="F2490" s="7">
        <v>499</v>
      </c>
      <c r="G2490" s="8">
        <v>0.3</v>
      </c>
      <c r="H2490" s="9" t="str">
        <f>INDEX(Products!$B$2:$B$37, MATCH(D2490, Products!$A$2:$A$37, 0))</f>
        <v>Air Fryer 5L</v>
      </c>
      <c r="I2490" t="str">
        <f>INDEX(Products!$C$2:$C$37, MATCH(D2490, Products!$A$2:$A$37, 0))</f>
        <v>Home &amp; Kitchen</v>
      </c>
      <c r="J2490">
        <f>INDEX(Products!$E$2:$E$37, MATCH(D2490, Products!$A$2:$A$37, 0))</f>
        <v>290</v>
      </c>
      <c r="K2490" s="9">
        <f t="shared" si="152"/>
        <v>698.59999999999991</v>
      </c>
      <c r="L2490">
        <f t="shared" si="153"/>
        <v>580</v>
      </c>
      <c r="M2490" s="9">
        <f t="shared" si="154"/>
        <v>118.59999999999991</v>
      </c>
      <c r="N2490" t="str">
        <f t="shared" si="155"/>
        <v>Aug</v>
      </c>
    </row>
    <row r="2491" spans="1:14" x14ac:dyDescent="0.3">
      <c r="A2491" s="2" t="s">
        <v>2557</v>
      </c>
      <c r="B2491" s="6">
        <v>45871</v>
      </c>
      <c r="C2491" s="2" t="s">
        <v>44</v>
      </c>
      <c r="D2491" s="2" t="s">
        <v>92</v>
      </c>
      <c r="E2491" s="2">
        <v>4</v>
      </c>
      <c r="F2491" s="7">
        <v>349</v>
      </c>
      <c r="G2491" s="8">
        <v>0</v>
      </c>
      <c r="H2491" s="9" t="str">
        <f>INDEX(Products!$B$2:$B$37, MATCH(D2491, Products!$A$2:$A$37, 0))</f>
        <v>Non-stick Cookware Set</v>
      </c>
      <c r="I2491" t="str">
        <f>INDEX(Products!$C$2:$C$37, MATCH(D2491, Products!$A$2:$A$37, 0))</f>
        <v>Home &amp; Kitchen</v>
      </c>
      <c r="J2491">
        <f>INDEX(Products!$E$2:$E$37, MATCH(D2491, Products!$A$2:$A$37, 0))</f>
        <v>170</v>
      </c>
      <c r="K2491" s="9">
        <f t="shared" si="152"/>
        <v>1396</v>
      </c>
      <c r="L2491">
        <f t="shared" si="153"/>
        <v>680</v>
      </c>
      <c r="M2491" s="9">
        <f t="shared" si="154"/>
        <v>716</v>
      </c>
      <c r="N2491" t="str">
        <f t="shared" si="155"/>
        <v>Aug</v>
      </c>
    </row>
    <row r="2492" spans="1:14" x14ac:dyDescent="0.3">
      <c r="A2492" s="2" t="s">
        <v>2558</v>
      </c>
      <c r="B2492" s="6">
        <v>45871</v>
      </c>
      <c r="C2492" s="2" t="s">
        <v>41</v>
      </c>
      <c r="D2492" s="2" t="s">
        <v>87</v>
      </c>
      <c r="E2492" s="2">
        <v>3</v>
      </c>
      <c r="F2492" s="7">
        <v>799</v>
      </c>
      <c r="G2492" s="8">
        <v>0.25</v>
      </c>
      <c r="H2492" s="9" t="str">
        <f>INDEX(Products!$B$2:$B$37, MATCH(D2492, Products!$A$2:$A$37, 0))</f>
        <v>Adjustable Dumbbells</v>
      </c>
      <c r="I2492" t="str">
        <f>INDEX(Products!$C$2:$C$37, MATCH(D2492, Products!$A$2:$A$37, 0))</f>
        <v>Sports</v>
      </c>
      <c r="J2492">
        <f>INDEX(Products!$E$2:$E$37, MATCH(D2492, Products!$A$2:$A$37, 0))</f>
        <v>700</v>
      </c>
      <c r="K2492" s="9">
        <f t="shared" si="152"/>
        <v>1797.75</v>
      </c>
      <c r="L2492">
        <f t="shared" si="153"/>
        <v>2100</v>
      </c>
      <c r="M2492" s="9">
        <f t="shared" si="154"/>
        <v>-302.25</v>
      </c>
      <c r="N2492" t="str">
        <f t="shared" si="155"/>
        <v>Aug</v>
      </c>
    </row>
    <row r="2493" spans="1:14" x14ac:dyDescent="0.3">
      <c r="A2493" s="2" t="s">
        <v>2559</v>
      </c>
      <c r="B2493" s="6">
        <v>45871</v>
      </c>
      <c r="C2493" s="2" t="s">
        <v>31</v>
      </c>
      <c r="D2493" s="2" t="s">
        <v>33</v>
      </c>
      <c r="E2493" s="2">
        <v>1</v>
      </c>
      <c r="F2493" s="7">
        <v>199</v>
      </c>
      <c r="G2493" s="8">
        <v>0.1</v>
      </c>
      <c r="H2493" s="9" t="str">
        <f>INDEX(Products!$B$2:$B$37, MATCH(D2493, Products!$A$2:$A$37, 0))</f>
        <v>Fitness Band Lite</v>
      </c>
      <c r="I2493" t="str">
        <f>INDEX(Products!$C$2:$C$37, MATCH(D2493, Products!$A$2:$A$37, 0))</f>
        <v>Electronics</v>
      </c>
      <c r="J2493">
        <f>INDEX(Products!$E$2:$E$37, MATCH(D2493, Products!$A$2:$A$37, 0))</f>
        <v>175</v>
      </c>
      <c r="K2493" s="9">
        <f t="shared" si="152"/>
        <v>179.1</v>
      </c>
      <c r="L2493">
        <f t="shared" si="153"/>
        <v>175</v>
      </c>
      <c r="M2493" s="9">
        <f t="shared" si="154"/>
        <v>4.0999999999999943</v>
      </c>
      <c r="N2493" t="str">
        <f t="shared" si="155"/>
        <v>Aug</v>
      </c>
    </row>
    <row r="2494" spans="1:14" x14ac:dyDescent="0.3">
      <c r="A2494" s="2" t="s">
        <v>2560</v>
      </c>
      <c r="B2494" s="6">
        <v>45871</v>
      </c>
      <c r="C2494" s="2" t="s">
        <v>44</v>
      </c>
      <c r="D2494" s="2" t="s">
        <v>115</v>
      </c>
      <c r="E2494" s="2">
        <v>1</v>
      </c>
      <c r="F2494" s="7">
        <v>129</v>
      </c>
      <c r="G2494" s="8">
        <v>0.2</v>
      </c>
      <c r="H2494" s="9" t="str">
        <f>INDEX(Products!$B$2:$B$37, MATCH(D2494, Products!$A$2:$A$37, 0))</f>
        <v>Electric Kettle</v>
      </c>
      <c r="I2494" t="str">
        <f>INDEX(Products!$C$2:$C$37, MATCH(D2494, Products!$A$2:$A$37, 0))</f>
        <v>Home &amp; Kitchen</v>
      </c>
      <c r="J2494">
        <f>INDEX(Products!$E$2:$E$37, MATCH(D2494, Products!$A$2:$A$37, 0))</f>
        <v>60</v>
      </c>
      <c r="K2494" s="9">
        <f t="shared" si="152"/>
        <v>103.2</v>
      </c>
      <c r="L2494">
        <f t="shared" si="153"/>
        <v>60</v>
      </c>
      <c r="M2494" s="9">
        <f t="shared" si="154"/>
        <v>43.2</v>
      </c>
      <c r="N2494" t="str">
        <f t="shared" si="155"/>
        <v>Aug</v>
      </c>
    </row>
    <row r="2495" spans="1:14" x14ac:dyDescent="0.3">
      <c r="A2495" s="2" t="s">
        <v>2561</v>
      </c>
      <c r="B2495" s="6">
        <v>45872</v>
      </c>
      <c r="C2495" s="2" t="s">
        <v>31</v>
      </c>
      <c r="D2495" s="2" t="s">
        <v>115</v>
      </c>
      <c r="E2495" s="2">
        <v>2</v>
      </c>
      <c r="F2495" s="7">
        <v>129</v>
      </c>
      <c r="G2495" s="8">
        <v>0</v>
      </c>
      <c r="H2495" s="9" t="str">
        <f>INDEX(Products!$B$2:$B$37, MATCH(D2495, Products!$A$2:$A$37, 0))</f>
        <v>Electric Kettle</v>
      </c>
      <c r="I2495" t="str">
        <f>INDEX(Products!$C$2:$C$37, MATCH(D2495, Products!$A$2:$A$37, 0))</f>
        <v>Home &amp; Kitchen</v>
      </c>
      <c r="J2495">
        <f>INDEX(Products!$E$2:$E$37, MATCH(D2495, Products!$A$2:$A$37, 0))</f>
        <v>60</v>
      </c>
      <c r="K2495" s="9">
        <f t="shared" si="152"/>
        <v>258</v>
      </c>
      <c r="L2495">
        <f t="shared" si="153"/>
        <v>120</v>
      </c>
      <c r="M2495" s="9">
        <f t="shared" si="154"/>
        <v>138</v>
      </c>
      <c r="N2495" t="str">
        <f t="shared" si="155"/>
        <v>Aug</v>
      </c>
    </row>
    <row r="2496" spans="1:14" x14ac:dyDescent="0.3">
      <c r="A2496" s="2" t="s">
        <v>2562</v>
      </c>
      <c r="B2496" s="6">
        <v>45872</v>
      </c>
      <c r="C2496" s="2" t="s">
        <v>48</v>
      </c>
      <c r="D2496" s="2" t="s">
        <v>56</v>
      </c>
      <c r="E2496" s="2">
        <v>2</v>
      </c>
      <c r="F2496" s="7">
        <v>289</v>
      </c>
      <c r="G2496" s="8">
        <v>0</v>
      </c>
      <c r="H2496" s="9" t="str">
        <f>INDEX(Products!$B$2:$B$37, MATCH(D2496, Products!$A$2:$A$37, 0))</f>
        <v>Ceramic Dinner Set</v>
      </c>
      <c r="I2496" t="str">
        <f>INDEX(Products!$C$2:$C$37, MATCH(D2496, Products!$A$2:$A$37, 0))</f>
        <v>Home &amp; Kitchen</v>
      </c>
      <c r="J2496">
        <f>INDEX(Products!$E$2:$E$37, MATCH(D2496, Products!$A$2:$A$37, 0))</f>
        <v>140</v>
      </c>
      <c r="K2496" s="9">
        <f t="shared" si="152"/>
        <v>578</v>
      </c>
      <c r="L2496">
        <f t="shared" si="153"/>
        <v>280</v>
      </c>
      <c r="M2496" s="9">
        <f t="shared" si="154"/>
        <v>298</v>
      </c>
      <c r="N2496" t="str">
        <f t="shared" si="155"/>
        <v>Aug</v>
      </c>
    </row>
    <row r="2497" spans="1:14" x14ac:dyDescent="0.3">
      <c r="A2497" s="2" t="s">
        <v>2563</v>
      </c>
      <c r="B2497" s="6">
        <v>45872</v>
      </c>
      <c r="C2497" s="2" t="s">
        <v>44</v>
      </c>
      <c r="D2497" s="2" t="s">
        <v>92</v>
      </c>
      <c r="E2497" s="2">
        <v>1</v>
      </c>
      <c r="F2497" s="7">
        <v>349</v>
      </c>
      <c r="G2497" s="8">
        <v>0.05</v>
      </c>
      <c r="H2497" s="9" t="str">
        <f>INDEX(Products!$B$2:$B$37, MATCH(D2497, Products!$A$2:$A$37, 0))</f>
        <v>Non-stick Cookware Set</v>
      </c>
      <c r="I2497" t="str">
        <f>INDEX(Products!$C$2:$C$37, MATCH(D2497, Products!$A$2:$A$37, 0))</f>
        <v>Home &amp; Kitchen</v>
      </c>
      <c r="J2497">
        <f>INDEX(Products!$E$2:$E$37, MATCH(D2497, Products!$A$2:$A$37, 0))</f>
        <v>170</v>
      </c>
      <c r="K2497" s="9">
        <f t="shared" si="152"/>
        <v>331.55</v>
      </c>
      <c r="L2497">
        <f t="shared" si="153"/>
        <v>170</v>
      </c>
      <c r="M2497" s="9">
        <f t="shared" si="154"/>
        <v>161.55000000000001</v>
      </c>
      <c r="N2497" t="str">
        <f t="shared" si="155"/>
        <v>Aug</v>
      </c>
    </row>
    <row r="2498" spans="1:14" x14ac:dyDescent="0.3">
      <c r="A2498" s="2" t="s">
        <v>2564</v>
      </c>
      <c r="B2498" s="6">
        <v>45872</v>
      </c>
      <c r="C2498" s="2" t="s">
        <v>28</v>
      </c>
      <c r="D2498" s="2" t="s">
        <v>35</v>
      </c>
      <c r="E2498" s="2">
        <v>1</v>
      </c>
      <c r="F2498" s="7">
        <v>179</v>
      </c>
      <c r="G2498" s="8">
        <v>0.05</v>
      </c>
      <c r="H2498" s="9" t="str">
        <f>INDEX(Products!$B$2:$B$37, MATCH(D2498, Products!$A$2:$A$37, 0))</f>
        <v>Men's Linen Shirt</v>
      </c>
      <c r="I2498" t="str">
        <f>INDEX(Products!$C$2:$C$37, MATCH(D2498, Products!$A$2:$A$37, 0))</f>
        <v>Fashion</v>
      </c>
      <c r="J2498">
        <f>INDEX(Products!$E$2:$E$37, MATCH(D2498, Products!$A$2:$A$37, 0))</f>
        <v>70</v>
      </c>
      <c r="K2498" s="9">
        <f t="shared" ref="K2498:K2561" si="156">E2498*F2498*(1-G2498)</f>
        <v>170.04999999999998</v>
      </c>
      <c r="L2498">
        <f t="shared" ref="L2498:L2561" si="157">E2498*J2498</f>
        <v>70</v>
      </c>
      <c r="M2498" s="9">
        <f t="shared" ref="M2498:M2561" si="158">K2498-L2498</f>
        <v>100.04999999999998</v>
      </c>
      <c r="N2498" t="str">
        <f t="shared" ref="N2498:N2561" si="159">TEXT(B2498,"mmm")</f>
        <v>Aug</v>
      </c>
    </row>
    <row r="2499" spans="1:14" x14ac:dyDescent="0.3">
      <c r="A2499" s="2" t="s">
        <v>2565</v>
      </c>
      <c r="B2499" s="6">
        <v>45872</v>
      </c>
      <c r="C2499" s="2" t="s">
        <v>44</v>
      </c>
      <c r="D2499" s="2" t="s">
        <v>103</v>
      </c>
      <c r="E2499" s="2">
        <v>1</v>
      </c>
      <c r="F2499" s="7">
        <v>89</v>
      </c>
      <c r="G2499" s="8">
        <v>0.2</v>
      </c>
      <c r="H2499" s="9" t="str">
        <f>INDEX(Products!$B$2:$B$37, MATCH(D2499, Products!$A$2:$A$37, 0))</f>
        <v>Sunscreen SPF50</v>
      </c>
      <c r="I2499" t="str">
        <f>INDEX(Products!$C$2:$C$37, MATCH(D2499, Products!$A$2:$A$37, 0))</f>
        <v>Beauty</v>
      </c>
      <c r="J2499">
        <f>INDEX(Products!$E$2:$E$37, MATCH(D2499, Products!$A$2:$A$37, 0))</f>
        <v>40</v>
      </c>
      <c r="K2499" s="9">
        <f t="shared" si="156"/>
        <v>71.2</v>
      </c>
      <c r="L2499">
        <f t="shared" si="157"/>
        <v>40</v>
      </c>
      <c r="M2499" s="9">
        <f t="shared" si="158"/>
        <v>31.200000000000003</v>
      </c>
      <c r="N2499" t="str">
        <f t="shared" si="159"/>
        <v>Aug</v>
      </c>
    </row>
    <row r="2500" spans="1:14" x14ac:dyDescent="0.3">
      <c r="A2500" s="2" t="s">
        <v>2566</v>
      </c>
      <c r="B2500" s="6">
        <v>45872</v>
      </c>
      <c r="C2500" s="2" t="s">
        <v>44</v>
      </c>
      <c r="D2500" s="2" t="s">
        <v>52</v>
      </c>
      <c r="E2500" s="2">
        <v>1</v>
      </c>
      <c r="F2500" s="7">
        <v>299</v>
      </c>
      <c r="G2500" s="8">
        <v>0.2</v>
      </c>
      <c r="H2500" s="9" t="str">
        <f>INDEX(Products!$B$2:$B$37, MATCH(D2500, Products!$A$2:$A$37, 0))</f>
        <v>Hair Dryer Ionic</v>
      </c>
      <c r="I2500" t="str">
        <f>INDEX(Products!$C$2:$C$37, MATCH(D2500, Products!$A$2:$A$37, 0))</f>
        <v>Beauty</v>
      </c>
      <c r="J2500">
        <f>INDEX(Products!$E$2:$E$37, MATCH(D2500, Products!$A$2:$A$37, 0))</f>
        <v>240</v>
      </c>
      <c r="K2500" s="9">
        <f t="shared" si="156"/>
        <v>239.20000000000002</v>
      </c>
      <c r="L2500">
        <f t="shared" si="157"/>
        <v>240</v>
      </c>
      <c r="M2500" s="9">
        <f t="shared" si="158"/>
        <v>-0.79999999999998295</v>
      </c>
      <c r="N2500" t="str">
        <f t="shared" si="159"/>
        <v>Aug</v>
      </c>
    </row>
    <row r="2501" spans="1:14" x14ac:dyDescent="0.3">
      <c r="A2501" s="2" t="s">
        <v>2567</v>
      </c>
      <c r="B2501" s="6">
        <v>45872</v>
      </c>
      <c r="C2501" s="2" t="s">
        <v>44</v>
      </c>
      <c r="D2501" s="2" t="s">
        <v>33</v>
      </c>
      <c r="E2501" s="2">
        <v>3</v>
      </c>
      <c r="F2501" s="7">
        <v>199</v>
      </c>
      <c r="G2501" s="8">
        <v>0.25</v>
      </c>
      <c r="H2501" s="9" t="str">
        <f>INDEX(Products!$B$2:$B$37, MATCH(D2501, Products!$A$2:$A$37, 0))</f>
        <v>Fitness Band Lite</v>
      </c>
      <c r="I2501" t="str">
        <f>INDEX(Products!$C$2:$C$37, MATCH(D2501, Products!$A$2:$A$37, 0))</f>
        <v>Electronics</v>
      </c>
      <c r="J2501">
        <f>INDEX(Products!$E$2:$E$37, MATCH(D2501, Products!$A$2:$A$37, 0))</f>
        <v>175</v>
      </c>
      <c r="K2501" s="9">
        <f t="shared" si="156"/>
        <v>447.75</v>
      </c>
      <c r="L2501">
        <f t="shared" si="157"/>
        <v>525</v>
      </c>
      <c r="M2501" s="9">
        <f t="shared" si="158"/>
        <v>-77.25</v>
      </c>
      <c r="N2501" t="str">
        <f t="shared" si="159"/>
        <v>Aug</v>
      </c>
    </row>
    <row r="2502" spans="1:14" x14ac:dyDescent="0.3">
      <c r="A2502" s="2" t="s">
        <v>2568</v>
      </c>
      <c r="B2502" s="6">
        <v>45872</v>
      </c>
      <c r="C2502" s="2" t="s">
        <v>41</v>
      </c>
      <c r="D2502" s="2" t="s">
        <v>103</v>
      </c>
      <c r="E2502" s="2">
        <v>3</v>
      </c>
      <c r="F2502" s="7">
        <v>89</v>
      </c>
      <c r="G2502" s="8">
        <v>0</v>
      </c>
      <c r="H2502" s="9" t="str">
        <f>INDEX(Products!$B$2:$B$37, MATCH(D2502, Products!$A$2:$A$37, 0))</f>
        <v>Sunscreen SPF50</v>
      </c>
      <c r="I2502" t="str">
        <f>INDEX(Products!$C$2:$C$37, MATCH(D2502, Products!$A$2:$A$37, 0))</f>
        <v>Beauty</v>
      </c>
      <c r="J2502">
        <f>INDEX(Products!$E$2:$E$37, MATCH(D2502, Products!$A$2:$A$37, 0))</f>
        <v>40</v>
      </c>
      <c r="K2502" s="9">
        <f t="shared" si="156"/>
        <v>267</v>
      </c>
      <c r="L2502">
        <f t="shared" si="157"/>
        <v>120</v>
      </c>
      <c r="M2502" s="9">
        <f t="shared" si="158"/>
        <v>147</v>
      </c>
      <c r="N2502" t="str">
        <f t="shared" si="159"/>
        <v>Aug</v>
      </c>
    </row>
    <row r="2503" spans="1:14" x14ac:dyDescent="0.3">
      <c r="A2503" s="2" t="s">
        <v>2569</v>
      </c>
      <c r="B2503" s="6">
        <v>45872</v>
      </c>
      <c r="C2503" s="2" t="s">
        <v>31</v>
      </c>
      <c r="D2503" s="2" t="s">
        <v>75</v>
      </c>
      <c r="E2503" s="2">
        <v>1</v>
      </c>
      <c r="F2503" s="7">
        <v>549</v>
      </c>
      <c r="G2503" s="8">
        <v>0</v>
      </c>
      <c r="H2503" s="9" t="str">
        <f>INDEX(Products!$B$2:$B$37, MATCH(D2503, Products!$A$2:$A$37, 0))</f>
        <v>Oud Perfume 100ml</v>
      </c>
      <c r="I2503" t="str">
        <f>INDEX(Products!$C$2:$C$37, MATCH(D2503, Products!$A$2:$A$37, 0))</f>
        <v>Beauty</v>
      </c>
      <c r="J2503">
        <f>INDEX(Products!$E$2:$E$37, MATCH(D2503, Products!$A$2:$A$37, 0))</f>
        <v>250</v>
      </c>
      <c r="K2503" s="9">
        <f t="shared" si="156"/>
        <v>549</v>
      </c>
      <c r="L2503">
        <f t="shared" si="157"/>
        <v>250</v>
      </c>
      <c r="M2503" s="9">
        <f t="shared" si="158"/>
        <v>299</v>
      </c>
      <c r="N2503" t="str">
        <f t="shared" si="159"/>
        <v>Aug</v>
      </c>
    </row>
    <row r="2504" spans="1:14" x14ac:dyDescent="0.3">
      <c r="A2504" s="2" t="s">
        <v>2570</v>
      </c>
      <c r="B2504" s="6">
        <v>45872</v>
      </c>
      <c r="C2504" s="2" t="s">
        <v>48</v>
      </c>
      <c r="D2504" s="2" t="s">
        <v>33</v>
      </c>
      <c r="E2504" s="2">
        <v>1</v>
      </c>
      <c r="F2504" s="7">
        <v>199</v>
      </c>
      <c r="G2504" s="8">
        <v>0.2</v>
      </c>
      <c r="H2504" s="9" t="str">
        <f>INDEX(Products!$B$2:$B$37, MATCH(D2504, Products!$A$2:$A$37, 0))</f>
        <v>Fitness Band Lite</v>
      </c>
      <c r="I2504" t="str">
        <f>INDEX(Products!$C$2:$C$37, MATCH(D2504, Products!$A$2:$A$37, 0))</f>
        <v>Electronics</v>
      </c>
      <c r="J2504">
        <f>INDEX(Products!$E$2:$E$37, MATCH(D2504, Products!$A$2:$A$37, 0))</f>
        <v>175</v>
      </c>
      <c r="K2504" s="9">
        <f t="shared" si="156"/>
        <v>159.20000000000002</v>
      </c>
      <c r="L2504">
        <f t="shared" si="157"/>
        <v>175</v>
      </c>
      <c r="M2504" s="9">
        <f t="shared" si="158"/>
        <v>-15.799999999999983</v>
      </c>
      <c r="N2504" t="str">
        <f t="shared" si="159"/>
        <v>Aug</v>
      </c>
    </row>
    <row r="2505" spans="1:14" x14ac:dyDescent="0.3">
      <c r="A2505" s="2" t="s">
        <v>2571</v>
      </c>
      <c r="B2505" s="6">
        <v>45872</v>
      </c>
      <c r="C2505" s="2" t="s">
        <v>28</v>
      </c>
      <c r="D2505" s="2" t="s">
        <v>103</v>
      </c>
      <c r="E2505" s="2">
        <v>1</v>
      </c>
      <c r="F2505" s="7">
        <v>89</v>
      </c>
      <c r="G2505" s="8">
        <v>0</v>
      </c>
      <c r="H2505" s="9" t="str">
        <f>INDEX(Products!$B$2:$B$37, MATCH(D2505, Products!$A$2:$A$37, 0))</f>
        <v>Sunscreen SPF50</v>
      </c>
      <c r="I2505" t="str">
        <f>INDEX(Products!$C$2:$C$37, MATCH(D2505, Products!$A$2:$A$37, 0))</f>
        <v>Beauty</v>
      </c>
      <c r="J2505">
        <f>INDEX(Products!$E$2:$E$37, MATCH(D2505, Products!$A$2:$A$37, 0))</f>
        <v>40</v>
      </c>
      <c r="K2505" s="9">
        <f t="shared" si="156"/>
        <v>89</v>
      </c>
      <c r="L2505">
        <f t="shared" si="157"/>
        <v>40</v>
      </c>
      <c r="M2505" s="9">
        <f t="shared" si="158"/>
        <v>49</v>
      </c>
      <c r="N2505" t="str">
        <f t="shared" si="159"/>
        <v>Aug</v>
      </c>
    </row>
    <row r="2506" spans="1:14" x14ac:dyDescent="0.3">
      <c r="A2506" s="2" t="s">
        <v>2572</v>
      </c>
      <c r="B2506" s="6">
        <v>45872</v>
      </c>
      <c r="C2506" s="2" t="s">
        <v>31</v>
      </c>
      <c r="D2506" s="2" t="s">
        <v>49</v>
      </c>
      <c r="E2506" s="2">
        <v>2</v>
      </c>
      <c r="F2506" s="7">
        <v>149</v>
      </c>
      <c r="G2506" s="8">
        <v>0</v>
      </c>
      <c r="H2506" s="9" t="str">
        <f>INDEX(Products!$B$2:$B$37, MATCH(D2506, Products!$A$2:$A$37, 0))</f>
        <v>Kids' Sneakers</v>
      </c>
      <c r="I2506" t="str">
        <f>INDEX(Products!$C$2:$C$37, MATCH(D2506, Products!$A$2:$A$37, 0))</f>
        <v>Fashion</v>
      </c>
      <c r="J2506">
        <f>INDEX(Products!$E$2:$E$37, MATCH(D2506, Products!$A$2:$A$37, 0))</f>
        <v>80</v>
      </c>
      <c r="K2506" s="9">
        <f t="shared" si="156"/>
        <v>298</v>
      </c>
      <c r="L2506">
        <f t="shared" si="157"/>
        <v>160</v>
      </c>
      <c r="M2506" s="9">
        <f t="shared" si="158"/>
        <v>138</v>
      </c>
      <c r="N2506" t="str">
        <f t="shared" si="159"/>
        <v>Aug</v>
      </c>
    </row>
    <row r="2507" spans="1:14" x14ac:dyDescent="0.3">
      <c r="A2507" s="2" t="s">
        <v>2573</v>
      </c>
      <c r="B2507" s="6">
        <v>45872</v>
      </c>
      <c r="C2507" s="2" t="s">
        <v>44</v>
      </c>
      <c r="D2507" s="2" t="s">
        <v>56</v>
      </c>
      <c r="E2507" s="2">
        <v>1</v>
      </c>
      <c r="F2507" s="7">
        <v>289</v>
      </c>
      <c r="G2507" s="8">
        <v>0.05</v>
      </c>
      <c r="H2507" s="9" t="str">
        <f>INDEX(Products!$B$2:$B$37, MATCH(D2507, Products!$A$2:$A$37, 0))</f>
        <v>Ceramic Dinner Set</v>
      </c>
      <c r="I2507" t="str">
        <f>INDEX(Products!$C$2:$C$37, MATCH(D2507, Products!$A$2:$A$37, 0))</f>
        <v>Home &amp; Kitchen</v>
      </c>
      <c r="J2507">
        <f>INDEX(Products!$E$2:$E$37, MATCH(D2507, Products!$A$2:$A$37, 0))</f>
        <v>140</v>
      </c>
      <c r="K2507" s="9">
        <f t="shared" si="156"/>
        <v>274.55</v>
      </c>
      <c r="L2507">
        <f t="shared" si="157"/>
        <v>140</v>
      </c>
      <c r="M2507" s="9">
        <f t="shared" si="158"/>
        <v>134.55000000000001</v>
      </c>
      <c r="N2507" t="str">
        <f t="shared" si="159"/>
        <v>Aug</v>
      </c>
    </row>
    <row r="2508" spans="1:14" x14ac:dyDescent="0.3">
      <c r="A2508" s="2" t="s">
        <v>2574</v>
      </c>
      <c r="B2508" s="6">
        <v>45872</v>
      </c>
      <c r="C2508" s="2" t="s">
        <v>48</v>
      </c>
      <c r="D2508" s="2" t="s">
        <v>52</v>
      </c>
      <c r="E2508" s="2">
        <v>1</v>
      </c>
      <c r="F2508" s="7">
        <v>299</v>
      </c>
      <c r="G2508" s="8">
        <v>0.15</v>
      </c>
      <c r="H2508" s="9" t="str">
        <f>INDEX(Products!$B$2:$B$37, MATCH(D2508, Products!$A$2:$A$37, 0))</f>
        <v>Hair Dryer Ionic</v>
      </c>
      <c r="I2508" t="str">
        <f>INDEX(Products!$C$2:$C$37, MATCH(D2508, Products!$A$2:$A$37, 0))</f>
        <v>Beauty</v>
      </c>
      <c r="J2508">
        <f>INDEX(Products!$E$2:$E$37, MATCH(D2508, Products!$A$2:$A$37, 0))</f>
        <v>240</v>
      </c>
      <c r="K2508" s="9">
        <f t="shared" si="156"/>
        <v>254.15</v>
      </c>
      <c r="L2508">
        <f t="shared" si="157"/>
        <v>240</v>
      </c>
      <c r="M2508" s="9">
        <f t="shared" si="158"/>
        <v>14.150000000000006</v>
      </c>
      <c r="N2508" t="str">
        <f t="shared" si="159"/>
        <v>Aug</v>
      </c>
    </row>
    <row r="2509" spans="1:14" x14ac:dyDescent="0.3">
      <c r="A2509" s="2" t="s">
        <v>2575</v>
      </c>
      <c r="B2509" s="6">
        <v>45872</v>
      </c>
      <c r="C2509" s="2" t="s">
        <v>41</v>
      </c>
      <c r="D2509" s="2" t="s">
        <v>194</v>
      </c>
      <c r="E2509" s="2">
        <v>1</v>
      </c>
      <c r="F2509" s="7">
        <v>699</v>
      </c>
      <c r="G2509" s="8">
        <v>0.05</v>
      </c>
      <c r="H2509" s="9" t="str">
        <f>INDEX(Products!$B$2:$B$37, MATCH(D2509, Products!$A$2:$A$37, 0))</f>
        <v>Leather Handbag</v>
      </c>
      <c r="I2509" t="str">
        <f>INDEX(Products!$C$2:$C$37, MATCH(D2509, Products!$A$2:$A$37, 0))</f>
        <v>Fashion</v>
      </c>
      <c r="J2509">
        <f>INDEX(Products!$E$2:$E$37, MATCH(D2509, Products!$A$2:$A$37, 0))</f>
        <v>380</v>
      </c>
      <c r="K2509" s="9">
        <f t="shared" si="156"/>
        <v>664.05</v>
      </c>
      <c r="L2509">
        <f t="shared" si="157"/>
        <v>380</v>
      </c>
      <c r="M2509" s="9">
        <f t="shared" si="158"/>
        <v>284.04999999999995</v>
      </c>
      <c r="N2509" t="str">
        <f t="shared" si="159"/>
        <v>Aug</v>
      </c>
    </row>
    <row r="2510" spans="1:14" x14ac:dyDescent="0.3">
      <c r="A2510" s="2" t="s">
        <v>2576</v>
      </c>
      <c r="B2510" s="6">
        <v>45873</v>
      </c>
      <c r="C2510" s="2" t="s">
        <v>41</v>
      </c>
      <c r="D2510" s="2" t="s">
        <v>70</v>
      </c>
      <c r="E2510" s="2">
        <v>1</v>
      </c>
      <c r="F2510" s="7">
        <v>429</v>
      </c>
      <c r="G2510" s="8">
        <v>0.15</v>
      </c>
      <c r="H2510" s="9" t="str">
        <f>INDEX(Products!$B$2:$B$37, MATCH(D2510, Products!$A$2:$A$37, 0))</f>
        <v>Running Shoes Elite</v>
      </c>
      <c r="I2510" t="str">
        <f>INDEX(Products!$C$2:$C$37, MATCH(D2510, Products!$A$2:$A$37, 0))</f>
        <v>Fashion</v>
      </c>
      <c r="J2510">
        <f>INDEX(Products!$E$2:$E$37, MATCH(D2510, Products!$A$2:$A$37, 0))</f>
        <v>300</v>
      </c>
      <c r="K2510" s="9">
        <f t="shared" si="156"/>
        <v>364.65</v>
      </c>
      <c r="L2510">
        <f t="shared" si="157"/>
        <v>300</v>
      </c>
      <c r="M2510" s="9">
        <f t="shared" si="158"/>
        <v>64.649999999999977</v>
      </c>
      <c r="N2510" t="str">
        <f t="shared" si="159"/>
        <v>Aug</v>
      </c>
    </row>
    <row r="2511" spans="1:14" x14ac:dyDescent="0.3">
      <c r="A2511" s="2" t="s">
        <v>2577</v>
      </c>
      <c r="B2511" s="6">
        <v>45873</v>
      </c>
      <c r="C2511" s="2" t="s">
        <v>44</v>
      </c>
      <c r="D2511" s="2" t="s">
        <v>89</v>
      </c>
      <c r="E2511" s="2">
        <v>2</v>
      </c>
      <c r="F2511" s="7">
        <v>399</v>
      </c>
      <c r="G2511" s="8">
        <v>0</v>
      </c>
      <c r="H2511" s="9" t="str">
        <f>INDEX(Products!$B$2:$B$37, MATCH(D2511, Products!$A$2:$A$37, 0))</f>
        <v>Men's Kandura Premium</v>
      </c>
      <c r="I2511" t="str">
        <f>INDEX(Products!$C$2:$C$37, MATCH(D2511, Products!$A$2:$A$37, 0))</f>
        <v>Fashion</v>
      </c>
      <c r="J2511">
        <f>INDEX(Products!$E$2:$E$37, MATCH(D2511, Products!$A$2:$A$37, 0))</f>
        <v>210</v>
      </c>
      <c r="K2511" s="9">
        <f t="shared" si="156"/>
        <v>798</v>
      </c>
      <c r="L2511">
        <f t="shared" si="157"/>
        <v>420</v>
      </c>
      <c r="M2511" s="9">
        <f t="shared" si="158"/>
        <v>378</v>
      </c>
      <c r="N2511" t="str">
        <f t="shared" si="159"/>
        <v>Aug</v>
      </c>
    </row>
    <row r="2512" spans="1:14" x14ac:dyDescent="0.3">
      <c r="A2512" s="2" t="s">
        <v>2578</v>
      </c>
      <c r="B2512" s="6">
        <v>45873</v>
      </c>
      <c r="C2512" s="2" t="s">
        <v>44</v>
      </c>
      <c r="D2512" s="2" t="s">
        <v>29</v>
      </c>
      <c r="E2512" s="2">
        <v>1</v>
      </c>
      <c r="F2512" s="7">
        <v>229</v>
      </c>
      <c r="G2512" s="8">
        <v>0.05</v>
      </c>
      <c r="H2512" s="9" t="str">
        <f>INDEX(Products!$B$2:$B$37, MATCH(D2512, Products!$A$2:$A$37, 0))</f>
        <v>Women's Summer Dress</v>
      </c>
      <c r="I2512" t="str">
        <f>INDEX(Products!$C$2:$C$37, MATCH(D2512, Products!$A$2:$A$37, 0))</f>
        <v>Fashion</v>
      </c>
      <c r="J2512">
        <f>INDEX(Products!$E$2:$E$37, MATCH(D2512, Products!$A$2:$A$37, 0))</f>
        <v>120</v>
      </c>
      <c r="K2512" s="9">
        <f t="shared" si="156"/>
        <v>217.54999999999998</v>
      </c>
      <c r="L2512">
        <f t="shared" si="157"/>
        <v>120</v>
      </c>
      <c r="M2512" s="9">
        <f t="shared" si="158"/>
        <v>97.549999999999983</v>
      </c>
      <c r="N2512" t="str">
        <f t="shared" si="159"/>
        <v>Aug</v>
      </c>
    </row>
    <row r="2513" spans="1:14" x14ac:dyDescent="0.3">
      <c r="A2513" s="2" t="s">
        <v>2579</v>
      </c>
      <c r="B2513" s="6">
        <v>45873</v>
      </c>
      <c r="C2513" s="2" t="s">
        <v>41</v>
      </c>
      <c r="D2513" s="2" t="s">
        <v>165</v>
      </c>
      <c r="E2513" s="2">
        <v>1</v>
      </c>
      <c r="F2513" s="7">
        <v>69</v>
      </c>
      <c r="G2513" s="8">
        <v>0.1</v>
      </c>
      <c r="H2513" s="9" t="str">
        <f>INDEX(Products!$B$2:$B$37, MATCH(D2513, Products!$A$2:$A$37, 0))</f>
        <v>Swim Goggles</v>
      </c>
      <c r="I2513" t="str">
        <f>INDEX(Products!$C$2:$C$37, MATCH(D2513, Products!$A$2:$A$37, 0))</f>
        <v>Sports</v>
      </c>
      <c r="J2513">
        <f>INDEX(Products!$E$2:$E$37, MATCH(D2513, Products!$A$2:$A$37, 0))</f>
        <v>25</v>
      </c>
      <c r="K2513" s="9">
        <f t="shared" si="156"/>
        <v>62.1</v>
      </c>
      <c r="L2513">
        <f t="shared" si="157"/>
        <v>25</v>
      </c>
      <c r="M2513" s="9">
        <f t="shared" si="158"/>
        <v>37.1</v>
      </c>
      <c r="N2513" t="str">
        <f t="shared" si="159"/>
        <v>Aug</v>
      </c>
    </row>
    <row r="2514" spans="1:14" x14ac:dyDescent="0.3">
      <c r="A2514" s="2" t="s">
        <v>2580</v>
      </c>
      <c r="B2514" s="6">
        <v>45873</v>
      </c>
      <c r="C2514" s="2" t="s">
        <v>41</v>
      </c>
      <c r="D2514" s="2" t="s">
        <v>52</v>
      </c>
      <c r="E2514" s="2">
        <v>1</v>
      </c>
      <c r="F2514" s="7">
        <v>299</v>
      </c>
      <c r="G2514" s="8">
        <v>0.1</v>
      </c>
      <c r="H2514" s="9" t="str">
        <f>INDEX(Products!$B$2:$B$37, MATCH(D2514, Products!$A$2:$A$37, 0))</f>
        <v>Hair Dryer Ionic</v>
      </c>
      <c r="I2514" t="str">
        <f>INDEX(Products!$C$2:$C$37, MATCH(D2514, Products!$A$2:$A$37, 0))</f>
        <v>Beauty</v>
      </c>
      <c r="J2514">
        <f>INDEX(Products!$E$2:$E$37, MATCH(D2514, Products!$A$2:$A$37, 0))</f>
        <v>240</v>
      </c>
      <c r="K2514" s="9">
        <f t="shared" si="156"/>
        <v>269.10000000000002</v>
      </c>
      <c r="L2514">
        <f t="shared" si="157"/>
        <v>240</v>
      </c>
      <c r="M2514" s="9">
        <f t="shared" si="158"/>
        <v>29.100000000000023</v>
      </c>
      <c r="N2514" t="str">
        <f t="shared" si="159"/>
        <v>Aug</v>
      </c>
    </row>
    <row r="2515" spans="1:14" x14ac:dyDescent="0.3">
      <c r="A2515" s="2" t="s">
        <v>2581</v>
      </c>
      <c r="B2515" s="6">
        <v>45873</v>
      </c>
      <c r="C2515" s="2" t="s">
        <v>44</v>
      </c>
      <c r="D2515" s="2" t="s">
        <v>35</v>
      </c>
      <c r="E2515" s="2">
        <v>2</v>
      </c>
      <c r="F2515" s="7">
        <v>179</v>
      </c>
      <c r="G2515" s="8">
        <v>0</v>
      </c>
      <c r="H2515" s="9" t="str">
        <f>INDEX(Products!$B$2:$B$37, MATCH(D2515, Products!$A$2:$A$37, 0))</f>
        <v>Men's Linen Shirt</v>
      </c>
      <c r="I2515" t="str">
        <f>INDEX(Products!$C$2:$C$37, MATCH(D2515, Products!$A$2:$A$37, 0))</f>
        <v>Fashion</v>
      </c>
      <c r="J2515">
        <f>INDEX(Products!$E$2:$E$37, MATCH(D2515, Products!$A$2:$A$37, 0))</f>
        <v>70</v>
      </c>
      <c r="K2515" s="9">
        <f t="shared" si="156"/>
        <v>358</v>
      </c>
      <c r="L2515">
        <f t="shared" si="157"/>
        <v>140</v>
      </c>
      <c r="M2515" s="9">
        <f t="shared" si="158"/>
        <v>218</v>
      </c>
      <c r="N2515" t="str">
        <f t="shared" si="159"/>
        <v>Aug</v>
      </c>
    </row>
    <row r="2516" spans="1:14" x14ac:dyDescent="0.3">
      <c r="A2516" s="2" t="s">
        <v>2582</v>
      </c>
      <c r="B2516" s="6">
        <v>45873</v>
      </c>
      <c r="C2516" s="2" t="s">
        <v>28</v>
      </c>
      <c r="D2516" s="2" t="s">
        <v>95</v>
      </c>
      <c r="E2516" s="2">
        <v>2</v>
      </c>
      <c r="F2516" s="7">
        <v>259</v>
      </c>
      <c r="G2516" s="8">
        <v>0.05</v>
      </c>
      <c r="H2516" s="9" t="str">
        <f>INDEX(Products!$B$2:$B$37, MATCH(D2516, Products!$A$2:$A$37, 0))</f>
        <v>Bed Linen Set (King)</v>
      </c>
      <c r="I2516" t="str">
        <f>INDEX(Products!$C$2:$C$37, MATCH(D2516, Products!$A$2:$A$37, 0))</f>
        <v>Home &amp; Kitchen</v>
      </c>
      <c r="J2516">
        <f>INDEX(Products!$E$2:$E$37, MATCH(D2516, Products!$A$2:$A$37, 0))</f>
        <v>115</v>
      </c>
      <c r="K2516" s="9">
        <f t="shared" si="156"/>
        <v>492.09999999999997</v>
      </c>
      <c r="L2516">
        <f t="shared" si="157"/>
        <v>230</v>
      </c>
      <c r="M2516" s="9">
        <f t="shared" si="158"/>
        <v>262.09999999999997</v>
      </c>
      <c r="N2516" t="str">
        <f t="shared" si="159"/>
        <v>Aug</v>
      </c>
    </row>
    <row r="2517" spans="1:14" x14ac:dyDescent="0.3">
      <c r="A2517" s="2" t="s">
        <v>2583</v>
      </c>
      <c r="B2517" s="6">
        <v>45873</v>
      </c>
      <c r="C2517" s="2" t="s">
        <v>44</v>
      </c>
      <c r="D2517" s="2" t="s">
        <v>149</v>
      </c>
      <c r="E2517" s="2">
        <v>1</v>
      </c>
      <c r="F2517" s="7">
        <v>399</v>
      </c>
      <c r="G2517" s="8">
        <v>0</v>
      </c>
      <c r="H2517" s="9" t="str">
        <f>INDEX(Products!$B$2:$B$37, MATCH(D2517, Products!$A$2:$A$37, 0))</f>
        <v>Blender Pro 1200W</v>
      </c>
      <c r="I2517" t="str">
        <f>INDEX(Products!$C$2:$C$37, MATCH(D2517, Products!$A$2:$A$37, 0))</f>
        <v>Home &amp; Kitchen</v>
      </c>
      <c r="J2517">
        <f>INDEX(Products!$E$2:$E$37, MATCH(D2517, Products!$A$2:$A$37, 0))</f>
        <v>250</v>
      </c>
      <c r="K2517" s="9">
        <f t="shared" si="156"/>
        <v>399</v>
      </c>
      <c r="L2517">
        <f t="shared" si="157"/>
        <v>250</v>
      </c>
      <c r="M2517" s="9">
        <f t="shared" si="158"/>
        <v>149</v>
      </c>
      <c r="N2517" t="str">
        <f t="shared" si="159"/>
        <v>Aug</v>
      </c>
    </row>
    <row r="2518" spans="1:14" x14ac:dyDescent="0.3">
      <c r="A2518" s="2" t="s">
        <v>2584</v>
      </c>
      <c r="B2518" s="6">
        <v>45873</v>
      </c>
      <c r="C2518" s="2" t="s">
        <v>41</v>
      </c>
      <c r="D2518" s="2" t="s">
        <v>113</v>
      </c>
      <c r="E2518" s="2">
        <v>2</v>
      </c>
      <c r="F2518" s="7">
        <v>1199</v>
      </c>
      <c r="G2518" s="8">
        <v>0.25</v>
      </c>
      <c r="H2518" s="9" t="str">
        <f>INDEX(Products!$B$2:$B$37, MATCH(D2518, Products!$A$2:$A$37, 0))</f>
        <v>Robot Vacuum S3</v>
      </c>
      <c r="I2518" t="str">
        <f>INDEX(Products!$C$2:$C$37, MATCH(D2518, Products!$A$2:$A$37, 0))</f>
        <v>Home &amp; Kitchen</v>
      </c>
      <c r="J2518">
        <f>INDEX(Products!$E$2:$E$37, MATCH(D2518, Products!$A$2:$A$37, 0))</f>
        <v>1080</v>
      </c>
      <c r="K2518" s="9">
        <f t="shared" si="156"/>
        <v>1798.5</v>
      </c>
      <c r="L2518">
        <f t="shared" si="157"/>
        <v>2160</v>
      </c>
      <c r="M2518" s="9">
        <f t="shared" si="158"/>
        <v>-361.5</v>
      </c>
      <c r="N2518" t="str">
        <f t="shared" si="159"/>
        <v>Aug</v>
      </c>
    </row>
    <row r="2519" spans="1:14" x14ac:dyDescent="0.3">
      <c r="A2519" s="2" t="s">
        <v>2585</v>
      </c>
      <c r="B2519" s="6">
        <v>45873</v>
      </c>
      <c r="C2519" s="2" t="s">
        <v>41</v>
      </c>
      <c r="D2519" s="2" t="s">
        <v>95</v>
      </c>
      <c r="E2519" s="2">
        <v>1</v>
      </c>
      <c r="F2519" s="7">
        <v>259</v>
      </c>
      <c r="G2519" s="8">
        <v>0</v>
      </c>
      <c r="H2519" s="9" t="str">
        <f>INDEX(Products!$B$2:$B$37, MATCH(D2519, Products!$A$2:$A$37, 0))</f>
        <v>Bed Linen Set (King)</v>
      </c>
      <c r="I2519" t="str">
        <f>INDEX(Products!$C$2:$C$37, MATCH(D2519, Products!$A$2:$A$37, 0))</f>
        <v>Home &amp; Kitchen</v>
      </c>
      <c r="J2519">
        <f>INDEX(Products!$E$2:$E$37, MATCH(D2519, Products!$A$2:$A$37, 0))</f>
        <v>115</v>
      </c>
      <c r="K2519" s="9">
        <f t="shared" si="156"/>
        <v>259</v>
      </c>
      <c r="L2519">
        <f t="shared" si="157"/>
        <v>115</v>
      </c>
      <c r="M2519" s="9">
        <f t="shared" si="158"/>
        <v>144</v>
      </c>
      <c r="N2519" t="str">
        <f t="shared" si="159"/>
        <v>Aug</v>
      </c>
    </row>
    <row r="2520" spans="1:14" x14ac:dyDescent="0.3">
      <c r="A2520" s="2" t="s">
        <v>2586</v>
      </c>
      <c r="B2520" s="6">
        <v>45873</v>
      </c>
      <c r="C2520" s="2" t="s">
        <v>31</v>
      </c>
      <c r="D2520" s="2" t="s">
        <v>103</v>
      </c>
      <c r="E2520" s="2">
        <v>3</v>
      </c>
      <c r="F2520" s="7">
        <v>89</v>
      </c>
      <c r="G2520" s="8">
        <v>0.1</v>
      </c>
      <c r="H2520" s="9" t="str">
        <f>INDEX(Products!$B$2:$B$37, MATCH(D2520, Products!$A$2:$A$37, 0))</f>
        <v>Sunscreen SPF50</v>
      </c>
      <c r="I2520" t="str">
        <f>INDEX(Products!$C$2:$C$37, MATCH(D2520, Products!$A$2:$A$37, 0))</f>
        <v>Beauty</v>
      </c>
      <c r="J2520">
        <f>INDEX(Products!$E$2:$E$37, MATCH(D2520, Products!$A$2:$A$37, 0))</f>
        <v>40</v>
      </c>
      <c r="K2520" s="9">
        <f t="shared" si="156"/>
        <v>240.3</v>
      </c>
      <c r="L2520">
        <f t="shared" si="157"/>
        <v>120</v>
      </c>
      <c r="M2520" s="9">
        <f t="shared" si="158"/>
        <v>120.30000000000001</v>
      </c>
      <c r="N2520" t="str">
        <f t="shared" si="159"/>
        <v>Aug</v>
      </c>
    </row>
    <row r="2521" spans="1:14" x14ac:dyDescent="0.3">
      <c r="A2521" s="2" t="s">
        <v>2587</v>
      </c>
      <c r="B2521" s="6">
        <v>45873</v>
      </c>
      <c r="C2521" s="2" t="s">
        <v>48</v>
      </c>
      <c r="D2521" s="2" t="s">
        <v>83</v>
      </c>
      <c r="E2521" s="2">
        <v>4</v>
      </c>
      <c r="F2521" s="7">
        <v>229</v>
      </c>
      <c r="G2521" s="8">
        <v>0.05</v>
      </c>
      <c r="H2521" s="9" t="str">
        <f>INDEX(Products!$B$2:$B$37, MATCH(D2521, Products!$A$2:$A$37, 0))</f>
        <v>Cycling Helmet</v>
      </c>
      <c r="I2521" t="str">
        <f>INDEX(Products!$C$2:$C$37, MATCH(D2521, Products!$A$2:$A$37, 0))</f>
        <v>Sports</v>
      </c>
      <c r="J2521">
        <f>INDEX(Products!$E$2:$E$37, MATCH(D2521, Products!$A$2:$A$37, 0))</f>
        <v>120</v>
      </c>
      <c r="K2521" s="9">
        <f t="shared" si="156"/>
        <v>870.19999999999993</v>
      </c>
      <c r="L2521">
        <f t="shared" si="157"/>
        <v>480</v>
      </c>
      <c r="M2521" s="9">
        <f t="shared" si="158"/>
        <v>390.19999999999993</v>
      </c>
      <c r="N2521" t="str">
        <f t="shared" si="159"/>
        <v>Aug</v>
      </c>
    </row>
    <row r="2522" spans="1:14" x14ac:dyDescent="0.3">
      <c r="A2522" s="2" t="s">
        <v>2588</v>
      </c>
      <c r="B2522" s="6">
        <v>45873</v>
      </c>
      <c r="C2522" s="2" t="s">
        <v>28</v>
      </c>
      <c r="D2522" s="2" t="s">
        <v>78</v>
      </c>
      <c r="E2522" s="2">
        <v>1</v>
      </c>
      <c r="F2522" s="7">
        <v>499</v>
      </c>
      <c r="G2522" s="8">
        <v>0.05</v>
      </c>
      <c r="H2522" s="9" t="str">
        <f>INDEX(Products!$B$2:$B$37, MATCH(D2522, Products!$A$2:$A$37, 0))</f>
        <v>Air Fryer 5L</v>
      </c>
      <c r="I2522" t="str">
        <f>INDEX(Products!$C$2:$C$37, MATCH(D2522, Products!$A$2:$A$37, 0))</f>
        <v>Home &amp; Kitchen</v>
      </c>
      <c r="J2522">
        <f>INDEX(Products!$E$2:$E$37, MATCH(D2522, Products!$A$2:$A$37, 0))</f>
        <v>290</v>
      </c>
      <c r="K2522" s="9">
        <f t="shared" si="156"/>
        <v>474.04999999999995</v>
      </c>
      <c r="L2522">
        <f t="shared" si="157"/>
        <v>290</v>
      </c>
      <c r="M2522" s="9">
        <f t="shared" si="158"/>
        <v>184.04999999999995</v>
      </c>
      <c r="N2522" t="str">
        <f t="shared" si="159"/>
        <v>Aug</v>
      </c>
    </row>
    <row r="2523" spans="1:14" x14ac:dyDescent="0.3">
      <c r="A2523" s="2" t="s">
        <v>2589</v>
      </c>
      <c r="B2523" s="6">
        <v>45873</v>
      </c>
      <c r="C2523" s="2" t="s">
        <v>44</v>
      </c>
      <c r="D2523" s="2" t="s">
        <v>75</v>
      </c>
      <c r="E2523" s="2">
        <v>2</v>
      </c>
      <c r="F2523" s="7">
        <v>549</v>
      </c>
      <c r="G2523" s="8">
        <v>0.2</v>
      </c>
      <c r="H2523" s="9" t="str">
        <f>INDEX(Products!$B$2:$B$37, MATCH(D2523, Products!$A$2:$A$37, 0))</f>
        <v>Oud Perfume 100ml</v>
      </c>
      <c r="I2523" t="str">
        <f>INDEX(Products!$C$2:$C$37, MATCH(D2523, Products!$A$2:$A$37, 0))</f>
        <v>Beauty</v>
      </c>
      <c r="J2523">
        <f>INDEX(Products!$E$2:$E$37, MATCH(D2523, Products!$A$2:$A$37, 0))</f>
        <v>250</v>
      </c>
      <c r="K2523" s="9">
        <f t="shared" si="156"/>
        <v>878.40000000000009</v>
      </c>
      <c r="L2523">
        <f t="shared" si="157"/>
        <v>500</v>
      </c>
      <c r="M2523" s="9">
        <f t="shared" si="158"/>
        <v>378.40000000000009</v>
      </c>
      <c r="N2523" t="str">
        <f t="shared" si="159"/>
        <v>Aug</v>
      </c>
    </row>
    <row r="2524" spans="1:14" x14ac:dyDescent="0.3">
      <c r="A2524" s="2" t="s">
        <v>2590</v>
      </c>
      <c r="B2524" s="6">
        <v>45873</v>
      </c>
      <c r="C2524" s="2" t="s">
        <v>48</v>
      </c>
      <c r="D2524" s="2" t="s">
        <v>89</v>
      </c>
      <c r="E2524" s="2">
        <v>2</v>
      </c>
      <c r="F2524" s="7">
        <v>399</v>
      </c>
      <c r="G2524" s="8">
        <v>0.15</v>
      </c>
      <c r="H2524" s="9" t="str">
        <f>INDEX(Products!$B$2:$B$37, MATCH(D2524, Products!$A$2:$A$37, 0))</f>
        <v>Men's Kandura Premium</v>
      </c>
      <c r="I2524" t="str">
        <f>INDEX(Products!$C$2:$C$37, MATCH(D2524, Products!$A$2:$A$37, 0))</f>
        <v>Fashion</v>
      </c>
      <c r="J2524">
        <f>INDEX(Products!$E$2:$E$37, MATCH(D2524, Products!$A$2:$A$37, 0))</f>
        <v>210</v>
      </c>
      <c r="K2524" s="9">
        <f t="shared" si="156"/>
        <v>678.3</v>
      </c>
      <c r="L2524">
        <f t="shared" si="157"/>
        <v>420</v>
      </c>
      <c r="M2524" s="9">
        <f t="shared" si="158"/>
        <v>258.29999999999995</v>
      </c>
      <c r="N2524" t="str">
        <f t="shared" si="159"/>
        <v>Aug</v>
      </c>
    </row>
    <row r="2525" spans="1:14" x14ac:dyDescent="0.3">
      <c r="A2525" s="2" t="s">
        <v>2591</v>
      </c>
      <c r="B2525" s="6">
        <v>45873</v>
      </c>
      <c r="C2525" s="2" t="s">
        <v>31</v>
      </c>
      <c r="D2525" s="2" t="s">
        <v>165</v>
      </c>
      <c r="E2525" s="2">
        <v>2</v>
      </c>
      <c r="F2525" s="7">
        <v>69</v>
      </c>
      <c r="G2525" s="8">
        <v>0</v>
      </c>
      <c r="H2525" s="9" t="str">
        <f>INDEX(Products!$B$2:$B$37, MATCH(D2525, Products!$A$2:$A$37, 0))</f>
        <v>Swim Goggles</v>
      </c>
      <c r="I2525" t="str">
        <f>INDEX(Products!$C$2:$C$37, MATCH(D2525, Products!$A$2:$A$37, 0))</f>
        <v>Sports</v>
      </c>
      <c r="J2525">
        <f>INDEX(Products!$E$2:$E$37, MATCH(D2525, Products!$A$2:$A$37, 0))</f>
        <v>25</v>
      </c>
      <c r="K2525" s="9">
        <f t="shared" si="156"/>
        <v>138</v>
      </c>
      <c r="L2525">
        <f t="shared" si="157"/>
        <v>50</v>
      </c>
      <c r="M2525" s="9">
        <f t="shared" si="158"/>
        <v>88</v>
      </c>
      <c r="N2525" t="str">
        <f t="shared" si="159"/>
        <v>Aug</v>
      </c>
    </row>
    <row r="2526" spans="1:14" x14ac:dyDescent="0.3">
      <c r="A2526" s="2" t="s">
        <v>2592</v>
      </c>
      <c r="B2526" s="6">
        <v>45874</v>
      </c>
      <c r="C2526" s="2" t="s">
        <v>48</v>
      </c>
      <c r="D2526" s="2" t="s">
        <v>68</v>
      </c>
      <c r="E2526" s="2">
        <v>2</v>
      </c>
      <c r="F2526" s="7">
        <v>249</v>
      </c>
      <c r="G2526" s="8">
        <v>0</v>
      </c>
      <c r="H2526" s="9" t="str">
        <f>INDEX(Products!$B$2:$B$37, MATCH(D2526, Products!$A$2:$A$37, 0))</f>
        <v>Bluetooth Speaker Mini</v>
      </c>
      <c r="I2526" t="str">
        <f>INDEX(Products!$C$2:$C$37, MATCH(D2526, Products!$A$2:$A$37, 0))</f>
        <v>Electronics</v>
      </c>
      <c r="J2526">
        <f>INDEX(Products!$E$2:$E$37, MATCH(D2526, Products!$A$2:$A$37, 0))</f>
        <v>150</v>
      </c>
      <c r="K2526" s="9">
        <f t="shared" si="156"/>
        <v>498</v>
      </c>
      <c r="L2526">
        <f t="shared" si="157"/>
        <v>300</v>
      </c>
      <c r="M2526" s="9">
        <f t="shared" si="158"/>
        <v>198</v>
      </c>
      <c r="N2526" t="str">
        <f t="shared" si="159"/>
        <v>Aug</v>
      </c>
    </row>
    <row r="2527" spans="1:14" x14ac:dyDescent="0.3">
      <c r="A2527" s="2" t="s">
        <v>2593</v>
      </c>
      <c r="B2527" s="6">
        <v>45874</v>
      </c>
      <c r="C2527" s="2" t="s">
        <v>31</v>
      </c>
      <c r="D2527" s="2" t="s">
        <v>60</v>
      </c>
      <c r="E2527" s="2">
        <v>3</v>
      </c>
      <c r="F2527" s="7">
        <v>99</v>
      </c>
      <c r="G2527" s="8">
        <v>0.05</v>
      </c>
      <c r="H2527" s="9" t="str">
        <f>INDEX(Products!$B$2:$B$37, MATCH(D2527, Products!$A$2:$A$37, 0))</f>
        <v>Football Size 5</v>
      </c>
      <c r="I2527" t="str">
        <f>INDEX(Products!$C$2:$C$37, MATCH(D2527, Products!$A$2:$A$37, 0))</f>
        <v>Sports</v>
      </c>
      <c r="J2527">
        <f>INDEX(Products!$E$2:$E$37, MATCH(D2527, Products!$A$2:$A$37, 0))</f>
        <v>45</v>
      </c>
      <c r="K2527" s="9">
        <f t="shared" si="156"/>
        <v>282.14999999999998</v>
      </c>
      <c r="L2527">
        <f t="shared" si="157"/>
        <v>135</v>
      </c>
      <c r="M2527" s="9">
        <f t="shared" si="158"/>
        <v>147.14999999999998</v>
      </c>
      <c r="N2527" t="str">
        <f t="shared" si="159"/>
        <v>Aug</v>
      </c>
    </row>
    <row r="2528" spans="1:14" x14ac:dyDescent="0.3">
      <c r="A2528" s="2" t="s">
        <v>2594</v>
      </c>
      <c r="B2528" s="6">
        <v>45874</v>
      </c>
      <c r="C2528" s="2" t="s">
        <v>44</v>
      </c>
      <c r="D2528" s="2" t="s">
        <v>49</v>
      </c>
      <c r="E2528" s="2">
        <v>1</v>
      </c>
      <c r="F2528" s="7">
        <v>149</v>
      </c>
      <c r="G2528" s="8">
        <v>0.2</v>
      </c>
      <c r="H2528" s="9" t="str">
        <f>INDEX(Products!$B$2:$B$37, MATCH(D2528, Products!$A$2:$A$37, 0))</f>
        <v>Kids' Sneakers</v>
      </c>
      <c r="I2528" t="str">
        <f>INDEX(Products!$C$2:$C$37, MATCH(D2528, Products!$A$2:$A$37, 0))</f>
        <v>Fashion</v>
      </c>
      <c r="J2528">
        <f>INDEX(Products!$E$2:$E$37, MATCH(D2528, Products!$A$2:$A$37, 0))</f>
        <v>80</v>
      </c>
      <c r="K2528" s="9">
        <f t="shared" si="156"/>
        <v>119.2</v>
      </c>
      <c r="L2528">
        <f t="shared" si="157"/>
        <v>80</v>
      </c>
      <c r="M2528" s="9">
        <f t="shared" si="158"/>
        <v>39.200000000000003</v>
      </c>
      <c r="N2528" t="str">
        <f t="shared" si="159"/>
        <v>Aug</v>
      </c>
    </row>
    <row r="2529" spans="1:14" x14ac:dyDescent="0.3">
      <c r="A2529" s="2" t="s">
        <v>2595</v>
      </c>
      <c r="B2529" s="6">
        <v>45874</v>
      </c>
      <c r="C2529" s="2" t="s">
        <v>41</v>
      </c>
      <c r="D2529" s="2" t="s">
        <v>103</v>
      </c>
      <c r="E2529" s="2">
        <v>2</v>
      </c>
      <c r="F2529" s="7">
        <v>89</v>
      </c>
      <c r="G2529" s="8">
        <v>0</v>
      </c>
      <c r="H2529" s="9" t="str">
        <f>INDEX(Products!$B$2:$B$37, MATCH(D2529, Products!$A$2:$A$37, 0))</f>
        <v>Sunscreen SPF50</v>
      </c>
      <c r="I2529" t="str">
        <f>INDEX(Products!$C$2:$C$37, MATCH(D2529, Products!$A$2:$A$37, 0))</f>
        <v>Beauty</v>
      </c>
      <c r="J2529">
        <f>INDEX(Products!$E$2:$E$37, MATCH(D2529, Products!$A$2:$A$37, 0))</f>
        <v>40</v>
      </c>
      <c r="K2529" s="9">
        <f t="shared" si="156"/>
        <v>178</v>
      </c>
      <c r="L2529">
        <f t="shared" si="157"/>
        <v>80</v>
      </c>
      <c r="M2529" s="9">
        <f t="shared" si="158"/>
        <v>98</v>
      </c>
      <c r="N2529" t="str">
        <f t="shared" si="159"/>
        <v>Aug</v>
      </c>
    </row>
    <row r="2530" spans="1:14" x14ac:dyDescent="0.3">
      <c r="A2530" s="2" t="s">
        <v>2596</v>
      </c>
      <c r="B2530" s="6">
        <v>45874</v>
      </c>
      <c r="C2530" s="2" t="s">
        <v>28</v>
      </c>
      <c r="D2530" s="2" t="s">
        <v>99</v>
      </c>
      <c r="E2530" s="2">
        <v>1</v>
      </c>
      <c r="F2530" s="7">
        <v>459</v>
      </c>
      <c r="G2530" s="8">
        <v>0</v>
      </c>
      <c r="H2530" s="9" t="str">
        <f>INDEX(Products!$B$2:$B$37, MATCH(D2530, Products!$A$2:$A$37, 0))</f>
        <v>Gaming Headset X</v>
      </c>
      <c r="I2530" t="str">
        <f>INDEX(Products!$C$2:$C$37, MATCH(D2530, Products!$A$2:$A$37, 0))</f>
        <v>Electronics</v>
      </c>
      <c r="J2530">
        <f>INDEX(Products!$E$2:$E$37, MATCH(D2530, Products!$A$2:$A$37, 0))</f>
        <v>300</v>
      </c>
      <c r="K2530" s="9">
        <f t="shared" si="156"/>
        <v>459</v>
      </c>
      <c r="L2530">
        <f t="shared" si="157"/>
        <v>300</v>
      </c>
      <c r="M2530" s="9">
        <f t="shared" si="158"/>
        <v>159</v>
      </c>
      <c r="N2530" t="str">
        <f t="shared" si="159"/>
        <v>Aug</v>
      </c>
    </row>
    <row r="2531" spans="1:14" x14ac:dyDescent="0.3">
      <c r="A2531" s="2" t="s">
        <v>2597</v>
      </c>
      <c r="B2531" s="6">
        <v>45874</v>
      </c>
      <c r="C2531" s="2" t="s">
        <v>48</v>
      </c>
      <c r="D2531" s="2" t="s">
        <v>115</v>
      </c>
      <c r="E2531" s="2">
        <v>1</v>
      </c>
      <c r="F2531" s="7">
        <v>129</v>
      </c>
      <c r="G2531" s="8">
        <v>0</v>
      </c>
      <c r="H2531" s="9" t="str">
        <f>INDEX(Products!$B$2:$B$37, MATCH(D2531, Products!$A$2:$A$37, 0))</f>
        <v>Electric Kettle</v>
      </c>
      <c r="I2531" t="str">
        <f>INDEX(Products!$C$2:$C$37, MATCH(D2531, Products!$A$2:$A$37, 0))</f>
        <v>Home &amp; Kitchen</v>
      </c>
      <c r="J2531">
        <f>INDEX(Products!$E$2:$E$37, MATCH(D2531, Products!$A$2:$A$37, 0))</f>
        <v>60</v>
      </c>
      <c r="K2531" s="9">
        <f t="shared" si="156"/>
        <v>129</v>
      </c>
      <c r="L2531">
        <f t="shared" si="157"/>
        <v>60</v>
      </c>
      <c r="M2531" s="9">
        <f t="shared" si="158"/>
        <v>69</v>
      </c>
      <c r="N2531" t="str">
        <f t="shared" si="159"/>
        <v>Aug</v>
      </c>
    </row>
    <row r="2532" spans="1:14" x14ac:dyDescent="0.3">
      <c r="A2532" s="2" t="s">
        <v>2598</v>
      </c>
      <c r="B2532" s="6">
        <v>45874</v>
      </c>
      <c r="C2532" s="2" t="s">
        <v>48</v>
      </c>
      <c r="D2532" s="2" t="s">
        <v>75</v>
      </c>
      <c r="E2532" s="2">
        <v>1</v>
      </c>
      <c r="F2532" s="7">
        <v>549</v>
      </c>
      <c r="G2532" s="8">
        <v>0</v>
      </c>
      <c r="H2532" s="9" t="str">
        <f>INDEX(Products!$B$2:$B$37, MATCH(D2532, Products!$A$2:$A$37, 0))</f>
        <v>Oud Perfume 100ml</v>
      </c>
      <c r="I2532" t="str">
        <f>INDEX(Products!$C$2:$C$37, MATCH(D2532, Products!$A$2:$A$37, 0))</f>
        <v>Beauty</v>
      </c>
      <c r="J2532">
        <f>INDEX(Products!$E$2:$E$37, MATCH(D2532, Products!$A$2:$A$37, 0))</f>
        <v>250</v>
      </c>
      <c r="K2532" s="9">
        <f t="shared" si="156"/>
        <v>549</v>
      </c>
      <c r="L2532">
        <f t="shared" si="157"/>
        <v>250</v>
      </c>
      <c r="M2532" s="9">
        <f t="shared" si="158"/>
        <v>299</v>
      </c>
      <c r="N2532" t="str">
        <f t="shared" si="159"/>
        <v>Aug</v>
      </c>
    </row>
    <row r="2533" spans="1:14" x14ac:dyDescent="0.3">
      <c r="A2533" s="2" t="s">
        <v>2599</v>
      </c>
      <c r="B2533" s="6">
        <v>45874</v>
      </c>
      <c r="C2533" s="2" t="s">
        <v>31</v>
      </c>
      <c r="D2533" s="2" t="s">
        <v>87</v>
      </c>
      <c r="E2533" s="2">
        <v>1</v>
      </c>
      <c r="F2533" s="7">
        <v>799</v>
      </c>
      <c r="G2533" s="8">
        <v>0.2</v>
      </c>
      <c r="H2533" s="9" t="str">
        <f>INDEX(Products!$B$2:$B$37, MATCH(D2533, Products!$A$2:$A$37, 0))</f>
        <v>Adjustable Dumbbells</v>
      </c>
      <c r="I2533" t="str">
        <f>INDEX(Products!$C$2:$C$37, MATCH(D2533, Products!$A$2:$A$37, 0))</f>
        <v>Sports</v>
      </c>
      <c r="J2533">
        <f>INDEX(Products!$E$2:$E$37, MATCH(D2533, Products!$A$2:$A$37, 0))</f>
        <v>700</v>
      </c>
      <c r="K2533" s="9">
        <f t="shared" si="156"/>
        <v>639.20000000000005</v>
      </c>
      <c r="L2533">
        <f t="shared" si="157"/>
        <v>700</v>
      </c>
      <c r="M2533" s="9">
        <f t="shared" si="158"/>
        <v>-60.799999999999955</v>
      </c>
      <c r="N2533" t="str">
        <f t="shared" si="159"/>
        <v>Aug</v>
      </c>
    </row>
    <row r="2534" spans="1:14" x14ac:dyDescent="0.3">
      <c r="A2534" s="2" t="s">
        <v>2600</v>
      </c>
      <c r="B2534" s="6">
        <v>45874</v>
      </c>
      <c r="C2534" s="2" t="s">
        <v>44</v>
      </c>
      <c r="D2534" s="2" t="s">
        <v>46</v>
      </c>
      <c r="E2534" s="2">
        <v>1</v>
      </c>
      <c r="F2534" s="7">
        <v>189</v>
      </c>
      <c r="G2534" s="8">
        <v>0.05</v>
      </c>
      <c r="H2534" s="9" t="str">
        <f>INDEX(Products!$B$2:$B$37, MATCH(D2534, Products!$A$2:$A$37, 0))</f>
        <v>Makeup Palette</v>
      </c>
      <c r="I2534" t="str">
        <f>INDEX(Products!$C$2:$C$37, MATCH(D2534, Products!$A$2:$A$37, 0))</f>
        <v>Beauty</v>
      </c>
      <c r="J2534">
        <f>INDEX(Products!$E$2:$E$37, MATCH(D2534, Products!$A$2:$A$37, 0))</f>
        <v>85</v>
      </c>
      <c r="K2534" s="9">
        <f t="shared" si="156"/>
        <v>179.54999999999998</v>
      </c>
      <c r="L2534">
        <f t="shared" si="157"/>
        <v>85</v>
      </c>
      <c r="M2534" s="9">
        <f t="shared" si="158"/>
        <v>94.549999999999983</v>
      </c>
      <c r="N2534" t="str">
        <f t="shared" si="159"/>
        <v>Aug</v>
      </c>
    </row>
    <row r="2535" spans="1:14" x14ac:dyDescent="0.3">
      <c r="A2535" s="2" t="s">
        <v>2601</v>
      </c>
      <c r="B2535" s="6">
        <v>45874</v>
      </c>
      <c r="C2535" s="2" t="s">
        <v>28</v>
      </c>
      <c r="D2535" s="2" t="s">
        <v>70</v>
      </c>
      <c r="E2535" s="2">
        <v>1</v>
      </c>
      <c r="F2535" s="7">
        <v>429</v>
      </c>
      <c r="G2535" s="8">
        <v>0</v>
      </c>
      <c r="H2535" s="9" t="str">
        <f>INDEX(Products!$B$2:$B$37, MATCH(D2535, Products!$A$2:$A$37, 0))</f>
        <v>Running Shoes Elite</v>
      </c>
      <c r="I2535" t="str">
        <f>INDEX(Products!$C$2:$C$37, MATCH(D2535, Products!$A$2:$A$37, 0))</f>
        <v>Fashion</v>
      </c>
      <c r="J2535">
        <f>INDEX(Products!$E$2:$E$37, MATCH(D2535, Products!$A$2:$A$37, 0))</f>
        <v>300</v>
      </c>
      <c r="K2535" s="9">
        <f t="shared" si="156"/>
        <v>429</v>
      </c>
      <c r="L2535">
        <f t="shared" si="157"/>
        <v>300</v>
      </c>
      <c r="M2535" s="9">
        <f t="shared" si="158"/>
        <v>129</v>
      </c>
      <c r="N2535" t="str">
        <f t="shared" si="159"/>
        <v>Aug</v>
      </c>
    </row>
    <row r="2536" spans="1:14" x14ac:dyDescent="0.3">
      <c r="A2536" s="2" t="s">
        <v>2602</v>
      </c>
      <c r="B2536" s="6">
        <v>45874</v>
      </c>
      <c r="C2536" s="2" t="s">
        <v>44</v>
      </c>
      <c r="D2536" s="2" t="s">
        <v>95</v>
      </c>
      <c r="E2536" s="2">
        <v>1</v>
      </c>
      <c r="F2536" s="7">
        <v>259</v>
      </c>
      <c r="G2536" s="8">
        <v>0</v>
      </c>
      <c r="H2536" s="9" t="str">
        <f>INDEX(Products!$B$2:$B$37, MATCH(D2536, Products!$A$2:$A$37, 0))</f>
        <v>Bed Linen Set (King)</v>
      </c>
      <c r="I2536" t="str">
        <f>INDEX(Products!$C$2:$C$37, MATCH(D2536, Products!$A$2:$A$37, 0))</f>
        <v>Home &amp; Kitchen</v>
      </c>
      <c r="J2536">
        <f>INDEX(Products!$E$2:$E$37, MATCH(D2536, Products!$A$2:$A$37, 0))</f>
        <v>115</v>
      </c>
      <c r="K2536" s="9">
        <f t="shared" si="156"/>
        <v>259</v>
      </c>
      <c r="L2536">
        <f t="shared" si="157"/>
        <v>115</v>
      </c>
      <c r="M2536" s="9">
        <f t="shared" si="158"/>
        <v>144</v>
      </c>
      <c r="N2536" t="str">
        <f t="shared" si="159"/>
        <v>Aug</v>
      </c>
    </row>
    <row r="2537" spans="1:14" x14ac:dyDescent="0.3">
      <c r="A2537" s="2" t="s">
        <v>2603</v>
      </c>
      <c r="B2537" s="6">
        <v>45874</v>
      </c>
      <c r="C2537" s="2" t="s">
        <v>31</v>
      </c>
      <c r="D2537" s="2" t="s">
        <v>37</v>
      </c>
      <c r="E2537" s="2">
        <v>1</v>
      </c>
      <c r="F2537" s="7">
        <v>249</v>
      </c>
      <c r="G2537" s="8">
        <v>0.3</v>
      </c>
      <c r="H2537" s="9" t="str">
        <f>INDEX(Products!$B$2:$B$37, MATCH(D2537, Products!$A$2:$A$37, 0))</f>
        <v>Sunglasses Polarised</v>
      </c>
      <c r="I2537" t="str">
        <f>INDEX(Products!$C$2:$C$37, MATCH(D2537, Products!$A$2:$A$37, 0))</f>
        <v>Fashion</v>
      </c>
      <c r="J2537">
        <f>INDEX(Products!$E$2:$E$37, MATCH(D2537, Products!$A$2:$A$37, 0))</f>
        <v>95</v>
      </c>
      <c r="K2537" s="9">
        <f t="shared" si="156"/>
        <v>174.29999999999998</v>
      </c>
      <c r="L2537">
        <f t="shared" si="157"/>
        <v>95</v>
      </c>
      <c r="M2537" s="9">
        <f t="shared" si="158"/>
        <v>79.299999999999983</v>
      </c>
      <c r="N2537" t="str">
        <f t="shared" si="159"/>
        <v>Aug</v>
      </c>
    </row>
    <row r="2538" spans="1:14" x14ac:dyDescent="0.3">
      <c r="A2538" s="2" t="s">
        <v>2604</v>
      </c>
      <c r="B2538" s="6">
        <v>45875</v>
      </c>
      <c r="C2538" s="2" t="s">
        <v>28</v>
      </c>
      <c r="D2538" s="2" t="s">
        <v>80</v>
      </c>
      <c r="E2538" s="2">
        <v>1</v>
      </c>
      <c r="F2538" s="7">
        <v>149</v>
      </c>
      <c r="G2538" s="8">
        <v>0</v>
      </c>
      <c r="H2538" s="9" t="str">
        <f>INDEX(Products!$B$2:$B$37, MATCH(D2538, Products!$A$2:$A$37, 0))</f>
        <v>Vitamin C Serum</v>
      </c>
      <c r="I2538" t="str">
        <f>INDEX(Products!$C$2:$C$37, MATCH(D2538, Products!$A$2:$A$37, 0))</f>
        <v>Beauty</v>
      </c>
      <c r="J2538">
        <f>INDEX(Products!$E$2:$E$37, MATCH(D2538, Products!$A$2:$A$37, 0))</f>
        <v>55</v>
      </c>
      <c r="K2538" s="9">
        <f t="shared" si="156"/>
        <v>149</v>
      </c>
      <c r="L2538">
        <f t="shared" si="157"/>
        <v>55</v>
      </c>
      <c r="M2538" s="9">
        <f t="shared" si="158"/>
        <v>94</v>
      </c>
      <c r="N2538" t="str">
        <f t="shared" si="159"/>
        <v>Aug</v>
      </c>
    </row>
    <row r="2539" spans="1:14" x14ac:dyDescent="0.3">
      <c r="A2539" s="2" t="s">
        <v>2605</v>
      </c>
      <c r="B2539" s="6">
        <v>45875</v>
      </c>
      <c r="C2539" s="2" t="s">
        <v>48</v>
      </c>
      <c r="D2539" s="2" t="s">
        <v>49</v>
      </c>
      <c r="E2539" s="2">
        <v>1</v>
      </c>
      <c r="F2539" s="7">
        <v>149</v>
      </c>
      <c r="G2539" s="8">
        <v>0.15</v>
      </c>
      <c r="H2539" s="9" t="str">
        <f>INDEX(Products!$B$2:$B$37, MATCH(D2539, Products!$A$2:$A$37, 0))</f>
        <v>Kids' Sneakers</v>
      </c>
      <c r="I2539" t="str">
        <f>INDEX(Products!$C$2:$C$37, MATCH(D2539, Products!$A$2:$A$37, 0))</f>
        <v>Fashion</v>
      </c>
      <c r="J2539">
        <f>INDEX(Products!$E$2:$E$37, MATCH(D2539, Products!$A$2:$A$37, 0))</f>
        <v>80</v>
      </c>
      <c r="K2539" s="9">
        <f t="shared" si="156"/>
        <v>126.64999999999999</v>
      </c>
      <c r="L2539">
        <f t="shared" si="157"/>
        <v>80</v>
      </c>
      <c r="M2539" s="9">
        <f t="shared" si="158"/>
        <v>46.649999999999991</v>
      </c>
      <c r="N2539" t="str">
        <f t="shared" si="159"/>
        <v>Aug</v>
      </c>
    </row>
    <row r="2540" spans="1:14" x14ac:dyDescent="0.3">
      <c r="A2540" s="2" t="s">
        <v>2606</v>
      </c>
      <c r="B2540" s="6">
        <v>45875</v>
      </c>
      <c r="C2540" s="2" t="s">
        <v>28</v>
      </c>
      <c r="D2540" s="2" t="s">
        <v>46</v>
      </c>
      <c r="E2540" s="2">
        <v>1</v>
      </c>
      <c r="F2540" s="7">
        <v>189</v>
      </c>
      <c r="G2540" s="8">
        <v>0</v>
      </c>
      <c r="H2540" s="9" t="str">
        <f>INDEX(Products!$B$2:$B$37, MATCH(D2540, Products!$A$2:$A$37, 0))</f>
        <v>Makeup Palette</v>
      </c>
      <c r="I2540" t="str">
        <f>INDEX(Products!$C$2:$C$37, MATCH(D2540, Products!$A$2:$A$37, 0))</f>
        <v>Beauty</v>
      </c>
      <c r="J2540">
        <f>INDEX(Products!$E$2:$E$37, MATCH(D2540, Products!$A$2:$A$37, 0))</f>
        <v>85</v>
      </c>
      <c r="K2540" s="9">
        <f t="shared" si="156"/>
        <v>189</v>
      </c>
      <c r="L2540">
        <f t="shared" si="157"/>
        <v>85</v>
      </c>
      <c r="M2540" s="9">
        <f t="shared" si="158"/>
        <v>104</v>
      </c>
      <c r="N2540" t="str">
        <f t="shared" si="159"/>
        <v>Aug</v>
      </c>
    </row>
    <row r="2541" spans="1:14" x14ac:dyDescent="0.3">
      <c r="A2541" s="2" t="s">
        <v>2607</v>
      </c>
      <c r="B2541" s="6">
        <v>45875</v>
      </c>
      <c r="C2541" s="2" t="s">
        <v>44</v>
      </c>
      <c r="D2541" s="2" t="s">
        <v>58</v>
      </c>
      <c r="E2541" s="2">
        <v>1</v>
      </c>
      <c r="F2541" s="7">
        <v>459</v>
      </c>
      <c r="G2541" s="8">
        <v>0.05</v>
      </c>
      <c r="H2541" s="9" t="str">
        <f>INDEX(Products!$B$2:$B$37, MATCH(D2541, Products!$A$2:$A$37, 0))</f>
        <v>Women's Abaya Classic</v>
      </c>
      <c r="I2541" t="str">
        <f>INDEX(Products!$C$2:$C$37, MATCH(D2541, Products!$A$2:$A$37, 0))</f>
        <v>Fashion</v>
      </c>
      <c r="J2541">
        <f>INDEX(Products!$E$2:$E$37, MATCH(D2541, Products!$A$2:$A$37, 0))</f>
        <v>190</v>
      </c>
      <c r="K2541" s="9">
        <f t="shared" si="156"/>
        <v>436.04999999999995</v>
      </c>
      <c r="L2541">
        <f t="shared" si="157"/>
        <v>190</v>
      </c>
      <c r="M2541" s="9">
        <f t="shared" si="158"/>
        <v>246.04999999999995</v>
      </c>
      <c r="N2541" t="str">
        <f t="shared" si="159"/>
        <v>Aug</v>
      </c>
    </row>
    <row r="2542" spans="1:14" x14ac:dyDescent="0.3">
      <c r="A2542" s="2" t="s">
        <v>2608</v>
      </c>
      <c r="B2542" s="6">
        <v>45875</v>
      </c>
      <c r="C2542" s="2" t="s">
        <v>44</v>
      </c>
      <c r="D2542" s="2" t="s">
        <v>35</v>
      </c>
      <c r="E2542" s="2">
        <v>1</v>
      </c>
      <c r="F2542" s="7">
        <v>179</v>
      </c>
      <c r="G2542" s="8">
        <v>0.2</v>
      </c>
      <c r="H2542" s="9" t="str">
        <f>INDEX(Products!$B$2:$B$37, MATCH(D2542, Products!$A$2:$A$37, 0))</f>
        <v>Men's Linen Shirt</v>
      </c>
      <c r="I2542" t="str">
        <f>INDEX(Products!$C$2:$C$37, MATCH(D2542, Products!$A$2:$A$37, 0))</f>
        <v>Fashion</v>
      </c>
      <c r="J2542">
        <f>INDEX(Products!$E$2:$E$37, MATCH(D2542, Products!$A$2:$A$37, 0))</f>
        <v>70</v>
      </c>
      <c r="K2542" s="9">
        <f t="shared" si="156"/>
        <v>143.20000000000002</v>
      </c>
      <c r="L2542">
        <f t="shared" si="157"/>
        <v>70</v>
      </c>
      <c r="M2542" s="9">
        <f t="shared" si="158"/>
        <v>73.200000000000017</v>
      </c>
      <c r="N2542" t="str">
        <f t="shared" si="159"/>
        <v>Aug</v>
      </c>
    </row>
    <row r="2543" spans="1:14" x14ac:dyDescent="0.3">
      <c r="A2543" s="2" t="s">
        <v>2609</v>
      </c>
      <c r="B2543" s="6">
        <v>45875</v>
      </c>
      <c r="C2543" s="2" t="s">
        <v>41</v>
      </c>
      <c r="D2543" s="2" t="s">
        <v>99</v>
      </c>
      <c r="E2543" s="2">
        <v>2</v>
      </c>
      <c r="F2543" s="7">
        <v>459</v>
      </c>
      <c r="G2543" s="8">
        <v>0.2</v>
      </c>
      <c r="H2543" s="9" t="str">
        <f>INDEX(Products!$B$2:$B$37, MATCH(D2543, Products!$A$2:$A$37, 0))</f>
        <v>Gaming Headset X</v>
      </c>
      <c r="I2543" t="str">
        <f>INDEX(Products!$C$2:$C$37, MATCH(D2543, Products!$A$2:$A$37, 0))</f>
        <v>Electronics</v>
      </c>
      <c r="J2543">
        <f>INDEX(Products!$E$2:$E$37, MATCH(D2543, Products!$A$2:$A$37, 0))</f>
        <v>300</v>
      </c>
      <c r="K2543" s="9">
        <f t="shared" si="156"/>
        <v>734.40000000000009</v>
      </c>
      <c r="L2543">
        <f t="shared" si="157"/>
        <v>600</v>
      </c>
      <c r="M2543" s="9">
        <f t="shared" si="158"/>
        <v>134.40000000000009</v>
      </c>
      <c r="N2543" t="str">
        <f t="shared" si="159"/>
        <v>Aug</v>
      </c>
    </row>
    <row r="2544" spans="1:14" x14ac:dyDescent="0.3">
      <c r="A2544" s="2" t="s">
        <v>2610</v>
      </c>
      <c r="B2544" s="6">
        <v>45875</v>
      </c>
      <c r="C2544" s="2" t="s">
        <v>41</v>
      </c>
      <c r="D2544" s="2" t="s">
        <v>95</v>
      </c>
      <c r="E2544" s="2">
        <v>1</v>
      </c>
      <c r="F2544" s="7">
        <v>259</v>
      </c>
      <c r="G2544" s="8">
        <v>0</v>
      </c>
      <c r="H2544" s="9" t="str">
        <f>INDEX(Products!$B$2:$B$37, MATCH(D2544, Products!$A$2:$A$37, 0))</f>
        <v>Bed Linen Set (King)</v>
      </c>
      <c r="I2544" t="str">
        <f>INDEX(Products!$C$2:$C$37, MATCH(D2544, Products!$A$2:$A$37, 0))</f>
        <v>Home &amp; Kitchen</v>
      </c>
      <c r="J2544">
        <f>INDEX(Products!$E$2:$E$37, MATCH(D2544, Products!$A$2:$A$37, 0))</f>
        <v>115</v>
      </c>
      <c r="K2544" s="9">
        <f t="shared" si="156"/>
        <v>259</v>
      </c>
      <c r="L2544">
        <f t="shared" si="157"/>
        <v>115</v>
      </c>
      <c r="M2544" s="9">
        <f t="shared" si="158"/>
        <v>144</v>
      </c>
      <c r="N2544" t="str">
        <f t="shared" si="159"/>
        <v>Aug</v>
      </c>
    </row>
    <row r="2545" spans="1:14" x14ac:dyDescent="0.3">
      <c r="A2545" s="2" t="s">
        <v>2611</v>
      </c>
      <c r="B2545" s="6">
        <v>45875</v>
      </c>
      <c r="C2545" s="2" t="s">
        <v>41</v>
      </c>
      <c r="D2545" s="2" t="s">
        <v>42</v>
      </c>
      <c r="E2545" s="2">
        <v>1</v>
      </c>
      <c r="F2545" s="7">
        <v>399</v>
      </c>
      <c r="G2545" s="8">
        <v>0</v>
      </c>
      <c r="H2545" s="9" t="str">
        <f>INDEX(Products!$B$2:$B$37, MATCH(D2545, Products!$A$2:$A$37, 0))</f>
        <v>Wireless Earbuds Pro</v>
      </c>
      <c r="I2545" t="str">
        <f>INDEX(Products!$C$2:$C$37, MATCH(D2545, Products!$A$2:$A$37, 0))</f>
        <v>Electronics</v>
      </c>
      <c r="J2545">
        <f>INDEX(Products!$E$2:$E$37, MATCH(D2545, Products!$A$2:$A$37, 0))</f>
        <v>230</v>
      </c>
      <c r="K2545" s="9">
        <f t="shared" si="156"/>
        <v>399</v>
      </c>
      <c r="L2545">
        <f t="shared" si="157"/>
        <v>230</v>
      </c>
      <c r="M2545" s="9">
        <f t="shared" si="158"/>
        <v>169</v>
      </c>
      <c r="N2545" t="str">
        <f t="shared" si="159"/>
        <v>Aug</v>
      </c>
    </row>
    <row r="2546" spans="1:14" x14ac:dyDescent="0.3">
      <c r="A2546" s="2" t="s">
        <v>2612</v>
      </c>
      <c r="B2546" s="6">
        <v>45875</v>
      </c>
      <c r="C2546" s="2" t="s">
        <v>31</v>
      </c>
      <c r="D2546" s="2" t="s">
        <v>126</v>
      </c>
      <c r="E2546" s="2">
        <v>1</v>
      </c>
      <c r="F2546" s="7">
        <v>89</v>
      </c>
      <c r="G2546" s="8">
        <v>0</v>
      </c>
      <c r="H2546" s="9" t="str">
        <f>INDEX(Products!$B$2:$B$37, MATCH(D2546, Products!$A$2:$A$37, 0))</f>
        <v>USB-C Fast Charger</v>
      </c>
      <c r="I2546" t="str">
        <f>INDEX(Products!$C$2:$C$37, MATCH(D2546, Products!$A$2:$A$37, 0))</f>
        <v>Electronics</v>
      </c>
      <c r="J2546">
        <f>INDEX(Products!$E$2:$E$37, MATCH(D2546, Products!$A$2:$A$37, 0))</f>
        <v>35</v>
      </c>
      <c r="K2546" s="9">
        <f t="shared" si="156"/>
        <v>89</v>
      </c>
      <c r="L2546">
        <f t="shared" si="157"/>
        <v>35</v>
      </c>
      <c r="M2546" s="9">
        <f t="shared" si="158"/>
        <v>54</v>
      </c>
      <c r="N2546" t="str">
        <f t="shared" si="159"/>
        <v>Aug</v>
      </c>
    </row>
    <row r="2547" spans="1:14" x14ac:dyDescent="0.3">
      <c r="A2547" s="2" t="s">
        <v>2613</v>
      </c>
      <c r="B2547" s="6">
        <v>45875</v>
      </c>
      <c r="C2547" s="2" t="s">
        <v>44</v>
      </c>
      <c r="D2547" s="2" t="s">
        <v>37</v>
      </c>
      <c r="E2547" s="2">
        <v>2</v>
      </c>
      <c r="F2547" s="7">
        <v>249</v>
      </c>
      <c r="G2547" s="8">
        <v>0</v>
      </c>
      <c r="H2547" s="9" t="str">
        <f>INDEX(Products!$B$2:$B$37, MATCH(D2547, Products!$A$2:$A$37, 0))</f>
        <v>Sunglasses Polarised</v>
      </c>
      <c r="I2547" t="str">
        <f>INDEX(Products!$C$2:$C$37, MATCH(D2547, Products!$A$2:$A$37, 0))</f>
        <v>Fashion</v>
      </c>
      <c r="J2547">
        <f>INDEX(Products!$E$2:$E$37, MATCH(D2547, Products!$A$2:$A$37, 0))</f>
        <v>95</v>
      </c>
      <c r="K2547" s="9">
        <f t="shared" si="156"/>
        <v>498</v>
      </c>
      <c r="L2547">
        <f t="shared" si="157"/>
        <v>190</v>
      </c>
      <c r="M2547" s="9">
        <f t="shared" si="158"/>
        <v>308</v>
      </c>
      <c r="N2547" t="str">
        <f t="shared" si="159"/>
        <v>Aug</v>
      </c>
    </row>
    <row r="2548" spans="1:14" x14ac:dyDescent="0.3">
      <c r="A2548" s="2" t="s">
        <v>2614</v>
      </c>
      <c r="B2548" s="6">
        <v>45875</v>
      </c>
      <c r="C2548" s="2" t="s">
        <v>41</v>
      </c>
      <c r="D2548" s="2" t="s">
        <v>83</v>
      </c>
      <c r="E2548" s="2">
        <v>3</v>
      </c>
      <c r="F2548" s="7">
        <v>229</v>
      </c>
      <c r="G2548" s="8">
        <v>0.1</v>
      </c>
      <c r="H2548" s="9" t="str">
        <f>INDEX(Products!$B$2:$B$37, MATCH(D2548, Products!$A$2:$A$37, 0))</f>
        <v>Cycling Helmet</v>
      </c>
      <c r="I2548" t="str">
        <f>INDEX(Products!$C$2:$C$37, MATCH(D2548, Products!$A$2:$A$37, 0))</f>
        <v>Sports</v>
      </c>
      <c r="J2548">
        <f>INDEX(Products!$E$2:$E$37, MATCH(D2548, Products!$A$2:$A$37, 0))</f>
        <v>120</v>
      </c>
      <c r="K2548" s="9">
        <f t="shared" si="156"/>
        <v>618.30000000000007</v>
      </c>
      <c r="L2548">
        <f t="shared" si="157"/>
        <v>360</v>
      </c>
      <c r="M2548" s="9">
        <f t="shared" si="158"/>
        <v>258.30000000000007</v>
      </c>
      <c r="N2548" t="str">
        <f t="shared" si="159"/>
        <v>Aug</v>
      </c>
    </row>
    <row r="2549" spans="1:14" x14ac:dyDescent="0.3">
      <c r="A2549" s="2" t="s">
        <v>2615</v>
      </c>
      <c r="B2549" s="6">
        <v>45875</v>
      </c>
      <c r="C2549" s="2" t="s">
        <v>41</v>
      </c>
      <c r="D2549" s="2" t="s">
        <v>126</v>
      </c>
      <c r="E2549" s="2">
        <v>3</v>
      </c>
      <c r="F2549" s="7">
        <v>89</v>
      </c>
      <c r="G2549" s="8">
        <v>0.15</v>
      </c>
      <c r="H2549" s="9" t="str">
        <f>INDEX(Products!$B$2:$B$37, MATCH(D2549, Products!$A$2:$A$37, 0))</f>
        <v>USB-C Fast Charger</v>
      </c>
      <c r="I2549" t="str">
        <f>INDEX(Products!$C$2:$C$37, MATCH(D2549, Products!$A$2:$A$37, 0))</f>
        <v>Electronics</v>
      </c>
      <c r="J2549">
        <f>INDEX(Products!$E$2:$E$37, MATCH(D2549, Products!$A$2:$A$37, 0))</f>
        <v>35</v>
      </c>
      <c r="K2549" s="9">
        <f t="shared" si="156"/>
        <v>226.95</v>
      </c>
      <c r="L2549">
        <f t="shared" si="157"/>
        <v>105</v>
      </c>
      <c r="M2549" s="9">
        <f t="shared" si="158"/>
        <v>121.94999999999999</v>
      </c>
      <c r="N2549" t="str">
        <f t="shared" si="159"/>
        <v>Aug</v>
      </c>
    </row>
    <row r="2550" spans="1:14" x14ac:dyDescent="0.3">
      <c r="A2550" s="2" t="s">
        <v>2616</v>
      </c>
      <c r="B2550" s="6">
        <v>45875</v>
      </c>
      <c r="C2550" s="2" t="s">
        <v>44</v>
      </c>
      <c r="D2550" s="2" t="s">
        <v>70</v>
      </c>
      <c r="E2550" s="2">
        <v>1</v>
      </c>
      <c r="F2550" s="7">
        <v>429</v>
      </c>
      <c r="G2550" s="8">
        <v>0.05</v>
      </c>
      <c r="H2550" s="9" t="str">
        <f>INDEX(Products!$B$2:$B$37, MATCH(D2550, Products!$A$2:$A$37, 0))</f>
        <v>Running Shoes Elite</v>
      </c>
      <c r="I2550" t="str">
        <f>INDEX(Products!$C$2:$C$37, MATCH(D2550, Products!$A$2:$A$37, 0))</f>
        <v>Fashion</v>
      </c>
      <c r="J2550">
        <f>INDEX(Products!$E$2:$E$37, MATCH(D2550, Products!$A$2:$A$37, 0))</f>
        <v>300</v>
      </c>
      <c r="K2550" s="9">
        <f t="shared" si="156"/>
        <v>407.54999999999995</v>
      </c>
      <c r="L2550">
        <f t="shared" si="157"/>
        <v>300</v>
      </c>
      <c r="M2550" s="9">
        <f t="shared" si="158"/>
        <v>107.54999999999995</v>
      </c>
      <c r="N2550" t="str">
        <f t="shared" si="159"/>
        <v>Aug</v>
      </c>
    </row>
    <row r="2551" spans="1:14" x14ac:dyDescent="0.3">
      <c r="A2551" s="2" t="s">
        <v>2617</v>
      </c>
      <c r="B2551" s="6">
        <v>45875</v>
      </c>
      <c r="C2551" s="2" t="s">
        <v>48</v>
      </c>
      <c r="D2551" s="2" t="s">
        <v>52</v>
      </c>
      <c r="E2551" s="2">
        <v>1</v>
      </c>
      <c r="F2551" s="7">
        <v>299</v>
      </c>
      <c r="G2551" s="8">
        <v>0.15</v>
      </c>
      <c r="H2551" s="9" t="str">
        <f>INDEX(Products!$B$2:$B$37, MATCH(D2551, Products!$A$2:$A$37, 0))</f>
        <v>Hair Dryer Ionic</v>
      </c>
      <c r="I2551" t="str">
        <f>INDEX(Products!$C$2:$C$37, MATCH(D2551, Products!$A$2:$A$37, 0))</f>
        <v>Beauty</v>
      </c>
      <c r="J2551">
        <f>INDEX(Products!$E$2:$E$37, MATCH(D2551, Products!$A$2:$A$37, 0))</f>
        <v>240</v>
      </c>
      <c r="K2551" s="9">
        <f t="shared" si="156"/>
        <v>254.15</v>
      </c>
      <c r="L2551">
        <f t="shared" si="157"/>
        <v>240</v>
      </c>
      <c r="M2551" s="9">
        <f t="shared" si="158"/>
        <v>14.150000000000006</v>
      </c>
      <c r="N2551" t="str">
        <f t="shared" si="159"/>
        <v>Aug</v>
      </c>
    </row>
    <row r="2552" spans="1:14" x14ac:dyDescent="0.3">
      <c r="A2552" s="2" t="s">
        <v>2618</v>
      </c>
      <c r="B2552" s="6">
        <v>45876</v>
      </c>
      <c r="C2552" s="2" t="s">
        <v>44</v>
      </c>
      <c r="D2552" s="2" t="s">
        <v>87</v>
      </c>
      <c r="E2552" s="2">
        <v>1</v>
      </c>
      <c r="F2552" s="7">
        <v>799</v>
      </c>
      <c r="G2552" s="8">
        <v>0.2</v>
      </c>
      <c r="H2552" s="9" t="str">
        <f>INDEX(Products!$B$2:$B$37, MATCH(D2552, Products!$A$2:$A$37, 0))</f>
        <v>Adjustable Dumbbells</v>
      </c>
      <c r="I2552" t="str">
        <f>INDEX(Products!$C$2:$C$37, MATCH(D2552, Products!$A$2:$A$37, 0))</f>
        <v>Sports</v>
      </c>
      <c r="J2552">
        <f>INDEX(Products!$E$2:$E$37, MATCH(D2552, Products!$A$2:$A$37, 0))</f>
        <v>700</v>
      </c>
      <c r="K2552" s="9">
        <f t="shared" si="156"/>
        <v>639.20000000000005</v>
      </c>
      <c r="L2552">
        <f t="shared" si="157"/>
        <v>700</v>
      </c>
      <c r="M2552" s="9">
        <f t="shared" si="158"/>
        <v>-60.799999999999955</v>
      </c>
      <c r="N2552" t="str">
        <f t="shared" si="159"/>
        <v>Aug</v>
      </c>
    </row>
    <row r="2553" spans="1:14" x14ac:dyDescent="0.3">
      <c r="A2553" s="2" t="s">
        <v>2619</v>
      </c>
      <c r="B2553" s="6">
        <v>45876</v>
      </c>
      <c r="C2553" s="2" t="s">
        <v>44</v>
      </c>
      <c r="D2553" s="2" t="s">
        <v>58</v>
      </c>
      <c r="E2553" s="2">
        <v>1</v>
      </c>
      <c r="F2553" s="7">
        <v>459</v>
      </c>
      <c r="G2553" s="8">
        <v>0.15</v>
      </c>
      <c r="H2553" s="9" t="str">
        <f>INDEX(Products!$B$2:$B$37, MATCH(D2553, Products!$A$2:$A$37, 0))</f>
        <v>Women's Abaya Classic</v>
      </c>
      <c r="I2553" t="str">
        <f>INDEX(Products!$C$2:$C$37, MATCH(D2553, Products!$A$2:$A$37, 0))</f>
        <v>Fashion</v>
      </c>
      <c r="J2553">
        <f>INDEX(Products!$E$2:$E$37, MATCH(D2553, Products!$A$2:$A$37, 0))</f>
        <v>190</v>
      </c>
      <c r="K2553" s="9">
        <f t="shared" si="156"/>
        <v>390.15</v>
      </c>
      <c r="L2553">
        <f t="shared" si="157"/>
        <v>190</v>
      </c>
      <c r="M2553" s="9">
        <f t="shared" si="158"/>
        <v>200.14999999999998</v>
      </c>
      <c r="N2553" t="str">
        <f t="shared" si="159"/>
        <v>Aug</v>
      </c>
    </row>
    <row r="2554" spans="1:14" x14ac:dyDescent="0.3">
      <c r="A2554" s="2" t="s">
        <v>2620</v>
      </c>
      <c r="B2554" s="6">
        <v>45876</v>
      </c>
      <c r="C2554" s="2" t="s">
        <v>41</v>
      </c>
      <c r="D2554" s="2" t="s">
        <v>95</v>
      </c>
      <c r="E2554" s="2">
        <v>1</v>
      </c>
      <c r="F2554" s="7">
        <v>259</v>
      </c>
      <c r="G2554" s="8">
        <v>0</v>
      </c>
      <c r="H2554" s="9" t="str">
        <f>INDEX(Products!$B$2:$B$37, MATCH(D2554, Products!$A$2:$A$37, 0))</f>
        <v>Bed Linen Set (King)</v>
      </c>
      <c r="I2554" t="str">
        <f>INDEX(Products!$C$2:$C$37, MATCH(D2554, Products!$A$2:$A$37, 0))</f>
        <v>Home &amp; Kitchen</v>
      </c>
      <c r="J2554">
        <f>INDEX(Products!$E$2:$E$37, MATCH(D2554, Products!$A$2:$A$37, 0))</f>
        <v>115</v>
      </c>
      <c r="K2554" s="9">
        <f t="shared" si="156"/>
        <v>259</v>
      </c>
      <c r="L2554">
        <f t="shared" si="157"/>
        <v>115</v>
      </c>
      <c r="M2554" s="9">
        <f t="shared" si="158"/>
        <v>144</v>
      </c>
      <c r="N2554" t="str">
        <f t="shared" si="159"/>
        <v>Aug</v>
      </c>
    </row>
    <row r="2555" spans="1:14" x14ac:dyDescent="0.3">
      <c r="A2555" s="2" t="s">
        <v>2621</v>
      </c>
      <c r="B2555" s="6">
        <v>45876</v>
      </c>
      <c r="C2555" s="2" t="s">
        <v>44</v>
      </c>
      <c r="D2555" s="2" t="s">
        <v>70</v>
      </c>
      <c r="E2555" s="2">
        <v>1</v>
      </c>
      <c r="F2555" s="7">
        <v>429</v>
      </c>
      <c r="G2555" s="8">
        <v>0.1</v>
      </c>
      <c r="H2555" s="9" t="str">
        <f>INDEX(Products!$B$2:$B$37, MATCH(D2555, Products!$A$2:$A$37, 0))</f>
        <v>Running Shoes Elite</v>
      </c>
      <c r="I2555" t="str">
        <f>INDEX(Products!$C$2:$C$37, MATCH(D2555, Products!$A$2:$A$37, 0))</f>
        <v>Fashion</v>
      </c>
      <c r="J2555">
        <f>INDEX(Products!$E$2:$E$37, MATCH(D2555, Products!$A$2:$A$37, 0))</f>
        <v>300</v>
      </c>
      <c r="K2555" s="9">
        <f t="shared" si="156"/>
        <v>386.1</v>
      </c>
      <c r="L2555">
        <f t="shared" si="157"/>
        <v>300</v>
      </c>
      <c r="M2555" s="9">
        <f t="shared" si="158"/>
        <v>86.100000000000023</v>
      </c>
      <c r="N2555" t="str">
        <f t="shared" si="159"/>
        <v>Aug</v>
      </c>
    </row>
    <row r="2556" spans="1:14" x14ac:dyDescent="0.3">
      <c r="A2556" s="2" t="s">
        <v>2622</v>
      </c>
      <c r="B2556" s="6">
        <v>45876</v>
      </c>
      <c r="C2556" s="2" t="s">
        <v>28</v>
      </c>
      <c r="D2556" s="2" t="s">
        <v>129</v>
      </c>
      <c r="E2556" s="2">
        <v>3</v>
      </c>
      <c r="F2556" s="7">
        <v>149</v>
      </c>
      <c r="G2556" s="8">
        <v>0</v>
      </c>
      <c r="H2556" s="9" t="str">
        <f>INDEX(Products!$B$2:$B$37, MATCH(D2556, Products!$A$2:$A$37, 0))</f>
        <v>Power Bank 20000mAh</v>
      </c>
      <c r="I2556" t="str">
        <f>INDEX(Products!$C$2:$C$37, MATCH(D2556, Products!$A$2:$A$37, 0))</f>
        <v>Electronics</v>
      </c>
      <c r="J2556">
        <f>INDEX(Products!$E$2:$E$37, MATCH(D2556, Products!$A$2:$A$37, 0))</f>
        <v>70</v>
      </c>
      <c r="K2556" s="9">
        <f t="shared" si="156"/>
        <v>447</v>
      </c>
      <c r="L2556">
        <f t="shared" si="157"/>
        <v>210</v>
      </c>
      <c r="M2556" s="9">
        <f t="shared" si="158"/>
        <v>237</v>
      </c>
      <c r="N2556" t="str">
        <f t="shared" si="159"/>
        <v>Aug</v>
      </c>
    </row>
    <row r="2557" spans="1:14" x14ac:dyDescent="0.3">
      <c r="A2557" s="2" t="s">
        <v>2623</v>
      </c>
      <c r="B2557" s="6">
        <v>45877</v>
      </c>
      <c r="C2557" s="2" t="s">
        <v>44</v>
      </c>
      <c r="D2557" s="2" t="s">
        <v>52</v>
      </c>
      <c r="E2557" s="2">
        <v>1</v>
      </c>
      <c r="F2557" s="7">
        <v>299</v>
      </c>
      <c r="G2557" s="8">
        <v>0.1</v>
      </c>
      <c r="H2557" s="9" t="str">
        <f>INDEX(Products!$B$2:$B$37, MATCH(D2557, Products!$A$2:$A$37, 0))</f>
        <v>Hair Dryer Ionic</v>
      </c>
      <c r="I2557" t="str">
        <f>INDEX(Products!$C$2:$C$37, MATCH(D2557, Products!$A$2:$A$37, 0))</f>
        <v>Beauty</v>
      </c>
      <c r="J2557">
        <f>INDEX(Products!$E$2:$E$37, MATCH(D2557, Products!$A$2:$A$37, 0))</f>
        <v>240</v>
      </c>
      <c r="K2557" s="9">
        <f t="shared" si="156"/>
        <v>269.10000000000002</v>
      </c>
      <c r="L2557">
        <f t="shared" si="157"/>
        <v>240</v>
      </c>
      <c r="M2557" s="9">
        <f t="shared" si="158"/>
        <v>29.100000000000023</v>
      </c>
      <c r="N2557" t="str">
        <f t="shared" si="159"/>
        <v>Aug</v>
      </c>
    </row>
    <row r="2558" spans="1:14" x14ac:dyDescent="0.3">
      <c r="A2558" s="2" t="s">
        <v>2624</v>
      </c>
      <c r="B2558" s="6">
        <v>45877</v>
      </c>
      <c r="C2558" s="2" t="s">
        <v>28</v>
      </c>
      <c r="D2558" s="2" t="s">
        <v>78</v>
      </c>
      <c r="E2558" s="2">
        <v>1</v>
      </c>
      <c r="F2558" s="7">
        <v>499</v>
      </c>
      <c r="G2558" s="8">
        <v>0</v>
      </c>
      <c r="H2558" s="9" t="str">
        <f>INDEX(Products!$B$2:$B$37, MATCH(D2558, Products!$A$2:$A$37, 0))</f>
        <v>Air Fryer 5L</v>
      </c>
      <c r="I2558" t="str">
        <f>INDEX(Products!$C$2:$C$37, MATCH(D2558, Products!$A$2:$A$37, 0))</f>
        <v>Home &amp; Kitchen</v>
      </c>
      <c r="J2558">
        <f>INDEX(Products!$E$2:$E$37, MATCH(D2558, Products!$A$2:$A$37, 0))</f>
        <v>290</v>
      </c>
      <c r="K2558" s="9">
        <f t="shared" si="156"/>
        <v>499</v>
      </c>
      <c r="L2558">
        <f t="shared" si="157"/>
        <v>290</v>
      </c>
      <c r="M2558" s="9">
        <f t="shared" si="158"/>
        <v>209</v>
      </c>
      <c r="N2558" t="str">
        <f t="shared" si="159"/>
        <v>Aug</v>
      </c>
    </row>
    <row r="2559" spans="1:14" x14ac:dyDescent="0.3">
      <c r="A2559" s="2" t="s">
        <v>2625</v>
      </c>
      <c r="B2559" s="6">
        <v>45877</v>
      </c>
      <c r="C2559" s="2" t="s">
        <v>48</v>
      </c>
      <c r="D2559" s="2" t="s">
        <v>83</v>
      </c>
      <c r="E2559" s="2">
        <v>1</v>
      </c>
      <c r="F2559" s="7">
        <v>229</v>
      </c>
      <c r="G2559" s="8">
        <v>0</v>
      </c>
      <c r="H2559" s="9" t="str">
        <f>INDEX(Products!$B$2:$B$37, MATCH(D2559, Products!$A$2:$A$37, 0))</f>
        <v>Cycling Helmet</v>
      </c>
      <c r="I2559" t="str">
        <f>INDEX(Products!$C$2:$C$37, MATCH(D2559, Products!$A$2:$A$37, 0))</f>
        <v>Sports</v>
      </c>
      <c r="J2559">
        <f>INDEX(Products!$E$2:$E$37, MATCH(D2559, Products!$A$2:$A$37, 0))</f>
        <v>120</v>
      </c>
      <c r="K2559" s="9">
        <f t="shared" si="156"/>
        <v>229</v>
      </c>
      <c r="L2559">
        <f t="shared" si="157"/>
        <v>120</v>
      </c>
      <c r="M2559" s="9">
        <f t="shared" si="158"/>
        <v>109</v>
      </c>
      <c r="N2559" t="str">
        <f t="shared" si="159"/>
        <v>Aug</v>
      </c>
    </row>
    <row r="2560" spans="1:14" x14ac:dyDescent="0.3">
      <c r="A2560" s="2" t="s">
        <v>2626</v>
      </c>
      <c r="B2560" s="6">
        <v>45877</v>
      </c>
      <c r="C2560" s="2" t="s">
        <v>44</v>
      </c>
      <c r="D2560" s="2" t="s">
        <v>103</v>
      </c>
      <c r="E2560" s="2">
        <v>4</v>
      </c>
      <c r="F2560" s="7">
        <v>89</v>
      </c>
      <c r="G2560" s="8">
        <v>0.05</v>
      </c>
      <c r="H2560" s="9" t="str">
        <f>INDEX(Products!$B$2:$B$37, MATCH(D2560, Products!$A$2:$A$37, 0))</f>
        <v>Sunscreen SPF50</v>
      </c>
      <c r="I2560" t="str">
        <f>INDEX(Products!$C$2:$C$37, MATCH(D2560, Products!$A$2:$A$37, 0))</f>
        <v>Beauty</v>
      </c>
      <c r="J2560">
        <f>INDEX(Products!$E$2:$E$37, MATCH(D2560, Products!$A$2:$A$37, 0))</f>
        <v>40</v>
      </c>
      <c r="K2560" s="9">
        <f t="shared" si="156"/>
        <v>338.2</v>
      </c>
      <c r="L2560">
        <f t="shared" si="157"/>
        <v>160</v>
      </c>
      <c r="M2560" s="9">
        <f t="shared" si="158"/>
        <v>178.2</v>
      </c>
      <c r="N2560" t="str">
        <f t="shared" si="159"/>
        <v>Aug</v>
      </c>
    </row>
    <row r="2561" spans="1:14" x14ac:dyDescent="0.3">
      <c r="A2561" s="2" t="s">
        <v>2627</v>
      </c>
      <c r="B2561" s="6">
        <v>45877</v>
      </c>
      <c r="C2561" s="2" t="s">
        <v>44</v>
      </c>
      <c r="D2561" s="2" t="s">
        <v>115</v>
      </c>
      <c r="E2561" s="2">
        <v>2</v>
      </c>
      <c r="F2561" s="7">
        <v>129</v>
      </c>
      <c r="G2561" s="8">
        <v>0</v>
      </c>
      <c r="H2561" s="9" t="str">
        <f>INDEX(Products!$B$2:$B$37, MATCH(D2561, Products!$A$2:$A$37, 0))</f>
        <v>Electric Kettle</v>
      </c>
      <c r="I2561" t="str">
        <f>INDEX(Products!$C$2:$C$37, MATCH(D2561, Products!$A$2:$A$37, 0))</f>
        <v>Home &amp; Kitchen</v>
      </c>
      <c r="J2561">
        <f>INDEX(Products!$E$2:$E$37, MATCH(D2561, Products!$A$2:$A$37, 0))</f>
        <v>60</v>
      </c>
      <c r="K2561" s="9">
        <f t="shared" si="156"/>
        <v>258</v>
      </c>
      <c r="L2561">
        <f t="shared" si="157"/>
        <v>120</v>
      </c>
      <c r="M2561" s="9">
        <f t="shared" si="158"/>
        <v>138</v>
      </c>
      <c r="N2561" t="str">
        <f t="shared" si="159"/>
        <v>Aug</v>
      </c>
    </row>
    <row r="2562" spans="1:14" x14ac:dyDescent="0.3">
      <c r="A2562" s="2" t="s">
        <v>2628</v>
      </c>
      <c r="B2562" s="6">
        <v>45877</v>
      </c>
      <c r="C2562" s="2" t="s">
        <v>28</v>
      </c>
      <c r="D2562" s="2" t="s">
        <v>194</v>
      </c>
      <c r="E2562" s="2">
        <v>1</v>
      </c>
      <c r="F2562" s="7">
        <v>699</v>
      </c>
      <c r="G2562" s="8">
        <v>0.15</v>
      </c>
      <c r="H2562" s="9" t="str">
        <f>INDEX(Products!$B$2:$B$37, MATCH(D2562, Products!$A$2:$A$37, 0))</f>
        <v>Leather Handbag</v>
      </c>
      <c r="I2562" t="str">
        <f>INDEX(Products!$C$2:$C$37, MATCH(D2562, Products!$A$2:$A$37, 0))</f>
        <v>Fashion</v>
      </c>
      <c r="J2562">
        <f>INDEX(Products!$E$2:$E$37, MATCH(D2562, Products!$A$2:$A$37, 0))</f>
        <v>380</v>
      </c>
      <c r="K2562" s="9">
        <f t="shared" ref="K2562:K2625" si="160">E2562*F2562*(1-G2562)</f>
        <v>594.15</v>
      </c>
      <c r="L2562">
        <f t="shared" ref="L2562:L2625" si="161">E2562*J2562</f>
        <v>380</v>
      </c>
      <c r="M2562" s="9">
        <f t="shared" ref="M2562:M2625" si="162">K2562-L2562</f>
        <v>214.14999999999998</v>
      </c>
      <c r="N2562" t="str">
        <f t="shared" ref="N2562:N2625" si="163">TEXT(B2562,"mmm")</f>
        <v>Aug</v>
      </c>
    </row>
    <row r="2563" spans="1:14" x14ac:dyDescent="0.3">
      <c r="A2563" s="2" t="s">
        <v>2629</v>
      </c>
      <c r="B2563" s="6">
        <v>45877</v>
      </c>
      <c r="C2563" s="2" t="s">
        <v>28</v>
      </c>
      <c r="D2563" s="2" t="s">
        <v>60</v>
      </c>
      <c r="E2563" s="2">
        <v>2</v>
      </c>
      <c r="F2563" s="7">
        <v>99</v>
      </c>
      <c r="G2563" s="8">
        <v>0</v>
      </c>
      <c r="H2563" s="9" t="str">
        <f>INDEX(Products!$B$2:$B$37, MATCH(D2563, Products!$A$2:$A$37, 0))</f>
        <v>Football Size 5</v>
      </c>
      <c r="I2563" t="str">
        <f>INDEX(Products!$C$2:$C$37, MATCH(D2563, Products!$A$2:$A$37, 0))</f>
        <v>Sports</v>
      </c>
      <c r="J2563">
        <f>INDEX(Products!$E$2:$E$37, MATCH(D2563, Products!$A$2:$A$37, 0))</f>
        <v>45</v>
      </c>
      <c r="K2563" s="9">
        <f t="shared" si="160"/>
        <v>198</v>
      </c>
      <c r="L2563">
        <f t="shared" si="161"/>
        <v>90</v>
      </c>
      <c r="M2563" s="9">
        <f t="shared" si="162"/>
        <v>108</v>
      </c>
      <c r="N2563" t="str">
        <f t="shared" si="163"/>
        <v>Aug</v>
      </c>
    </row>
    <row r="2564" spans="1:14" x14ac:dyDescent="0.3">
      <c r="A2564" s="2" t="s">
        <v>2630</v>
      </c>
      <c r="B2564" s="6">
        <v>45877</v>
      </c>
      <c r="C2564" s="2" t="s">
        <v>44</v>
      </c>
      <c r="D2564" s="2" t="s">
        <v>35</v>
      </c>
      <c r="E2564" s="2">
        <v>1</v>
      </c>
      <c r="F2564" s="7">
        <v>179</v>
      </c>
      <c r="G2564" s="8">
        <v>0.2</v>
      </c>
      <c r="H2564" s="9" t="str">
        <f>INDEX(Products!$B$2:$B$37, MATCH(D2564, Products!$A$2:$A$37, 0))</f>
        <v>Men's Linen Shirt</v>
      </c>
      <c r="I2564" t="str">
        <f>INDEX(Products!$C$2:$C$37, MATCH(D2564, Products!$A$2:$A$37, 0))</f>
        <v>Fashion</v>
      </c>
      <c r="J2564">
        <f>INDEX(Products!$E$2:$E$37, MATCH(D2564, Products!$A$2:$A$37, 0))</f>
        <v>70</v>
      </c>
      <c r="K2564" s="9">
        <f t="shared" si="160"/>
        <v>143.20000000000002</v>
      </c>
      <c r="L2564">
        <f t="shared" si="161"/>
        <v>70</v>
      </c>
      <c r="M2564" s="9">
        <f t="shared" si="162"/>
        <v>73.200000000000017</v>
      </c>
      <c r="N2564" t="str">
        <f t="shared" si="163"/>
        <v>Aug</v>
      </c>
    </row>
    <row r="2565" spans="1:14" x14ac:dyDescent="0.3">
      <c r="A2565" s="2" t="s">
        <v>2631</v>
      </c>
      <c r="B2565" s="6">
        <v>45878</v>
      </c>
      <c r="C2565" s="2" t="s">
        <v>44</v>
      </c>
      <c r="D2565" s="2" t="s">
        <v>56</v>
      </c>
      <c r="E2565" s="2">
        <v>1</v>
      </c>
      <c r="F2565" s="7">
        <v>289</v>
      </c>
      <c r="G2565" s="8">
        <v>0.05</v>
      </c>
      <c r="H2565" s="9" t="str">
        <f>INDEX(Products!$B$2:$B$37, MATCH(D2565, Products!$A$2:$A$37, 0))</f>
        <v>Ceramic Dinner Set</v>
      </c>
      <c r="I2565" t="str">
        <f>INDEX(Products!$C$2:$C$37, MATCH(D2565, Products!$A$2:$A$37, 0))</f>
        <v>Home &amp; Kitchen</v>
      </c>
      <c r="J2565">
        <f>INDEX(Products!$E$2:$E$37, MATCH(D2565, Products!$A$2:$A$37, 0))</f>
        <v>140</v>
      </c>
      <c r="K2565" s="9">
        <f t="shared" si="160"/>
        <v>274.55</v>
      </c>
      <c r="L2565">
        <f t="shared" si="161"/>
        <v>140</v>
      </c>
      <c r="M2565" s="9">
        <f t="shared" si="162"/>
        <v>134.55000000000001</v>
      </c>
      <c r="N2565" t="str">
        <f t="shared" si="163"/>
        <v>Aug</v>
      </c>
    </row>
    <row r="2566" spans="1:14" x14ac:dyDescent="0.3">
      <c r="A2566" s="2" t="s">
        <v>2632</v>
      </c>
      <c r="B2566" s="6">
        <v>45878</v>
      </c>
      <c r="C2566" s="2" t="s">
        <v>44</v>
      </c>
      <c r="D2566" s="2" t="s">
        <v>129</v>
      </c>
      <c r="E2566" s="2">
        <v>1</v>
      </c>
      <c r="F2566" s="7">
        <v>149</v>
      </c>
      <c r="G2566" s="8">
        <v>0.15</v>
      </c>
      <c r="H2566" s="9" t="str">
        <f>INDEX(Products!$B$2:$B$37, MATCH(D2566, Products!$A$2:$A$37, 0))</f>
        <v>Power Bank 20000mAh</v>
      </c>
      <c r="I2566" t="str">
        <f>INDEX(Products!$C$2:$C$37, MATCH(D2566, Products!$A$2:$A$37, 0))</f>
        <v>Electronics</v>
      </c>
      <c r="J2566">
        <f>INDEX(Products!$E$2:$E$37, MATCH(D2566, Products!$A$2:$A$37, 0))</f>
        <v>70</v>
      </c>
      <c r="K2566" s="9">
        <f t="shared" si="160"/>
        <v>126.64999999999999</v>
      </c>
      <c r="L2566">
        <f t="shared" si="161"/>
        <v>70</v>
      </c>
      <c r="M2566" s="9">
        <f t="shared" si="162"/>
        <v>56.649999999999991</v>
      </c>
      <c r="N2566" t="str">
        <f t="shared" si="163"/>
        <v>Aug</v>
      </c>
    </row>
    <row r="2567" spans="1:14" x14ac:dyDescent="0.3">
      <c r="A2567" s="2" t="s">
        <v>2633</v>
      </c>
      <c r="B2567" s="6">
        <v>45878</v>
      </c>
      <c r="C2567" s="2" t="s">
        <v>44</v>
      </c>
      <c r="D2567" s="2" t="s">
        <v>52</v>
      </c>
      <c r="E2567" s="2">
        <v>2</v>
      </c>
      <c r="F2567" s="7">
        <v>299</v>
      </c>
      <c r="G2567" s="8">
        <v>0.1</v>
      </c>
      <c r="H2567" s="9" t="str">
        <f>INDEX(Products!$B$2:$B$37, MATCH(D2567, Products!$A$2:$A$37, 0))</f>
        <v>Hair Dryer Ionic</v>
      </c>
      <c r="I2567" t="str">
        <f>INDEX(Products!$C$2:$C$37, MATCH(D2567, Products!$A$2:$A$37, 0))</f>
        <v>Beauty</v>
      </c>
      <c r="J2567">
        <f>INDEX(Products!$E$2:$E$37, MATCH(D2567, Products!$A$2:$A$37, 0))</f>
        <v>240</v>
      </c>
      <c r="K2567" s="9">
        <f t="shared" si="160"/>
        <v>538.20000000000005</v>
      </c>
      <c r="L2567">
        <f t="shared" si="161"/>
        <v>480</v>
      </c>
      <c r="M2567" s="9">
        <f t="shared" si="162"/>
        <v>58.200000000000045</v>
      </c>
      <c r="N2567" t="str">
        <f t="shared" si="163"/>
        <v>Aug</v>
      </c>
    </row>
    <row r="2568" spans="1:14" x14ac:dyDescent="0.3">
      <c r="A2568" s="2" t="s">
        <v>2634</v>
      </c>
      <c r="B2568" s="6">
        <v>45878</v>
      </c>
      <c r="C2568" s="2" t="s">
        <v>28</v>
      </c>
      <c r="D2568" s="2" t="s">
        <v>126</v>
      </c>
      <c r="E2568" s="2">
        <v>1</v>
      </c>
      <c r="F2568" s="7">
        <v>89</v>
      </c>
      <c r="G2568" s="8">
        <v>0.05</v>
      </c>
      <c r="H2568" s="9" t="str">
        <f>INDEX(Products!$B$2:$B$37, MATCH(D2568, Products!$A$2:$A$37, 0))</f>
        <v>USB-C Fast Charger</v>
      </c>
      <c r="I2568" t="str">
        <f>INDEX(Products!$C$2:$C$37, MATCH(D2568, Products!$A$2:$A$37, 0))</f>
        <v>Electronics</v>
      </c>
      <c r="J2568">
        <f>INDEX(Products!$E$2:$E$37, MATCH(D2568, Products!$A$2:$A$37, 0))</f>
        <v>35</v>
      </c>
      <c r="K2568" s="9">
        <f t="shared" si="160"/>
        <v>84.55</v>
      </c>
      <c r="L2568">
        <f t="shared" si="161"/>
        <v>35</v>
      </c>
      <c r="M2568" s="9">
        <f t="shared" si="162"/>
        <v>49.55</v>
      </c>
      <c r="N2568" t="str">
        <f t="shared" si="163"/>
        <v>Aug</v>
      </c>
    </row>
    <row r="2569" spans="1:14" x14ac:dyDescent="0.3">
      <c r="A2569" s="2" t="s">
        <v>2635</v>
      </c>
      <c r="B2569" s="6">
        <v>45878</v>
      </c>
      <c r="C2569" s="2" t="s">
        <v>41</v>
      </c>
      <c r="D2569" s="2" t="s">
        <v>126</v>
      </c>
      <c r="E2569" s="2">
        <v>1</v>
      </c>
      <c r="F2569" s="7">
        <v>89</v>
      </c>
      <c r="G2569" s="8">
        <v>0.05</v>
      </c>
      <c r="H2569" s="9" t="str">
        <f>INDEX(Products!$B$2:$B$37, MATCH(D2569, Products!$A$2:$A$37, 0))</f>
        <v>USB-C Fast Charger</v>
      </c>
      <c r="I2569" t="str">
        <f>INDEX(Products!$C$2:$C$37, MATCH(D2569, Products!$A$2:$A$37, 0))</f>
        <v>Electronics</v>
      </c>
      <c r="J2569">
        <f>INDEX(Products!$E$2:$E$37, MATCH(D2569, Products!$A$2:$A$37, 0))</f>
        <v>35</v>
      </c>
      <c r="K2569" s="9">
        <f t="shared" si="160"/>
        <v>84.55</v>
      </c>
      <c r="L2569">
        <f t="shared" si="161"/>
        <v>35</v>
      </c>
      <c r="M2569" s="9">
        <f t="shared" si="162"/>
        <v>49.55</v>
      </c>
      <c r="N2569" t="str">
        <f t="shared" si="163"/>
        <v>Aug</v>
      </c>
    </row>
    <row r="2570" spans="1:14" x14ac:dyDescent="0.3">
      <c r="A2570" s="2" t="s">
        <v>2636</v>
      </c>
      <c r="B2570" s="6">
        <v>45878</v>
      </c>
      <c r="C2570" s="2" t="s">
        <v>41</v>
      </c>
      <c r="D2570" s="2" t="s">
        <v>131</v>
      </c>
      <c r="E2570" s="2">
        <v>4</v>
      </c>
      <c r="F2570" s="7">
        <v>899</v>
      </c>
      <c r="G2570" s="8">
        <v>0</v>
      </c>
      <c r="H2570" s="9" t="str">
        <f>INDEX(Products!$B$2:$B$37, MATCH(D2570, Products!$A$2:$A$37, 0))</f>
        <v>4K Action Camera</v>
      </c>
      <c r="I2570" t="str">
        <f>INDEX(Products!$C$2:$C$37, MATCH(D2570, Products!$A$2:$A$37, 0))</f>
        <v>Electronics</v>
      </c>
      <c r="J2570">
        <f>INDEX(Products!$E$2:$E$37, MATCH(D2570, Products!$A$2:$A$37, 0))</f>
        <v>610</v>
      </c>
      <c r="K2570" s="9">
        <f t="shared" si="160"/>
        <v>3596</v>
      </c>
      <c r="L2570">
        <f t="shared" si="161"/>
        <v>2440</v>
      </c>
      <c r="M2570" s="9">
        <f t="shared" si="162"/>
        <v>1156</v>
      </c>
      <c r="N2570" t="str">
        <f t="shared" si="163"/>
        <v>Aug</v>
      </c>
    </row>
    <row r="2571" spans="1:14" x14ac:dyDescent="0.3">
      <c r="A2571" s="2" t="s">
        <v>2637</v>
      </c>
      <c r="B2571" s="6">
        <v>45878</v>
      </c>
      <c r="C2571" s="2" t="s">
        <v>41</v>
      </c>
      <c r="D2571" s="2" t="s">
        <v>46</v>
      </c>
      <c r="E2571" s="2">
        <v>2</v>
      </c>
      <c r="F2571" s="7">
        <v>189</v>
      </c>
      <c r="G2571" s="8">
        <v>0</v>
      </c>
      <c r="H2571" s="9" t="str">
        <f>INDEX(Products!$B$2:$B$37, MATCH(D2571, Products!$A$2:$A$37, 0))</f>
        <v>Makeup Palette</v>
      </c>
      <c r="I2571" t="str">
        <f>INDEX(Products!$C$2:$C$37, MATCH(D2571, Products!$A$2:$A$37, 0))</f>
        <v>Beauty</v>
      </c>
      <c r="J2571">
        <f>INDEX(Products!$E$2:$E$37, MATCH(D2571, Products!$A$2:$A$37, 0))</f>
        <v>85</v>
      </c>
      <c r="K2571" s="9">
        <f t="shared" si="160"/>
        <v>378</v>
      </c>
      <c r="L2571">
        <f t="shared" si="161"/>
        <v>170</v>
      </c>
      <c r="M2571" s="9">
        <f t="shared" si="162"/>
        <v>208</v>
      </c>
      <c r="N2571" t="str">
        <f t="shared" si="163"/>
        <v>Aug</v>
      </c>
    </row>
    <row r="2572" spans="1:14" x14ac:dyDescent="0.3">
      <c r="A2572" s="2" t="s">
        <v>2638</v>
      </c>
      <c r="B2572" s="6">
        <v>45878</v>
      </c>
      <c r="C2572" s="2" t="s">
        <v>44</v>
      </c>
      <c r="D2572" s="2" t="s">
        <v>29</v>
      </c>
      <c r="E2572" s="2">
        <v>1</v>
      </c>
      <c r="F2572" s="7">
        <v>229</v>
      </c>
      <c r="G2572" s="8">
        <v>0.1</v>
      </c>
      <c r="H2572" s="9" t="str">
        <f>INDEX(Products!$B$2:$B$37, MATCH(D2572, Products!$A$2:$A$37, 0))</f>
        <v>Women's Summer Dress</v>
      </c>
      <c r="I2572" t="str">
        <f>INDEX(Products!$C$2:$C$37, MATCH(D2572, Products!$A$2:$A$37, 0))</f>
        <v>Fashion</v>
      </c>
      <c r="J2572">
        <f>INDEX(Products!$E$2:$E$37, MATCH(D2572, Products!$A$2:$A$37, 0))</f>
        <v>120</v>
      </c>
      <c r="K2572" s="9">
        <f t="shared" si="160"/>
        <v>206.1</v>
      </c>
      <c r="L2572">
        <f t="shared" si="161"/>
        <v>120</v>
      </c>
      <c r="M2572" s="9">
        <f t="shared" si="162"/>
        <v>86.1</v>
      </c>
      <c r="N2572" t="str">
        <f t="shared" si="163"/>
        <v>Aug</v>
      </c>
    </row>
    <row r="2573" spans="1:14" x14ac:dyDescent="0.3">
      <c r="A2573" s="2" t="s">
        <v>2639</v>
      </c>
      <c r="B2573" s="6">
        <v>45878</v>
      </c>
      <c r="C2573" s="2" t="s">
        <v>28</v>
      </c>
      <c r="D2573" s="2" t="s">
        <v>149</v>
      </c>
      <c r="E2573" s="2">
        <v>1</v>
      </c>
      <c r="F2573" s="7">
        <v>399</v>
      </c>
      <c r="G2573" s="8">
        <v>0</v>
      </c>
      <c r="H2573" s="9" t="str">
        <f>INDEX(Products!$B$2:$B$37, MATCH(D2573, Products!$A$2:$A$37, 0))</f>
        <v>Blender Pro 1200W</v>
      </c>
      <c r="I2573" t="str">
        <f>INDEX(Products!$C$2:$C$37, MATCH(D2573, Products!$A$2:$A$37, 0))</f>
        <v>Home &amp; Kitchen</v>
      </c>
      <c r="J2573">
        <f>INDEX(Products!$E$2:$E$37, MATCH(D2573, Products!$A$2:$A$37, 0))</f>
        <v>250</v>
      </c>
      <c r="K2573" s="9">
        <f t="shared" si="160"/>
        <v>399</v>
      </c>
      <c r="L2573">
        <f t="shared" si="161"/>
        <v>250</v>
      </c>
      <c r="M2573" s="9">
        <f t="shared" si="162"/>
        <v>149</v>
      </c>
      <c r="N2573" t="str">
        <f t="shared" si="163"/>
        <v>Aug</v>
      </c>
    </row>
    <row r="2574" spans="1:14" x14ac:dyDescent="0.3">
      <c r="A2574" s="2" t="s">
        <v>2640</v>
      </c>
      <c r="B2574" s="6">
        <v>45878</v>
      </c>
      <c r="C2574" s="2" t="s">
        <v>44</v>
      </c>
      <c r="D2574" s="2" t="s">
        <v>80</v>
      </c>
      <c r="E2574" s="2">
        <v>1</v>
      </c>
      <c r="F2574" s="7">
        <v>149</v>
      </c>
      <c r="G2574" s="8">
        <v>0.15</v>
      </c>
      <c r="H2574" s="9" t="str">
        <f>INDEX(Products!$B$2:$B$37, MATCH(D2574, Products!$A$2:$A$37, 0))</f>
        <v>Vitamin C Serum</v>
      </c>
      <c r="I2574" t="str">
        <f>INDEX(Products!$C$2:$C$37, MATCH(D2574, Products!$A$2:$A$37, 0))</f>
        <v>Beauty</v>
      </c>
      <c r="J2574">
        <f>INDEX(Products!$E$2:$E$37, MATCH(D2574, Products!$A$2:$A$37, 0))</f>
        <v>55</v>
      </c>
      <c r="K2574" s="9">
        <f t="shared" si="160"/>
        <v>126.64999999999999</v>
      </c>
      <c r="L2574">
        <f t="shared" si="161"/>
        <v>55</v>
      </c>
      <c r="M2574" s="9">
        <f t="shared" si="162"/>
        <v>71.649999999999991</v>
      </c>
      <c r="N2574" t="str">
        <f t="shared" si="163"/>
        <v>Aug</v>
      </c>
    </row>
    <row r="2575" spans="1:14" x14ac:dyDescent="0.3">
      <c r="A2575" s="2" t="s">
        <v>2641</v>
      </c>
      <c r="B2575" s="6">
        <v>45878</v>
      </c>
      <c r="C2575" s="2" t="s">
        <v>28</v>
      </c>
      <c r="D2575" s="2" t="s">
        <v>78</v>
      </c>
      <c r="E2575" s="2">
        <v>4</v>
      </c>
      <c r="F2575" s="7">
        <v>499</v>
      </c>
      <c r="G2575" s="8">
        <v>0.05</v>
      </c>
      <c r="H2575" s="9" t="str">
        <f>INDEX(Products!$B$2:$B$37, MATCH(D2575, Products!$A$2:$A$37, 0))</f>
        <v>Air Fryer 5L</v>
      </c>
      <c r="I2575" t="str">
        <f>INDEX(Products!$C$2:$C$37, MATCH(D2575, Products!$A$2:$A$37, 0))</f>
        <v>Home &amp; Kitchen</v>
      </c>
      <c r="J2575">
        <f>INDEX(Products!$E$2:$E$37, MATCH(D2575, Products!$A$2:$A$37, 0))</f>
        <v>290</v>
      </c>
      <c r="K2575" s="9">
        <f t="shared" si="160"/>
        <v>1896.1999999999998</v>
      </c>
      <c r="L2575">
        <f t="shared" si="161"/>
        <v>1160</v>
      </c>
      <c r="M2575" s="9">
        <f t="shared" si="162"/>
        <v>736.19999999999982</v>
      </c>
      <c r="N2575" t="str">
        <f t="shared" si="163"/>
        <v>Aug</v>
      </c>
    </row>
    <row r="2576" spans="1:14" x14ac:dyDescent="0.3">
      <c r="A2576" s="2" t="s">
        <v>2642</v>
      </c>
      <c r="B2576" s="6">
        <v>45878</v>
      </c>
      <c r="C2576" s="2" t="s">
        <v>28</v>
      </c>
      <c r="D2576" s="2" t="s">
        <v>39</v>
      </c>
      <c r="E2576" s="2">
        <v>1</v>
      </c>
      <c r="F2576" s="7">
        <v>199</v>
      </c>
      <c r="G2576" s="8">
        <v>0</v>
      </c>
      <c r="H2576" s="9" t="str">
        <f>INDEX(Products!$B$2:$B$37, MATCH(D2576, Products!$A$2:$A$37, 0))</f>
        <v>Bakhoor Gift Set</v>
      </c>
      <c r="I2576" t="str">
        <f>INDEX(Products!$C$2:$C$37, MATCH(D2576, Products!$A$2:$A$37, 0))</f>
        <v>Beauty</v>
      </c>
      <c r="J2576">
        <f>INDEX(Products!$E$2:$E$37, MATCH(D2576, Products!$A$2:$A$37, 0))</f>
        <v>90</v>
      </c>
      <c r="K2576" s="9">
        <f t="shared" si="160"/>
        <v>199</v>
      </c>
      <c r="L2576">
        <f t="shared" si="161"/>
        <v>90</v>
      </c>
      <c r="M2576" s="9">
        <f t="shared" si="162"/>
        <v>109</v>
      </c>
      <c r="N2576" t="str">
        <f t="shared" si="163"/>
        <v>Aug</v>
      </c>
    </row>
    <row r="2577" spans="1:14" x14ac:dyDescent="0.3">
      <c r="A2577" s="2" t="s">
        <v>2643</v>
      </c>
      <c r="B2577" s="6">
        <v>45879</v>
      </c>
      <c r="C2577" s="2" t="s">
        <v>28</v>
      </c>
      <c r="D2577" s="2" t="s">
        <v>52</v>
      </c>
      <c r="E2577" s="2">
        <v>2</v>
      </c>
      <c r="F2577" s="7">
        <v>299</v>
      </c>
      <c r="G2577" s="8">
        <v>0.15</v>
      </c>
      <c r="H2577" s="9" t="str">
        <f>INDEX(Products!$B$2:$B$37, MATCH(D2577, Products!$A$2:$A$37, 0))</f>
        <v>Hair Dryer Ionic</v>
      </c>
      <c r="I2577" t="str">
        <f>INDEX(Products!$C$2:$C$37, MATCH(D2577, Products!$A$2:$A$37, 0))</f>
        <v>Beauty</v>
      </c>
      <c r="J2577">
        <f>INDEX(Products!$E$2:$E$37, MATCH(D2577, Products!$A$2:$A$37, 0))</f>
        <v>240</v>
      </c>
      <c r="K2577" s="9">
        <f t="shared" si="160"/>
        <v>508.3</v>
      </c>
      <c r="L2577">
        <f t="shared" si="161"/>
        <v>480</v>
      </c>
      <c r="M2577" s="9">
        <f t="shared" si="162"/>
        <v>28.300000000000011</v>
      </c>
      <c r="N2577" t="str">
        <f t="shared" si="163"/>
        <v>Aug</v>
      </c>
    </row>
    <row r="2578" spans="1:14" x14ac:dyDescent="0.3">
      <c r="A2578" s="2" t="s">
        <v>2644</v>
      </c>
      <c r="B2578" s="6">
        <v>45879</v>
      </c>
      <c r="C2578" s="2" t="s">
        <v>48</v>
      </c>
      <c r="D2578" s="2" t="s">
        <v>70</v>
      </c>
      <c r="E2578" s="2">
        <v>2</v>
      </c>
      <c r="F2578" s="7">
        <v>429</v>
      </c>
      <c r="G2578" s="8">
        <v>0</v>
      </c>
      <c r="H2578" s="9" t="str">
        <f>INDEX(Products!$B$2:$B$37, MATCH(D2578, Products!$A$2:$A$37, 0))</f>
        <v>Running Shoes Elite</v>
      </c>
      <c r="I2578" t="str">
        <f>INDEX(Products!$C$2:$C$37, MATCH(D2578, Products!$A$2:$A$37, 0))</f>
        <v>Fashion</v>
      </c>
      <c r="J2578">
        <f>INDEX(Products!$E$2:$E$37, MATCH(D2578, Products!$A$2:$A$37, 0))</f>
        <v>300</v>
      </c>
      <c r="K2578" s="9">
        <f t="shared" si="160"/>
        <v>858</v>
      </c>
      <c r="L2578">
        <f t="shared" si="161"/>
        <v>600</v>
      </c>
      <c r="M2578" s="9">
        <f t="shared" si="162"/>
        <v>258</v>
      </c>
      <c r="N2578" t="str">
        <f t="shared" si="163"/>
        <v>Aug</v>
      </c>
    </row>
    <row r="2579" spans="1:14" x14ac:dyDescent="0.3">
      <c r="A2579" s="2" t="s">
        <v>2645</v>
      </c>
      <c r="B2579" s="6">
        <v>45879</v>
      </c>
      <c r="C2579" s="2" t="s">
        <v>44</v>
      </c>
      <c r="D2579" s="2" t="s">
        <v>58</v>
      </c>
      <c r="E2579" s="2">
        <v>3</v>
      </c>
      <c r="F2579" s="7">
        <v>459</v>
      </c>
      <c r="G2579" s="8">
        <v>0.2</v>
      </c>
      <c r="H2579" s="9" t="str">
        <f>INDEX(Products!$B$2:$B$37, MATCH(D2579, Products!$A$2:$A$37, 0))</f>
        <v>Women's Abaya Classic</v>
      </c>
      <c r="I2579" t="str">
        <f>INDEX(Products!$C$2:$C$37, MATCH(D2579, Products!$A$2:$A$37, 0))</f>
        <v>Fashion</v>
      </c>
      <c r="J2579">
        <f>INDEX(Products!$E$2:$E$37, MATCH(D2579, Products!$A$2:$A$37, 0))</f>
        <v>190</v>
      </c>
      <c r="K2579" s="9">
        <f t="shared" si="160"/>
        <v>1101.6000000000001</v>
      </c>
      <c r="L2579">
        <f t="shared" si="161"/>
        <v>570</v>
      </c>
      <c r="M2579" s="9">
        <f t="shared" si="162"/>
        <v>531.60000000000014</v>
      </c>
      <c r="N2579" t="str">
        <f t="shared" si="163"/>
        <v>Aug</v>
      </c>
    </row>
    <row r="2580" spans="1:14" x14ac:dyDescent="0.3">
      <c r="A2580" s="2" t="s">
        <v>2646</v>
      </c>
      <c r="B2580" s="6">
        <v>45879</v>
      </c>
      <c r="C2580" s="2" t="s">
        <v>44</v>
      </c>
      <c r="D2580" s="2" t="s">
        <v>89</v>
      </c>
      <c r="E2580" s="2">
        <v>1</v>
      </c>
      <c r="F2580" s="7">
        <v>399</v>
      </c>
      <c r="G2580" s="8">
        <v>0.15</v>
      </c>
      <c r="H2580" s="9" t="str">
        <f>INDEX(Products!$B$2:$B$37, MATCH(D2580, Products!$A$2:$A$37, 0))</f>
        <v>Men's Kandura Premium</v>
      </c>
      <c r="I2580" t="str">
        <f>INDEX(Products!$C$2:$C$37, MATCH(D2580, Products!$A$2:$A$37, 0))</f>
        <v>Fashion</v>
      </c>
      <c r="J2580">
        <f>INDEX(Products!$E$2:$E$37, MATCH(D2580, Products!$A$2:$A$37, 0))</f>
        <v>210</v>
      </c>
      <c r="K2580" s="9">
        <f t="shared" si="160"/>
        <v>339.15</v>
      </c>
      <c r="L2580">
        <f t="shared" si="161"/>
        <v>210</v>
      </c>
      <c r="M2580" s="9">
        <f t="shared" si="162"/>
        <v>129.14999999999998</v>
      </c>
      <c r="N2580" t="str">
        <f t="shared" si="163"/>
        <v>Aug</v>
      </c>
    </row>
    <row r="2581" spans="1:14" x14ac:dyDescent="0.3">
      <c r="A2581" s="2" t="s">
        <v>2647</v>
      </c>
      <c r="B2581" s="6">
        <v>45879</v>
      </c>
      <c r="C2581" s="2" t="s">
        <v>44</v>
      </c>
      <c r="D2581" s="2" t="s">
        <v>29</v>
      </c>
      <c r="E2581" s="2">
        <v>2</v>
      </c>
      <c r="F2581" s="7">
        <v>229</v>
      </c>
      <c r="G2581" s="8">
        <v>0</v>
      </c>
      <c r="H2581" s="9" t="str">
        <f>INDEX(Products!$B$2:$B$37, MATCH(D2581, Products!$A$2:$A$37, 0))</f>
        <v>Women's Summer Dress</v>
      </c>
      <c r="I2581" t="str">
        <f>INDEX(Products!$C$2:$C$37, MATCH(D2581, Products!$A$2:$A$37, 0))</f>
        <v>Fashion</v>
      </c>
      <c r="J2581">
        <f>INDEX(Products!$E$2:$E$37, MATCH(D2581, Products!$A$2:$A$37, 0))</f>
        <v>120</v>
      </c>
      <c r="K2581" s="9">
        <f t="shared" si="160"/>
        <v>458</v>
      </c>
      <c r="L2581">
        <f t="shared" si="161"/>
        <v>240</v>
      </c>
      <c r="M2581" s="9">
        <f t="shared" si="162"/>
        <v>218</v>
      </c>
      <c r="N2581" t="str">
        <f t="shared" si="163"/>
        <v>Aug</v>
      </c>
    </row>
    <row r="2582" spans="1:14" x14ac:dyDescent="0.3">
      <c r="A2582" s="2" t="s">
        <v>2648</v>
      </c>
      <c r="B2582" s="6">
        <v>45879</v>
      </c>
      <c r="C2582" s="2" t="s">
        <v>28</v>
      </c>
      <c r="D2582" s="2" t="s">
        <v>42</v>
      </c>
      <c r="E2582" s="2">
        <v>2</v>
      </c>
      <c r="F2582" s="7">
        <v>399</v>
      </c>
      <c r="G2582" s="8">
        <v>0</v>
      </c>
      <c r="H2582" s="9" t="str">
        <f>INDEX(Products!$B$2:$B$37, MATCH(D2582, Products!$A$2:$A$37, 0))</f>
        <v>Wireless Earbuds Pro</v>
      </c>
      <c r="I2582" t="str">
        <f>INDEX(Products!$C$2:$C$37, MATCH(D2582, Products!$A$2:$A$37, 0))</f>
        <v>Electronics</v>
      </c>
      <c r="J2582">
        <f>INDEX(Products!$E$2:$E$37, MATCH(D2582, Products!$A$2:$A$37, 0))</f>
        <v>230</v>
      </c>
      <c r="K2582" s="9">
        <f t="shared" si="160"/>
        <v>798</v>
      </c>
      <c r="L2582">
        <f t="shared" si="161"/>
        <v>460</v>
      </c>
      <c r="M2582" s="9">
        <f t="shared" si="162"/>
        <v>338</v>
      </c>
      <c r="N2582" t="str">
        <f t="shared" si="163"/>
        <v>Aug</v>
      </c>
    </row>
    <row r="2583" spans="1:14" x14ac:dyDescent="0.3">
      <c r="A2583" s="2" t="s">
        <v>2649</v>
      </c>
      <c r="B2583" s="6">
        <v>45879</v>
      </c>
      <c r="C2583" s="2" t="s">
        <v>44</v>
      </c>
      <c r="D2583" s="2" t="s">
        <v>35</v>
      </c>
      <c r="E2583" s="2">
        <v>1</v>
      </c>
      <c r="F2583" s="7">
        <v>179</v>
      </c>
      <c r="G2583" s="8">
        <v>0.1</v>
      </c>
      <c r="H2583" s="9" t="str">
        <f>INDEX(Products!$B$2:$B$37, MATCH(D2583, Products!$A$2:$A$37, 0))</f>
        <v>Men's Linen Shirt</v>
      </c>
      <c r="I2583" t="str">
        <f>INDEX(Products!$C$2:$C$37, MATCH(D2583, Products!$A$2:$A$37, 0))</f>
        <v>Fashion</v>
      </c>
      <c r="J2583">
        <f>INDEX(Products!$E$2:$E$37, MATCH(D2583, Products!$A$2:$A$37, 0))</f>
        <v>70</v>
      </c>
      <c r="K2583" s="9">
        <f t="shared" si="160"/>
        <v>161.1</v>
      </c>
      <c r="L2583">
        <f t="shared" si="161"/>
        <v>70</v>
      </c>
      <c r="M2583" s="9">
        <f t="shared" si="162"/>
        <v>91.1</v>
      </c>
      <c r="N2583" t="str">
        <f t="shared" si="163"/>
        <v>Aug</v>
      </c>
    </row>
    <row r="2584" spans="1:14" x14ac:dyDescent="0.3">
      <c r="A2584" s="2" t="s">
        <v>2650</v>
      </c>
      <c r="B2584" s="6">
        <v>45879</v>
      </c>
      <c r="C2584" s="2" t="s">
        <v>44</v>
      </c>
      <c r="D2584" s="2" t="s">
        <v>56</v>
      </c>
      <c r="E2584" s="2">
        <v>1</v>
      </c>
      <c r="F2584" s="7">
        <v>289</v>
      </c>
      <c r="G2584" s="8">
        <v>0.15</v>
      </c>
      <c r="H2584" s="9" t="str">
        <f>INDEX(Products!$B$2:$B$37, MATCH(D2584, Products!$A$2:$A$37, 0))</f>
        <v>Ceramic Dinner Set</v>
      </c>
      <c r="I2584" t="str">
        <f>INDEX(Products!$C$2:$C$37, MATCH(D2584, Products!$A$2:$A$37, 0))</f>
        <v>Home &amp; Kitchen</v>
      </c>
      <c r="J2584">
        <f>INDEX(Products!$E$2:$E$37, MATCH(D2584, Products!$A$2:$A$37, 0))</f>
        <v>140</v>
      </c>
      <c r="K2584" s="9">
        <f t="shared" si="160"/>
        <v>245.65</v>
      </c>
      <c r="L2584">
        <f t="shared" si="161"/>
        <v>140</v>
      </c>
      <c r="M2584" s="9">
        <f t="shared" si="162"/>
        <v>105.65</v>
      </c>
      <c r="N2584" t="str">
        <f t="shared" si="163"/>
        <v>Aug</v>
      </c>
    </row>
    <row r="2585" spans="1:14" x14ac:dyDescent="0.3">
      <c r="A2585" s="2" t="s">
        <v>2651</v>
      </c>
      <c r="B2585" s="6">
        <v>45879</v>
      </c>
      <c r="C2585" s="2" t="s">
        <v>31</v>
      </c>
      <c r="D2585" s="2" t="s">
        <v>194</v>
      </c>
      <c r="E2585" s="2">
        <v>3</v>
      </c>
      <c r="F2585" s="7">
        <v>699</v>
      </c>
      <c r="G2585" s="8">
        <v>0.05</v>
      </c>
      <c r="H2585" s="9" t="str">
        <f>INDEX(Products!$B$2:$B$37, MATCH(D2585, Products!$A$2:$A$37, 0))</f>
        <v>Leather Handbag</v>
      </c>
      <c r="I2585" t="str">
        <f>INDEX(Products!$C$2:$C$37, MATCH(D2585, Products!$A$2:$A$37, 0))</f>
        <v>Fashion</v>
      </c>
      <c r="J2585">
        <f>INDEX(Products!$E$2:$E$37, MATCH(D2585, Products!$A$2:$A$37, 0))</f>
        <v>380</v>
      </c>
      <c r="K2585" s="9">
        <f t="shared" si="160"/>
        <v>1992.1499999999999</v>
      </c>
      <c r="L2585">
        <f t="shared" si="161"/>
        <v>1140</v>
      </c>
      <c r="M2585" s="9">
        <f t="shared" si="162"/>
        <v>852.14999999999986</v>
      </c>
      <c r="N2585" t="str">
        <f t="shared" si="163"/>
        <v>Aug</v>
      </c>
    </row>
    <row r="2586" spans="1:14" x14ac:dyDescent="0.3">
      <c r="A2586" s="2" t="s">
        <v>2652</v>
      </c>
      <c r="B2586" s="6">
        <v>45879</v>
      </c>
      <c r="C2586" s="2" t="s">
        <v>28</v>
      </c>
      <c r="D2586" s="2" t="s">
        <v>37</v>
      </c>
      <c r="E2586" s="2">
        <v>1</v>
      </c>
      <c r="F2586" s="7">
        <v>249</v>
      </c>
      <c r="G2586" s="8">
        <v>0.1</v>
      </c>
      <c r="H2586" s="9" t="str">
        <f>INDEX(Products!$B$2:$B$37, MATCH(D2586, Products!$A$2:$A$37, 0))</f>
        <v>Sunglasses Polarised</v>
      </c>
      <c r="I2586" t="str">
        <f>INDEX(Products!$C$2:$C$37, MATCH(D2586, Products!$A$2:$A$37, 0))</f>
        <v>Fashion</v>
      </c>
      <c r="J2586">
        <f>INDEX(Products!$E$2:$E$37, MATCH(D2586, Products!$A$2:$A$37, 0))</f>
        <v>95</v>
      </c>
      <c r="K2586" s="9">
        <f t="shared" si="160"/>
        <v>224.1</v>
      </c>
      <c r="L2586">
        <f t="shared" si="161"/>
        <v>95</v>
      </c>
      <c r="M2586" s="9">
        <f t="shared" si="162"/>
        <v>129.1</v>
      </c>
      <c r="N2586" t="str">
        <f t="shared" si="163"/>
        <v>Aug</v>
      </c>
    </row>
    <row r="2587" spans="1:14" x14ac:dyDescent="0.3">
      <c r="A2587" s="2" t="s">
        <v>2653</v>
      </c>
      <c r="B2587" s="6">
        <v>45879</v>
      </c>
      <c r="C2587" s="2" t="s">
        <v>31</v>
      </c>
      <c r="D2587" s="2" t="s">
        <v>109</v>
      </c>
      <c r="E2587" s="2">
        <v>1</v>
      </c>
      <c r="F2587" s="7">
        <v>1499</v>
      </c>
      <c r="G2587" s="8">
        <v>0.1</v>
      </c>
      <c r="H2587" s="9" t="str">
        <f>INDEX(Products!$B$2:$B$37, MATCH(D2587, Products!$A$2:$A$37, 0))</f>
        <v>Espresso Machine</v>
      </c>
      <c r="I2587" t="str">
        <f>INDEX(Products!$C$2:$C$37, MATCH(D2587, Products!$A$2:$A$37, 0))</f>
        <v>Home &amp; Kitchen</v>
      </c>
      <c r="J2587">
        <f>INDEX(Products!$E$2:$E$37, MATCH(D2587, Products!$A$2:$A$37, 0))</f>
        <v>1050</v>
      </c>
      <c r="K2587" s="9">
        <f t="shared" si="160"/>
        <v>1349.1000000000001</v>
      </c>
      <c r="L2587">
        <f t="shared" si="161"/>
        <v>1050</v>
      </c>
      <c r="M2587" s="9">
        <f t="shared" si="162"/>
        <v>299.10000000000014</v>
      </c>
      <c r="N2587" t="str">
        <f t="shared" si="163"/>
        <v>Aug</v>
      </c>
    </row>
    <row r="2588" spans="1:14" x14ac:dyDescent="0.3">
      <c r="A2588" s="2" t="s">
        <v>2654</v>
      </c>
      <c r="B2588" s="6">
        <v>45879</v>
      </c>
      <c r="C2588" s="2" t="s">
        <v>28</v>
      </c>
      <c r="D2588" s="2" t="s">
        <v>52</v>
      </c>
      <c r="E2588" s="2">
        <v>2</v>
      </c>
      <c r="F2588" s="7">
        <v>299</v>
      </c>
      <c r="G2588" s="8">
        <v>0.25</v>
      </c>
      <c r="H2588" s="9" t="str">
        <f>INDEX(Products!$B$2:$B$37, MATCH(D2588, Products!$A$2:$A$37, 0))</f>
        <v>Hair Dryer Ionic</v>
      </c>
      <c r="I2588" t="str">
        <f>INDEX(Products!$C$2:$C$37, MATCH(D2588, Products!$A$2:$A$37, 0))</f>
        <v>Beauty</v>
      </c>
      <c r="J2588">
        <f>INDEX(Products!$E$2:$E$37, MATCH(D2588, Products!$A$2:$A$37, 0))</f>
        <v>240</v>
      </c>
      <c r="K2588" s="9">
        <f t="shared" si="160"/>
        <v>448.5</v>
      </c>
      <c r="L2588">
        <f t="shared" si="161"/>
        <v>480</v>
      </c>
      <c r="M2588" s="9">
        <f t="shared" si="162"/>
        <v>-31.5</v>
      </c>
      <c r="N2588" t="str">
        <f t="shared" si="163"/>
        <v>Aug</v>
      </c>
    </row>
    <row r="2589" spans="1:14" x14ac:dyDescent="0.3">
      <c r="A2589" s="2" t="s">
        <v>2655</v>
      </c>
      <c r="B2589" s="6">
        <v>45879</v>
      </c>
      <c r="C2589" s="2" t="s">
        <v>41</v>
      </c>
      <c r="D2589" s="2" t="s">
        <v>103</v>
      </c>
      <c r="E2589" s="2">
        <v>1</v>
      </c>
      <c r="F2589" s="7">
        <v>89</v>
      </c>
      <c r="G2589" s="8">
        <v>0.05</v>
      </c>
      <c r="H2589" s="9" t="str">
        <f>INDEX(Products!$B$2:$B$37, MATCH(D2589, Products!$A$2:$A$37, 0))</f>
        <v>Sunscreen SPF50</v>
      </c>
      <c r="I2589" t="str">
        <f>INDEX(Products!$C$2:$C$37, MATCH(D2589, Products!$A$2:$A$37, 0))</f>
        <v>Beauty</v>
      </c>
      <c r="J2589">
        <f>INDEX(Products!$E$2:$E$37, MATCH(D2589, Products!$A$2:$A$37, 0))</f>
        <v>40</v>
      </c>
      <c r="K2589" s="9">
        <f t="shared" si="160"/>
        <v>84.55</v>
      </c>
      <c r="L2589">
        <f t="shared" si="161"/>
        <v>40</v>
      </c>
      <c r="M2589" s="9">
        <f t="shared" si="162"/>
        <v>44.55</v>
      </c>
      <c r="N2589" t="str">
        <f t="shared" si="163"/>
        <v>Aug</v>
      </c>
    </row>
    <row r="2590" spans="1:14" x14ac:dyDescent="0.3">
      <c r="A2590" s="2" t="s">
        <v>2656</v>
      </c>
      <c r="B2590" s="6">
        <v>45879</v>
      </c>
      <c r="C2590" s="2" t="s">
        <v>44</v>
      </c>
      <c r="D2590" s="2" t="s">
        <v>89</v>
      </c>
      <c r="E2590" s="2">
        <v>1</v>
      </c>
      <c r="F2590" s="7">
        <v>399</v>
      </c>
      <c r="G2590" s="8">
        <v>0</v>
      </c>
      <c r="H2590" s="9" t="str">
        <f>INDEX(Products!$B$2:$B$37, MATCH(D2590, Products!$A$2:$A$37, 0))</f>
        <v>Men's Kandura Premium</v>
      </c>
      <c r="I2590" t="str">
        <f>INDEX(Products!$C$2:$C$37, MATCH(D2590, Products!$A$2:$A$37, 0))</f>
        <v>Fashion</v>
      </c>
      <c r="J2590">
        <f>INDEX(Products!$E$2:$E$37, MATCH(D2590, Products!$A$2:$A$37, 0))</f>
        <v>210</v>
      </c>
      <c r="K2590" s="9">
        <f t="shared" si="160"/>
        <v>399</v>
      </c>
      <c r="L2590">
        <f t="shared" si="161"/>
        <v>210</v>
      </c>
      <c r="M2590" s="9">
        <f t="shared" si="162"/>
        <v>189</v>
      </c>
      <c r="N2590" t="str">
        <f t="shared" si="163"/>
        <v>Aug</v>
      </c>
    </row>
    <row r="2591" spans="1:14" x14ac:dyDescent="0.3">
      <c r="A2591" s="2" t="s">
        <v>2657</v>
      </c>
      <c r="B2591" s="6">
        <v>45880</v>
      </c>
      <c r="C2591" s="2" t="s">
        <v>28</v>
      </c>
      <c r="D2591" s="2" t="s">
        <v>103</v>
      </c>
      <c r="E2591" s="2">
        <v>2</v>
      </c>
      <c r="F2591" s="7">
        <v>89</v>
      </c>
      <c r="G2591" s="8">
        <v>0</v>
      </c>
      <c r="H2591" s="9" t="str">
        <f>INDEX(Products!$B$2:$B$37, MATCH(D2591, Products!$A$2:$A$37, 0))</f>
        <v>Sunscreen SPF50</v>
      </c>
      <c r="I2591" t="str">
        <f>INDEX(Products!$C$2:$C$37, MATCH(D2591, Products!$A$2:$A$37, 0))</f>
        <v>Beauty</v>
      </c>
      <c r="J2591">
        <f>INDEX(Products!$E$2:$E$37, MATCH(D2591, Products!$A$2:$A$37, 0))</f>
        <v>40</v>
      </c>
      <c r="K2591" s="9">
        <f t="shared" si="160"/>
        <v>178</v>
      </c>
      <c r="L2591">
        <f t="shared" si="161"/>
        <v>80</v>
      </c>
      <c r="M2591" s="9">
        <f t="shared" si="162"/>
        <v>98</v>
      </c>
      <c r="N2591" t="str">
        <f t="shared" si="163"/>
        <v>Aug</v>
      </c>
    </row>
    <row r="2592" spans="1:14" x14ac:dyDescent="0.3">
      <c r="A2592" s="2" t="s">
        <v>2658</v>
      </c>
      <c r="B2592" s="6">
        <v>45880</v>
      </c>
      <c r="C2592" s="2" t="s">
        <v>41</v>
      </c>
      <c r="D2592" s="2" t="s">
        <v>131</v>
      </c>
      <c r="E2592" s="2">
        <v>1</v>
      </c>
      <c r="F2592" s="7">
        <v>899</v>
      </c>
      <c r="G2592" s="8">
        <v>0.2</v>
      </c>
      <c r="H2592" s="9" t="str">
        <f>INDEX(Products!$B$2:$B$37, MATCH(D2592, Products!$A$2:$A$37, 0))</f>
        <v>4K Action Camera</v>
      </c>
      <c r="I2592" t="str">
        <f>INDEX(Products!$C$2:$C$37, MATCH(D2592, Products!$A$2:$A$37, 0))</f>
        <v>Electronics</v>
      </c>
      <c r="J2592">
        <f>INDEX(Products!$E$2:$E$37, MATCH(D2592, Products!$A$2:$A$37, 0))</f>
        <v>610</v>
      </c>
      <c r="K2592" s="9">
        <f t="shared" si="160"/>
        <v>719.2</v>
      </c>
      <c r="L2592">
        <f t="shared" si="161"/>
        <v>610</v>
      </c>
      <c r="M2592" s="9">
        <f t="shared" si="162"/>
        <v>109.20000000000005</v>
      </c>
      <c r="N2592" t="str">
        <f t="shared" si="163"/>
        <v>Aug</v>
      </c>
    </row>
    <row r="2593" spans="1:14" x14ac:dyDescent="0.3">
      <c r="A2593" s="2" t="s">
        <v>2659</v>
      </c>
      <c r="B2593" s="6">
        <v>45880</v>
      </c>
      <c r="C2593" s="2" t="s">
        <v>28</v>
      </c>
      <c r="D2593" s="2" t="s">
        <v>39</v>
      </c>
      <c r="E2593" s="2">
        <v>1</v>
      </c>
      <c r="F2593" s="7">
        <v>199</v>
      </c>
      <c r="G2593" s="8">
        <v>0.1</v>
      </c>
      <c r="H2593" s="9" t="str">
        <f>INDEX(Products!$B$2:$B$37, MATCH(D2593, Products!$A$2:$A$37, 0))</f>
        <v>Bakhoor Gift Set</v>
      </c>
      <c r="I2593" t="str">
        <f>INDEX(Products!$C$2:$C$37, MATCH(D2593, Products!$A$2:$A$37, 0))</f>
        <v>Beauty</v>
      </c>
      <c r="J2593">
        <f>INDEX(Products!$E$2:$E$37, MATCH(D2593, Products!$A$2:$A$37, 0))</f>
        <v>90</v>
      </c>
      <c r="K2593" s="9">
        <f t="shared" si="160"/>
        <v>179.1</v>
      </c>
      <c r="L2593">
        <f t="shared" si="161"/>
        <v>90</v>
      </c>
      <c r="M2593" s="9">
        <f t="shared" si="162"/>
        <v>89.1</v>
      </c>
      <c r="N2593" t="str">
        <f t="shared" si="163"/>
        <v>Aug</v>
      </c>
    </row>
    <row r="2594" spans="1:14" x14ac:dyDescent="0.3">
      <c r="A2594" s="2" t="s">
        <v>2660</v>
      </c>
      <c r="B2594" s="6">
        <v>45880</v>
      </c>
      <c r="C2594" s="2" t="s">
        <v>48</v>
      </c>
      <c r="D2594" s="2" t="s">
        <v>39</v>
      </c>
      <c r="E2594" s="2">
        <v>4</v>
      </c>
      <c r="F2594" s="7">
        <v>199</v>
      </c>
      <c r="G2594" s="8">
        <v>0</v>
      </c>
      <c r="H2594" s="9" t="str">
        <f>INDEX(Products!$B$2:$B$37, MATCH(D2594, Products!$A$2:$A$37, 0))</f>
        <v>Bakhoor Gift Set</v>
      </c>
      <c r="I2594" t="str">
        <f>INDEX(Products!$C$2:$C$37, MATCH(D2594, Products!$A$2:$A$37, 0))</f>
        <v>Beauty</v>
      </c>
      <c r="J2594">
        <f>INDEX(Products!$E$2:$E$37, MATCH(D2594, Products!$A$2:$A$37, 0))</f>
        <v>90</v>
      </c>
      <c r="K2594" s="9">
        <f t="shared" si="160"/>
        <v>796</v>
      </c>
      <c r="L2594">
        <f t="shared" si="161"/>
        <v>360</v>
      </c>
      <c r="M2594" s="9">
        <f t="shared" si="162"/>
        <v>436</v>
      </c>
      <c r="N2594" t="str">
        <f t="shared" si="163"/>
        <v>Aug</v>
      </c>
    </row>
    <row r="2595" spans="1:14" x14ac:dyDescent="0.3">
      <c r="A2595" s="2" t="s">
        <v>2661</v>
      </c>
      <c r="B2595" s="6">
        <v>45880</v>
      </c>
      <c r="C2595" s="2" t="s">
        <v>31</v>
      </c>
      <c r="D2595" s="2" t="s">
        <v>78</v>
      </c>
      <c r="E2595" s="2">
        <v>2</v>
      </c>
      <c r="F2595" s="7">
        <v>499</v>
      </c>
      <c r="G2595" s="8">
        <v>0</v>
      </c>
      <c r="H2595" s="9" t="str">
        <f>INDEX(Products!$B$2:$B$37, MATCH(D2595, Products!$A$2:$A$37, 0))</f>
        <v>Air Fryer 5L</v>
      </c>
      <c r="I2595" t="str">
        <f>INDEX(Products!$C$2:$C$37, MATCH(D2595, Products!$A$2:$A$37, 0))</f>
        <v>Home &amp; Kitchen</v>
      </c>
      <c r="J2595">
        <f>INDEX(Products!$E$2:$E$37, MATCH(D2595, Products!$A$2:$A$37, 0))</f>
        <v>290</v>
      </c>
      <c r="K2595" s="9">
        <f t="shared" si="160"/>
        <v>998</v>
      </c>
      <c r="L2595">
        <f t="shared" si="161"/>
        <v>580</v>
      </c>
      <c r="M2595" s="9">
        <f t="shared" si="162"/>
        <v>418</v>
      </c>
      <c r="N2595" t="str">
        <f t="shared" si="163"/>
        <v>Aug</v>
      </c>
    </row>
    <row r="2596" spans="1:14" x14ac:dyDescent="0.3">
      <c r="A2596" s="2" t="s">
        <v>2662</v>
      </c>
      <c r="B2596" s="6">
        <v>45880</v>
      </c>
      <c r="C2596" s="2" t="s">
        <v>41</v>
      </c>
      <c r="D2596" s="2" t="s">
        <v>80</v>
      </c>
      <c r="E2596" s="2">
        <v>4</v>
      </c>
      <c r="F2596" s="7">
        <v>149</v>
      </c>
      <c r="G2596" s="8">
        <v>0</v>
      </c>
      <c r="H2596" s="9" t="str">
        <f>INDEX(Products!$B$2:$B$37, MATCH(D2596, Products!$A$2:$A$37, 0))</f>
        <v>Vitamin C Serum</v>
      </c>
      <c r="I2596" t="str">
        <f>INDEX(Products!$C$2:$C$37, MATCH(D2596, Products!$A$2:$A$37, 0))</f>
        <v>Beauty</v>
      </c>
      <c r="J2596">
        <f>INDEX(Products!$E$2:$E$37, MATCH(D2596, Products!$A$2:$A$37, 0))</f>
        <v>55</v>
      </c>
      <c r="K2596" s="9">
        <f t="shared" si="160"/>
        <v>596</v>
      </c>
      <c r="L2596">
        <f t="shared" si="161"/>
        <v>220</v>
      </c>
      <c r="M2596" s="9">
        <f t="shared" si="162"/>
        <v>376</v>
      </c>
      <c r="N2596" t="str">
        <f t="shared" si="163"/>
        <v>Aug</v>
      </c>
    </row>
    <row r="2597" spans="1:14" x14ac:dyDescent="0.3">
      <c r="A2597" s="2" t="s">
        <v>2663</v>
      </c>
      <c r="B2597" s="6">
        <v>45880</v>
      </c>
      <c r="C2597" s="2" t="s">
        <v>41</v>
      </c>
      <c r="D2597" s="2" t="s">
        <v>60</v>
      </c>
      <c r="E2597" s="2">
        <v>1</v>
      </c>
      <c r="F2597" s="7">
        <v>99</v>
      </c>
      <c r="G2597" s="8">
        <v>0.1</v>
      </c>
      <c r="H2597" s="9" t="str">
        <f>INDEX(Products!$B$2:$B$37, MATCH(D2597, Products!$A$2:$A$37, 0))</f>
        <v>Football Size 5</v>
      </c>
      <c r="I2597" t="str">
        <f>INDEX(Products!$C$2:$C$37, MATCH(D2597, Products!$A$2:$A$37, 0))</f>
        <v>Sports</v>
      </c>
      <c r="J2597">
        <f>INDEX(Products!$E$2:$E$37, MATCH(D2597, Products!$A$2:$A$37, 0))</f>
        <v>45</v>
      </c>
      <c r="K2597" s="9">
        <f t="shared" si="160"/>
        <v>89.100000000000009</v>
      </c>
      <c r="L2597">
        <f t="shared" si="161"/>
        <v>45</v>
      </c>
      <c r="M2597" s="9">
        <f t="shared" si="162"/>
        <v>44.100000000000009</v>
      </c>
      <c r="N2597" t="str">
        <f t="shared" si="163"/>
        <v>Aug</v>
      </c>
    </row>
    <row r="2598" spans="1:14" x14ac:dyDescent="0.3">
      <c r="A2598" s="2" t="s">
        <v>2664</v>
      </c>
      <c r="B2598" s="6">
        <v>45880</v>
      </c>
      <c r="C2598" s="2" t="s">
        <v>28</v>
      </c>
      <c r="D2598" s="2" t="s">
        <v>103</v>
      </c>
      <c r="E2598" s="2">
        <v>1</v>
      </c>
      <c r="F2598" s="7">
        <v>89</v>
      </c>
      <c r="G2598" s="8">
        <v>0.15</v>
      </c>
      <c r="H2598" s="9" t="str">
        <f>INDEX(Products!$B$2:$B$37, MATCH(D2598, Products!$A$2:$A$37, 0))</f>
        <v>Sunscreen SPF50</v>
      </c>
      <c r="I2598" t="str">
        <f>INDEX(Products!$C$2:$C$37, MATCH(D2598, Products!$A$2:$A$37, 0))</f>
        <v>Beauty</v>
      </c>
      <c r="J2598">
        <f>INDEX(Products!$E$2:$E$37, MATCH(D2598, Products!$A$2:$A$37, 0))</f>
        <v>40</v>
      </c>
      <c r="K2598" s="9">
        <f t="shared" si="160"/>
        <v>75.649999999999991</v>
      </c>
      <c r="L2598">
        <f t="shared" si="161"/>
        <v>40</v>
      </c>
      <c r="M2598" s="9">
        <f t="shared" si="162"/>
        <v>35.649999999999991</v>
      </c>
      <c r="N2598" t="str">
        <f t="shared" si="163"/>
        <v>Aug</v>
      </c>
    </row>
    <row r="2599" spans="1:14" x14ac:dyDescent="0.3">
      <c r="A2599" s="2" t="s">
        <v>2665</v>
      </c>
      <c r="B2599" s="6">
        <v>45880</v>
      </c>
      <c r="C2599" s="2" t="s">
        <v>41</v>
      </c>
      <c r="D2599" s="2" t="s">
        <v>126</v>
      </c>
      <c r="E2599" s="2">
        <v>1</v>
      </c>
      <c r="F2599" s="7">
        <v>89</v>
      </c>
      <c r="G2599" s="8">
        <v>0</v>
      </c>
      <c r="H2599" s="9" t="str">
        <f>INDEX(Products!$B$2:$B$37, MATCH(D2599, Products!$A$2:$A$37, 0))</f>
        <v>USB-C Fast Charger</v>
      </c>
      <c r="I2599" t="str">
        <f>INDEX(Products!$C$2:$C$37, MATCH(D2599, Products!$A$2:$A$37, 0))</f>
        <v>Electronics</v>
      </c>
      <c r="J2599">
        <f>INDEX(Products!$E$2:$E$37, MATCH(D2599, Products!$A$2:$A$37, 0))</f>
        <v>35</v>
      </c>
      <c r="K2599" s="9">
        <f t="shared" si="160"/>
        <v>89</v>
      </c>
      <c r="L2599">
        <f t="shared" si="161"/>
        <v>35</v>
      </c>
      <c r="M2599" s="9">
        <f t="shared" si="162"/>
        <v>54</v>
      </c>
      <c r="N2599" t="str">
        <f t="shared" si="163"/>
        <v>Aug</v>
      </c>
    </row>
    <row r="2600" spans="1:14" x14ac:dyDescent="0.3">
      <c r="A2600" s="2" t="s">
        <v>2666</v>
      </c>
      <c r="B2600" s="6">
        <v>45880</v>
      </c>
      <c r="C2600" s="2" t="s">
        <v>44</v>
      </c>
      <c r="D2600" s="2" t="s">
        <v>37</v>
      </c>
      <c r="E2600" s="2">
        <v>3</v>
      </c>
      <c r="F2600" s="7">
        <v>249</v>
      </c>
      <c r="G2600" s="8">
        <v>0</v>
      </c>
      <c r="H2600" s="9" t="str">
        <f>INDEX(Products!$B$2:$B$37, MATCH(D2600, Products!$A$2:$A$37, 0))</f>
        <v>Sunglasses Polarised</v>
      </c>
      <c r="I2600" t="str">
        <f>INDEX(Products!$C$2:$C$37, MATCH(D2600, Products!$A$2:$A$37, 0))</f>
        <v>Fashion</v>
      </c>
      <c r="J2600">
        <f>INDEX(Products!$E$2:$E$37, MATCH(D2600, Products!$A$2:$A$37, 0))</f>
        <v>95</v>
      </c>
      <c r="K2600" s="9">
        <f t="shared" si="160"/>
        <v>747</v>
      </c>
      <c r="L2600">
        <f t="shared" si="161"/>
        <v>285</v>
      </c>
      <c r="M2600" s="9">
        <f t="shared" si="162"/>
        <v>462</v>
      </c>
      <c r="N2600" t="str">
        <f t="shared" si="163"/>
        <v>Aug</v>
      </c>
    </row>
    <row r="2601" spans="1:14" x14ac:dyDescent="0.3">
      <c r="A2601" s="2" t="s">
        <v>2667</v>
      </c>
      <c r="B2601" s="6">
        <v>45881</v>
      </c>
      <c r="C2601" s="2" t="s">
        <v>31</v>
      </c>
      <c r="D2601" s="2" t="s">
        <v>126</v>
      </c>
      <c r="E2601" s="2">
        <v>1</v>
      </c>
      <c r="F2601" s="7">
        <v>89</v>
      </c>
      <c r="G2601" s="8">
        <v>0</v>
      </c>
      <c r="H2601" s="9" t="str">
        <f>INDEX(Products!$B$2:$B$37, MATCH(D2601, Products!$A$2:$A$37, 0))</f>
        <v>USB-C Fast Charger</v>
      </c>
      <c r="I2601" t="str">
        <f>INDEX(Products!$C$2:$C$37, MATCH(D2601, Products!$A$2:$A$37, 0))</f>
        <v>Electronics</v>
      </c>
      <c r="J2601">
        <f>INDEX(Products!$E$2:$E$37, MATCH(D2601, Products!$A$2:$A$37, 0))</f>
        <v>35</v>
      </c>
      <c r="K2601" s="9">
        <f t="shared" si="160"/>
        <v>89</v>
      </c>
      <c r="L2601">
        <f t="shared" si="161"/>
        <v>35</v>
      </c>
      <c r="M2601" s="9">
        <f t="shared" si="162"/>
        <v>54</v>
      </c>
      <c r="N2601" t="str">
        <f t="shared" si="163"/>
        <v>Aug</v>
      </c>
    </row>
    <row r="2602" spans="1:14" x14ac:dyDescent="0.3">
      <c r="A2602" s="2" t="s">
        <v>2668</v>
      </c>
      <c r="B2602" s="6">
        <v>45881</v>
      </c>
      <c r="C2602" s="2" t="s">
        <v>48</v>
      </c>
      <c r="D2602" s="2" t="s">
        <v>89</v>
      </c>
      <c r="E2602" s="2">
        <v>1</v>
      </c>
      <c r="F2602" s="7">
        <v>399</v>
      </c>
      <c r="G2602" s="8">
        <v>0</v>
      </c>
      <c r="H2602" s="9" t="str">
        <f>INDEX(Products!$B$2:$B$37, MATCH(D2602, Products!$A$2:$A$37, 0))</f>
        <v>Men's Kandura Premium</v>
      </c>
      <c r="I2602" t="str">
        <f>INDEX(Products!$C$2:$C$37, MATCH(D2602, Products!$A$2:$A$37, 0))</f>
        <v>Fashion</v>
      </c>
      <c r="J2602">
        <f>INDEX(Products!$E$2:$E$37, MATCH(D2602, Products!$A$2:$A$37, 0))</f>
        <v>210</v>
      </c>
      <c r="K2602" s="9">
        <f t="shared" si="160"/>
        <v>399</v>
      </c>
      <c r="L2602">
        <f t="shared" si="161"/>
        <v>210</v>
      </c>
      <c r="M2602" s="9">
        <f t="shared" si="162"/>
        <v>189</v>
      </c>
      <c r="N2602" t="str">
        <f t="shared" si="163"/>
        <v>Aug</v>
      </c>
    </row>
    <row r="2603" spans="1:14" x14ac:dyDescent="0.3">
      <c r="A2603" s="2" t="s">
        <v>2669</v>
      </c>
      <c r="B2603" s="6">
        <v>45881</v>
      </c>
      <c r="C2603" s="2" t="s">
        <v>41</v>
      </c>
      <c r="D2603" s="2" t="s">
        <v>52</v>
      </c>
      <c r="E2603" s="2">
        <v>1</v>
      </c>
      <c r="F2603" s="7">
        <v>299</v>
      </c>
      <c r="G2603" s="8">
        <v>0.25</v>
      </c>
      <c r="H2603" s="9" t="str">
        <f>INDEX(Products!$B$2:$B$37, MATCH(D2603, Products!$A$2:$A$37, 0))</f>
        <v>Hair Dryer Ionic</v>
      </c>
      <c r="I2603" t="str">
        <f>INDEX(Products!$C$2:$C$37, MATCH(D2603, Products!$A$2:$A$37, 0))</f>
        <v>Beauty</v>
      </c>
      <c r="J2603">
        <f>INDEX(Products!$E$2:$E$37, MATCH(D2603, Products!$A$2:$A$37, 0))</f>
        <v>240</v>
      </c>
      <c r="K2603" s="9">
        <f t="shared" si="160"/>
        <v>224.25</v>
      </c>
      <c r="L2603">
        <f t="shared" si="161"/>
        <v>240</v>
      </c>
      <c r="M2603" s="9">
        <f t="shared" si="162"/>
        <v>-15.75</v>
      </c>
      <c r="N2603" t="str">
        <f t="shared" si="163"/>
        <v>Aug</v>
      </c>
    </row>
    <row r="2604" spans="1:14" x14ac:dyDescent="0.3">
      <c r="A2604" s="2" t="s">
        <v>2670</v>
      </c>
      <c r="B2604" s="6">
        <v>45881</v>
      </c>
      <c r="C2604" s="2" t="s">
        <v>48</v>
      </c>
      <c r="D2604" s="2" t="s">
        <v>33</v>
      </c>
      <c r="E2604" s="2">
        <v>2</v>
      </c>
      <c r="F2604" s="7">
        <v>199</v>
      </c>
      <c r="G2604" s="8">
        <v>0.15</v>
      </c>
      <c r="H2604" s="9" t="str">
        <f>INDEX(Products!$B$2:$B$37, MATCH(D2604, Products!$A$2:$A$37, 0))</f>
        <v>Fitness Band Lite</v>
      </c>
      <c r="I2604" t="str">
        <f>INDEX(Products!$C$2:$C$37, MATCH(D2604, Products!$A$2:$A$37, 0))</f>
        <v>Electronics</v>
      </c>
      <c r="J2604">
        <f>INDEX(Products!$E$2:$E$37, MATCH(D2604, Products!$A$2:$A$37, 0))</f>
        <v>175</v>
      </c>
      <c r="K2604" s="9">
        <f t="shared" si="160"/>
        <v>338.3</v>
      </c>
      <c r="L2604">
        <f t="shared" si="161"/>
        <v>350</v>
      </c>
      <c r="M2604" s="9">
        <f t="shared" si="162"/>
        <v>-11.699999999999989</v>
      </c>
      <c r="N2604" t="str">
        <f t="shared" si="163"/>
        <v>Aug</v>
      </c>
    </row>
    <row r="2605" spans="1:14" x14ac:dyDescent="0.3">
      <c r="A2605" s="2" t="s">
        <v>2671</v>
      </c>
      <c r="B2605" s="6">
        <v>45881</v>
      </c>
      <c r="C2605" s="2" t="s">
        <v>41</v>
      </c>
      <c r="D2605" s="2" t="s">
        <v>103</v>
      </c>
      <c r="E2605" s="2">
        <v>3</v>
      </c>
      <c r="F2605" s="7">
        <v>89</v>
      </c>
      <c r="G2605" s="8">
        <v>0</v>
      </c>
      <c r="H2605" s="9" t="str">
        <f>INDEX(Products!$B$2:$B$37, MATCH(D2605, Products!$A$2:$A$37, 0))</f>
        <v>Sunscreen SPF50</v>
      </c>
      <c r="I2605" t="str">
        <f>INDEX(Products!$C$2:$C$37, MATCH(D2605, Products!$A$2:$A$37, 0))</f>
        <v>Beauty</v>
      </c>
      <c r="J2605">
        <f>INDEX(Products!$E$2:$E$37, MATCH(D2605, Products!$A$2:$A$37, 0))</f>
        <v>40</v>
      </c>
      <c r="K2605" s="9">
        <f t="shared" si="160"/>
        <v>267</v>
      </c>
      <c r="L2605">
        <f t="shared" si="161"/>
        <v>120</v>
      </c>
      <c r="M2605" s="9">
        <f t="shared" si="162"/>
        <v>147</v>
      </c>
      <c r="N2605" t="str">
        <f t="shared" si="163"/>
        <v>Aug</v>
      </c>
    </row>
    <row r="2606" spans="1:14" x14ac:dyDescent="0.3">
      <c r="A2606" s="2" t="s">
        <v>2672</v>
      </c>
      <c r="B2606" s="6">
        <v>45881</v>
      </c>
      <c r="C2606" s="2" t="s">
        <v>31</v>
      </c>
      <c r="D2606" s="2" t="s">
        <v>83</v>
      </c>
      <c r="E2606" s="2">
        <v>2</v>
      </c>
      <c r="F2606" s="7">
        <v>229</v>
      </c>
      <c r="G2606" s="8">
        <v>0</v>
      </c>
      <c r="H2606" s="9" t="str">
        <f>INDEX(Products!$B$2:$B$37, MATCH(D2606, Products!$A$2:$A$37, 0))</f>
        <v>Cycling Helmet</v>
      </c>
      <c r="I2606" t="str">
        <f>INDEX(Products!$C$2:$C$37, MATCH(D2606, Products!$A$2:$A$37, 0))</f>
        <v>Sports</v>
      </c>
      <c r="J2606">
        <f>INDEX(Products!$E$2:$E$37, MATCH(D2606, Products!$A$2:$A$37, 0))</f>
        <v>120</v>
      </c>
      <c r="K2606" s="9">
        <f t="shared" si="160"/>
        <v>458</v>
      </c>
      <c r="L2606">
        <f t="shared" si="161"/>
        <v>240</v>
      </c>
      <c r="M2606" s="9">
        <f t="shared" si="162"/>
        <v>218</v>
      </c>
      <c r="N2606" t="str">
        <f t="shared" si="163"/>
        <v>Aug</v>
      </c>
    </row>
    <row r="2607" spans="1:14" x14ac:dyDescent="0.3">
      <c r="A2607" s="2" t="s">
        <v>2673</v>
      </c>
      <c r="B2607" s="6">
        <v>45881</v>
      </c>
      <c r="C2607" s="2" t="s">
        <v>28</v>
      </c>
      <c r="D2607" s="2" t="s">
        <v>60</v>
      </c>
      <c r="E2607" s="2">
        <v>2</v>
      </c>
      <c r="F2607" s="7">
        <v>99</v>
      </c>
      <c r="G2607" s="8">
        <v>0</v>
      </c>
      <c r="H2607" s="9" t="str">
        <f>INDEX(Products!$B$2:$B$37, MATCH(D2607, Products!$A$2:$A$37, 0))</f>
        <v>Football Size 5</v>
      </c>
      <c r="I2607" t="str">
        <f>INDEX(Products!$C$2:$C$37, MATCH(D2607, Products!$A$2:$A$37, 0))</f>
        <v>Sports</v>
      </c>
      <c r="J2607">
        <f>INDEX(Products!$E$2:$E$37, MATCH(D2607, Products!$A$2:$A$37, 0))</f>
        <v>45</v>
      </c>
      <c r="K2607" s="9">
        <f t="shared" si="160"/>
        <v>198</v>
      </c>
      <c r="L2607">
        <f t="shared" si="161"/>
        <v>90</v>
      </c>
      <c r="M2607" s="9">
        <f t="shared" si="162"/>
        <v>108</v>
      </c>
      <c r="N2607" t="str">
        <f t="shared" si="163"/>
        <v>Aug</v>
      </c>
    </row>
    <row r="2608" spans="1:14" x14ac:dyDescent="0.3">
      <c r="A2608" s="2" t="s">
        <v>2674</v>
      </c>
      <c r="B2608" s="6">
        <v>45881</v>
      </c>
      <c r="C2608" s="2" t="s">
        <v>41</v>
      </c>
      <c r="D2608" s="2" t="s">
        <v>68</v>
      </c>
      <c r="E2608" s="2">
        <v>4</v>
      </c>
      <c r="F2608" s="7">
        <v>249</v>
      </c>
      <c r="G2608" s="8">
        <v>0.1</v>
      </c>
      <c r="H2608" s="9" t="str">
        <f>INDEX(Products!$B$2:$B$37, MATCH(D2608, Products!$A$2:$A$37, 0))</f>
        <v>Bluetooth Speaker Mini</v>
      </c>
      <c r="I2608" t="str">
        <f>INDEX(Products!$C$2:$C$37, MATCH(D2608, Products!$A$2:$A$37, 0))</f>
        <v>Electronics</v>
      </c>
      <c r="J2608">
        <f>INDEX(Products!$E$2:$E$37, MATCH(D2608, Products!$A$2:$A$37, 0))</f>
        <v>150</v>
      </c>
      <c r="K2608" s="9">
        <f t="shared" si="160"/>
        <v>896.4</v>
      </c>
      <c r="L2608">
        <f t="shared" si="161"/>
        <v>600</v>
      </c>
      <c r="M2608" s="9">
        <f t="shared" si="162"/>
        <v>296.39999999999998</v>
      </c>
      <c r="N2608" t="str">
        <f t="shared" si="163"/>
        <v>Aug</v>
      </c>
    </row>
    <row r="2609" spans="1:14" x14ac:dyDescent="0.3">
      <c r="A2609" s="2" t="s">
        <v>2675</v>
      </c>
      <c r="B2609" s="6">
        <v>45882</v>
      </c>
      <c r="C2609" s="2" t="s">
        <v>28</v>
      </c>
      <c r="D2609" s="2" t="s">
        <v>52</v>
      </c>
      <c r="E2609" s="2">
        <v>1</v>
      </c>
      <c r="F2609" s="7">
        <v>299</v>
      </c>
      <c r="G2609" s="8">
        <v>0.1</v>
      </c>
      <c r="H2609" s="9" t="str">
        <f>INDEX(Products!$B$2:$B$37, MATCH(D2609, Products!$A$2:$A$37, 0))</f>
        <v>Hair Dryer Ionic</v>
      </c>
      <c r="I2609" t="str">
        <f>INDEX(Products!$C$2:$C$37, MATCH(D2609, Products!$A$2:$A$37, 0))</f>
        <v>Beauty</v>
      </c>
      <c r="J2609">
        <f>INDEX(Products!$E$2:$E$37, MATCH(D2609, Products!$A$2:$A$37, 0))</f>
        <v>240</v>
      </c>
      <c r="K2609" s="9">
        <f t="shared" si="160"/>
        <v>269.10000000000002</v>
      </c>
      <c r="L2609">
        <f t="shared" si="161"/>
        <v>240</v>
      </c>
      <c r="M2609" s="9">
        <f t="shared" si="162"/>
        <v>29.100000000000023</v>
      </c>
      <c r="N2609" t="str">
        <f t="shared" si="163"/>
        <v>Aug</v>
      </c>
    </row>
    <row r="2610" spans="1:14" x14ac:dyDescent="0.3">
      <c r="A2610" s="2" t="s">
        <v>2676</v>
      </c>
      <c r="B2610" s="6">
        <v>45882</v>
      </c>
      <c r="C2610" s="2" t="s">
        <v>44</v>
      </c>
      <c r="D2610" s="2" t="s">
        <v>99</v>
      </c>
      <c r="E2610" s="2">
        <v>1</v>
      </c>
      <c r="F2610" s="7">
        <v>459</v>
      </c>
      <c r="G2610" s="8">
        <v>0</v>
      </c>
      <c r="H2610" s="9" t="str">
        <f>INDEX(Products!$B$2:$B$37, MATCH(D2610, Products!$A$2:$A$37, 0))</f>
        <v>Gaming Headset X</v>
      </c>
      <c r="I2610" t="str">
        <f>INDEX(Products!$C$2:$C$37, MATCH(D2610, Products!$A$2:$A$37, 0))</f>
        <v>Electronics</v>
      </c>
      <c r="J2610">
        <f>INDEX(Products!$E$2:$E$37, MATCH(D2610, Products!$A$2:$A$37, 0))</f>
        <v>300</v>
      </c>
      <c r="K2610" s="9">
        <f t="shared" si="160"/>
        <v>459</v>
      </c>
      <c r="L2610">
        <f t="shared" si="161"/>
        <v>300</v>
      </c>
      <c r="M2610" s="9">
        <f t="shared" si="162"/>
        <v>159</v>
      </c>
      <c r="N2610" t="str">
        <f t="shared" si="163"/>
        <v>Aug</v>
      </c>
    </row>
    <row r="2611" spans="1:14" x14ac:dyDescent="0.3">
      <c r="A2611" s="2" t="s">
        <v>2677</v>
      </c>
      <c r="B2611" s="6">
        <v>45882</v>
      </c>
      <c r="C2611" s="2" t="s">
        <v>44</v>
      </c>
      <c r="D2611" s="2" t="s">
        <v>115</v>
      </c>
      <c r="E2611" s="2">
        <v>2</v>
      </c>
      <c r="F2611" s="7">
        <v>129</v>
      </c>
      <c r="G2611" s="8">
        <v>0.05</v>
      </c>
      <c r="H2611" s="9" t="str">
        <f>INDEX(Products!$B$2:$B$37, MATCH(D2611, Products!$A$2:$A$37, 0))</f>
        <v>Electric Kettle</v>
      </c>
      <c r="I2611" t="str">
        <f>INDEX(Products!$C$2:$C$37, MATCH(D2611, Products!$A$2:$A$37, 0))</f>
        <v>Home &amp; Kitchen</v>
      </c>
      <c r="J2611">
        <f>INDEX(Products!$E$2:$E$37, MATCH(D2611, Products!$A$2:$A$37, 0))</f>
        <v>60</v>
      </c>
      <c r="K2611" s="9">
        <f t="shared" si="160"/>
        <v>245.1</v>
      </c>
      <c r="L2611">
        <f t="shared" si="161"/>
        <v>120</v>
      </c>
      <c r="M2611" s="9">
        <f t="shared" si="162"/>
        <v>125.1</v>
      </c>
      <c r="N2611" t="str">
        <f t="shared" si="163"/>
        <v>Aug</v>
      </c>
    </row>
    <row r="2612" spans="1:14" x14ac:dyDescent="0.3">
      <c r="A2612" s="2" t="s">
        <v>2678</v>
      </c>
      <c r="B2612" s="6">
        <v>45882</v>
      </c>
      <c r="C2612" s="2" t="s">
        <v>41</v>
      </c>
      <c r="D2612" s="2" t="s">
        <v>165</v>
      </c>
      <c r="E2612" s="2">
        <v>2</v>
      </c>
      <c r="F2612" s="7">
        <v>69</v>
      </c>
      <c r="G2612" s="8">
        <v>0</v>
      </c>
      <c r="H2612" s="9" t="str">
        <f>INDEX(Products!$B$2:$B$37, MATCH(D2612, Products!$A$2:$A$37, 0))</f>
        <v>Swim Goggles</v>
      </c>
      <c r="I2612" t="str">
        <f>INDEX(Products!$C$2:$C$37, MATCH(D2612, Products!$A$2:$A$37, 0))</f>
        <v>Sports</v>
      </c>
      <c r="J2612">
        <f>INDEX(Products!$E$2:$E$37, MATCH(D2612, Products!$A$2:$A$37, 0))</f>
        <v>25</v>
      </c>
      <c r="K2612" s="9">
        <f t="shared" si="160"/>
        <v>138</v>
      </c>
      <c r="L2612">
        <f t="shared" si="161"/>
        <v>50</v>
      </c>
      <c r="M2612" s="9">
        <f t="shared" si="162"/>
        <v>88</v>
      </c>
      <c r="N2612" t="str">
        <f t="shared" si="163"/>
        <v>Aug</v>
      </c>
    </row>
    <row r="2613" spans="1:14" x14ac:dyDescent="0.3">
      <c r="A2613" s="2" t="s">
        <v>2679</v>
      </c>
      <c r="B2613" s="6">
        <v>45882</v>
      </c>
      <c r="C2613" s="2" t="s">
        <v>28</v>
      </c>
      <c r="D2613" s="2" t="s">
        <v>129</v>
      </c>
      <c r="E2613" s="2">
        <v>2</v>
      </c>
      <c r="F2613" s="7">
        <v>149</v>
      </c>
      <c r="G2613" s="8">
        <v>0</v>
      </c>
      <c r="H2613" s="9" t="str">
        <f>INDEX(Products!$B$2:$B$37, MATCH(D2613, Products!$A$2:$A$37, 0))</f>
        <v>Power Bank 20000mAh</v>
      </c>
      <c r="I2613" t="str">
        <f>INDEX(Products!$C$2:$C$37, MATCH(D2613, Products!$A$2:$A$37, 0))</f>
        <v>Electronics</v>
      </c>
      <c r="J2613">
        <f>INDEX(Products!$E$2:$E$37, MATCH(D2613, Products!$A$2:$A$37, 0))</f>
        <v>70</v>
      </c>
      <c r="K2613" s="9">
        <f t="shared" si="160"/>
        <v>298</v>
      </c>
      <c r="L2613">
        <f t="shared" si="161"/>
        <v>140</v>
      </c>
      <c r="M2613" s="9">
        <f t="shared" si="162"/>
        <v>158</v>
      </c>
      <c r="N2613" t="str">
        <f t="shared" si="163"/>
        <v>Aug</v>
      </c>
    </row>
    <row r="2614" spans="1:14" x14ac:dyDescent="0.3">
      <c r="A2614" s="2" t="s">
        <v>2680</v>
      </c>
      <c r="B2614" s="6">
        <v>45882</v>
      </c>
      <c r="C2614" s="2" t="s">
        <v>31</v>
      </c>
      <c r="D2614" s="2" t="s">
        <v>103</v>
      </c>
      <c r="E2614" s="2">
        <v>2</v>
      </c>
      <c r="F2614" s="7">
        <v>89</v>
      </c>
      <c r="G2614" s="8">
        <v>0.1</v>
      </c>
      <c r="H2614" s="9" t="str">
        <f>INDEX(Products!$B$2:$B$37, MATCH(D2614, Products!$A$2:$A$37, 0))</f>
        <v>Sunscreen SPF50</v>
      </c>
      <c r="I2614" t="str">
        <f>INDEX(Products!$C$2:$C$37, MATCH(D2614, Products!$A$2:$A$37, 0))</f>
        <v>Beauty</v>
      </c>
      <c r="J2614">
        <f>INDEX(Products!$E$2:$E$37, MATCH(D2614, Products!$A$2:$A$37, 0))</f>
        <v>40</v>
      </c>
      <c r="K2614" s="9">
        <f t="shared" si="160"/>
        <v>160.20000000000002</v>
      </c>
      <c r="L2614">
        <f t="shared" si="161"/>
        <v>80</v>
      </c>
      <c r="M2614" s="9">
        <f t="shared" si="162"/>
        <v>80.200000000000017</v>
      </c>
      <c r="N2614" t="str">
        <f t="shared" si="163"/>
        <v>Aug</v>
      </c>
    </row>
    <row r="2615" spans="1:14" x14ac:dyDescent="0.3">
      <c r="A2615" s="2" t="s">
        <v>2681</v>
      </c>
      <c r="B2615" s="6">
        <v>45882</v>
      </c>
      <c r="C2615" s="2" t="s">
        <v>31</v>
      </c>
      <c r="D2615" s="2" t="s">
        <v>80</v>
      </c>
      <c r="E2615" s="2">
        <v>1</v>
      </c>
      <c r="F2615" s="7">
        <v>149</v>
      </c>
      <c r="G2615" s="8">
        <v>0.1</v>
      </c>
      <c r="H2615" s="9" t="str">
        <f>INDEX(Products!$B$2:$B$37, MATCH(D2615, Products!$A$2:$A$37, 0))</f>
        <v>Vitamin C Serum</v>
      </c>
      <c r="I2615" t="str">
        <f>INDEX(Products!$C$2:$C$37, MATCH(D2615, Products!$A$2:$A$37, 0))</f>
        <v>Beauty</v>
      </c>
      <c r="J2615">
        <f>INDEX(Products!$E$2:$E$37, MATCH(D2615, Products!$A$2:$A$37, 0))</f>
        <v>55</v>
      </c>
      <c r="K2615" s="9">
        <f t="shared" si="160"/>
        <v>134.1</v>
      </c>
      <c r="L2615">
        <f t="shared" si="161"/>
        <v>55</v>
      </c>
      <c r="M2615" s="9">
        <f t="shared" si="162"/>
        <v>79.099999999999994</v>
      </c>
      <c r="N2615" t="str">
        <f t="shared" si="163"/>
        <v>Aug</v>
      </c>
    </row>
    <row r="2616" spans="1:14" x14ac:dyDescent="0.3">
      <c r="A2616" s="2" t="s">
        <v>2682</v>
      </c>
      <c r="B2616" s="6">
        <v>45882</v>
      </c>
      <c r="C2616" s="2" t="s">
        <v>41</v>
      </c>
      <c r="D2616" s="2" t="s">
        <v>99</v>
      </c>
      <c r="E2616" s="2">
        <v>2</v>
      </c>
      <c r="F2616" s="7">
        <v>459</v>
      </c>
      <c r="G2616" s="8">
        <v>0</v>
      </c>
      <c r="H2616" s="9" t="str">
        <f>INDEX(Products!$B$2:$B$37, MATCH(D2616, Products!$A$2:$A$37, 0))</f>
        <v>Gaming Headset X</v>
      </c>
      <c r="I2616" t="str">
        <f>INDEX(Products!$C$2:$C$37, MATCH(D2616, Products!$A$2:$A$37, 0))</f>
        <v>Electronics</v>
      </c>
      <c r="J2616">
        <f>INDEX(Products!$E$2:$E$37, MATCH(D2616, Products!$A$2:$A$37, 0))</f>
        <v>300</v>
      </c>
      <c r="K2616" s="9">
        <f t="shared" si="160"/>
        <v>918</v>
      </c>
      <c r="L2616">
        <f t="shared" si="161"/>
        <v>600</v>
      </c>
      <c r="M2616" s="9">
        <f t="shared" si="162"/>
        <v>318</v>
      </c>
      <c r="N2616" t="str">
        <f t="shared" si="163"/>
        <v>Aug</v>
      </c>
    </row>
    <row r="2617" spans="1:14" x14ac:dyDescent="0.3">
      <c r="A2617" s="2" t="s">
        <v>2683</v>
      </c>
      <c r="B2617" s="6">
        <v>45883</v>
      </c>
      <c r="C2617" s="2" t="s">
        <v>41</v>
      </c>
      <c r="D2617" s="2" t="s">
        <v>56</v>
      </c>
      <c r="E2617" s="2">
        <v>1</v>
      </c>
      <c r="F2617" s="7">
        <v>289</v>
      </c>
      <c r="G2617" s="8">
        <v>0</v>
      </c>
      <c r="H2617" s="9" t="str">
        <f>INDEX(Products!$B$2:$B$37, MATCH(D2617, Products!$A$2:$A$37, 0))</f>
        <v>Ceramic Dinner Set</v>
      </c>
      <c r="I2617" t="str">
        <f>INDEX(Products!$C$2:$C$37, MATCH(D2617, Products!$A$2:$A$37, 0))</f>
        <v>Home &amp; Kitchen</v>
      </c>
      <c r="J2617">
        <f>INDEX(Products!$E$2:$E$37, MATCH(D2617, Products!$A$2:$A$37, 0))</f>
        <v>140</v>
      </c>
      <c r="K2617" s="9">
        <f t="shared" si="160"/>
        <v>289</v>
      </c>
      <c r="L2617">
        <f t="shared" si="161"/>
        <v>140</v>
      </c>
      <c r="M2617" s="9">
        <f t="shared" si="162"/>
        <v>149</v>
      </c>
      <c r="N2617" t="str">
        <f t="shared" si="163"/>
        <v>Aug</v>
      </c>
    </row>
    <row r="2618" spans="1:14" x14ac:dyDescent="0.3">
      <c r="A2618" s="2" t="s">
        <v>2684</v>
      </c>
      <c r="B2618" s="6">
        <v>45883</v>
      </c>
      <c r="C2618" s="2" t="s">
        <v>48</v>
      </c>
      <c r="D2618" s="2" t="s">
        <v>78</v>
      </c>
      <c r="E2618" s="2">
        <v>3</v>
      </c>
      <c r="F2618" s="7">
        <v>499</v>
      </c>
      <c r="G2618" s="8">
        <v>0</v>
      </c>
      <c r="H2618" s="9" t="str">
        <f>INDEX(Products!$B$2:$B$37, MATCH(D2618, Products!$A$2:$A$37, 0))</f>
        <v>Air Fryer 5L</v>
      </c>
      <c r="I2618" t="str">
        <f>INDEX(Products!$C$2:$C$37, MATCH(D2618, Products!$A$2:$A$37, 0))</f>
        <v>Home &amp; Kitchen</v>
      </c>
      <c r="J2618">
        <f>INDEX(Products!$E$2:$E$37, MATCH(D2618, Products!$A$2:$A$37, 0))</f>
        <v>290</v>
      </c>
      <c r="K2618" s="9">
        <f t="shared" si="160"/>
        <v>1497</v>
      </c>
      <c r="L2618">
        <f t="shared" si="161"/>
        <v>870</v>
      </c>
      <c r="M2618" s="9">
        <f t="shared" si="162"/>
        <v>627</v>
      </c>
      <c r="N2618" t="str">
        <f t="shared" si="163"/>
        <v>Aug</v>
      </c>
    </row>
    <row r="2619" spans="1:14" x14ac:dyDescent="0.3">
      <c r="A2619" s="2" t="s">
        <v>2685</v>
      </c>
      <c r="B2619" s="6">
        <v>45883</v>
      </c>
      <c r="C2619" s="2" t="s">
        <v>48</v>
      </c>
      <c r="D2619" s="2" t="s">
        <v>194</v>
      </c>
      <c r="E2619" s="2">
        <v>1</v>
      </c>
      <c r="F2619" s="7">
        <v>699</v>
      </c>
      <c r="G2619" s="8">
        <v>0.1</v>
      </c>
      <c r="H2619" s="9" t="str">
        <f>INDEX(Products!$B$2:$B$37, MATCH(D2619, Products!$A$2:$A$37, 0))</f>
        <v>Leather Handbag</v>
      </c>
      <c r="I2619" t="str">
        <f>INDEX(Products!$C$2:$C$37, MATCH(D2619, Products!$A$2:$A$37, 0))</f>
        <v>Fashion</v>
      </c>
      <c r="J2619">
        <f>INDEX(Products!$E$2:$E$37, MATCH(D2619, Products!$A$2:$A$37, 0))</f>
        <v>380</v>
      </c>
      <c r="K2619" s="9">
        <f t="shared" si="160"/>
        <v>629.1</v>
      </c>
      <c r="L2619">
        <f t="shared" si="161"/>
        <v>380</v>
      </c>
      <c r="M2619" s="9">
        <f t="shared" si="162"/>
        <v>249.10000000000002</v>
      </c>
      <c r="N2619" t="str">
        <f t="shared" si="163"/>
        <v>Aug</v>
      </c>
    </row>
    <row r="2620" spans="1:14" x14ac:dyDescent="0.3">
      <c r="A2620" s="2" t="s">
        <v>2686</v>
      </c>
      <c r="B2620" s="6">
        <v>45883</v>
      </c>
      <c r="C2620" s="2" t="s">
        <v>28</v>
      </c>
      <c r="D2620" s="2" t="s">
        <v>75</v>
      </c>
      <c r="E2620" s="2">
        <v>2</v>
      </c>
      <c r="F2620" s="7">
        <v>549</v>
      </c>
      <c r="G2620" s="8">
        <v>0</v>
      </c>
      <c r="H2620" s="9" t="str">
        <f>INDEX(Products!$B$2:$B$37, MATCH(D2620, Products!$A$2:$A$37, 0))</f>
        <v>Oud Perfume 100ml</v>
      </c>
      <c r="I2620" t="str">
        <f>INDEX(Products!$C$2:$C$37, MATCH(D2620, Products!$A$2:$A$37, 0))</f>
        <v>Beauty</v>
      </c>
      <c r="J2620">
        <f>INDEX(Products!$E$2:$E$37, MATCH(D2620, Products!$A$2:$A$37, 0))</f>
        <v>250</v>
      </c>
      <c r="K2620" s="9">
        <f t="shared" si="160"/>
        <v>1098</v>
      </c>
      <c r="L2620">
        <f t="shared" si="161"/>
        <v>500</v>
      </c>
      <c r="M2620" s="9">
        <f t="shared" si="162"/>
        <v>598</v>
      </c>
      <c r="N2620" t="str">
        <f t="shared" si="163"/>
        <v>Aug</v>
      </c>
    </row>
    <row r="2621" spans="1:14" x14ac:dyDescent="0.3">
      <c r="A2621" s="2" t="s">
        <v>2687</v>
      </c>
      <c r="B2621" s="6">
        <v>45883</v>
      </c>
      <c r="C2621" s="2" t="s">
        <v>44</v>
      </c>
      <c r="D2621" s="2" t="s">
        <v>106</v>
      </c>
      <c r="E2621" s="2">
        <v>2</v>
      </c>
      <c r="F2621" s="7">
        <v>1299</v>
      </c>
      <c r="G2621" s="8">
        <v>0</v>
      </c>
      <c r="H2621" s="9" t="str">
        <f>INDEX(Products!$B$2:$B$37, MATCH(D2621, Products!$A$2:$A$37, 0))</f>
        <v>Smart Watch Series 5</v>
      </c>
      <c r="I2621" t="str">
        <f>INDEX(Products!$C$2:$C$37, MATCH(D2621, Products!$A$2:$A$37, 0))</f>
        <v>Electronics</v>
      </c>
      <c r="J2621">
        <f>INDEX(Products!$E$2:$E$37, MATCH(D2621, Products!$A$2:$A$37, 0))</f>
        <v>820</v>
      </c>
      <c r="K2621" s="9">
        <f t="shared" si="160"/>
        <v>2598</v>
      </c>
      <c r="L2621">
        <f t="shared" si="161"/>
        <v>1640</v>
      </c>
      <c r="M2621" s="9">
        <f t="shared" si="162"/>
        <v>958</v>
      </c>
      <c r="N2621" t="str">
        <f t="shared" si="163"/>
        <v>Aug</v>
      </c>
    </row>
    <row r="2622" spans="1:14" x14ac:dyDescent="0.3">
      <c r="A2622" s="2" t="s">
        <v>2688</v>
      </c>
      <c r="B2622" s="6">
        <v>45883</v>
      </c>
      <c r="C2622" s="2" t="s">
        <v>28</v>
      </c>
      <c r="D2622" s="2" t="s">
        <v>56</v>
      </c>
      <c r="E2622" s="2">
        <v>1</v>
      </c>
      <c r="F2622" s="7">
        <v>289</v>
      </c>
      <c r="G2622" s="8">
        <v>0</v>
      </c>
      <c r="H2622" s="9" t="str">
        <f>INDEX(Products!$B$2:$B$37, MATCH(D2622, Products!$A$2:$A$37, 0))</f>
        <v>Ceramic Dinner Set</v>
      </c>
      <c r="I2622" t="str">
        <f>INDEX(Products!$C$2:$C$37, MATCH(D2622, Products!$A$2:$A$37, 0))</f>
        <v>Home &amp; Kitchen</v>
      </c>
      <c r="J2622">
        <f>INDEX(Products!$E$2:$E$37, MATCH(D2622, Products!$A$2:$A$37, 0))</f>
        <v>140</v>
      </c>
      <c r="K2622" s="9">
        <f t="shared" si="160"/>
        <v>289</v>
      </c>
      <c r="L2622">
        <f t="shared" si="161"/>
        <v>140</v>
      </c>
      <c r="M2622" s="9">
        <f t="shared" si="162"/>
        <v>149</v>
      </c>
      <c r="N2622" t="str">
        <f t="shared" si="163"/>
        <v>Aug</v>
      </c>
    </row>
    <row r="2623" spans="1:14" x14ac:dyDescent="0.3">
      <c r="A2623" s="2" t="s">
        <v>2689</v>
      </c>
      <c r="B2623" s="6">
        <v>45883</v>
      </c>
      <c r="C2623" s="2" t="s">
        <v>41</v>
      </c>
      <c r="D2623" s="2" t="s">
        <v>46</v>
      </c>
      <c r="E2623" s="2">
        <v>1</v>
      </c>
      <c r="F2623" s="7">
        <v>189</v>
      </c>
      <c r="G2623" s="8">
        <v>0.2</v>
      </c>
      <c r="H2623" s="9" t="str">
        <f>INDEX(Products!$B$2:$B$37, MATCH(D2623, Products!$A$2:$A$37, 0))</f>
        <v>Makeup Palette</v>
      </c>
      <c r="I2623" t="str">
        <f>INDEX(Products!$C$2:$C$37, MATCH(D2623, Products!$A$2:$A$37, 0))</f>
        <v>Beauty</v>
      </c>
      <c r="J2623">
        <f>INDEX(Products!$E$2:$E$37, MATCH(D2623, Products!$A$2:$A$37, 0))</f>
        <v>85</v>
      </c>
      <c r="K2623" s="9">
        <f t="shared" si="160"/>
        <v>151.20000000000002</v>
      </c>
      <c r="L2623">
        <f t="shared" si="161"/>
        <v>85</v>
      </c>
      <c r="M2623" s="9">
        <f t="shared" si="162"/>
        <v>66.200000000000017</v>
      </c>
      <c r="N2623" t="str">
        <f t="shared" si="163"/>
        <v>Aug</v>
      </c>
    </row>
    <row r="2624" spans="1:14" x14ac:dyDescent="0.3">
      <c r="A2624" s="2" t="s">
        <v>2690</v>
      </c>
      <c r="B2624" s="6">
        <v>45883</v>
      </c>
      <c r="C2624" s="2" t="s">
        <v>48</v>
      </c>
      <c r="D2624" s="2" t="s">
        <v>70</v>
      </c>
      <c r="E2624" s="2">
        <v>2</v>
      </c>
      <c r="F2624" s="7">
        <v>429</v>
      </c>
      <c r="G2624" s="8">
        <v>0.15</v>
      </c>
      <c r="H2624" s="9" t="str">
        <f>INDEX(Products!$B$2:$B$37, MATCH(D2624, Products!$A$2:$A$37, 0))</f>
        <v>Running Shoes Elite</v>
      </c>
      <c r="I2624" t="str">
        <f>INDEX(Products!$C$2:$C$37, MATCH(D2624, Products!$A$2:$A$37, 0))</f>
        <v>Fashion</v>
      </c>
      <c r="J2624">
        <f>INDEX(Products!$E$2:$E$37, MATCH(D2624, Products!$A$2:$A$37, 0))</f>
        <v>300</v>
      </c>
      <c r="K2624" s="9">
        <f t="shared" si="160"/>
        <v>729.3</v>
      </c>
      <c r="L2624">
        <f t="shared" si="161"/>
        <v>600</v>
      </c>
      <c r="M2624" s="9">
        <f t="shared" si="162"/>
        <v>129.29999999999995</v>
      </c>
      <c r="N2624" t="str">
        <f t="shared" si="163"/>
        <v>Aug</v>
      </c>
    </row>
    <row r="2625" spans="1:14" x14ac:dyDescent="0.3">
      <c r="A2625" s="2" t="s">
        <v>2691</v>
      </c>
      <c r="B2625" s="6">
        <v>45883</v>
      </c>
      <c r="C2625" s="2" t="s">
        <v>41</v>
      </c>
      <c r="D2625" s="2" t="s">
        <v>87</v>
      </c>
      <c r="E2625" s="2">
        <v>2</v>
      </c>
      <c r="F2625" s="7">
        <v>799</v>
      </c>
      <c r="G2625" s="8">
        <v>0.2</v>
      </c>
      <c r="H2625" s="9" t="str">
        <f>INDEX(Products!$B$2:$B$37, MATCH(D2625, Products!$A$2:$A$37, 0))</f>
        <v>Adjustable Dumbbells</v>
      </c>
      <c r="I2625" t="str">
        <f>INDEX(Products!$C$2:$C$37, MATCH(D2625, Products!$A$2:$A$37, 0))</f>
        <v>Sports</v>
      </c>
      <c r="J2625">
        <f>INDEX(Products!$E$2:$E$37, MATCH(D2625, Products!$A$2:$A$37, 0))</f>
        <v>700</v>
      </c>
      <c r="K2625" s="9">
        <f t="shared" si="160"/>
        <v>1278.4000000000001</v>
      </c>
      <c r="L2625">
        <f t="shared" si="161"/>
        <v>1400</v>
      </c>
      <c r="M2625" s="9">
        <f t="shared" si="162"/>
        <v>-121.59999999999991</v>
      </c>
      <c r="N2625" t="str">
        <f t="shared" si="163"/>
        <v>Aug</v>
      </c>
    </row>
    <row r="2626" spans="1:14" x14ac:dyDescent="0.3">
      <c r="A2626" s="2" t="s">
        <v>2692</v>
      </c>
      <c r="B2626" s="6">
        <v>45883</v>
      </c>
      <c r="C2626" s="2" t="s">
        <v>28</v>
      </c>
      <c r="D2626" s="2" t="s">
        <v>95</v>
      </c>
      <c r="E2626" s="2">
        <v>1</v>
      </c>
      <c r="F2626" s="7">
        <v>259</v>
      </c>
      <c r="G2626" s="8">
        <v>0.05</v>
      </c>
      <c r="H2626" s="9" t="str">
        <f>INDEX(Products!$B$2:$B$37, MATCH(D2626, Products!$A$2:$A$37, 0))</f>
        <v>Bed Linen Set (King)</v>
      </c>
      <c r="I2626" t="str">
        <f>INDEX(Products!$C$2:$C$37, MATCH(D2626, Products!$A$2:$A$37, 0))</f>
        <v>Home &amp; Kitchen</v>
      </c>
      <c r="J2626">
        <f>INDEX(Products!$E$2:$E$37, MATCH(D2626, Products!$A$2:$A$37, 0))</f>
        <v>115</v>
      </c>
      <c r="K2626" s="9">
        <f t="shared" ref="K2626:K2689" si="164">E2626*F2626*(1-G2626)</f>
        <v>246.04999999999998</v>
      </c>
      <c r="L2626">
        <f t="shared" ref="L2626:L2689" si="165">E2626*J2626</f>
        <v>115</v>
      </c>
      <c r="M2626" s="9">
        <f t="shared" ref="M2626:M2689" si="166">K2626-L2626</f>
        <v>131.04999999999998</v>
      </c>
      <c r="N2626" t="str">
        <f t="shared" ref="N2626:N2689" si="167">TEXT(B2626,"mmm")</f>
        <v>Aug</v>
      </c>
    </row>
    <row r="2627" spans="1:14" x14ac:dyDescent="0.3">
      <c r="A2627" s="2" t="s">
        <v>2693</v>
      </c>
      <c r="B2627" s="6">
        <v>45883</v>
      </c>
      <c r="C2627" s="2" t="s">
        <v>31</v>
      </c>
      <c r="D2627" s="2" t="s">
        <v>39</v>
      </c>
      <c r="E2627" s="2">
        <v>1</v>
      </c>
      <c r="F2627" s="7">
        <v>199</v>
      </c>
      <c r="G2627" s="8">
        <v>0.1</v>
      </c>
      <c r="H2627" s="9" t="str">
        <f>INDEX(Products!$B$2:$B$37, MATCH(D2627, Products!$A$2:$A$37, 0))</f>
        <v>Bakhoor Gift Set</v>
      </c>
      <c r="I2627" t="str">
        <f>INDEX(Products!$C$2:$C$37, MATCH(D2627, Products!$A$2:$A$37, 0))</f>
        <v>Beauty</v>
      </c>
      <c r="J2627">
        <f>INDEX(Products!$E$2:$E$37, MATCH(D2627, Products!$A$2:$A$37, 0))</f>
        <v>90</v>
      </c>
      <c r="K2627" s="9">
        <f t="shared" si="164"/>
        <v>179.1</v>
      </c>
      <c r="L2627">
        <f t="shared" si="165"/>
        <v>90</v>
      </c>
      <c r="M2627" s="9">
        <f t="shared" si="166"/>
        <v>89.1</v>
      </c>
      <c r="N2627" t="str">
        <f t="shared" si="167"/>
        <v>Aug</v>
      </c>
    </row>
    <row r="2628" spans="1:14" x14ac:dyDescent="0.3">
      <c r="A2628" s="2" t="s">
        <v>2694</v>
      </c>
      <c r="B2628" s="6">
        <v>45884</v>
      </c>
      <c r="C2628" s="2" t="s">
        <v>28</v>
      </c>
      <c r="D2628" s="2" t="s">
        <v>58</v>
      </c>
      <c r="E2628" s="2">
        <v>1</v>
      </c>
      <c r="F2628" s="7">
        <v>459</v>
      </c>
      <c r="G2628" s="8">
        <v>0.2</v>
      </c>
      <c r="H2628" s="9" t="str">
        <f>INDEX(Products!$B$2:$B$37, MATCH(D2628, Products!$A$2:$A$37, 0))</f>
        <v>Women's Abaya Classic</v>
      </c>
      <c r="I2628" t="str">
        <f>INDEX(Products!$C$2:$C$37, MATCH(D2628, Products!$A$2:$A$37, 0))</f>
        <v>Fashion</v>
      </c>
      <c r="J2628">
        <f>INDEX(Products!$E$2:$E$37, MATCH(D2628, Products!$A$2:$A$37, 0))</f>
        <v>190</v>
      </c>
      <c r="K2628" s="9">
        <f t="shared" si="164"/>
        <v>367.20000000000005</v>
      </c>
      <c r="L2628">
        <f t="shared" si="165"/>
        <v>190</v>
      </c>
      <c r="M2628" s="9">
        <f t="shared" si="166"/>
        <v>177.20000000000005</v>
      </c>
      <c r="N2628" t="str">
        <f t="shared" si="167"/>
        <v>Aug</v>
      </c>
    </row>
    <row r="2629" spans="1:14" x14ac:dyDescent="0.3">
      <c r="A2629" s="2" t="s">
        <v>2695</v>
      </c>
      <c r="B2629" s="6">
        <v>45884</v>
      </c>
      <c r="C2629" s="2" t="s">
        <v>48</v>
      </c>
      <c r="D2629" s="2" t="s">
        <v>165</v>
      </c>
      <c r="E2629" s="2">
        <v>1</v>
      </c>
      <c r="F2629" s="7">
        <v>69</v>
      </c>
      <c r="G2629" s="8">
        <v>0.05</v>
      </c>
      <c r="H2629" s="9" t="str">
        <f>INDEX(Products!$B$2:$B$37, MATCH(D2629, Products!$A$2:$A$37, 0))</f>
        <v>Swim Goggles</v>
      </c>
      <c r="I2629" t="str">
        <f>INDEX(Products!$C$2:$C$37, MATCH(D2629, Products!$A$2:$A$37, 0))</f>
        <v>Sports</v>
      </c>
      <c r="J2629">
        <f>INDEX(Products!$E$2:$E$37, MATCH(D2629, Products!$A$2:$A$37, 0))</f>
        <v>25</v>
      </c>
      <c r="K2629" s="9">
        <f t="shared" si="164"/>
        <v>65.55</v>
      </c>
      <c r="L2629">
        <f t="shared" si="165"/>
        <v>25</v>
      </c>
      <c r="M2629" s="9">
        <f t="shared" si="166"/>
        <v>40.549999999999997</v>
      </c>
      <c r="N2629" t="str">
        <f t="shared" si="167"/>
        <v>Aug</v>
      </c>
    </row>
    <row r="2630" spans="1:14" x14ac:dyDescent="0.3">
      <c r="A2630" s="2" t="s">
        <v>2696</v>
      </c>
      <c r="B2630" s="6">
        <v>45884</v>
      </c>
      <c r="C2630" s="2" t="s">
        <v>31</v>
      </c>
      <c r="D2630" s="2" t="s">
        <v>68</v>
      </c>
      <c r="E2630" s="2">
        <v>2</v>
      </c>
      <c r="F2630" s="7">
        <v>249</v>
      </c>
      <c r="G2630" s="8">
        <v>0.05</v>
      </c>
      <c r="H2630" s="9" t="str">
        <f>INDEX(Products!$B$2:$B$37, MATCH(D2630, Products!$A$2:$A$37, 0))</f>
        <v>Bluetooth Speaker Mini</v>
      </c>
      <c r="I2630" t="str">
        <f>INDEX(Products!$C$2:$C$37, MATCH(D2630, Products!$A$2:$A$37, 0))</f>
        <v>Electronics</v>
      </c>
      <c r="J2630">
        <f>INDEX(Products!$E$2:$E$37, MATCH(D2630, Products!$A$2:$A$37, 0))</f>
        <v>150</v>
      </c>
      <c r="K2630" s="9">
        <f t="shared" si="164"/>
        <v>473.09999999999997</v>
      </c>
      <c r="L2630">
        <f t="shared" si="165"/>
        <v>300</v>
      </c>
      <c r="M2630" s="9">
        <f t="shared" si="166"/>
        <v>173.09999999999997</v>
      </c>
      <c r="N2630" t="str">
        <f t="shared" si="167"/>
        <v>Aug</v>
      </c>
    </row>
    <row r="2631" spans="1:14" x14ac:dyDescent="0.3">
      <c r="A2631" s="2" t="s">
        <v>2697</v>
      </c>
      <c r="B2631" s="6">
        <v>45884</v>
      </c>
      <c r="C2631" s="2" t="s">
        <v>28</v>
      </c>
      <c r="D2631" s="2" t="s">
        <v>56</v>
      </c>
      <c r="E2631" s="2">
        <v>1</v>
      </c>
      <c r="F2631" s="7">
        <v>289</v>
      </c>
      <c r="G2631" s="8">
        <v>0.3</v>
      </c>
      <c r="H2631" s="9" t="str">
        <f>INDEX(Products!$B$2:$B$37, MATCH(D2631, Products!$A$2:$A$37, 0))</f>
        <v>Ceramic Dinner Set</v>
      </c>
      <c r="I2631" t="str">
        <f>INDEX(Products!$C$2:$C$37, MATCH(D2631, Products!$A$2:$A$37, 0))</f>
        <v>Home &amp; Kitchen</v>
      </c>
      <c r="J2631">
        <f>INDEX(Products!$E$2:$E$37, MATCH(D2631, Products!$A$2:$A$37, 0))</f>
        <v>140</v>
      </c>
      <c r="K2631" s="9">
        <f t="shared" si="164"/>
        <v>202.29999999999998</v>
      </c>
      <c r="L2631">
        <f t="shared" si="165"/>
        <v>140</v>
      </c>
      <c r="M2631" s="9">
        <f t="shared" si="166"/>
        <v>62.299999999999983</v>
      </c>
      <c r="N2631" t="str">
        <f t="shared" si="167"/>
        <v>Aug</v>
      </c>
    </row>
    <row r="2632" spans="1:14" x14ac:dyDescent="0.3">
      <c r="A2632" s="2" t="s">
        <v>2698</v>
      </c>
      <c r="B2632" s="6">
        <v>45884</v>
      </c>
      <c r="C2632" s="2" t="s">
        <v>41</v>
      </c>
      <c r="D2632" s="2" t="s">
        <v>35</v>
      </c>
      <c r="E2632" s="2">
        <v>4</v>
      </c>
      <c r="F2632" s="7">
        <v>179</v>
      </c>
      <c r="G2632" s="8">
        <v>0</v>
      </c>
      <c r="H2632" s="9" t="str">
        <f>INDEX(Products!$B$2:$B$37, MATCH(D2632, Products!$A$2:$A$37, 0))</f>
        <v>Men's Linen Shirt</v>
      </c>
      <c r="I2632" t="str">
        <f>INDEX(Products!$C$2:$C$37, MATCH(D2632, Products!$A$2:$A$37, 0))</f>
        <v>Fashion</v>
      </c>
      <c r="J2632">
        <f>INDEX(Products!$E$2:$E$37, MATCH(D2632, Products!$A$2:$A$37, 0))</f>
        <v>70</v>
      </c>
      <c r="K2632" s="9">
        <f t="shared" si="164"/>
        <v>716</v>
      </c>
      <c r="L2632">
        <f t="shared" si="165"/>
        <v>280</v>
      </c>
      <c r="M2632" s="9">
        <f t="shared" si="166"/>
        <v>436</v>
      </c>
      <c r="N2632" t="str">
        <f t="shared" si="167"/>
        <v>Aug</v>
      </c>
    </row>
    <row r="2633" spans="1:14" x14ac:dyDescent="0.3">
      <c r="A2633" s="2" t="s">
        <v>2699</v>
      </c>
      <c r="B2633" s="6">
        <v>45884</v>
      </c>
      <c r="C2633" s="2" t="s">
        <v>41</v>
      </c>
      <c r="D2633" s="2" t="s">
        <v>46</v>
      </c>
      <c r="E2633" s="2">
        <v>2</v>
      </c>
      <c r="F2633" s="7">
        <v>189</v>
      </c>
      <c r="G2633" s="8">
        <v>0.1</v>
      </c>
      <c r="H2633" s="9" t="str">
        <f>INDEX(Products!$B$2:$B$37, MATCH(D2633, Products!$A$2:$A$37, 0))</f>
        <v>Makeup Palette</v>
      </c>
      <c r="I2633" t="str">
        <f>INDEX(Products!$C$2:$C$37, MATCH(D2633, Products!$A$2:$A$37, 0))</f>
        <v>Beauty</v>
      </c>
      <c r="J2633">
        <f>INDEX(Products!$E$2:$E$37, MATCH(D2633, Products!$A$2:$A$37, 0))</f>
        <v>85</v>
      </c>
      <c r="K2633" s="9">
        <f t="shared" si="164"/>
        <v>340.2</v>
      </c>
      <c r="L2633">
        <f t="shared" si="165"/>
        <v>170</v>
      </c>
      <c r="M2633" s="9">
        <f t="shared" si="166"/>
        <v>170.2</v>
      </c>
      <c r="N2633" t="str">
        <f t="shared" si="167"/>
        <v>Aug</v>
      </c>
    </row>
    <row r="2634" spans="1:14" x14ac:dyDescent="0.3">
      <c r="A2634" s="2" t="s">
        <v>2700</v>
      </c>
      <c r="B2634" s="6">
        <v>45884</v>
      </c>
      <c r="C2634" s="2" t="s">
        <v>44</v>
      </c>
      <c r="D2634" s="2" t="s">
        <v>37</v>
      </c>
      <c r="E2634" s="2">
        <v>1</v>
      </c>
      <c r="F2634" s="7">
        <v>249</v>
      </c>
      <c r="G2634" s="8">
        <v>0.1</v>
      </c>
      <c r="H2634" s="9" t="str">
        <f>INDEX(Products!$B$2:$B$37, MATCH(D2634, Products!$A$2:$A$37, 0))</f>
        <v>Sunglasses Polarised</v>
      </c>
      <c r="I2634" t="str">
        <f>INDEX(Products!$C$2:$C$37, MATCH(D2634, Products!$A$2:$A$37, 0))</f>
        <v>Fashion</v>
      </c>
      <c r="J2634">
        <f>INDEX(Products!$E$2:$E$37, MATCH(D2634, Products!$A$2:$A$37, 0))</f>
        <v>95</v>
      </c>
      <c r="K2634" s="9">
        <f t="shared" si="164"/>
        <v>224.1</v>
      </c>
      <c r="L2634">
        <f t="shared" si="165"/>
        <v>95</v>
      </c>
      <c r="M2634" s="9">
        <f t="shared" si="166"/>
        <v>129.1</v>
      </c>
      <c r="N2634" t="str">
        <f t="shared" si="167"/>
        <v>Aug</v>
      </c>
    </row>
    <row r="2635" spans="1:14" x14ac:dyDescent="0.3">
      <c r="A2635" s="2" t="s">
        <v>2701</v>
      </c>
      <c r="B2635" s="6">
        <v>45884</v>
      </c>
      <c r="C2635" s="2" t="s">
        <v>41</v>
      </c>
      <c r="D2635" s="2" t="s">
        <v>35</v>
      </c>
      <c r="E2635" s="2">
        <v>1</v>
      </c>
      <c r="F2635" s="7">
        <v>179</v>
      </c>
      <c r="G2635" s="8">
        <v>0</v>
      </c>
      <c r="H2635" s="9" t="str">
        <f>INDEX(Products!$B$2:$B$37, MATCH(D2635, Products!$A$2:$A$37, 0))</f>
        <v>Men's Linen Shirt</v>
      </c>
      <c r="I2635" t="str">
        <f>INDEX(Products!$C$2:$C$37, MATCH(D2635, Products!$A$2:$A$37, 0))</f>
        <v>Fashion</v>
      </c>
      <c r="J2635">
        <f>INDEX(Products!$E$2:$E$37, MATCH(D2635, Products!$A$2:$A$37, 0))</f>
        <v>70</v>
      </c>
      <c r="K2635" s="9">
        <f t="shared" si="164"/>
        <v>179</v>
      </c>
      <c r="L2635">
        <f t="shared" si="165"/>
        <v>70</v>
      </c>
      <c r="M2635" s="9">
        <f t="shared" si="166"/>
        <v>109</v>
      </c>
      <c r="N2635" t="str">
        <f t="shared" si="167"/>
        <v>Aug</v>
      </c>
    </row>
    <row r="2636" spans="1:14" x14ac:dyDescent="0.3">
      <c r="A2636" s="2" t="s">
        <v>2702</v>
      </c>
      <c r="B2636" s="6">
        <v>45885</v>
      </c>
      <c r="C2636" s="2" t="s">
        <v>28</v>
      </c>
      <c r="D2636" s="2" t="s">
        <v>129</v>
      </c>
      <c r="E2636" s="2">
        <v>2</v>
      </c>
      <c r="F2636" s="7">
        <v>149</v>
      </c>
      <c r="G2636" s="8">
        <v>0.15</v>
      </c>
      <c r="H2636" s="9" t="str">
        <f>INDEX(Products!$B$2:$B$37, MATCH(D2636, Products!$A$2:$A$37, 0))</f>
        <v>Power Bank 20000mAh</v>
      </c>
      <c r="I2636" t="str">
        <f>INDEX(Products!$C$2:$C$37, MATCH(D2636, Products!$A$2:$A$37, 0))</f>
        <v>Electronics</v>
      </c>
      <c r="J2636">
        <f>INDEX(Products!$E$2:$E$37, MATCH(D2636, Products!$A$2:$A$37, 0))</f>
        <v>70</v>
      </c>
      <c r="K2636" s="9">
        <f t="shared" si="164"/>
        <v>253.29999999999998</v>
      </c>
      <c r="L2636">
        <f t="shared" si="165"/>
        <v>140</v>
      </c>
      <c r="M2636" s="9">
        <f t="shared" si="166"/>
        <v>113.29999999999998</v>
      </c>
      <c r="N2636" t="str">
        <f t="shared" si="167"/>
        <v>Aug</v>
      </c>
    </row>
    <row r="2637" spans="1:14" x14ac:dyDescent="0.3">
      <c r="A2637" s="2" t="s">
        <v>2703</v>
      </c>
      <c r="B2637" s="6">
        <v>45885</v>
      </c>
      <c r="C2637" s="2" t="s">
        <v>28</v>
      </c>
      <c r="D2637" s="2" t="s">
        <v>89</v>
      </c>
      <c r="E2637" s="2">
        <v>1</v>
      </c>
      <c r="F2637" s="7">
        <v>399</v>
      </c>
      <c r="G2637" s="8">
        <v>0.2</v>
      </c>
      <c r="H2637" s="9" t="str">
        <f>INDEX(Products!$B$2:$B$37, MATCH(D2637, Products!$A$2:$A$37, 0))</f>
        <v>Men's Kandura Premium</v>
      </c>
      <c r="I2637" t="str">
        <f>INDEX(Products!$C$2:$C$37, MATCH(D2637, Products!$A$2:$A$37, 0))</f>
        <v>Fashion</v>
      </c>
      <c r="J2637">
        <f>INDEX(Products!$E$2:$E$37, MATCH(D2637, Products!$A$2:$A$37, 0))</f>
        <v>210</v>
      </c>
      <c r="K2637" s="9">
        <f t="shared" si="164"/>
        <v>319.20000000000005</v>
      </c>
      <c r="L2637">
        <f t="shared" si="165"/>
        <v>210</v>
      </c>
      <c r="M2637" s="9">
        <f t="shared" si="166"/>
        <v>109.20000000000005</v>
      </c>
      <c r="N2637" t="str">
        <f t="shared" si="167"/>
        <v>Aug</v>
      </c>
    </row>
    <row r="2638" spans="1:14" x14ac:dyDescent="0.3">
      <c r="A2638" s="2" t="s">
        <v>2704</v>
      </c>
      <c r="B2638" s="6">
        <v>45885</v>
      </c>
      <c r="C2638" s="2" t="s">
        <v>44</v>
      </c>
      <c r="D2638" s="2" t="s">
        <v>194</v>
      </c>
      <c r="E2638" s="2">
        <v>1</v>
      </c>
      <c r="F2638" s="7">
        <v>699</v>
      </c>
      <c r="G2638" s="8">
        <v>0.15</v>
      </c>
      <c r="H2638" s="9" t="str">
        <f>INDEX(Products!$B$2:$B$37, MATCH(D2638, Products!$A$2:$A$37, 0))</f>
        <v>Leather Handbag</v>
      </c>
      <c r="I2638" t="str">
        <f>INDEX(Products!$C$2:$C$37, MATCH(D2638, Products!$A$2:$A$37, 0))</f>
        <v>Fashion</v>
      </c>
      <c r="J2638">
        <f>INDEX(Products!$E$2:$E$37, MATCH(D2638, Products!$A$2:$A$37, 0))</f>
        <v>380</v>
      </c>
      <c r="K2638" s="9">
        <f t="shared" si="164"/>
        <v>594.15</v>
      </c>
      <c r="L2638">
        <f t="shared" si="165"/>
        <v>380</v>
      </c>
      <c r="M2638" s="9">
        <f t="shared" si="166"/>
        <v>214.14999999999998</v>
      </c>
      <c r="N2638" t="str">
        <f t="shared" si="167"/>
        <v>Aug</v>
      </c>
    </row>
    <row r="2639" spans="1:14" x14ac:dyDescent="0.3">
      <c r="A2639" s="2" t="s">
        <v>2705</v>
      </c>
      <c r="B2639" s="6">
        <v>45885</v>
      </c>
      <c r="C2639" s="2" t="s">
        <v>41</v>
      </c>
      <c r="D2639" s="2" t="s">
        <v>89</v>
      </c>
      <c r="E2639" s="2">
        <v>3</v>
      </c>
      <c r="F2639" s="7">
        <v>399</v>
      </c>
      <c r="G2639" s="8">
        <v>0</v>
      </c>
      <c r="H2639" s="9" t="str">
        <f>INDEX(Products!$B$2:$B$37, MATCH(D2639, Products!$A$2:$A$37, 0))</f>
        <v>Men's Kandura Premium</v>
      </c>
      <c r="I2639" t="str">
        <f>INDEX(Products!$C$2:$C$37, MATCH(D2639, Products!$A$2:$A$37, 0))</f>
        <v>Fashion</v>
      </c>
      <c r="J2639">
        <f>INDEX(Products!$E$2:$E$37, MATCH(D2639, Products!$A$2:$A$37, 0))</f>
        <v>210</v>
      </c>
      <c r="K2639" s="9">
        <f t="shared" si="164"/>
        <v>1197</v>
      </c>
      <c r="L2639">
        <f t="shared" si="165"/>
        <v>630</v>
      </c>
      <c r="M2639" s="9">
        <f t="shared" si="166"/>
        <v>567</v>
      </c>
      <c r="N2639" t="str">
        <f t="shared" si="167"/>
        <v>Aug</v>
      </c>
    </row>
    <row r="2640" spans="1:14" x14ac:dyDescent="0.3">
      <c r="A2640" s="2" t="s">
        <v>2706</v>
      </c>
      <c r="B2640" s="6">
        <v>45885</v>
      </c>
      <c r="C2640" s="2" t="s">
        <v>41</v>
      </c>
      <c r="D2640" s="2" t="s">
        <v>33</v>
      </c>
      <c r="E2640" s="2">
        <v>1</v>
      </c>
      <c r="F2640" s="7">
        <v>199</v>
      </c>
      <c r="G2640" s="8">
        <v>0.2</v>
      </c>
      <c r="H2640" s="9" t="str">
        <f>INDEX(Products!$B$2:$B$37, MATCH(D2640, Products!$A$2:$A$37, 0))</f>
        <v>Fitness Band Lite</v>
      </c>
      <c r="I2640" t="str">
        <f>INDEX(Products!$C$2:$C$37, MATCH(D2640, Products!$A$2:$A$37, 0))</f>
        <v>Electronics</v>
      </c>
      <c r="J2640">
        <f>INDEX(Products!$E$2:$E$37, MATCH(D2640, Products!$A$2:$A$37, 0))</f>
        <v>175</v>
      </c>
      <c r="K2640" s="9">
        <f t="shared" si="164"/>
        <v>159.20000000000002</v>
      </c>
      <c r="L2640">
        <f t="shared" si="165"/>
        <v>175</v>
      </c>
      <c r="M2640" s="9">
        <f t="shared" si="166"/>
        <v>-15.799999999999983</v>
      </c>
      <c r="N2640" t="str">
        <f t="shared" si="167"/>
        <v>Aug</v>
      </c>
    </row>
    <row r="2641" spans="1:14" x14ac:dyDescent="0.3">
      <c r="A2641" s="2" t="s">
        <v>2707</v>
      </c>
      <c r="B2641" s="6">
        <v>45885</v>
      </c>
      <c r="C2641" s="2" t="s">
        <v>48</v>
      </c>
      <c r="D2641" s="2" t="s">
        <v>126</v>
      </c>
      <c r="E2641" s="2">
        <v>1</v>
      </c>
      <c r="F2641" s="7">
        <v>89</v>
      </c>
      <c r="G2641" s="8">
        <v>0</v>
      </c>
      <c r="H2641" s="9" t="str">
        <f>INDEX(Products!$B$2:$B$37, MATCH(D2641, Products!$A$2:$A$37, 0))</f>
        <v>USB-C Fast Charger</v>
      </c>
      <c r="I2641" t="str">
        <f>INDEX(Products!$C$2:$C$37, MATCH(D2641, Products!$A$2:$A$37, 0))</f>
        <v>Electronics</v>
      </c>
      <c r="J2641">
        <f>INDEX(Products!$E$2:$E$37, MATCH(D2641, Products!$A$2:$A$37, 0))</f>
        <v>35</v>
      </c>
      <c r="K2641" s="9">
        <f t="shared" si="164"/>
        <v>89</v>
      </c>
      <c r="L2641">
        <f t="shared" si="165"/>
        <v>35</v>
      </c>
      <c r="M2641" s="9">
        <f t="shared" si="166"/>
        <v>54</v>
      </c>
      <c r="N2641" t="str">
        <f t="shared" si="167"/>
        <v>Aug</v>
      </c>
    </row>
    <row r="2642" spans="1:14" x14ac:dyDescent="0.3">
      <c r="A2642" s="2" t="s">
        <v>2708</v>
      </c>
      <c r="B2642" s="6">
        <v>45885</v>
      </c>
      <c r="C2642" s="2" t="s">
        <v>44</v>
      </c>
      <c r="D2642" s="2" t="s">
        <v>149</v>
      </c>
      <c r="E2642" s="2">
        <v>1</v>
      </c>
      <c r="F2642" s="7">
        <v>399</v>
      </c>
      <c r="G2642" s="8">
        <v>0</v>
      </c>
      <c r="H2642" s="9" t="str">
        <f>INDEX(Products!$B$2:$B$37, MATCH(D2642, Products!$A$2:$A$37, 0))</f>
        <v>Blender Pro 1200W</v>
      </c>
      <c r="I2642" t="str">
        <f>INDEX(Products!$C$2:$C$37, MATCH(D2642, Products!$A$2:$A$37, 0))</f>
        <v>Home &amp; Kitchen</v>
      </c>
      <c r="J2642">
        <f>INDEX(Products!$E$2:$E$37, MATCH(D2642, Products!$A$2:$A$37, 0))</f>
        <v>250</v>
      </c>
      <c r="K2642" s="9">
        <f t="shared" si="164"/>
        <v>399</v>
      </c>
      <c r="L2642">
        <f t="shared" si="165"/>
        <v>250</v>
      </c>
      <c r="M2642" s="9">
        <f t="shared" si="166"/>
        <v>149</v>
      </c>
      <c r="N2642" t="str">
        <f t="shared" si="167"/>
        <v>Aug</v>
      </c>
    </row>
    <row r="2643" spans="1:14" x14ac:dyDescent="0.3">
      <c r="A2643" s="2" t="s">
        <v>2709</v>
      </c>
      <c r="B2643" s="6">
        <v>45885</v>
      </c>
      <c r="C2643" s="2" t="s">
        <v>44</v>
      </c>
      <c r="D2643" s="2" t="s">
        <v>126</v>
      </c>
      <c r="E2643" s="2">
        <v>1</v>
      </c>
      <c r="F2643" s="7">
        <v>89</v>
      </c>
      <c r="G2643" s="8">
        <v>0.05</v>
      </c>
      <c r="H2643" s="9" t="str">
        <f>INDEX(Products!$B$2:$B$37, MATCH(D2643, Products!$A$2:$A$37, 0))</f>
        <v>USB-C Fast Charger</v>
      </c>
      <c r="I2643" t="str">
        <f>INDEX(Products!$C$2:$C$37, MATCH(D2643, Products!$A$2:$A$37, 0))</f>
        <v>Electronics</v>
      </c>
      <c r="J2643">
        <f>INDEX(Products!$E$2:$E$37, MATCH(D2643, Products!$A$2:$A$37, 0))</f>
        <v>35</v>
      </c>
      <c r="K2643" s="9">
        <f t="shared" si="164"/>
        <v>84.55</v>
      </c>
      <c r="L2643">
        <f t="shared" si="165"/>
        <v>35</v>
      </c>
      <c r="M2643" s="9">
        <f t="shared" si="166"/>
        <v>49.55</v>
      </c>
      <c r="N2643" t="str">
        <f t="shared" si="167"/>
        <v>Aug</v>
      </c>
    </row>
    <row r="2644" spans="1:14" x14ac:dyDescent="0.3">
      <c r="A2644" s="2" t="s">
        <v>2710</v>
      </c>
      <c r="B2644" s="6">
        <v>45885</v>
      </c>
      <c r="C2644" s="2" t="s">
        <v>44</v>
      </c>
      <c r="D2644" s="2" t="s">
        <v>149</v>
      </c>
      <c r="E2644" s="2">
        <v>1</v>
      </c>
      <c r="F2644" s="7">
        <v>399</v>
      </c>
      <c r="G2644" s="8">
        <v>0</v>
      </c>
      <c r="H2644" s="9" t="str">
        <f>INDEX(Products!$B$2:$B$37, MATCH(D2644, Products!$A$2:$A$37, 0))</f>
        <v>Blender Pro 1200W</v>
      </c>
      <c r="I2644" t="str">
        <f>INDEX(Products!$C$2:$C$37, MATCH(D2644, Products!$A$2:$A$37, 0))</f>
        <v>Home &amp; Kitchen</v>
      </c>
      <c r="J2644">
        <f>INDEX(Products!$E$2:$E$37, MATCH(D2644, Products!$A$2:$A$37, 0))</f>
        <v>250</v>
      </c>
      <c r="K2644" s="9">
        <f t="shared" si="164"/>
        <v>399</v>
      </c>
      <c r="L2644">
        <f t="shared" si="165"/>
        <v>250</v>
      </c>
      <c r="M2644" s="9">
        <f t="shared" si="166"/>
        <v>149</v>
      </c>
      <c r="N2644" t="str">
        <f t="shared" si="167"/>
        <v>Aug</v>
      </c>
    </row>
    <row r="2645" spans="1:14" x14ac:dyDescent="0.3">
      <c r="A2645" s="2" t="s">
        <v>2711</v>
      </c>
      <c r="B2645" s="6">
        <v>45885</v>
      </c>
      <c r="C2645" s="2" t="s">
        <v>41</v>
      </c>
      <c r="D2645" s="2" t="s">
        <v>35</v>
      </c>
      <c r="E2645" s="2">
        <v>1</v>
      </c>
      <c r="F2645" s="7">
        <v>179</v>
      </c>
      <c r="G2645" s="8">
        <v>0.2</v>
      </c>
      <c r="H2645" s="9" t="str">
        <f>INDEX(Products!$B$2:$B$37, MATCH(D2645, Products!$A$2:$A$37, 0))</f>
        <v>Men's Linen Shirt</v>
      </c>
      <c r="I2645" t="str">
        <f>INDEX(Products!$C$2:$C$37, MATCH(D2645, Products!$A$2:$A$37, 0))</f>
        <v>Fashion</v>
      </c>
      <c r="J2645">
        <f>INDEX(Products!$E$2:$E$37, MATCH(D2645, Products!$A$2:$A$37, 0))</f>
        <v>70</v>
      </c>
      <c r="K2645" s="9">
        <f t="shared" si="164"/>
        <v>143.20000000000002</v>
      </c>
      <c r="L2645">
        <f t="shared" si="165"/>
        <v>70</v>
      </c>
      <c r="M2645" s="9">
        <f t="shared" si="166"/>
        <v>73.200000000000017</v>
      </c>
      <c r="N2645" t="str">
        <f t="shared" si="167"/>
        <v>Aug</v>
      </c>
    </row>
    <row r="2646" spans="1:14" x14ac:dyDescent="0.3">
      <c r="A2646" s="2" t="s">
        <v>2712</v>
      </c>
      <c r="B2646" s="6">
        <v>45886</v>
      </c>
      <c r="C2646" s="2" t="s">
        <v>28</v>
      </c>
      <c r="D2646" s="2" t="s">
        <v>49</v>
      </c>
      <c r="E2646" s="2">
        <v>1</v>
      </c>
      <c r="F2646" s="7">
        <v>149</v>
      </c>
      <c r="G2646" s="8">
        <v>0</v>
      </c>
      <c r="H2646" s="9" t="str">
        <f>INDEX(Products!$B$2:$B$37, MATCH(D2646, Products!$A$2:$A$37, 0))</f>
        <v>Kids' Sneakers</v>
      </c>
      <c r="I2646" t="str">
        <f>INDEX(Products!$C$2:$C$37, MATCH(D2646, Products!$A$2:$A$37, 0))</f>
        <v>Fashion</v>
      </c>
      <c r="J2646">
        <f>INDEX(Products!$E$2:$E$37, MATCH(D2646, Products!$A$2:$A$37, 0))</f>
        <v>80</v>
      </c>
      <c r="K2646" s="9">
        <f t="shared" si="164"/>
        <v>149</v>
      </c>
      <c r="L2646">
        <f t="shared" si="165"/>
        <v>80</v>
      </c>
      <c r="M2646" s="9">
        <f t="shared" si="166"/>
        <v>69</v>
      </c>
      <c r="N2646" t="str">
        <f t="shared" si="167"/>
        <v>Aug</v>
      </c>
    </row>
    <row r="2647" spans="1:14" x14ac:dyDescent="0.3">
      <c r="A2647" s="2" t="s">
        <v>2713</v>
      </c>
      <c r="B2647" s="6">
        <v>45886</v>
      </c>
      <c r="C2647" s="2" t="s">
        <v>41</v>
      </c>
      <c r="D2647" s="2" t="s">
        <v>49</v>
      </c>
      <c r="E2647" s="2">
        <v>1</v>
      </c>
      <c r="F2647" s="7">
        <v>149</v>
      </c>
      <c r="G2647" s="8">
        <v>0</v>
      </c>
      <c r="H2647" s="9" t="str">
        <f>INDEX(Products!$B$2:$B$37, MATCH(D2647, Products!$A$2:$A$37, 0))</f>
        <v>Kids' Sneakers</v>
      </c>
      <c r="I2647" t="str">
        <f>INDEX(Products!$C$2:$C$37, MATCH(D2647, Products!$A$2:$A$37, 0))</f>
        <v>Fashion</v>
      </c>
      <c r="J2647">
        <f>INDEX(Products!$E$2:$E$37, MATCH(D2647, Products!$A$2:$A$37, 0))</f>
        <v>80</v>
      </c>
      <c r="K2647" s="9">
        <f t="shared" si="164"/>
        <v>149</v>
      </c>
      <c r="L2647">
        <f t="shared" si="165"/>
        <v>80</v>
      </c>
      <c r="M2647" s="9">
        <f t="shared" si="166"/>
        <v>69</v>
      </c>
      <c r="N2647" t="str">
        <f t="shared" si="167"/>
        <v>Aug</v>
      </c>
    </row>
    <row r="2648" spans="1:14" x14ac:dyDescent="0.3">
      <c r="A2648" s="2" t="s">
        <v>2714</v>
      </c>
      <c r="B2648" s="6">
        <v>45886</v>
      </c>
      <c r="C2648" s="2" t="s">
        <v>48</v>
      </c>
      <c r="D2648" s="2" t="s">
        <v>68</v>
      </c>
      <c r="E2648" s="2">
        <v>1</v>
      </c>
      <c r="F2648" s="7">
        <v>249</v>
      </c>
      <c r="G2648" s="8">
        <v>0</v>
      </c>
      <c r="H2648" s="9" t="str">
        <f>INDEX(Products!$B$2:$B$37, MATCH(D2648, Products!$A$2:$A$37, 0))</f>
        <v>Bluetooth Speaker Mini</v>
      </c>
      <c r="I2648" t="str">
        <f>INDEX(Products!$C$2:$C$37, MATCH(D2648, Products!$A$2:$A$37, 0))</f>
        <v>Electronics</v>
      </c>
      <c r="J2648">
        <f>INDEX(Products!$E$2:$E$37, MATCH(D2648, Products!$A$2:$A$37, 0))</f>
        <v>150</v>
      </c>
      <c r="K2648" s="9">
        <f t="shared" si="164"/>
        <v>249</v>
      </c>
      <c r="L2648">
        <f t="shared" si="165"/>
        <v>150</v>
      </c>
      <c r="M2648" s="9">
        <f t="shared" si="166"/>
        <v>99</v>
      </c>
      <c r="N2648" t="str">
        <f t="shared" si="167"/>
        <v>Aug</v>
      </c>
    </row>
    <row r="2649" spans="1:14" x14ac:dyDescent="0.3">
      <c r="A2649" s="2" t="s">
        <v>2715</v>
      </c>
      <c r="B2649" s="6">
        <v>45886</v>
      </c>
      <c r="C2649" s="2" t="s">
        <v>44</v>
      </c>
      <c r="D2649" s="2" t="s">
        <v>129</v>
      </c>
      <c r="E2649" s="2">
        <v>2</v>
      </c>
      <c r="F2649" s="7">
        <v>149</v>
      </c>
      <c r="G2649" s="8">
        <v>0</v>
      </c>
      <c r="H2649" s="9" t="str">
        <f>INDEX(Products!$B$2:$B$37, MATCH(D2649, Products!$A$2:$A$37, 0))</f>
        <v>Power Bank 20000mAh</v>
      </c>
      <c r="I2649" t="str">
        <f>INDEX(Products!$C$2:$C$37, MATCH(D2649, Products!$A$2:$A$37, 0))</f>
        <v>Electronics</v>
      </c>
      <c r="J2649">
        <f>INDEX(Products!$E$2:$E$37, MATCH(D2649, Products!$A$2:$A$37, 0))</f>
        <v>70</v>
      </c>
      <c r="K2649" s="9">
        <f t="shared" si="164"/>
        <v>298</v>
      </c>
      <c r="L2649">
        <f t="shared" si="165"/>
        <v>140</v>
      </c>
      <c r="M2649" s="9">
        <f t="shared" si="166"/>
        <v>158</v>
      </c>
      <c r="N2649" t="str">
        <f t="shared" si="167"/>
        <v>Aug</v>
      </c>
    </row>
    <row r="2650" spans="1:14" x14ac:dyDescent="0.3">
      <c r="A2650" s="2" t="s">
        <v>2716</v>
      </c>
      <c r="B2650" s="6">
        <v>45886</v>
      </c>
      <c r="C2650" s="2" t="s">
        <v>48</v>
      </c>
      <c r="D2650" s="2" t="s">
        <v>70</v>
      </c>
      <c r="E2650" s="2">
        <v>1</v>
      </c>
      <c r="F2650" s="7">
        <v>429</v>
      </c>
      <c r="G2650" s="8">
        <v>0</v>
      </c>
      <c r="H2650" s="9" t="str">
        <f>INDEX(Products!$B$2:$B$37, MATCH(D2650, Products!$A$2:$A$37, 0))</f>
        <v>Running Shoes Elite</v>
      </c>
      <c r="I2650" t="str">
        <f>INDEX(Products!$C$2:$C$37, MATCH(D2650, Products!$A$2:$A$37, 0))</f>
        <v>Fashion</v>
      </c>
      <c r="J2650">
        <f>INDEX(Products!$E$2:$E$37, MATCH(D2650, Products!$A$2:$A$37, 0))</f>
        <v>300</v>
      </c>
      <c r="K2650" s="9">
        <f t="shared" si="164"/>
        <v>429</v>
      </c>
      <c r="L2650">
        <f t="shared" si="165"/>
        <v>300</v>
      </c>
      <c r="M2650" s="9">
        <f t="shared" si="166"/>
        <v>129</v>
      </c>
      <c r="N2650" t="str">
        <f t="shared" si="167"/>
        <v>Aug</v>
      </c>
    </row>
    <row r="2651" spans="1:14" x14ac:dyDescent="0.3">
      <c r="A2651" s="2" t="s">
        <v>2717</v>
      </c>
      <c r="B2651" s="6">
        <v>45886</v>
      </c>
      <c r="C2651" s="2" t="s">
        <v>44</v>
      </c>
      <c r="D2651" s="2" t="s">
        <v>194</v>
      </c>
      <c r="E2651" s="2">
        <v>1</v>
      </c>
      <c r="F2651" s="7">
        <v>699</v>
      </c>
      <c r="G2651" s="8">
        <v>0.05</v>
      </c>
      <c r="H2651" s="9" t="str">
        <f>INDEX(Products!$B$2:$B$37, MATCH(D2651, Products!$A$2:$A$37, 0))</f>
        <v>Leather Handbag</v>
      </c>
      <c r="I2651" t="str">
        <f>INDEX(Products!$C$2:$C$37, MATCH(D2651, Products!$A$2:$A$37, 0))</f>
        <v>Fashion</v>
      </c>
      <c r="J2651">
        <f>INDEX(Products!$E$2:$E$37, MATCH(D2651, Products!$A$2:$A$37, 0))</f>
        <v>380</v>
      </c>
      <c r="K2651" s="9">
        <f t="shared" si="164"/>
        <v>664.05</v>
      </c>
      <c r="L2651">
        <f t="shared" si="165"/>
        <v>380</v>
      </c>
      <c r="M2651" s="9">
        <f t="shared" si="166"/>
        <v>284.04999999999995</v>
      </c>
      <c r="N2651" t="str">
        <f t="shared" si="167"/>
        <v>Aug</v>
      </c>
    </row>
    <row r="2652" spans="1:14" x14ac:dyDescent="0.3">
      <c r="A2652" s="2" t="s">
        <v>2718</v>
      </c>
      <c r="B2652" s="6">
        <v>45886</v>
      </c>
      <c r="C2652" s="2" t="s">
        <v>28</v>
      </c>
      <c r="D2652" s="2" t="s">
        <v>113</v>
      </c>
      <c r="E2652" s="2">
        <v>2</v>
      </c>
      <c r="F2652" s="7">
        <v>1199</v>
      </c>
      <c r="G2652" s="8">
        <v>0.15</v>
      </c>
      <c r="H2652" s="9" t="str">
        <f>INDEX(Products!$B$2:$B$37, MATCH(D2652, Products!$A$2:$A$37, 0))</f>
        <v>Robot Vacuum S3</v>
      </c>
      <c r="I2652" t="str">
        <f>INDEX(Products!$C$2:$C$37, MATCH(D2652, Products!$A$2:$A$37, 0))</f>
        <v>Home &amp; Kitchen</v>
      </c>
      <c r="J2652">
        <f>INDEX(Products!$E$2:$E$37, MATCH(D2652, Products!$A$2:$A$37, 0))</f>
        <v>1080</v>
      </c>
      <c r="K2652" s="9">
        <f t="shared" si="164"/>
        <v>2038.3</v>
      </c>
      <c r="L2652">
        <f t="shared" si="165"/>
        <v>2160</v>
      </c>
      <c r="M2652" s="9">
        <f t="shared" si="166"/>
        <v>-121.70000000000005</v>
      </c>
      <c r="N2652" t="str">
        <f t="shared" si="167"/>
        <v>Aug</v>
      </c>
    </row>
    <row r="2653" spans="1:14" x14ac:dyDescent="0.3">
      <c r="A2653" s="2" t="s">
        <v>2719</v>
      </c>
      <c r="B2653" s="6">
        <v>45886</v>
      </c>
      <c r="C2653" s="2" t="s">
        <v>41</v>
      </c>
      <c r="D2653" s="2" t="s">
        <v>95</v>
      </c>
      <c r="E2653" s="2">
        <v>2</v>
      </c>
      <c r="F2653" s="7">
        <v>259</v>
      </c>
      <c r="G2653" s="8">
        <v>0</v>
      </c>
      <c r="H2653" s="9" t="str">
        <f>INDEX(Products!$B$2:$B$37, MATCH(D2653, Products!$A$2:$A$37, 0))</f>
        <v>Bed Linen Set (King)</v>
      </c>
      <c r="I2653" t="str">
        <f>INDEX(Products!$C$2:$C$37, MATCH(D2653, Products!$A$2:$A$37, 0))</f>
        <v>Home &amp; Kitchen</v>
      </c>
      <c r="J2653">
        <f>INDEX(Products!$E$2:$E$37, MATCH(D2653, Products!$A$2:$A$37, 0))</f>
        <v>115</v>
      </c>
      <c r="K2653" s="9">
        <f t="shared" si="164"/>
        <v>518</v>
      </c>
      <c r="L2653">
        <f t="shared" si="165"/>
        <v>230</v>
      </c>
      <c r="M2653" s="9">
        <f t="shared" si="166"/>
        <v>288</v>
      </c>
      <c r="N2653" t="str">
        <f t="shared" si="167"/>
        <v>Aug</v>
      </c>
    </row>
    <row r="2654" spans="1:14" x14ac:dyDescent="0.3">
      <c r="A2654" s="2" t="s">
        <v>2720</v>
      </c>
      <c r="B2654" s="6">
        <v>45886</v>
      </c>
      <c r="C2654" s="2" t="s">
        <v>28</v>
      </c>
      <c r="D2654" s="2" t="s">
        <v>78</v>
      </c>
      <c r="E2654" s="2">
        <v>2</v>
      </c>
      <c r="F2654" s="7">
        <v>499</v>
      </c>
      <c r="G2654" s="8">
        <v>0.1</v>
      </c>
      <c r="H2654" s="9" t="str">
        <f>INDEX(Products!$B$2:$B$37, MATCH(D2654, Products!$A$2:$A$37, 0))</f>
        <v>Air Fryer 5L</v>
      </c>
      <c r="I2654" t="str">
        <f>INDEX(Products!$C$2:$C$37, MATCH(D2654, Products!$A$2:$A$37, 0))</f>
        <v>Home &amp; Kitchen</v>
      </c>
      <c r="J2654">
        <f>INDEX(Products!$E$2:$E$37, MATCH(D2654, Products!$A$2:$A$37, 0))</f>
        <v>290</v>
      </c>
      <c r="K2654" s="9">
        <f t="shared" si="164"/>
        <v>898.2</v>
      </c>
      <c r="L2654">
        <f t="shared" si="165"/>
        <v>580</v>
      </c>
      <c r="M2654" s="9">
        <f t="shared" si="166"/>
        <v>318.20000000000005</v>
      </c>
      <c r="N2654" t="str">
        <f t="shared" si="167"/>
        <v>Aug</v>
      </c>
    </row>
    <row r="2655" spans="1:14" x14ac:dyDescent="0.3">
      <c r="A2655" s="2" t="s">
        <v>2721</v>
      </c>
      <c r="B2655" s="6">
        <v>45886</v>
      </c>
      <c r="C2655" s="2" t="s">
        <v>28</v>
      </c>
      <c r="D2655" s="2" t="s">
        <v>126</v>
      </c>
      <c r="E2655" s="2">
        <v>1</v>
      </c>
      <c r="F2655" s="7">
        <v>89</v>
      </c>
      <c r="G2655" s="8">
        <v>0</v>
      </c>
      <c r="H2655" s="9" t="str">
        <f>INDEX(Products!$B$2:$B$37, MATCH(D2655, Products!$A$2:$A$37, 0))</f>
        <v>USB-C Fast Charger</v>
      </c>
      <c r="I2655" t="str">
        <f>INDEX(Products!$C$2:$C$37, MATCH(D2655, Products!$A$2:$A$37, 0))</f>
        <v>Electronics</v>
      </c>
      <c r="J2655">
        <f>INDEX(Products!$E$2:$E$37, MATCH(D2655, Products!$A$2:$A$37, 0))</f>
        <v>35</v>
      </c>
      <c r="K2655" s="9">
        <f t="shared" si="164"/>
        <v>89</v>
      </c>
      <c r="L2655">
        <f t="shared" si="165"/>
        <v>35</v>
      </c>
      <c r="M2655" s="9">
        <f t="shared" si="166"/>
        <v>54</v>
      </c>
      <c r="N2655" t="str">
        <f t="shared" si="167"/>
        <v>Aug</v>
      </c>
    </row>
    <row r="2656" spans="1:14" x14ac:dyDescent="0.3">
      <c r="A2656" s="2" t="s">
        <v>2722</v>
      </c>
      <c r="B2656" s="6">
        <v>45886</v>
      </c>
      <c r="C2656" s="2" t="s">
        <v>31</v>
      </c>
      <c r="D2656" s="2" t="s">
        <v>149</v>
      </c>
      <c r="E2656" s="2">
        <v>1</v>
      </c>
      <c r="F2656" s="7">
        <v>399</v>
      </c>
      <c r="G2656" s="8">
        <v>0</v>
      </c>
      <c r="H2656" s="9" t="str">
        <f>INDEX(Products!$B$2:$B$37, MATCH(D2656, Products!$A$2:$A$37, 0))</f>
        <v>Blender Pro 1200W</v>
      </c>
      <c r="I2656" t="str">
        <f>INDEX(Products!$C$2:$C$37, MATCH(D2656, Products!$A$2:$A$37, 0))</f>
        <v>Home &amp; Kitchen</v>
      </c>
      <c r="J2656">
        <f>INDEX(Products!$E$2:$E$37, MATCH(D2656, Products!$A$2:$A$37, 0))</f>
        <v>250</v>
      </c>
      <c r="K2656" s="9">
        <f t="shared" si="164"/>
        <v>399</v>
      </c>
      <c r="L2656">
        <f t="shared" si="165"/>
        <v>250</v>
      </c>
      <c r="M2656" s="9">
        <f t="shared" si="166"/>
        <v>149</v>
      </c>
      <c r="N2656" t="str">
        <f t="shared" si="167"/>
        <v>Aug</v>
      </c>
    </row>
    <row r="2657" spans="1:14" x14ac:dyDescent="0.3">
      <c r="A2657" s="2" t="s">
        <v>2723</v>
      </c>
      <c r="B2657" s="6">
        <v>45886</v>
      </c>
      <c r="C2657" s="2" t="s">
        <v>44</v>
      </c>
      <c r="D2657" s="2" t="s">
        <v>87</v>
      </c>
      <c r="E2657" s="2">
        <v>1</v>
      </c>
      <c r="F2657" s="7">
        <v>799</v>
      </c>
      <c r="G2657" s="8">
        <v>0.25</v>
      </c>
      <c r="H2657" s="9" t="str">
        <f>INDEX(Products!$B$2:$B$37, MATCH(D2657, Products!$A$2:$A$37, 0))</f>
        <v>Adjustable Dumbbells</v>
      </c>
      <c r="I2657" t="str">
        <f>INDEX(Products!$C$2:$C$37, MATCH(D2657, Products!$A$2:$A$37, 0))</f>
        <v>Sports</v>
      </c>
      <c r="J2657">
        <f>INDEX(Products!$E$2:$E$37, MATCH(D2657, Products!$A$2:$A$37, 0))</f>
        <v>700</v>
      </c>
      <c r="K2657" s="9">
        <f t="shared" si="164"/>
        <v>599.25</v>
      </c>
      <c r="L2657">
        <f t="shared" si="165"/>
        <v>700</v>
      </c>
      <c r="M2657" s="9">
        <f t="shared" si="166"/>
        <v>-100.75</v>
      </c>
      <c r="N2657" t="str">
        <f t="shared" si="167"/>
        <v>Aug</v>
      </c>
    </row>
    <row r="2658" spans="1:14" x14ac:dyDescent="0.3">
      <c r="A2658" s="2" t="s">
        <v>2724</v>
      </c>
      <c r="B2658" s="6">
        <v>45886</v>
      </c>
      <c r="C2658" s="2" t="s">
        <v>41</v>
      </c>
      <c r="D2658" s="2" t="s">
        <v>78</v>
      </c>
      <c r="E2658" s="2">
        <v>1</v>
      </c>
      <c r="F2658" s="7">
        <v>499</v>
      </c>
      <c r="G2658" s="8">
        <v>0.3</v>
      </c>
      <c r="H2658" s="9" t="str">
        <f>INDEX(Products!$B$2:$B$37, MATCH(D2658, Products!$A$2:$A$37, 0))</f>
        <v>Air Fryer 5L</v>
      </c>
      <c r="I2658" t="str">
        <f>INDEX(Products!$C$2:$C$37, MATCH(D2658, Products!$A$2:$A$37, 0))</f>
        <v>Home &amp; Kitchen</v>
      </c>
      <c r="J2658">
        <f>INDEX(Products!$E$2:$E$37, MATCH(D2658, Products!$A$2:$A$37, 0))</f>
        <v>290</v>
      </c>
      <c r="K2658" s="9">
        <f t="shared" si="164"/>
        <v>349.29999999999995</v>
      </c>
      <c r="L2658">
        <f t="shared" si="165"/>
        <v>290</v>
      </c>
      <c r="M2658" s="9">
        <f t="shared" si="166"/>
        <v>59.299999999999955</v>
      </c>
      <c r="N2658" t="str">
        <f t="shared" si="167"/>
        <v>Aug</v>
      </c>
    </row>
    <row r="2659" spans="1:14" x14ac:dyDescent="0.3">
      <c r="A2659" s="2" t="s">
        <v>2725</v>
      </c>
      <c r="B2659" s="6">
        <v>45886</v>
      </c>
      <c r="C2659" s="2" t="s">
        <v>41</v>
      </c>
      <c r="D2659" s="2" t="s">
        <v>33</v>
      </c>
      <c r="E2659" s="2">
        <v>2</v>
      </c>
      <c r="F2659" s="7">
        <v>199</v>
      </c>
      <c r="G2659" s="8">
        <v>0.15</v>
      </c>
      <c r="H2659" s="9" t="str">
        <f>INDEX(Products!$B$2:$B$37, MATCH(D2659, Products!$A$2:$A$37, 0))</f>
        <v>Fitness Band Lite</v>
      </c>
      <c r="I2659" t="str">
        <f>INDEX(Products!$C$2:$C$37, MATCH(D2659, Products!$A$2:$A$37, 0))</f>
        <v>Electronics</v>
      </c>
      <c r="J2659">
        <f>INDEX(Products!$E$2:$E$37, MATCH(D2659, Products!$A$2:$A$37, 0))</f>
        <v>175</v>
      </c>
      <c r="K2659" s="9">
        <f t="shared" si="164"/>
        <v>338.3</v>
      </c>
      <c r="L2659">
        <f t="shared" si="165"/>
        <v>350</v>
      </c>
      <c r="M2659" s="9">
        <f t="shared" si="166"/>
        <v>-11.699999999999989</v>
      </c>
      <c r="N2659" t="str">
        <f t="shared" si="167"/>
        <v>Aug</v>
      </c>
    </row>
    <row r="2660" spans="1:14" x14ac:dyDescent="0.3">
      <c r="A2660" s="2" t="s">
        <v>2726</v>
      </c>
      <c r="B2660" s="6">
        <v>45887</v>
      </c>
      <c r="C2660" s="2" t="s">
        <v>31</v>
      </c>
      <c r="D2660" s="2" t="s">
        <v>46</v>
      </c>
      <c r="E2660" s="2">
        <v>2</v>
      </c>
      <c r="F2660" s="7">
        <v>189</v>
      </c>
      <c r="G2660" s="8">
        <v>0</v>
      </c>
      <c r="H2660" s="9" t="str">
        <f>INDEX(Products!$B$2:$B$37, MATCH(D2660, Products!$A$2:$A$37, 0))</f>
        <v>Makeup Palette</v>
      </c>
      <c r="I2660" t="str">
        <f>INDEX(Products!$C$2:$C$37, MATCH(D2660, Products!$A$2:$A$37, 0))</f>
        <v>Beauty</v>
      </c>
      <c r="J2660">
        <f>INDEX(Products!$E$2:$E$37, MATCH(D2660, Products!$A$2:$A$37, 0))</f>
        <v>85</v>
      </c>
      <c r="K2660" s="9">
        <f t="shared" si="164"/>
        <v>378</v>
      </c>
      <c r="L2660">
        <f t="shared" si="165"/>
        <v>170</v>
      </c>
      <c r="M2660" s="9">
        <f t="shared" si="166"/>
        <v>208</v>
      </c>
      <c r="N2660" t="str">
        <f t="shared" si="167"/>
        <v>Aug</v>
      </c>
    </row>
    <row r="2661" spans="1:14" x14ac:dyDescent="0.3">
      <c r="A2661" s="2" t="s">
        <v>2727</v>
      </c>
      <c r="B2661" s="6">
        <v>45887</v>
      </c>
      <c r="C2661" s="2" t="s">
        <v>41</v>
      </c>
      <c r="D2661" s="2" t="s">
        <v>106</v>
      </c>
      <c r="E2661" s="2">
        <v>4</v>
      </c>
      <c r="F2661" s="7">
        <v>1299</v>
      </c>
      <c r="G2661" s="8">
        <v>0.2</v>
      </c>
      <c r="H2661" s="9" t="str">
        <f>INDEX(Products!$B$2:$B$37, MATCH(D2661, Products!$A$2:$A$37, 0))</f>
        <v>Smart Watch Series 5</v>
      </c>
      <c r="I2661" t="str">
        <f>INDEX(Products!$C$2:$C$37, MATCH(D2661, Products!$A$2:$A$37, 0))</f>
        <v>Electronics</v>
      </c>
      <c r="J2661">
        <f>INDEX(Products!$E$2:$E$37, MATCH(D2661, Products!$A$2:$A$37, 0))</f>
        <v>820</v>
      </c>
      <c r="K2661" s="9">
        <f t="shared" si="164"/>
        <v>4156.8</v>
      </c>
      <c r="L2661">
        <f t="shared" si="165"/>
        <v>3280</v>
      </c>
      <c r="M2661" s="9">
        <f t="shared" si="166"/>
        <v>876.80000000000018</v>
      </c>
      <c r="N2661" t="str">
        <f t="shared" si="167"/>
        <v>Aug</v>
      </c>
    </row>
    <row r="2662" spans="1:14" x14ac:dyDescent="0.3">
      <c r="A2662" s="2" t="s">
        <v>2728</v>
      </c>
      <c r="B2662" s="6">
        <v>45887</v>
      </c>
      <c r="C2662" s="2" t="s">
        <v>48</v>
      </c>
      <c r="D2662" s="2" t="s">
        <v>99</v>
      </c>
      <c r="E2662" s="2">
        <v>3</v>
      </c>
      <c r="F2662" s="7">
        <v>459</v>
      </c>
      <c r="G2662" s="8">
        <v>0</v>
      </c>
      <c r="H2662" s="9" t="str">
        <f>INDEX(Products!$B$2:$B$37, MATCH(D2662, Products!$A$2:$A$37, 0))</f>
        <v>Gaming Headset X</v>
      </c>
      <c r="I2662" t="str">
        <f>INDEX(Products!$C$2:$C$37, MATCH(D2662, Products!$A$2:$A$37, 0))</f>
        <v>Electronics</v>
      </c>
      <c r="J2662">
        <f>INDEX(Products!$E$2:$E$37, MATCH(D2662, Products!$A$2:$A$37, 0))</f>
        <v>300</v>
      </c>
      <c r="K2662" s="9">
        <f t="shared" si="164"/>
        <v>1377</v>
      </c>
      <c r="L2662">
        <f t="shared" si="165"/>
        <v>900</v>
      </c>
      <c r="M2662" s="9">
        <f t="shared" si="166"/>
        <v>477</v>
      </c>
      <c r="N2662" t="str">
        <f t="shared" si="167"/>
        <v>Aug</v>
      </c>
    </row>
    <row r="2663" spans="1:14" x14ac:dyDescent="0.3">
      <c r="A2663" s="2" t="s">
        <v>2729</v>
      </c>
      <c r="B2663" s="6">
        <v>45887</v>
      </c>
      <c r="C2663" s="2" t="s">
        <v>48</v>
      </c>
      <c r="D2663" s="2" t="s">
        <v>126</v>
      </c>
      <c r="E2663" s="2">
        <v>1</v>
      </c>
      <c r="F2663" s="7">
        <v>89</v>
      </c>
      <c r="G2663" s="8">
        <v>0.1</v>
      </c>
      <c r="H2663" s="9" t="str">
        <f>INDEX(Products!$B$2:$B$37, MATCH(D2663, Products!$A$2:$A$37, 0))</f>
        <v>USB-C Fast Charger</v>
      </c>
      <c r="I2663" t="str">
        <f>INDEX(Products!$C$2:$C$37, MATCH(D2663, Products!$A$2:$A$37, 0))</f>
        <v>Electronics</v>
      </c>
      <c r="J2663">
        <f>INDEX(Products!$E$2:$E$37, MATCH(D2663, Products!$A$2:$A$37, 0))</f>
        <v>35</v>
      </c>
      <c r="K2663" s="9">
        <f t="shared" si="164"/>
        <v>80.100000000000009</v>
      </c>
      <c r="L2663">
        <f t="shared" si="165"/>
        <v>35</v>
      </c>
      <c r="M2663" s="9">
        <f t="shared" si="166"/>
        <v>45.100000000000009</v>
      </c>
      <c r="N2663" t="str">
        <f t="shared" si="167"/>
        <v>Aug</v>
      </c>
    </row>
    <row r="2664" spans="1:14" x14ac:dyDescent="0.3">
      <c r="A2664" s="2" t="s">
        <v>2730</v>
      </c>
      <c r="B2664" s="6">
        <v>45887</v>
      </c>
      <c r="C2664" s="2" t="s">
        <v>41</v>
      </c>
      <c r="D2664" s="2" t="s">
        <v>129</v>
      </c>
      <c r="E2664" s="2">
        <v>4</v>
      </c>
      <c r="F2664" s="7">
        <v>149</v>
      </c>
      <c r="G2664" s="8">
        <v>0.1</v>
      </c>
      <c r="H2664" s="9" t="str">
        <f>INDEX(Products!$B$2:$B$37, MATCH(D2664, Products!$A$2:$A$37, 0))</f>
        <v>Power Bank 20000mAh</v>
      </c>
      <c r="I2664" t="str">
        <f>INDEX(Products!$C$2:$C$37, MATCH(D2664, Products!$A$2:$A$37, 0))</f>
        <v>Electronics</v>
      </c>
      <c r="J2664">
        <f>INDEX(Products!$E$2:$E$37, MATCH(D2664, Products!$A$2:$A$37, 0))</f>
        <v>70</v>
      </c>
      <c r="K2664" s="9">
        <f t="shared" si="164"/>
        <v>536.4</v>
      </c>
      <c r="L2664">
        <f t="shared" si="165"/>
        <v>280</v>
      </c>
      <c r="M2664" s="9">
        <f t="shared" si="166"/>
        <v>256.39999999999998</v>
      </c>
      <c r="N2664" t="str">
        <f t="shared" si="167"/>
        <v>Aug</v>
      </c>
    </row>
    <row r="2665" spans="1:14" x14ac:dyDescent="0.3">
      <c r="A2665" s="2" t="s">
        <v>2731</v>
      </c>
      <c r="B2665" s="6">
        <v>45887</v>
      </c>
      <c r="C2665" s="2" t="s">
        <v>41</v>
      </c>
      <c r="D2665" s="2" t="s">
        <v>115</v>
      </c>
      <c r="E2665" s="2">
        <v>1</v>
      </c>
      <c r="F2665" s="7">
        <v>129</v>
      </c>
      <c r="G2665" s="8">
        <v>0</v>
      </c>
      <c r="H2665" s="9" t="str">
        <f>INDEX(Products!$B$2:$B$37, MATCH(D2665, Products!$A$2:$A$37, 0))</f>
        <v>Electric Kettle</v>
      </c>
      <c r="I2665" t="str">
        <f>INDEX(Products!$C$2:$C$37, MATCH(D2665, Products!$A$2:$A$37, 0))</f>
        <v>Home &amp; Kitchen</v>
      </c>
      <c r="J2665">
        <f>INDEX(Products!$E$2:$E$37, MATCH(D2665, Products!$A$2:$A$37, 0))</f>
        <v>60</v>
      </c>
      <c r="K2665" s="9">
        <f t="shared" si="164"/>
        <v>129</v>
      </c>
      <c r="L2665">
        <f t="shared" si="165"/>
        <v>60</v>
      </c>
      <c r="M2665" s="9">
        <f t="shared" si="166"/>
        <v>69</v>
      </c>
      <c r="N2665" t="str">
        <f t="shared" si="167"/>
        <v>Aug</v>
      </c>
    </row>
    <row r="2666" spans="1:14" x14ac:dyDescent="0.3">
      <c r="A2666" s="2" t="s">
        <v>2732</v>
      </c>
      <c r="B2666" s="6">
        <v>45887</v>
      </c>
      <c r="C2666" s="2" t="s">
        <v>28</v>
      </c>
      <c r="D2666" s="2" t="s">
        <v>87</v>
      </c>
      <c r="E2666" s="2">
        <v>3</v>
      </c>
      <c r="F2666" s="7">
        <v>799</v>
      </c>
      <c r="G2666" s="8">
        <v>0.2</v>
      </c>
      <c r="H2666" s="9" t="str">
        <f>INDEX(Products!$B$2:$B$37, MATCH(D2666, Products!$A$2:$A$37, 0))</f>
        <v>Adjustable Dumbbells</v>
      </c>
      <c r="I2666" t="str">
        <f>INDEX(Products!$C$2:$C$37, MATCH(D2666, Products!$A$2:$A$37, 0))</f>
        <v>Sports</v>
      </c>
      <c r="J2666">
        <f>INDEX(Products!$E$2:$E$37, MATCH(D2666, Products!$A$2:$A$37, 0))</f>
        <v>700</v>
      </c>
      <c r="K2666" s="9">
        <f t="shared" si="164"/>
        <v>1917.6000000000001</v>
      </c>
      <c r="L2666">
        <f t="shared" si="165"/>
        <v>2100</v>
      </c>
      <c r="M2666" s="9">
        <f t="shared" si="166"/>
        <v>-182.39999999999986</v>
      </c>
      <c r="N2666" t="str">
        <f t="shared" si="167"/>
        <v>Aug</v>
      </c>
    </row>
    <row r="2667" spans="1:14" x14ac:dyDescent="0.3">
      <c r="A2667" s="2" t="s">
        <v>2733</v>
      </c>
      <c r="B2667" s="6">
        <v>45887</v>
      </c>
      <c r="C2667" s="2" t="s">
        <v>44</v>
      </c>
      <c r="D2667" s="2" t="s">
        <v>58</v>
      </c>
      <c r="E2667" s="2">
        <v>1</v>
      </c>
      <c r="F2667" s="7">
        <v>459</v>
      </c>
      <c r="G2667" s="8">
        <v>0.2</v>
      </c>
      <c r="H2667" s="9" t="str">
        <f>INDEX(Products!$B$2:$B$37, MATCH(D2667, Products!$A$2:$A$37, 0))</f>
        <v>Women's Abaya Classic</v>
      </c>
      <c r="I2667" t="str">
        <f>INDEX(Products!$C$2:$C$37, MATCH(D2667, Products!$A$2:$A$37, 0))</f>
        <v>Fashion</v>
      </c>
      <c r="J2667">
        <f>INDEX(Products!$E$2:$E$37, MATCH(D2667, Products!$A$2:$A$37, 0))</f>
        <v>190</v>
      </c>
      <c r="K2667" s="9">
        <f t="shared" si="164"/>
        <v>367.20000000000005</v>
      </c>
      <c r="L2667">
        <f t="shared" si="165"/>
        <v>190</v>
      </c>
      <c r="M2667" s="9">
        <f t="shared" si="166"/>
        <v>177.20000000000005</v>
      </c>
      <c r="N2667" t="str">
        <f t="shared" si="167"/>
        <v>Aug</v>
      </c>
    </row>
    <row r="2668" spans="1:14" x14ac:dyDescent="0.3">
      <c r="A2668" s="2" t="s">
        <v>2734</v>
      </c>
      <c r="B2668" s="6">
        <v>45887</v>
      </c>
      <c r="C2668" s="2" t="s">
        <v>31</v>
      </c>
      <c r="D2668" s="2" t="s">
        <v>126</v>
      </c>
      <c r="E2668" s="2">
        <v>1</v>
      </c>
      <c r="F2668" s="7">
        <v>89</v>
      </c>
      <c r="G2668" s="8">
        <v>0.2</v>
      </c>
      <c r="H2668" s="9" t="str">
        <f>INDEX(Products!$B$2:$B$37, MATCH(D2668, Products!$A$2:$A$37, 0))</f>
        <v>USB-C Fast Charger</v>
      </c>
      <c r="I2668" t="str">
        <f>INDEX(Products!$C$2:$C$37, MATCH(D2668, Products!$A$2:$A$37, 0))</f>
        <v>Electronics</v>
      </c>
      <c r="J2668">
        <f>INDEX(Products!$E$2:$E$37, MATCH(D2668, Products!$A$2:$A$37, 0))</f>
        <v>35</v>
      </c>
      <c r="K2668" s="9">
        <f t="shared" si="164"/>
        <v>71.2</v>
      </c>
      <c r="L2668">
        <f t="shared" si="165"/>
        <v>35</v>
      </c>
      <c r="M2668" s="9">
        <f t="shared" si="166"/>
        <v>36.200000000000003</v>
      </c>
      <c r="N2668" t="str">
        <f t="shared" si="167"/>
        <v>Aug</v>
      </c>
    </row>
    <row r="2669" spans="1:14" x14ac:dyDescent="0.3">
      <c r="A2669" s="2" t="s">
        <v>2735</v>
      </c>
      <c r="B2669" s="6">
        <v>45887</v>
      </c>
      <c r="C2669" s="2" t="s">
        <v>28</v>
      </c>
      <c r="D2669" s="2" t="s">
        <v>75</v>
      </c>
      <c r="E2669" s="2">
        <v>1</v>
      </c>
      <c r="F2669" s="7">
        <v>549</v>
      </c>
      <c r="G2669" s="8">
        <v>0</v>
      </c>
      <c r="H2669" s="9" t="str">
        <f>INDEX(Products!$B$2:$B$37, MATCH(D2669, Products!$A$2:$A$37, 0))</f>
        <v>Oud Perfume 100ml</v>
      </c>
      <c r="I2669" t="str">
        <f>INDEX(Products!$C$2:$C$37, MATCH(D2669, Products!$A$2:$A$37, 0))</f>
        <v>Beauty</v>
      </c>
      <c r="J2669">
        <f>INDEX(Products!$E$2:$E$37, MATCH(D2669, Products!$A$2:$A$37, 0))</f>
        <v>250</v>
      </c>
      <c r="K2669" s="9">
        <f t="shared" si="164"/>
        <v>549</v>
      </c>
      <c r="L2669">
        <f t="shared" si="165"/>
        <v>250</v>
      </c>
      <c r="M2669" s="9">
        <f t="shared" si="166"/>
        <v>299</v>
      </c>
      <c r="N2669" t="str">
        <f t="shared" si="167"/>
        <v>Aug</v>
      </c>
    </row>
    <row r="2670" spans="1:14" x14ac:dyDescent="0.3">
      <c r="A2670" s="2" t="s">
        <v>2736</v>
      </c>
      <c r="B2670" s="6">
        <v>45887</v>
      </c>
      <c r="C2670" s="2" t="s">
        <v>41</v>
      </c>
      <c r="D2670" s="2" t="s">
        <v>49</v>
      </c>
      <c r="E2670" s="2">
        <v>1</v>
      </c>
      <c r="F2670" s="7">
        <v>149</v>
      </c>
      <c r="G2670" s="8">
        <v>0</v>
      </c>
      <c r="H2670" s="9" t="str">
        <f>INDEX(Products!$B$2:$B$37, MATCH(D2670, Products!$A$2:$A$37, 0))</f>
        <v>Kids' Sneakers</v>
      </c>
      <c r="I2670" t="str">
        <f>INDEX(Products!$C$2:$C$37, MATCH(D2670, Products!$A$2:$A$37, 0))</f>
        <v>Fashion</v>
      </c>
      <c r="J2670">
        <f>INDEX(Products!$E$2:$E$37, MATCH(D2670, Products!$A$2:$A$37, 0))</f>
        <v>80</v>
      </c>
      <c r="K2670" s="9">
        <f t="shared" si="164"/>
        <v>149</v>
      </c>
      <c r="L2670">
        <f t="shared" si="165"/>
        <v>80</v>
      </c>
      <c r="M2670" s="9">
        <f t="shared" si="166"/>
        <v>69</v>
      </c>
      <c r="N2670" t="str">
        <f t="shared" si="167"/>
        <v>Aug</v>
      </c>
    </row>
    <row r="2671" spans="1:14" x14ac:dyDescent="0.3">
      <c r="A2671" s="2" t="s">
        <v>2737</v>
      </c>
      <c r="B2671" s="6">
        <v>45887</v>
      </c>
      <c r="C2671" s="2" t="s">
        <v>41</v>
      </c>
      <c r="D2671" s="2" t="s">
        <v>194</v>
      </c>
      <c r="E2671" s="2">
        <v>4</v>
      </c>
      <c r="F2671" s="7">
        <v>699</v>
      </c>
      <c r="G2671" s="8">
        <v>0.1</v>
      </c>
      <c r="H2671" s="9" t="str">
        <f>INDEX(Products!$B$2:$B$37, MATCH(D2671, Products!$A$2:$A$37, 0))</f>
        <v>Leather Handbag</v>
      </c>
      <c r="I2671" t="str">
        <f>INDEX(Products!$C$2:$C$37, MATCH(D2671, Products!$A$2:$A$37, 0))</f>
        <v>Fashion</v>
      </c>
      <c r="J2671">
        <f>INDEX(Products!$E$2:$E$37, MATCH(D2671, Products!$A$2:$A$37, 0))</f>
        <v>380</v>
      </c>
      <c r="K2671" s="9">
        <f t="shared" si="164"/>
        <v>2516.4</v>
      </c>
      <c r="L2671">
        <f t="shared" si="165"/>
        <v>1520</v>
      </c>
      <c r="M2671" s="9">
        <f t="shared" si="166"/>
        <v>996.40000000000009</v>
      </c>
      <c r="N2671" t="str">
        <f t="shared" si="167"/>
        <v>Aug</v>
      </c>
    </row>
    <row r="2672" spans="1:14" x14ac:dyDescent="0.3">
      <c r="A2672" s="2" t="s">
        <v>2738</v>
      </c>
      <c r="B2672" s="6">
        <v>45887</v>
      </c>
      <c r="C2672" s="2" t="s">
        <v>41</v>
      </c>
      <c r="D2672" s="2" t="s">
        <v>126</v>
      </c>
      <c r="E2672" s="2">
        <v>2</v>
      </c>
      <c r="F2672" s="7">
        <v>89</v>
      </c>
      <c r="G2672" s="8">
        <v>0</v>
      </c>
      <c r="H2672" s="9" t="str">
        <f>INDEX(Products!$B$2:$B$37, MATCH(D2672, Products!$A$2:$A$37, 0))</f>
        <v>USB-C Fast Charger</v>
      </c>
      <c r="I2672" t="str">
        <f>INDEX(Products!$C$2:$C$37, MATCH(D2672, Products!$A$2:$A$37, 0))</f>
        <v>Electronics</v>
      </c>
      <c r="J2672">
        <f>INDEX(Products!$E$2:$E$37, MATCH(D2672, Products!$A$2:$A$37, 0))</f>
        <v>35</v>
      </c>
      <c r="K2672" s="9">
        <f t="shared" si="164"/>
        <v>178</v>
      </c>
      <c r="L2672">
        <f t="shared" si="165"/>
        <v>70</v>
      </c>
      <c r="M2672" s="9">
        <f t="shared" si="166"/>
        <v>108</v>
      </c>
      <c r="N2672" t="str">
        <f t="shared" si="167"/>
        <v>Aug</v>
      </c>
    </row>
    <row r="2673" spans="1:14" x14ac:dyDescent="0.3">
      <c r="A2673" s="2" t="s">
        <v>2739</v>
      </c>
      <c r="B2673" s="6">
        <v>45887</v>
      </c>
      <c r="C2673" s="2" t="s">
        <v>44</v>
      </c>
      <c r="D2673" s="2" t="s">
        <v>80</v>
      </c>
      <c r="E2673" s="2">
        <v>1</v>
      </c>
      <c r="F2673" s="7">
        <v>149</v>
      </c>
      <c r="G2673" s="8">
        <v>0.15</v>
      </c>
      <c r="H2673" s="9" t="str">
        <f>INDEX(Products!$B$2:$B$37, MATCH(D2673, Products!$A$2:$A$37, 0))</f>
        <v>Vitamin C Serum</v>
      </c>
      <c r="I2673" t="str">
        <f>INDEX(Products!$C$2:$C$37, MATCH(D2673, Products!$A$2:$A$37, 0))</f>
        <v>Beauty</v>
      </c>
      <c r="J2673">
        <f>INDEX(Products!$E$2:$E$37, MATCH(D2673, Products!$A$2:$A$37, 0))</f>
        <v>55</v>
      </c>
      <c r="K2673" s="9">
        <f t="shared" si="164"/>
        <v>126.64999999999999</v>
      </c>
      <c r="L2673">
        <f t="shared" si="165"/>
        <v>55</v>
      </c>
      <c r="M2673" s="9">
        <f t="shared" si="166"/>
        <v>71.649999999999991</v>
      </c>
      <c r="N2673" t="str">
        <f t="shared" si="167"/>
        <v>Aug</v>
      </c>
    </row>
    <row r="2674" spans="1:14" x14ac:dyDescent="0.3">
      <c r="A2674" s="2" t="s">
        <v>2740</v>
      </c>
      <c r="B2674" s="6">
        <v>45888</v>
      </c>
      <c r="C2674" s="2" t="s">
        <v>28</v>
      </c>
      <c r="D2674" s="2" t="s">
        <v>70</v>
      </c>
      <c r="E2674" s="2">
        <v>1</v>
      </c>
      <c r="F2674" s="7">
        <v>429</v>
      </c>
      <c r="G2674" s="8">
        <v>0</v>
      </c>
      <c r="H2674" s="9" t="str">
        <f>INDEX(Products!$B$2:$B$37, MATCH(D2674, Products!$A$2:$A$37, 0))</f>
        <v>Running Shoes Elite</v>
      </c>
      <c r="I2674" t="str">
        <f>INDEX(Products!$C$2:$C$37, MATCH(D2674, Products!$A$2:$A$37, 0))</f>
        <v>Fashion</v>
      </c>
      <c r="J2674">
        <f>INDEX(Products!$E$2:$E$37, MATCH(D2674, Products!$A$2:$A$37, 0))</f>
        <v>300</v>
      </c>
      <c r="K2674" s="9">
        <f t="shared" si="164"/>
        <v>429</v>
      </c>
      <c r="L2674">
        <f t="shared" si="165"/>
        <v>300</v>
      </c>
      <c r="M2674" s="9">
        <f t="shared" si="166"/>
        <v>129</v>
      </c>
      <c r="N2674" t="str">
        <f t="shared" si="167"/>
        <v>Aug</v>
      </c>
    </row>
    <row r="2675" spans="1:14" x14ac:dyDescent="0.3">
      <c r="A2675" s="2" t="s">
        <v>2741</v>
      </c>
      <c r="B2675" s="6">
        <v>45888</v>
      </c>
      <c r="C2675" s="2" t="s">
        <v>48</v>
      </c>
      <c r="D2675" s="2" t="s">
        <v>106</v>
      </c>
      <c r="E2675" s="2">
        <v>2</v>
      </c>
      <c r="F2675" s="7">
        <v>1299</v>
      </c>
      <c r="G2675" s="8">
        <v>0</v>
      </c>
      <c r="H2675" s="9" t="str">
        <f>INDEX(Products!$B$2:$B$37, MATCH(D2675, Products!$A$2:$A$37, 0))</f>
        <v>Smart Watch Series 5</v>
      </c>
      <c r="I2675" t="str">
        <f>INDEX(Products!$C$2:$C$37, MATCH(D2675, Products!$A$2:$A$37, 0))</f>
        <v>Electronics</v>
      </c>
      <c r="J2675">
        <f>INDEX(Products!$E$2:$E$37, MATCH(D2675, Products!$A$2:$A$37, 0))</f>
        <v>820</v>
      </c>
      <c r="K2675" s="9">
        <f t="shared" si="164"/>
        <v>2598</v>
      </c>
      <c r="L2675">
        <f t="shared" si="165"/>
        <v>1640</v>
      </c>
      <c r="M2675" s="9">
        <f t="shared" si="166"/>
        <v>958</v>
      </c>
      <c r="N2675" t="str">
        <f t="shared" si="167"/>
        <v>Aug</v>
      </c>
    </row>
    <row r="2676" spans="1:14" x14ac:dyDescent="0.3">
      <c r="A2676" s="2" t="s">
        <v>2742</v>
      </c>
      <c r="B2676" s="6">
        <v>45888</v>
      </c>
      <c r="C2676" s="2" t="s">
        <v>48</v>
      </c>
      <c r="D2676" s="2" t="s">
        <v>165</v>
      </c>
      <c r="E2676" s="2">
        <v>2</v>
      </c>
      <c r="F2676" s="7">
        <v>69</v>
      </c>
      <c r="G2676" s="8">
        <v>0</v>
      </c>
      <c r="H2676" s="9" t="str">
        <f>INDEX(Products!$B$2:$B$37, MATCH(D2676, Products!$A$2:$A$37, 0))</f>
        <v>Swim Goggles</v>
      </c>
      <c r="I2676" t="str">
        <f>INDEX(Products!$C$2:$C$37, MATCH(D2676, Products!$A$2:$A$37, 0))</f>
        <v>Sports</v>
      </c>
      <c r="J2676">
        <f>INDEX(Products!$E$2:$E$37, MATCH(D2676, Products!$A$2:$A$37, 0))</f>
        <v>25</v>
      </c>
      <c r="K2676" s="9">
        <f t="shared" si="164"/>
        <v>138</v>
      </c>
      <c r="L2676">
        <f t="shared" si="165"/>
        <v>50</v>
      </c>
      <c r="M2676" s="9">
        <f t="shared" si="166"/>
        <v>88</v>
      </c>
      <c r="N2676" t="str">
        <f t="shared" si="167"/>
        <v>Aug</v>
      </c>
    </row>
    <row r="2677" spans="1:14" x14ac:dyDescent="0.3">
      <c r="A2677" s="2" t="s">
        <v>2743</v>
      </c>
      <c r="B2677" s="6">
        <v>45888</v>
      </c>
      <c r="C2677" s="2" t="s">
        <v>31</v>
      </c>
      <c r="D2677" s="2" t="s">
        <v>115</v>
      </c>
      <c r="E2677" s="2">
        <v>1</v>
      </c>
      <c r="F2677" s="7">
        <v>129</v>
      </c>
      <c r="G2677" s="8">
        <v>0.05</v>
      </c>
      <c r="H2677" s="9" t="str">
        <f>INDEX(Products!$B$2:$B$37, MATCH(D2677, Products!$A$2:$A$37, 0))</f>
        <v>Electric Kettle</v>
      </c>
      <c r="I2677" t="str">
        <f>INDEX(Products!$C$2:$C$37, MATCH(D2677, Products!$A$2:$A$37, 0))</f>
        <v>Home &amp; Kitchen</v>
      </c>
      <c r="J2677">
        <f>INDEX(Products!$E$2:$E$37, MATCH(D2677, Products!$A$2:$A$37, 0))</f>
        <v>60</v>
      </c>
      <c r="K2677" s="9">
        <f t="shared" si="164"/>
        <v>122.55</v>
      </c>
      <c r="L2677">
        <f t="shared" si="165"/>
        <v>60</v>
      </c>
      <c r="M2677" s="9">
        <f t="shared" si="166"/>
        <v>62.55</v>
      </c>
      <c r="N2677" t="str">
        <f t="shared" si="167"/>
        <v>Aug</v>
      </c>
    </row>
    <row r="2678" spans="1:14" x14ac:dyDescent="0.3">
      <c r="A2678" s="2" t="s">
        <v>2744</v>
      </c>
      <c r="B2678" s="6">
        <v>45888</v>
      </c>
      <c r="C2678" s="2" t="s">
        <v>28</v>
      </c>
      <c r="D2678" s="2" t="s">
        <v>33</v>
      </c>
      <c r="E2678" s="2">
        <v>4</v>
      </c>
      <c r="F2678" s="7">
        <v>199</v>
      </c>
      <c r="G2678" s="8">
        <v>0.15</v>
      </c>
      <c r="H2678" s="9" t="str">
        <f>INDEX(Products!$B$2:$B$37, MATCH(D2678, Products!$A$2:$A$37, 0))</f>
        <v>Fitness Band Lite</v>
      </c>
      <c r="I2678" t="str">
        <f>INDEX(Products!$C$2:$C$37, MATCH(D2678, Products!$A$2:$A$37, 0))</f>
        <v>Electronics</v>
      </c>
      <c r="J2678">
        <f>INDEX(Products!$E$2:$E$37, MATCH(D2678, Products!$A$2:$A$37, 0))</f>
        <v>175</v>
      </c>
      <c r="K2678" s="9">
        <f t="shared" si="164"/>
        <v>676.6</v>
      </c>
      <c r="L2678">
        <f t="shared" si="165"/>
        <v>700</v>
      </c>
      <c r="M2678" s="9">
        <f t="shared" si="166"/>
        <v>-23.399999999999977</v>
      </c>
      <c r="N2678" t="str">
        <f t="shared" si="167"/>
        <v>Aug</v>
      </c>
    </row>
    <row r="2679" spans="1:14" x14ac:dyDescent="0.3">
      <c r="A2679" s="2" t="s">
        <v>2745</v>
      </c>
      <c r="B2679" s="6">
        <v>45888</v>
      </c>
      <c r="C2679" s="2" t="s">
        <v>41</v>
      </c>
      <c r="D2679" s="2" t="s">
        <v>70</v>
      </c>
      <c r="E2679" s="2">
        <v>1</v>
      </c>
      <c r="F2679" s="7">
        <v>429</v>
      </c>
      <c r="G2679" s="8">
        <v>0.15</v>
      </c>
      <c r="H2679" s="9" t="str">
        <f>INDEX(Products!$B$2:$B$37, MATCH(D2679, Products!$A$2:$A$37, 0))</f>
        <v>Running Shoes Elite</v>
      </c>
      <c r="I2679" t="str">
        <f>INDEX(Products!$C$2:$C$37, MATCH(D2679, Products!$A$2:$A$37, 0))</f>
        <v>Fashion</v>
      </c>
      <c r="J2679">
        <f>INDEX(Products!$E$2:$E$37, MATCH(D2679, Products!$A$2:$A$37, 0))</f>
        <v>300</v>
      </c>
      <c r="K2679" s="9">
        <f t="shared" si="164"/>
        <v>364.65</v>
      </c>
      <c r="L2679">
        <f t="shared" si="165"/>
        <v>300</v>
      </c>
      <c r="M2679" s="9">
        <f t="shared" si="166"/>
        <v>64.649999999999977</v>
      </c>
      <c r="N2679" t="str">
        <f t="shared" si="167"/>
        <v>Aug</v>
      </c>
    </row>
    <row r="2680" spans="1:14" x14ac:dyDescent="0.3">
      <c r="A2680" s="2" t="s">
        <v>2746</v>
      </c>
      <c r="B2680" s="6">
        <v>45889</v>
      </c>
      <c r="C2680" s="2" t="s">
        <v>41</v>
      </c>
      <c r="D2680" s="2" t="s">
        <v>39</v>
      </c>
      <c r="E2680" s="2">
        <v>2</v>
      </c>
      <c r="F2680" s="7">
        <v>199</v>
      </c>
      <c r="G2680" s="8">
        <v>0.05</v>
      </c>
      <c r="H2680" s="9" t="str">
        <f>INDEX(Products!$B$2:$B$37, MATCH(D2680, Products!$A$2:$A$37, 0))</f>
        <v>Bakhoor Gift Set</v>
      </c>
      <c r="I2680" t="str">
        <f>INDEX(Products!$C$2:$C$37, MATCH(D2680, Products!$A$2:$A$37, 0))</f>
        <v>Beauty</v>
      </c>
      <c r="J2680">
        <f>INDEX(Products!$E$2:$E$37, MATCH(D2680, Products!$A$2:$A$37, 0))</f>
        <v>90</v>
      </c>
      <c r="K2680" s="9">
        <f t="shared" si="164"/>
        <v>378.09999999999997</v>
      </c>
      <c r="L2680">
        <f t="shared" si="165"/>
        <v>180</v>
      </c>
      <c r="M2680" s="9">
        <f t="shared" si="166"/>
        <v>198.09999999999997</v>
      </c>
      <c r="N2680" t="str">
        <f t="shared" si="167"/>
        <v>Aug</v>
      </c>
    </row>
    <row r="2681" spans="1:14" x14ac:dyDescent="0.3">
      <c r="A2681" s="2" t="s">
        <v>2747</v>
      </c>
      <c r="B2681" s="6">
        <v>45889</v>
      </c>
      <c r="C2681" s="2" t="s">
        <v>31</v>
      </c>
      <c r="D2681" s="2" t="s">
        <v>194</v>
      </c>
      <c r="E2681" s="2">
        <v>3</v>
      </c>
      <c r="F2681" s="7">
        <v>699</v>
      </c>
      <c r="G2681" s="8">
        <v>0.1</v>
      </c>
      <c r="H2681" s="9" t="str">
        <f>INDEX(Products!$B$2:$B$37, MATCH(D2681, Products!$A$2:$A$37, 0))</f>
        <v>Leather Handbag</v>
      </c>
      <c r="I2681" t="str">
        <f>INDEX(Products!$C$2:$C$37, MATCH(D2681, Products!$A$2:$A$37, 0))</f>
        <v>Fashion</v>
      </c>
      <c r="J2681">
        <f>INDEX(Products!$E$2:$E$37, MATCH(D2681, Products!$A$2:$A$37, 0))</f>
        <v>380</v>
      </c>
      <c r="K2681" s="9">
        <f t="shared" si="164"/>
        <v>1887.3</v>
      </c>
      <c r="L2681">
        <f t="shared" si="165"/>
        <v>1140</v>
      </c>
      <c r="M2681" s="9">
        <f t="shared" si="166"/>
        <v>747.3</v>
      </c>
      <c r="N2681" t="str">
        <f t="shared" si="167"/>
        <v>Aug</v>
      </c>
    </row>
    <row r="2682" spans="1:14" x14ac:dyDescent="0.3">
      <c r="A2682" s="2" t="s">
        <v>2748</v>
      </c>
      <c r="B2682" s="6">
        <v>45889</v>
      </c>
      <c r="C2682" s="2" t="s">
        <v>31</v>
      </c>
      <c r="D2682" s="2" t="s">
        <v>49</v>
      </c>
      <c r="E2682" s="2">
        <v>1</v>
      </c>
      <c r="F2682" s="7">
        <v>149</v>
      </c>
      <c r="G2682" s="8">
        <v>0.1</v>
      </c>
      <c r="H2682" s="9" t="str">
        <f>INDEX(Products!$B$2:$B$37, MATCH(D2682, Products!$A$2:$A$37, 0))</f>
        <v>Kids' Sneakers</v>
      </c>
      <c r="I2682" t="str">
        <f>INDEX(Products!$C$2:$C$37, MATCH(D2682, Products!$A$2:$A$37, 0))</f>
        <v>Fashion</v>
      </c>
      <c r="J2682">
        <f>INDEX(Products!$E$2:$E$37, MATCH(D2682, Products!$A$2:$A$37, 0))</f>
        <v>80</v>
      </c>
      <c r="K2682" s="9">
        <f t="shared" si="164"/>
        <v>134.1</v>
      </c>
      <c r="L2682">
        <f t="shared" si="165"/>
        <v>80</v>
      </c>
      <c r="M2682" s="9">
        <f t="shared" si="166"/>
        <v>54.099999999999994</v>
      </c>
      <c r="N2682" t="str">
        <f t="shared" si="167"/>
        <v>Aug</v>
      </c>
    </row>
    <row r="2683" spans="1:14" x14ac:dyDescent="0.3">
      <c r="A2683" s="2" t="s">
        <v>2749</v>
      </c>
      <c r="B2683" s="6">
        <v>45889</v>
      </c>
      <c r="C2683" s="2" t="s">
        <v>44</v>
      </c>
      <c r="D2683" s="2" t="s">
        <v>35</v>
      </c>
      <c r="E2683" s="2">
        <v>1</v>
      </c>
      <c r="F2683" s="7">
        <v>179</v>
      </c>
      <c r="G2683" s="8">
        <v>0.2</v>
      </c>
      <c r="H2683" s="9" t="str">
        <f>INDEX(Products!$B$2:$B$37, MATCH(D2683, Products!$A$2:$A$37, 0))</f>
        <v>Men's Linen Shirt</v>
      </c>
      <c r="I2683" t="str">
        <f>INDEX(Products!$C$2:$C$37, MATCH(D2683, Products!$A$2:$A$37, 0))</f>
        <v>Fashion</v>
      </c>
      <c r="J2683">
        <f>INDEX(Products!$E$2:$E$37, MATCH(D2683, Products!$A$2:$A$37, 0))</f>
        <v>70</v>
      </c>
      <c r="K2683" s="9">
        <f t="shared" si="164"/>
        <v>143.20000000000002</v>
      </c>
      <c r="L2683">
        <f t="shared" si="165"/>
        <v>70</v>
      </c>
      <c r="M2683" s="9">
        <f t="shared" si="166"/>
        <v>73.200000000000017</v>
      </c>
      <c r="N2683" t="str">
        <f t="shared" si="167"/>
        <v>Aug</v>
      </c>
    </row>
    <row r="2684" spans="1:14" x14ac:dyDescent="0.3">
      <c r="A2684" s="2" t="s">
        <v>2750</v>
      </c>
      <c r="B2684" s="6">
        <v>45889</v>
      </c>
      <c r="C2684" s="2" t="s">
        <v>41</v>
      </c>
      <c r="D2684" s="2" t="s">
        <v>49</v>
      </c>
      <c r="E2684" s="2">
        <v>1</v>
      </c>
      <c r="F2684" s="7">
        <v>149</v>
      </c>
      <c r="G2684" s="8">
        <v>0</v>
      </c>
      <c r="H2684" s="9" t="str">
        <f>INDEX(Products!$B$2:$B$37, MATCH(D2684, Products!$A$2:$A$37, 0))</f>
        <v>Kids' Sneakers</v>
      </c>
      <c r="I2684" t="str">
        <f>INDEX(Products!$C$2:$C$37, MATCH(D2684, Products!$A$2:$A$37, 0))</f>
        <v>Fashion</v>
      </c>
      <c r="J2684">
        <f>INDEX(Products!$E$2:$E$37, MATCH(D2684, Products!$A$2:$A$37, 0))</f>
        <v>80</v>
      </c>
      <c r="K2684" s="9">
        <f t="shared" si="164"/>
        <v>149</v>
      </c>
      <c r="L2684">
        <f t="shared" si="165"/>
        <v>80</v>
      </c>
      <c r="M2684" s="9">
        <f t="shared" si="166"/>
        <v>69</v>
      </c>
      <c r="N2684" t="str">
        <f t="shared" si="167"/>
        <v>Aug</v>
      </c>
    </row>
    <row r="2685" spans="1:14" x14ac:dyDescent="0.3">
      <c r="A2685" s="2" t="s">
        <v>2751</v>
      </c>
      <c r="B2685" s="6">
        <v>45889</v>
      </c>
      <c r="C2685" s="2" t="s">
        <v>31</v>
      </c>
      <c r="D2685" s="2" t="s">
        <v>89</v>
      </c>
      <c r="E2685" s="2">
        <v>4</v>
      </c>
      <c r="F2685" s="7">
        <v>399</v>
      </c>
      <c r="G2685" s="8">
        <v>0.15</v>
      </c>
      <c r="H2685" s="9" t="str">
        <f>INDEX(Products!$B$2:$B$37, MATCH(D2685, Products!$A$2:$A$37, 0))</f>
        <v>Men's Kandura Premium</v>
      </c>
      <c r="I2685" t="str">
        <f>INDEX(Products!$C$2:$C$37, MATCH(D2685, Products!$A$2:$A$37, 0))</f>
        <v>Fashion</v>
      </c>
      <c r="J2685">
        <f>INDEX(Products!$E$2:$E$37, MATCH(D2685, Products!$A$2:$A$37, 0))</f>
        <v>210</v>
      </c>
      <c r="K2685" s="9">
        <f t="shared" si="164"/>
        <v>1356.6</v>
      </c>
      <c r="L2685">
        <f t="shared" si="165"/>
        <v>840</v>
      </c>
      <c r="M2685" s="9">
        <f t="shared" si="166"/>
        <v>516.59999999999991</v>
      </c>
      <c r="N2685" t="str">
        <f t="shared" si="167"/>
        <v>Aug</v>
      </c>
    </row>
    <row r="2686" spans="1:14" x14ac:dyDescent="0.3">
      <c r="A2686" s="2" t="s">
        <v>2752</v>
      </c>
      <c r="B2686" s="6">
        <v>45889</v>
      </c>
      <c r="C2686" s="2" t="s">
        <v>28</v>
      </c>
      <c r="D2686" s="2" t="s">
        <v>60</v>
      </c>
      <c r="E2686" s="2">
        <v>2</v>
      </c>
      <c r="F2686" s="7">
        <v>99</v>
      </c>
      <c r="G2686" s="8">
        <v>0</v>
      </c>
      <c r="H2686" s="9" t="str">
        <f>INDEX(Products!$B$2:$B$37, MATCH(D2686, Products!$A$2:$A$37, 0))</f>
        <v>Football Size 5</v>
      </c>
      <c r="I2686" t="str">
        <f>INDEX(Products!$C$2:$C$37, MATCH(D2686, Products!$A$2:$A$37, 0))</f>
        <v>Sports</v>
      </c>
      <c r="J2686">
        <f>INDEX(Products!$E$2:$E$37, MATCH(D2686, Products!$A$2:$A$37, 0))</f>
        <v>45</v>
      </c>
      <c r="K2686" s="9">
        <f t="shared" si="164"/>
        <v>198</v>
      </c>
      <c r="L2686">
        <f t="shared" si="165"/>
        <v>90</v>
      </c>
      <c r="M2686" s="9">
        <f t="shared" si="166"/>
        <v>108</v>
      </c>
      <c r="N2686" t="str">
        <f t="shared" si="167"/>
        <v>Aug</v>
      </c>
    </row>
    <row r="2687" spans="1:14" x14ac:dyDescent="0.3">
      <c r="A2687" s="2" t="s">
        <v>2753</v>
      </c>
      <c r="B2687" s="6">
        <v>45889</v>
      </c>
      <c r="C2687" s="2" t="s">
        <v>48</v>
      </c>
      <c r="D2687" s="2" t="s">
        <v>78</v>
      </c>
      <c r="E2687" s="2">
        <v>3</v>
      </c>
      <c r="F2687" s="7">
        <v>499</v>
      </c>
      <c r="G2687" s="8">
        <v>0.2</v>
      </c>
      <c r="H2687" s="9" t="str">
        <f>INDEX(Products!$B$2:$B$37, MATCH(D2687, Products!$A$2:$A$37, 0))</f>
        <v>Air Fryer 5L</v>
      </c>
      <c r="I2687" t="str">
        <f>INDEX(Products!$C$2:$C$37, MATCH(D2687, Products!$A$2:$A$37, 0))</f>
        <v>Home &amp; Kitchen</v>
      </c>
      <c r="J2687">
        <f>INDEX(Products!$E$2:$E$37, MATCH(D2687, Products!$A$2:$A$37, 0))</f>
        <v>290</v>
      </c>
      <c r="K2687" s="9">
        <f t="shared" si="164"/>
        <v>1197.6000000000001</v>
      </c>
      <c r="L2687">
        <f t="shared" si="165"/>
        <v>870</v>
      </c>
      <c r="M2687" s="9">
        <f t="shared" si="166"/>
        <v>327.60000000000014</v>
      </c>
      <c r="N2687" t="str">
        <f t="shared" si="167"/>
        <v>Aug</v>
      </c>
    </row>
    <row r="2688" spans="1:14" x14ac:dyDescent="0.3">
      <c r="A2688" s="2" t="s">
        <v>2754</v>
      </c>
      <c r="B2688" s="6">
        <v>45889</v>
      </c>
      <c r="C2688" s="2" t="s">
        <v>28</v>
      </c>
      <c r="D2688" s="2" t="s">
        <v>89</v>
      </c>
      <c r="E2688" s="2">
        <v>2</v>
      </c>
      <c r="F2688" s="7">
        <v>399</v>
      </c>
      <c r="G2688" s="8">
        <v>0.1</v>
      </c>
      <c r="H2688" s="9" t="str">
        <f>INDEX(Products!$B$2:$B$37, MATCH(D2688, Products!$A$2:$A$37, 0))</f>
        <v>Men's Kandura Premium</v>
      </c>
      <c r="I2688" t="str">
        <f>INDEX(Products!$C$2:$C$37, MATCH(D2688, Products!$A$2:$A$37, 0))</f>
        <v>Fashion</v>
      </c>
      <c r="J2688">
        <f>INDEX(Products!$E$2:$E$37, MATCH(D2688, Products!$A$2:$A$37, 0))</f>
        <v>210</v>
      </c>
      <c r="K2688" s="9">
        <f t="shared" si="164"/>
        <v>718.2</v>
      </c>
      <c r="L2688">
        <f t="shared" si="165"/>
        <v>420</v>
      </c>
      <c r="M2688" s="9">
        <f t="shared" si="166"/>
        <v>298.20000000000005</v>
      </c>
      <c r="N2688" t="str">
        <f t="shared" si="167"/>
        <v>Aug</v>
      </c>
    </row>
    <row r="2689" spans="1:14" x14ac:dyDescent="0.3">
      <c r="A2689" s="2" t="s">
        <v>2755</v>
      </c>
      <c r="B2689" s="6">
        <v>45889</v>
      </c>
      <c r="C2689" s="2" t="s">
        <v>28</v>
      </c>
      <c r="D2689" s="2" t="s">
        <v>83</v>
      </c>
      <c r="E2689" s="2">
        <v>2</v>
      </c>
      <c r="F2689" s="7">
        <v>229</v>
      </c>
      <c r="G2689" s="8">
        <v>0.2</v>
      </c>
      <c r="H2689" s="9" t="str">
        <f>INDEX(Products!$B$2:$B$37, MATCH(D2689, Products!$A$2:$A$37, 0))</f>
        <v>Cycling Helmet</v>
      </c>
      <c r="I2689" t="str">
        <f>INDEX(Products!$C$2:$C$37, MATCH(D2689, Products!$A$2:$A$37, 0))</f>
        <v>Sports</v>
      </c>
      <c r="J2689">
        <f>INDEX(Products!$E$2:$E$37, MATCH(D2689, Products!$A$2:$A$37, 0))</f>
        <v>120</v>
      </c>
      <c r="K2689" s="9">
        <f t="shared" si="164"/>
        <v>366.40000000000003</v>
      </c>
      <c r="L2689">
        <f t="shared" si="165"/>
        <v>240</v>
      </c>
      <c r="M2689" s="9">
        <f t="shared" si="166"/>
        <v>126.40000000000003</v>
      </c>
      <c r="N2689" t="str">
        <f t="shared" si="167"/>
        <v>Aug</v>
      </c>
    </row>
    <row r="2690" spans="1:14" x14ac:dyDescent="0.3">
      <c r="A2690" s="2" t="s">
        <v>2756</v>
      </c>
      <c r="B2690" s="6">
        <v>45889</v>
      </c>
      <c r="C2690" s="2" t="s">
        <v>44</v>
      </c>
      <c r="D2690" s="2" t="s">
        <v>42</v>
      </c>
      <c r="E2690" s="2">
        <v>2</v>
      </c>
      <c r="F2690" s="7">
        <v>399</v>
      </c>
      <c r="G2690" s="8">
        <v>0.2</v>
      </c>
      <c r="H2690" s="9" t="str">
        <f>INDEX(Products!$B$2:$B$37, MATCH(D2690, Products!$A$2:$A$37, 0))</f>
        <v>Wireless Earbuds Pro</v>
      </c>
      <c r="I2690" t="str">
        <f>INDEX(Products!$C$2:$C$37, MATCH(D2690, Products!$A$2:$A$37, 0))</f>
        <v>Electronics</v>
      </c>
      <c r="J2690">
        <f>INDEX(Products!$E$2:$E$37, MATCH(D2690, Products!$A$2:$A$37, 0))</f>
        <v>230</v>
      </c>
      <c r="K2690" s="9">
        <f t="shared" ref="K2690:K2753" si="168">E2690*F2690*(1-G2690)</f>
        <v>638.40000000000009</v>
      </c>
      <c r="L2690">
        <f t="shared" ref="L2690:L2753" si="169">E2690*J2690</f>
        <v>460</v>
      </c>
      <c r="M2690" s="9">
        <f t="shared" ref="M2690:M2753" si="170">K2690-L2690</f>
        <v>178.40000000000009</v>
      </c>
      <c r="N2690" t="str">
        <f t="shared" ref="N2690:N2753" si="171">TEXT(B2690,"mmm")</f>
        <v>Aug</v>
      </c>
    </row>
    <row r="2691" spans="1:14" x14ac:dyDescent="0.3">
      <c r="A2691" s="2" t="s">
        <v>2757</v>
      </c>
      <c r="B2691" s="6">
        <v>45889</v>
      </c>
      <c r="C2691" s="2" t="s">
        <v>41</v>
      </c>
      <c r="D2691" s="2" t="s">
        <v>70</v>
      </c>
      <c r="E2691" s="2">
        <v>1</v>
      </c>
      <c r="F2691" s="7">
        <v>429</v>
      </c>
      <c r="G2691" s="8">
        <v>0.05</v>
      </c>
      <c r="H2691" s="9" t="str">
        <f>INDEX(Products!$B$2:$B$37, MATCH(D2691, Products!$A$2:$A$37, 0))</f>
        <v>Running Shoes Elite</v>
      </c>
      <c r="I2691" t="str">
        <f>INDEX(Products!$C$2:$C$37, MATCH(D2691, Products!$A$2:$A$37, 0))</f>
        <v>Fashion</v>
      </c>
      <c r="J2691">
        <f>INDEX(Products!$E$2:$E$37, MATCH(D2691, Products!$A$2:$A$37, 0))</f>
        <v>300</v>
      </c>
      <c r="K2691" s="9">
        <f t="shared" si="168"/>
        <v>407.54999999999995</v>
      </c>
      <c r="L2691">
        <f t="shared" si="169"/>
        <v>300</v>
      </c>
      <c r="M2691" s="9">
        <f t="shared" si="170"/>
        <v>107.54999999999995</v>
      </c>
      <c r="N2691" t="str">
        <f t="shared" si="171"/>
        <v>Aug</v>
      </c>
    </row>
    <row r="2692" spans="1:14" x14ac:dyDescent="0.3">
      <c r="A2692" s="2" t="s">
        <v>2758</v>
      </c>
      <c r="B2692" s="6">
        <v>45889</v>
      </c>
      <c r="C2692" s="2" t="s">
        <v>44</v>
      </c>
      <c r="D2692" s="2" t="s">
        <v>113</v>
      </c>
      <c r="E2692" s="2">
        <v>1</v>
      </c>
      <c r="F2692" s="7">
        <v>1199</v>
      </c>
      <c r="G2692" s="8">
        <v>0.25</v>
      </c>
      <c r="H2692" s="9" t="str">
        <f>INDEX(Products!$B$2:$B$37, MATCH(D2692, Products!$A$2:$A$37, 0))</f>
        <v>Robot Vacuum S3</v>
      </c>
      <c r="I2692" t="str">
        <f>INDEX(Products!$C$2:$C$37, MATCH(D2692, Products!$A$2:$A$37, 0))</f>
        <v>Home &amp; Kitchen</v>
      </c>
      <c r="J2692">
        <f>INDEX(Products!$E$2:$E$37, MATCH(D2692, Products!$A$2:$A$37, 0))</f>
        <v>1080</v>
      </c>
      <c r="K2692" s="9">
        <f t="shared" si="168"/>
        <v>899.25</v>
      </c>
      <c r="L2692">
        <f t="shared" si="169"/>
        <v>1080</v>
      </c>
      <c r="M2692" s="9">
        <f t="shared" si="170"/>
        <v>-180.75</v>
      </c>
      <c r="N2692" t="str">
        <f t="shared" si="171"/>
        <v>Aug</v>
      </c>
    </row>
    <row r="2693" spans="1:14" x14ac:dyDescent="0.3">
      <c r="A2693" s="2" t="s">
        <v>2759</v>
      </c>
      <c r="B2693" s="6">
        <v>45889</v>
      </c>
      <c r="C2693" s="2" t="s">
        <v>41</v>
      </c>
      <c r="D2693" s="2" t="s">
        <v>113</v>
      </c>
      <c r="E2693" s="2">
        <v>1</v>
      </c>
      <c r="F2693" s="7">
        <v>1199</v>
      </c>
      <c r="G2693" s="8">
        <v>0.2</v>
      </c>
      <c r="H2693" s="9" t="str">
        <f>INDEX(Products!$B$2:$B$37, MATCH(D2693, Products!$A$2:$A$37, 0))</f>
        <v>Robot Vacuum S3</v>
      </c>
      <c r="I2693" t="str">
        <f>INDEX(Products!$C$2:$C$37, MATCH(D2693, Products!$A$2:$A$37, 0))</f>
        <v>Home &amp; Kitchen</v>
      </c>
      <c r="J2693">
        <f>INDEX(Products!$E$2:$E$37, MATCH(D2693, Products!$A$2:$A$37, 0))</f>
        <v>1080</v>
      </c>
      <c r="K2693" s="9">
        <f t="shared" si="168"/>
        <v>959.2</v>
      </c>
      <c r="L2693">
        <f t="shared" si="169"/>
        <v>1080</v>
      </c>
      <c r="M2693" s="9">
        <f t="shared" si="170"/>
        <v>-120.79999999999995</v>
      </c>
      <c r="N2693" t="str">
        <f t="shared" si="171"/>
        <v>Aug</v>
      </c>
    </row>
    <row r="2694" spans="1:14" x14ac:dyDescent="0.3">
      <c r="A2694" s="2" t="s">
        <v>2760</v>
      </c>
      <c r="B2694" s="6">
        <v>45890</v>
      </c>
      <c r="C2694" s="2" t="s">
        <v>41</v>
      </c>
      <c r="D2694" s="2" t="s">
        <v>126</v>
      </c>
      <c r="E2694" s="2">
        <v>1</v>
      </c>
      <c r="F2694" s="7">
        <v>89</v>
      </c>
      <c r="G2694" s="8">
        <v>0.05</v>
      </c>
      <c r="H2694" s="9" t="str">
        <f>INDEX(Products!$B$2:$B$37, MATCH(D2694, Products!$A$2:$A$37, 0))</f>
        <v>USB-C Fast Charger</v>
      </c>
      <c r="I2694" t="str">
        <f>INDEX(Products!$C$2:$C$37, MATCH(D2694, Products!$A$2:$A$37, 0))</f>
        <v>Electronics</v>
      </c>
      <c r="J2694">
        <f>INDEX(Products!$E$2:$E$37, MATCH(D2694, Products!$A$2:$A$37, 0))</f>
        <v>35</v>
      </c>
      <c r="K2694" s="9">
        <f t="shared" si="168"/>
        <v>84.55</v>
      </c>
      <c r="L2694">
        <f t="shared" si="169"/>
        <v>35</v>
      </c>
      <c r="M2694" s="9">
        <f t="shared" si="170"/>
        <v>49.55</v>
      </c>
      <c r="N2694" t="str">
        <f t="shared" si="171"/>
        <v>Aug</v>
      </c>
    </row>
    <row r="2695" spans="1:14" x14ac:dyDescent="0.3">
      <c r="A2695" s="2" t="s">
        <v>2761</v>
      </c>
      <c r="B2695" s="6">
        <v>45890</v>
      </c>
      <c r="C2695" s="2" t="s">
        <v>28</v>
      </c>
      <c r="D2695" s="2" t="s">
        <v>39</v>
      </c>
      <c r="E2695" s="2">
        <v>1</v>
      </c>
      <c r="F2695" s="7">
        <v>199</v>
      </c>
      <c r="G2695" s="8">
        <v>0.05</v>
      </c>
      <c r="H2695" s="9" t="str">
        <f>INDEX(Products!$B$2:$B$37, MATCH(D2695, Products!$A$2:$A$37, 0))</f>
        <v>Bakhoor Gift Set</v>
      </c>
      <c r="I2695" t="str">
        <f>INDEX(Products!$C$2:$C$37, MATCH(D2695, Products!$A$2:$A$37, 0))</f>
        <v>Beauty</v>
      </c>
      <c r="J2695">
        <f>INDEX(Products!$E$2:$E$37, MATCH(D2695, Products!$A$2:$A$37, 0))</f>
        <v>90</v>
      </c>
      <c r="K2695" s="9">
        <f t="shared" si="168"/>
        <v>189.04999999999998</v>
      </c>
      <c r="L2695">
        <f t="shared" si="169"/>
        <v>90</v>
      </c>
      <c r="M2695" s="9">
        <f t="shared" si="170"/>
        <v>99.049999999999983</v>
      </c>
      <c r="N2695" t="str">
        <f t="shared" si="171"/>
        <v>Aug</v>
      </c>
    </row>
    <row r="2696" spans="1:14" x14ac:dyDescent="0.3">
      <c r="A2696" s="2" t="s">
        <v>2762</v>
      </c>
      <c r="B2696" s="6">
        <v>45890</v>
      </c>
      <c r="C2696" s="2" t="s">
        <v>28</v>
      </c>
      <c r="D2696" s="2" t="s">
        <v>68</v>
      </c>
      <c r="E2696" s="2">
        <v>1</v>
      </c>
      <c r="F2696" s="7">
        <v>249</v>
      </c>
      <c r="G2696" s="8">
        <v>0</v>
      </c>
      <c r="H2696" s="9" t="str">
        <f>INDEX(Products!$B$2:$B$37, MATCH(D2696, Products!$A$2:$A$37, 0))</f>
        <v>Bluetooth Speaker Mini</v>
      </c>
      <c r="I2696" t="str">
        <f>INDEX(Products!$C$2:$C$37, MATCH(D2696, Products!$A$2:$A$37, 0))</f>
        <v>Electronics</v>
      </c>
      <c r="J2696">
        <f>INDEX(Products!$E$2:$E$37, MATCH(D2696, Products!$A$2:$A$37, 0))</f>
        <v>150</v>
      </c>
      <c r="K2696" s="9">
        <f t="shared" si="168"/>
        <v>249</v>
      </c>
      <c r="L2696">
        <f t="shared" si="169"/>
        <v>150</v>
      </c>
      <c r="M2696" s="9">
        <f t="shared" si="170"/>
        <v>99</v>
      </c>
      <c r="N2696" t="str">
        <f t="shared" si="171"/>
        <v>Aug</v>
      </c>
    </row>
    <row r="2697" spans="1:14" x14ac:dyDescent="0.3">
      <c r="A2697" s="2" t="s">
        <v>2763</v>
      </c>
      <c r="B2697" s="6">
        <v>45890</v>
      </c>
      <c r="C2697" s="2" t="s">
        <v>41</v>
      </c>
      <c r="D2697" s="2" t="s">
        <v>58</v>
      </c>
      <c r="E2697" s="2">
        <v>3</v>
      </c>
      <c r="F2697" s="7">
        <v>459</v>
      </c>
      <c r="G2697" s="8">
        <v>0</v>
      </c>
      <c r="H2697" s="9" t="str">
        <f>INDEX(Products!$B$2:$B$37, MATCH(D2697, Products!$A$2:$A$37, 0))</f>
        <v>Women's Abaya Classic</v>
      </c>
      <c r="I2697" t="str">
        <f>INDEX(Products!$C$2:$C$37, MATCH(D2697, Products!$A$2:$A$37, 0))</f>
        <v>Fashion</v>
      </c>
      <c r="J2697">
        <f>INDEX(Products!$E$2:$E$37, MATCH(D2697, Products!$A$2:$A$37, 0))</f>
        <v>190</v>
      </c>
      <c r="K2697" s="9">
        <f t="shared" si="168"/>
        <v>1377</v>
      </c>
      <c r="L2697">
        <f t="shared" si="169"/>
        <v>570</v>
      </c>
      <c r="M2697" s="9">
        <f t="shared" si="170"/>
        <v>807</v>
      </c>
      <c r="N2697" t="str">
        <f t="shared" si="171"/>
        <v>Aug</v>
      </c>
    </row>
    <row r="2698" spans="1:14" x14ac:dyDescent="0.3">
      <c r="A2698" s="2" t="s">
        <v>2764</v>
      </c>
      <c r="B2698" s="6">
        <v>45890</v>
      </c>
      <c r="C2698" s="2" t="s">
        <v>28</v>
      </c>
      <c r="D2698" s="2" t="s">
        <v>78</v>
      </c>
      <c r="E2698" s="2">
        <v>1</v>
      </c>
      <c r="F2698" s="7">
        <v>499</v>
      </c>
      <c r="G2698" s="8">
        <v>0.05</v>
      </c>
      <c r="H2698" s="9" t="str">
        <f>INDEX(Products!$B$2:$B$37, MATCH(D2698, Products!$A$2:$A$37, 0))</f>
        <v>Air Fryer 5L</v>
      </c>
      <c r="I2698" t="str">
        <f>INDEX(Products!$C$2:$C$37, MATCH(D2698, Products!$A$2:$A$37, 0))</f>
        <v>Home &amp; Kitchen</v>
      </c>
      <c r="J2698">
        <f>INDEX(Products!$E$2:$E$37, MATCH(D2698, Products!$A$2:$A$37, 0))</f>
        <v>290</v>
      </c>
      <c r="K2698" s="9">
        <f t="shared" si="168"/>
        <v>474.04999999999995</v>
      </c>
      <c r="L2698">
        <f t="shared" si="169"/>
        <v>290</v>
      </c>
      <c r="M2698" s="9">
        <f t="shared" si="170"/>
        <v>184.04999999999995</v>
      </c>
      <c r="N2698" t="str">
        <f t="shared" si="171"/>
        <v>Aug</v>
      </c>
    </row>
    <row r="2699" spans="1:14" x14ac:dyDescent="0.3">
      <c r="A2699" s="2" t="s">
        <v>2765</v>
      </c>
      <c r="B2699" s="6">
        <v>45890</v>
      </c>
      <c r="C2699" s="2" t="s">
        <v>48</v>
      </c>
      <c r="D2699" s="2" t="s">
        <v>68</v>
      </c>
      <c r="E2699" s="2">
        <v>1</v>
      </c>
      <c r="F2699" s="7">
        <v>249</v>
      </c>
      <c r="G2699" s="8">
        <v>0</v>
      </c>
      <c r="H2699" s="9" t="str">
        <f>INDEX(Products!$B$2:$B$37, MATCH(D2699, Products!$A$2:$A$37, 0))</f>
        <v>Bluetooth Speaker Mini</v>
      </c>
      <c r="I2699" t="str">
        <f>INDEX(Products!$C$2:$C$37, MATCH(D2699, Products!$A$2:$A$37, 0))</f>
        <v>Electronics</v>
      </c>
      <c r="J2699">
        <f>INDEX(Products!$E$2:$E$37, MATCH(D2699, Products!$A$2:$A$37, 0))</f>
        <v>150</v>
      </c>
      <c r="K2699" s="9">
        <f t="shared" si="168"/>
        <v>249</v>
      </c>
      <c r="L2699">
        <f t="shared" si="169"/>
        <v>150</v>
      </c>
      <c r="M2699" s="9">
        <f t="shared" si="170"/>
        <v>99</v>
      </c>
      <c r="N2699" t="str">
        <f t="shared" si="171"/>
        <v>Aug</v>
      </c>
    </row>
    <row r="2700" spans="1:14" x14ac:dyDescent="0.3">
      <c r="A2700" s="2" t="s">
        <v>2766</v>
      </c>
      <c r="B2700" s="6">
        <v>45890</v>
      </c>
      <c r="C2700" s="2" t="s">
        <v>41</v>
      </c>
      <c r="D2700" s="2" t="s">
        <v>35</v>
      </c>
      <c r="E2700" s="2">
        <v>1</v>
      </c>
      <c r="F2700" s="7">
        <v>179</v>
      </c>
      <c r="G2700" s="8">
        <v>0.1</v>
      </c>
      <c r="H2700" s="9" t="str">
        <f>INDEX(Products!$B$2:$B$37, MATCH(D2700, Products!$A$2:$A$37, 0))</f>
        <v>Men's Linen Shirt</v>
      </c>
      <c r="I2700" t="str">
        <f>INDEX(Products!$C$2:$C$37, MATCH(D2700, Products!$A$2:$A$37, 0))</f>
        <v>Fashion</v>
      </c>
      <c r="J2700">
        <f>INDEX(Products!$E$2:$E$37, MATCH(D2700, Products!$A$2:$A$37, 0))</f>
        <v>70</v>
      </c>
      <c r="K2700" s="9">
        <f t="shared" si="168"/>
        <v>161.1</v>
      </c>
      <c r="L2700">
        <f t="shared" si="169"/>
        <v>70</v>
      </c>
      <c r="M2700" s="9">
        <f t="shared" si="170"/>
        <v>91.1</v>
      </c>
      <c r="N2700" t="str">
        <f t="shared" si="171"/>
        <v>Aug</v>
      </c>
    </row>
    <row r="2701" spans="1:14" x14ac:dyDescent="0.3">
      <c r="A2701" s="2" t="s">
        <v>2767</v>
      </c>
      <c r="B2701" s="6">
        <v>45890</v>
      </c>
      <c r="C2701" s="2" t="s">
        <v>28</v>
      </c>
      <c r="D2701" s="2" t="s">
        <v>126</v>
      </c>
      <c r="E2701" s="2">
        <v>1</v>
      </c>
      <c r="F2701" s="7">
        <v>89</v>
      </c>
      <c r="G2701" s="8">
        <v>0.1</v>
      </c>
      <c r="H2701" s="9" t="str">
        <f>INDEX(Products!$B$2:$B$37, MATCH(D2701, Products!$A$2:$A$37, 0))</f>
        <v>USB-C Fast Charger</v>
      </c>
      <c r="I2701" t="str">
        <f>INDEX(Products!$C$2:$C$37, MATCH(D2701, Products!$A$2:$A$37, 0))</f>
        <v>Electronics</v>
      </c>
      <c r="J2701">
        <f>INDEX(Products!$E$2:$E$37, MATCH(D2701, Products!$A$2:$A$37, 0))</f>
        <v>35</v>
      </c>
      <c r="K2701" s="9">
        <f t="shared" si="168"/>
        <v>80.100000000000009</v>
      </c>
      <c r="L2701">
        <f t="shared" si="169"/>
        <v>35</v>
      </c>
      <c r="M2701" s="9">
        <f t="shared" si="170"/>
        <v>45.100000000000009</v>
      </c>
      <c r="N2701" t="str">
        <f t="shared" si="171"/>
        <v>Aug</v>
      </c>
    </row>
    <row r="2702" spans="1:14" x14ac:dyDescent="0.3">
      <c r="A2702" s="2" t="s">
        <v>2768</v>
      </c>
      <c r="B2702" s="6">
        <v>45890</v>
      </c>
      <c r="C2702" s="2" t="s">
        <v>41</v>
      </c>
      <c r="D2702" s="2" t="s">
        <v>131</v>
      </c>
      <c r="E2702" s="2">
        <v>2</v>
      </c>
      <c r="F2702" s="7">
        <v>899</v>
      </c>
      <c r="G2702" s="8">
        <v>0.2</v>
      </c>
      <c r="H2702" s="9" t="str">
        <f>INDEX(Products!$B$2:$B$37, MATCH(D2702, Products!$A$2:$A$37, 0))</f>
        <v>4K Action Camera</v>
      </c>
      <c r="I2702" t="str">
        <f>INDEX(Products!$C$2:$C$37, MATCH(D2702, Products!$A$2:$A$37, 0))</f>
        <v>Electronics</v>
      </c>
      <c r="J2702">
        <f>INDEX(Products!$E$2:$E$37, MATCH(D2702, Products!$A$2:$A$37, 0))</f>
        <v>610</v>
      </c>
      <c r="K2702" s="9">
        <f t="shared" si="168"/>
        <v>1438.4</v>
      </c>
      <c r="L2702">
        <f t="shared" si="169"/>
        <v>1220</v>
      </c>
      <c r="M2702" s="9">
        <f t="shared" si="170"/>
        <v>218.40000000000009</v>
      </c>
      <c r="N2702" t="str">
        <f t="shared" si="171"/>
        <v>Aug</v>
      </c>
    </row>
    <row r="2703" spans="1:14" x14ac:dyDescent="0.3">
      <c r="A2703" s="2" t="s">
        <v>2769</v>
      </c>
      <c r="B2703" s="6">
        <v>45890</v>
      </c>
      <c r="C2703" s="2" t="s">
        <v>41</v>
      </c>
      <c r="D2703" s="2" t="s">
        <v>129</v>
      </c>
      <c r="E2703" s="2">
        <v>3</v>
      </c>
      <c r="F2703" s="7">
        <v>149</v>
      </c>
      <c r="G2703" s="8">
        <v>0</v>
      </c>
      <c r="H2703" s="9" t="str">
        <f>INDEX(Products!$B$2:$B$37, MATCH(D2703, Products!$A$2:$A$37, 0))</f>
        <v>Power Bank 20000mAh</v>
      </c>
      <c r="I2703" t="str">
        <f>INDEX(Products!$C$2:$C$37, MATCH(D2703, Products!$A$2:$A$37, 0))</f>
        <v>Electronics</v>
      </c>
      <c r="J2703">
        <f>INDEX(Products!$E$2:$E$37, MATCH(D2703, Products!$A$2:$A$37, 0))</f>
        <v>70</v>
      </c>
      <c r="K2703" s="9">
        <f t="shared" si="168"/>
        <v>447</v>
      </c>
      <c r="L2703">
        <f t="shared" si="169"/>
        <v>210</v>
      </c>
      <c r="M2703" s="9">
        <f t="shared" si="170"/>
        <v>237</v>
      </c>
      <c r="N2703" t="str">
        <f t="shared" si="171"/>
        <v>Aug</v>
      </c>
    </row>
    <row r="2704" spans="1:14" x14ac:dyDescent="0.3">
      <c r="A2704" s="2" t="s">
        <v>2770</v>
      </c>
      <c r="B2704" s="6">
        <v>45890</v>
      </c>
      <c r="C2704" s="2" t="s">
        <v>41</v>
      </c>
      <c r="D2704" s="2" t="s">
        <v>68</v>
      </c>
      <c r="E2704" s="2">
        <v>3</v>
      </c>
      <c r="F2704" s="7">
        <v>249</v>
      </c>
      <c r="G2704" s="8">
        <v>0</v>
      </c>
      <c r="H2704" s="9" t="str">
        <f>INDEX(Products!$B$2:$B$37, MATCH(D2704, Products!$A$2:$A$37, 0))</f>
        <v>Bluetooth Speaker Mini</v>
      </c>
      <c r="I2704" t="str">
        <f>INDEX(Products!$C$2:$C$37, MATCH(D2704, Products!$A$2:$A$37, 0))</f>
        <v>Electronics</v>
      </c>
      <c r="J2704">
        <f>INDEX(Products!$E$2:$E$37, MATCH(D2704, Products!$A$2:$A$37, 0))</f>
        <v>150</v>
      </c>
      <c r="K2704" s="9">
        <f t="shared" si="168"/>
        <v>747</v>
      </c>
      <c r="L2704">
        <f t="shared" si="169"/>
        <v>450</v>
      </c>
      <c r="M2704" s="9">
        <f t="shared" si="170"/>
        <v>297</v>
      </c>
      <c r="N2704" t="str">
        <f t="shared" si="171"/>
        <v>Aug</v>
      </c>
    </row>
    <row r="2705" spans="1:14" x14ac:dyDescent="0.3">
      <c r="A2705" s="2" t="s">
        <v>2771</v>
      </c>
      <c r="B2705" s="6">
        <v>45890</v>
      </c>
      <c r="C2705" s="2" t="s">
        <v>28</v>
      </c>
      <c r="D2705" s="2" t="s">
        <v>103</v>
      </c>
      <c r="E2705" s="2">
        <v>2</v>
      </c>
      <c r="F2705" s="7">
        <v>89</v>
      </c>
      <c r="G2705" s="8">
        <v>0.15</v>
      </c>
      <c r="H2705" s="9" t="str">
        <f>INDEX(Products!$B$2:$B$37, MATCH(D2705, Products!$A$2:$A$37, 0))</f>
        <v>Sunscreen SPF50</v>
      </c>
      <c r="I2705" t="str">
        <f>INDEX(Products!$C$2:$C$37, MATCH(D2705, Products!$A$2:$A$37, 0))</f>
        <v>Beauty</v>
      </c>
      <c r="J2705">
        <f>INDEX(Products!$E$2:$E$37, MATCH(D2705, Products!$A$2:$A$37, 0))</f>
        <v>40</v>
      </c>
      <c r="K2705" s="9">
        <f t="shared" si="168"/>
        <v>151.29999999999998</v>
      </c>
      <c r="L2705">
        <f t="shared" si="169"/>
        <v>80</v>
      </c>
      <c r="M2705" s="9">
        <f t="shared" si="170"/>
        <v>71.299999999999983</v>
      </c>
      <c r="N2705" t="str">
        <f t="shared" si="171"/>
        <v>Aug</v>
      </c>
    </row>
    <row r="2706" spans="1:14" x14ac:dyDescent="0.3">
      <c r="A2706" s="2" t="s">
        <v>2772</v>
      </c>
      <c r="B2706" s="6">
        <v>45890</v>
      </c>
      <c r="C2706" s="2" t="s">
        <v>28</v>
      </c>
      <c r="D2706" s="2" t="s">
        <v>131</v>
      </c>
      <c r="E2706" s="2">
        <v>1</v>
      </c>
      <c r="F2706" s="7">
        <v>899</v>
      </c>
      <c r="G2706" s="8">
        <v>0.15</v>
      </c>
      <c r="H2706" s="9" t="str">
        <f>INDEX(Products!$B$2:$B$37, MATCH(D2706, Products!$A$2:$A$37, 0))</f>
        <v>4K Action Camera</v>
      </c>
      <c r="I2706" t="str">
        <f>INDEX(Products!$C$2:$C$37, MATCH(D2706, Products!$A$2:$A$37, 0))</f>
        <v>Electronics</v>
      </c>
      <c r="J2706">
        <f>INDEX(Products!$E$2:$E$37, MATCH(D2706, Products!$A$2:$A$37, 0))</f>
        <v>610</v>
      </c>
      <c r="K2706" s="9">
        <f t="shared" si="168"/>
        <v>764.15</v>
      </c>
      <c r="L2706">
        <f t="shared" si="169"/>
        <v>610</v>
      </c>
      <c r="M2706" s="9">
        <f t="shared" si="170"/>
        <v>154.14999999999998</v>
      </c>
      <c r="N2706" t="str">
        <f t="shared" si="171"/>
        <v>Aug</v>
      </c>
    </row>
    <row r="2707" spans="1:14" x14ac:dyDescent="0.3">
      <c r="A2707" s="2" t="s">
        <v>2773</v>
      </c>
      <c r="B2707" s="6">
        <v>45890</v>
      </c>
      <c r="C2707" s="2" t="s">
        <v>44</v>
      </c>
      <c r="D2707" s="2" t="s">
        <v>37</v>
      </c>
      <c r="E2707" s="2">
        <v>1</v>
      </c>
      <c r="F2707" s="7">
        <v>249</v>
      </c>
      <c r="G2707" s="8">
        <v>0.05</v>
      </c>
      <c r="H2707" s="9" t="str">
        <f>INDEX(Products!$B$2:$B$37, MATCH(D2707, Products!$A$2:$A$37, 0))</f>
        <v>Sunglasses Polarised</v>
      </c>
      <c r="I2707" t="str">
        <f>INDEX(Products!$C$2:$C$37, MATCH(D2707, Products!$A$2:$A$37, 0))</f>
        <v>Fashion</v>
      </c>
      <c r="J2707">
        <f>INDEX(Products!$E$2:$E$37, MATCH(D2707, Products!$A$2:$A$37, 0))</f>
        <v>95</v>
      </c>
      <c r="K2707" s="9">
        <f t="shared" si="168"/>
        <v>236.54999999999998</v>
      </c>
      <c r="L2707">
        <f t="shared" si="169"/>
        <v>95</v>
      </c>
      <c r="M2707" s="9">
        <f t="shared" si="170"/>
        <v>141.54999999999998</v>
      </c>
      <c r="N2707" t="str">
        <f t="shared" si="171"/>
        <v>Aug</v>
      </c>
    </row>
    <row r="2708" spans="1:14" x14ac:dyDescent="0.3">
      <c r="A2708" s="2" t="s">
        <v>2774</v>
      </c>
      <c r="B2708" s="6">
        <v>45890</v>
      </c>
      <c r="C2708" s="2" t="s">
        <v>41</v>
      </c>
      <c r="D2708" s="2" t="s">
        <v>129</v>
      </c>
      <c r="E2708" s="2">
        <v>1</v>
      </c>
      <c r="F2708" s="7">
        <v>149</v>
      </c>
      <c r="G2708" s="8">
        <v>0.05</v>
      </c>
      <c r="H2708" s="9" t="str">
        <f>INDEX(Products!$B$2:$B$37, MATCH(D2708, Products!$A$2:$A$37, 0))</f>
        <v>Power Bank 20000mAh</v>
      </c>
      <c r="I2708" t="str">
        <f>INDEX(Products!$C$2:$C$37, MATCH(D2708, Products!$A$2:$A$37, 0))</f>
        <v>Electronics</v>
      </c>
      <c r="J2708">
        <f>INDEX(Products!$E$2:$E$37, MATCH(D2708, Products!$A$2:$A$37, 0))</f>
        <v>70</v>
      </c>
      <c r="K2708" s="9">
        <f t="shared" si="168"/>
        <v>141.54999999999998</v>
      </c>
      <c r="L2708">
        <f t="shared" si="169"/>
        <v>70</v>
      </c>
      <c r="M2708" s="9">
        <f t="shared" si="170"/>
        <v>71.549999999999983</v>
      </c>
      <c r="N2708" t="str">
        <f t="shared" si="171"/>
        <v>Aug</v>
      </c>
    </row>
    <row r="2709" spans="1:14" x14ac:dyDescent="0.3">
      <c r="A2709" s="2" t="s">
        <v>2775</v>
      </c>
      <c r="B2709" s="6">
        <v>45890</v>
      </c>
      <c r="C2709" s="2" t="s">
        <v>44</v>
      </c>
      <c r="D2709" s="2" t="s">
        <v>149</v>
      </c>
      <c r="E2709" s="2">
        <v>1</v>
      </c>
      <c r="F2709" s="7">
        <v>399</v>
      </c>
      <c r="G2709" s="8">
        <v>0.15</v>
      </c>
      <c r="H2709" s="9" t="str">
        <f>INDEX(Products!$B$2:$B$37, MATCH(D2709, Products!$A$2:$A$37, 0))</f>
        <v>Blender Pro 1200W</v>
      </c>
      <c r="I2709" t="str">
        <f>INDEX(Products!$C$2:$C$37, MATCH(D2709, Products!$A$2:$A$37, 0))</f>
        <v>Home &amp; Kitchen</v>
      </c>
      <c r="J2709">
        <f>INDEX(Products!$E$2:$E$37, MATCH(D2709, Products!$A$2:$A$37, 0))</f>
        <v>250</v>
      </c>
      <c r="K2709" s="9">
        <f t="shared" si="168"/>
        <v>339.15</v>
      </c>
      <c r="L2709">
        <f t="shared" si="169"/>
        <v>250</v>
      </c>
      <c r="M2709" s="9">
        <f t="shared" si="170"/>
        <v>89.149999999999977</v>
      </c>
      <c r="N2709" t="str">
        <f t="shared" si="171"/>
        <v>Aug</v>
      </c>
    </row>
    <row r="2710" spans="1:14" x14ac:dyDescent="0.3">
      <c r="A2710" s="2" t="s">
        <v>2776</v>
      </c>
      <c r="B2710" s="6">
        <v>45890</v>
      </c>
      <c r="C2710" s="2" t="s">
        <v>44</v>
      </c>
      <c r="D2710" s="2" t="s">
        <v>39</v>
      </c>
      <c r="E2710" s="2">
        <v>1</v>
      </c>
      <c r="F2710" s="7">
        <v>199</v>
      </c>
      <c r="G2710" s="8">
        <v>0</v>
      </c>
      <c r="H2710" s="9" t="str">
        <f>INDEX(Products!$B$2:$B$37, MATCH(D2710, Products!$A$2:$A$37, 0))</f>
        <v>Bakhoor Gift Set</v>
      </c>
      <c r="I2710" t="str">
        <f>INDEX(Products!$C$2:$C$37, MATCH(D2710, Products!$A$2:$A$37, 0))</f>
        <v>Beauty</v>
      </c>
      <c r="J2710">
        <f>INDEX(Products!$E$2:$E$37, MATCH(D2710, Products!$A$2:$A$37, 0))</f>
        <v>90</v>
      </c>
      <c r="K2710" s="9">
        <f t="shared" si="168"/>
        <v>199</v>
      </c>
      <c r="L2710">
        <f t="shared" si="169"/>
        <v>90</v>
      </c>
      <c r="M2710" s="9">
        <f t="shared" si="170"/>
        <v>109</v>
      </c>
      <c r="N2710" t="str">
        <f t="shared" si="171"/>
        <v>Aug</v>
      </c>
    </row>
    <row r="2711" spans="1:14" x14ac:dyDescent="0.3">
      <c r="A2711" s="2" t="s">
        <v>2777</v>
      </c>
      <c r="B2711" s="6">
        <v>45891</v>
      </c>
      <c r="C2711" s="2" t="s">
        <v>41</v>
      </c>
      <c r="D2711" s="2" t="s">
        <v>49</v>
      </c>
      <c r="E2711" s="2">
        <v>1</v>
      </c>
      <c r="F2711" s="7">
        <v>149</v>
      </c>
      <c r="G2711" s="8">
        <v>0</v>
      </c>
      <c r="H2711" s="9" t="str">
        <f>INDEX(Products!$B$2:$B$37, MATCH(D2711, Products!$A$2:$A$37, 0))</f>
        <v>Kids' Sneakers</v>
      </c>
      <c r="I2711" t="str">
        <f>INDEX(Products!$C$2:$C$37, MATCH(D2711, Products!$A$2:$A$37, 0))</f>
        <v>Fashion</v>
      </c>
      <c r="J2711">
        <f>INDEX(Products!$E$2:$E$37, MATCH(D2711, Products!$A$2:$A$37, 0))</f>
        <v>80</v>
      </c>
      <c r="K2711" s="9">
        <f t="shared" si="168"/>
        <v>149</v>
      </c>
      <c r="L2711">
        <f t="shared" si="169"/>
        <v>80</v>
      </c>
      <c r="M2711" s="9">
        <f t="shared" si="170"/>
        <v>69</v>
      </c>
      <c r="N2711" t="str">
        <f t="shared" si="171"/>
        <v>Aug</v>
      </c>
    </row>
    <row r="2712" spans="1:14" x14ac:dyDescent="0.3">
      <c r="A2712" s="2" t="s">
        <v>2778</v>
      </c>
      <c r="B2712" s="6">
        <v>45891</v>
      </c>
      <c r="C2712" s="2" t="s">
        <v>44</v>
      </c>
      <c r="D2712" s="2" t="s">
        <v>131</v>
      </c>
      <c r="E2712" s="2">
        <v>1</v>
      </c>
      <c r="F2712" s="7">
        <v>899</v>
      </c>
      <c r="G2712" s="8">
        <v>0.05</v>
      </c>
      <c r="H2712" s="9" t="str">
        <f>INDEX(Products!$B$2:$B$37, MATCH(D2712, Products!$A$2:$A$37, 0))</f>
        <v>4K Action Camera</v>
      </c>
      <c r="I2712" t="str">
        <f>INDEX(Products!$C$2:$C$37, MATCH(D2712, Products!$A$2:$A$37, 0))</f>
        <v>Electronics</v>
      </c>
      <c r="J2712">
        <f>INDEX(Products!$E$2:$E$37, MATCH(D2712, Products!$A$2:$A$37, 0))</f>
        <v>610</v>
      </c>
      <c r="K2712" s="9">
        <f t="shared" si="168"/>
        <v>854.05</v>
      </c>
      <c r="L2712">
        <f t="shared" si="169"/>
        <v>610</v>
      </c>
      <c r="M2712" s="9">
        <f t="shared" si="170"/>
        <v>244.04999999999995</v>
      </c>
      <c r="N2712" t="str">
        <f t="shared" si="171"/>
        <v>Aug</v>
      </c>
    </row>
    <row r="2713" spans="1:14" x14ac:dyDescent="0.3">
      <c r="A2713" s="2" t="s">
        <v>2779</v>
      </c>
      <c r="B2713" s="6">
        <v>45891</v>
      </c>
      <c r="C2713" s="2" t="s">
        <v>41</v>
      </c>
      <c r="D2713" s="2" t="s">
        <v>68</v>
      </c>
      <c r="E2713" s="2">
        <v>2</v>
      </c>
      <c r="F2713" s="7">
        <v>249</v>
      </c>
      <c r="G2713" s="8">
        <v>0.05</v>
      </c>
      <c r="H2713" s="9" t="str">
        <f>INDEX(Products!$B$2:$B$37, MATCH(D2713, Products!$A$2:$A$37, 0))</f>
        <v>Bluetooth Speaker Mini</v>
      </c>
      <c r="I2713" t="str">
        <f>INDEX(Products!$C$2:$C$37, MATCH(D2713, Products!$A$2:$A$37, 0))</f>
        <v>Electronics</v>
      </c>
      <c r="J2713">
        <f>INDEX(Products!$E$2:$E$37, MATCH(D2713, Products!$A$2:$A$37, 0))</f>
        <v>150</v>
      </c>
      <c r="K2713" s="9">
        <f t="shared" si="168"/>
        <v>473.09999999999997</v>
      </c>
      <c r="L2713">
        <f t="shared" si="169"/>
        <v>300</v>
      </c>
      <c r="M2713" s="9">
        <f t="shared" si="170"/>
        <v>173.09999999999997</v>
      </c>
      <c r="N2713" t="str">
        <f t="shared" si="171"/>
        <v>Aug</v>
      </c>
    </row>
    <row r="2714" spans="1:14" x14ac:dyDescent="0.3">
      <c r="A2714" s="2" t="s">
        <v>2780</v>
      </c>
      <c r="B2714" s="6">
        <v>45891</v>
      </c>
      <c r="C2714" s="2" t="s">
        <v>28</v>
      </c>
      <c r="D2714" s="2" t="s">
        <v>29</v>
      </c>
      <c r="E2714" s="2">
        <v>1</v>
      </c>
      <c r="F2714" s="7">
        <v>229</v>
      </c>
      <c r="G2714" s="8">
        <v>0</v>
      </c>
      <c r="H2714" s="9" t="str">
        <f>INDEX(Products!$B$2:$B$37, MATCH(D2714, Products!$A$2:$A$37, 0))</f>
        <v>Women's Summer Dress</v>
      </c>
      <c r="I2714" t="str">
        <f>INDEX(Products!$C$2:$C$37, MATCH(D2714, Products!$A$2:$A$37, 0))</f>
        <v>Fashion</v>
      </c>
      <c r="J2714">
        <f>INDEX(Products!$E$2:$E$37, MATCH(D2714, Products!$A$2:$A$37, 0))</f>
        <v>120</v>
      </c>
      <c r="K2714" s="9">
        <f t="shared" si="168"/>
        <v>229</v>
      </c>
      <c r="L2714">
        <f t="shared" si="169"/>
        <v>120</v>
      </c>
      <c r="M2714" s="9">
        <f t="shared" si="170"/>
        <v>109</v>
      </c>
      <c r="N2714" t="str">
        <f t="shared" si="171"/>
        <v>Aug</v>
      </c>
    </row>
    <row r="2715" spans="1:14" x14ac:dyDescent="0.3">
      <c r="A2715" s="2" t="s">
        <v>2781</v>
      </c>
      <c r="B2715" s="6">
        <v>45891</v>
      </c>
      <c r="C2715" s="2" t="s">
        <v>41</v>
      </c>
      <c r="D2715" s="2" t="s">
        <v>83</v>
      </c>
      <c r="E2715" s="2">
        <v>4</v>
      </c>
      <c r="F2715" s="7">
        <v>229</v>
      </c>
      <c r="G2715" s="8">
        <v>0.05</v>
      </c>
      <c r="H2715" s="9" t="str">
        <f>INDEX(Products!$B$2:$B$37, MATCH(D2715, Products!$A$2:$A$37, 0))</f>
        <v>Cycling Helmet</v>
      </c>
      <c r="I2715" t="str">
        <f>INDEX(Products!$C$2:$C$37, MATCH(D2715, Products!$A$2:$A$37, 0))</f>
        <v>Sports</v>
      </c>
      <c r="J2715">
        <f>INDEX(Products!$E$2:$E$37, MATCH(D2715, Products!$A$2:$A$37, 0))</f>
        <v>120</v>
      </c>
      <c r="K2715" s="9">
        <f t="shared" si="168"/>
        <v>870.19999999999993</v>
      </c>
      <c r="L2715">
        <f t="shared" si="169"/>
        <v>480</v>
      </c>
      <c r="M2715" s="9">
        <f t="shared" si="170"/>
        <v>390.19999999999993</v>
      </c>
      <c r="N2715" t="str">
        <f t="shared" si="171"/>
        <v>Aug</v>
      </c>
    </row>
    <row r="2716" spans="1:14" x14ac:dyDescent="0.3">
      <c r="A2716" s="2" t="s">
        <v>2782</v>
      </c>
      <c r="B2716" s="6">
        <v>45891</v>
      </c>
      <c r="C2716" s="2" t="s">
        <v>28</v>
      </c>
      <c r="D2716" s="2" t="s">
        <v>46</v>
      </c>
      <c r="E2716" s="2">
        <v>1</v>
      </c>
      <c r="F2716" s="7">
        <v>189</v>
      </c>
      <c r="G2716" s="8">
        <v>0</v>
      </c>
      <c r="H2716" s="9" t="str">
        <f>INDEX(Products!$B$2:$B$37, MATCH(D2716, Products!$A$2:$A$37, 0))</f>
        <v>Makeup Palette</v>
      </c>
      <c r="I2716" t="str">
        <f>INDEX(Products!$C$2:$C$37, MATCH(D2716, Products!$A$2:$A$37, 0))</f>
        <v>Beauty</v>
      </c>
      <c r="J2716">
        <f>INDEX(Products!$E$2:$E$37, MATCH(D2716, Products!$A$2:$A$37, 0))</f>
        <v>85</v>
      </c>
      <c r="K2716" s="9">
        <f t="shared" si="168"/>
        <v>189</v>
      </c>
      <c r="L2716">
        <f t="shared" si="169"/>
        <v>85</v>
      </c>
      <c r="M2716" s="9">
        <f t="shared" si="170"/>
        <v>104</v>
      </c>
      <c r="N2716" t="str">
        <f t="shared" si="171"/>
        <v>Aug</v>
      </c>
    </row>
    <row r="2717" spans="1:14" x14ac:dyDescent="0.3">
      <c r="A2717" s="2" t="s">
        <v>2783</v>
      </c>
      <c r="B2717" s="6">
        <v>45891</v>
      </c>
      <c r="C2717" s="2" t="s">
        <v>41</v>
      </c>
      <c r="D2717" s="2" t="s">
        <v>37</v>
      </c>
      <c r="E2717" s="2">
        <v>1</v>
      </c>
      <c r="F2717" s="7">
        <v>249</v>
      </c>
      <c r="G2717" s="8">
        <v>0.05</v>
      </c>
      <c r="H2717" s="9" t="str">
        <f>INDEX(Products!$B$2:$B$37, MATCH(D2717, Products!$A$2:$A$37, 0))</f>
        <v>Sunglasses Polarised</v>
      </c>
      <c r="I2717" t="str">
        <f>INDEX(Products!$C$2:$C$37, MATCH(D2717, Products!$A$2:$A$37, 0))</f>
        <v>Fashion</v>
      </c>
      <c r="J2717">
        <f>INDEX(Products!$E$2:$E$37, MATCH(D2717, Products!$A$2:$A$37, 0))</f>
        <v>95</v>
      </c>
      <c r="K2717" s="9">
        <f t="shared" si="168"/>
        <v>236.54999999999998</v>
      </c>
      <c r="L2717">
        <f t="shared" si="169"/>
        <v>95</v>
      </c>
      <c r="M2717" s="9">
        <f t="shared" si="170"/>
        <v>141.54999999999998</v>
      </c>
      <c r="N2717" t="str">
        <f t="shared" si="171"/>
        <v>Aug</v>
      </c>
    </row>
    <row r="2718" spans="1:14" x14ac:dyDescent="0.3">
      <c r="A2718" s="2" t="s">
        <v>2784</v>
      </c>
      <c r="B2718" s="6">
        <v>45891</v>
      </c>
      <c r="C2718" s="2" t="s">
        <v>44</v>
      </c>
      <c r="D2718" s="2" t="s">
        <v>35</v>
      </c>
      <c r="E2718" s="2">
        <v>1</v>
      </c>
      <c r="F2718" s="7">
        <v>179</v>
      </c>
      <c r="G2718" s="8">
        <v>0.05</v>
      </c>
      <c r="H2718" s="9" t="str">
        <f>INDEX(Products!$B$2:$B$37, MATCH(D2718, Products!$A$2:$A$37, 0))</f>
        <v>Men's Linen Shirt</v>
      </c>
      <c r="I2718" t="str">
        <f>INDEX(Products!$C$2:$C$37, MATCH(D2718, Products!$A$2:$A$37, 0))</f>
        <v>Fashion</v>
      </c>
      <c r="J2718">
        <f>INDEX(Products!$E$2:$E$37, MATCH(D2718, Products!$A$2:$A$37, 0))</f>
        <v>70</v>
      </c>
      <c r="K2718" s="9">
        <f t="shared" si="168"/>
        <v>170.04999999999998</v>
      </c>
      <c r="L2718">
        <f t="shared" si="169"/>
        <v>70</v>
      </c>
      <c r="M2718" s="9">
        <f t="shared" si="170"/>
        <v>100.04999999999998</v>
      </c>
      <c r="N2718" t="str">
        <f t="shared" si="171"/>
        <v>Aug</v>
      </c>
    </row>
    <row r="2719" spans="1:14" x14ac:dyDescent="0.3">
      <c r="A2719" s="2" t="s">
        <v>2785</v>
      </c>
      <c r="B2719" s="6">
        <v>45891</v>
      </c>
      <c r="C2719" s="2" t="s">
        <v>48</v>
      </c>
      <c r="D2719" s="2" t="s">
        <v>37</v>
      </c>
      <c r="E2719" s="2">
        <v>1</v>
      </c>
      <c r="F2719" s="7">
        <v>249</v>
      </c>
      <c r="G2719" s="8">
        <v>0</v>
      </c>
      <c r="H2719" s="9" t="str">
        <f>INDEX(Products!$B$2:$B$37, MATCH(D2719, Products!$A$2:$A$37, 0))</f>
        <v>Sunglasses Polarised</v>
      </c>
      <c r="I2719" t="str">
        <f>INDEX(Products!$C$2:$C$37, MATCH(D2719, Products!$A$2:$A$37, 0))</f>
        <v>Fashion</v>
      </c>
      <c r="J2719">
        <f>INDEX(Products!$E$2:$E$37, MATCH(D2719, Products!$A$2:$A$37, 0))</f>
        <v>95</v>
      </c>
      <c r="K2719" s="9">
        <f t="shared" si="168"/>
        <v>249</v>
      </c>
      <c r="L2719">
        <f t="shared" si="169"/>
        <v>95</v>
      </c>
      <c r="M2719" s="9">
        <f t="shared" si="170"/>
        <v>154</v>
      </c>
      <c r="N2719" t="str">
        <f t="shared" si="171"/>
        <v>Aug</v>
      </c>
    </row>
    <row r="2720" spans="1:14" x14ac:dyDescent="0.3">
      <c r="A2720" s="2" t="s">
        <v>2786</v>
      </c>
      <c r="B2720" s="6">
        <v>45891</v>
      </c>
      <c r="C2720" s="2" t="s">
        <v>44</v>
      </c>
      <c r="D2720" s="2" t="s">
        <v>46</v>
      </c>
      <c r="E2720" s="2">
        <v>1</v>
      </c>
      <c r="F2720" s="7">
        <v>189</v>
      </c>
      <c r="G2720" s="8">
        <v>0</v>
      </c>
      <c r="H2720" s="9" t="str">
        <f>INDEX(Products!$B$2:$B$37, MATCH(D2720, Products!$A$2:$A$37, 0))</f>
        <v>Makeup Palette</v>
      </c>
      <c r="I2720" t="str">
        <f>INDEX(Products!$C$2:$C$37, MATCH(D2720, Products!$A$2:$A$37, 0))</f>
        <v>Beauty</v>
      </c>
      <c r="J2720">
        <f>INDEX(Products!$E$2:$E$37, MATCH(D2720, Products!$A$2:$A$37, 0))</f>
        <v>85</v>
      </c>
      <c r="K2720" s="9">
        <f t="shared" si="168"/>
        <v>189</v>
      </c>
      <c r="L2720">
        <f t="shared" si="169"/>
        <v>85</v>
      </c>
      <c r="M2720" s="9">
        <f t="shared" si="170"/>
        <v>104</v>
      </c>
      <c r="N2720" t="str">
        <f t="shared" si="171"/>
        <v>Aug</v>
      </c>
    </row>
    <row r="2721" spans="1:14" x14ac:dyDescent="0.3">
      <c r="A2721" s="2" t="s">
        <v>2787</v>
      </c>
      <c r="B2721" s="6">
        <v>45891</v>
      </c>
      <c r="C2721" s="2" t="s">
        <v>28</v>
      </c>
      <c r="D2721" s="2" t="s">
        <v>75</v>
      </c>
      <c r="E2721" s="2">
        <v>2</v>
      </c>
      <c r="F2721" s="7">
        <v>549</v>
      </c>
      <c r="G2721" s="8">
        <v>0.1</v>
      </c>
      <c r="H2721" s="9" t="str">
        <f>INDEX(Products!$B$2:$B$37, MATCH(D2721, Products!$A$2:$A$37, 0))</f>
        <v>Oud Perfume 100ml</v>
      </c>
      <c r="I2721" t="str">
        <f>INDEX(Products!$C$2:$C$37, MATCH(D2721, Products!$A$2:$A$37, 0))</f>
        <v>Beauty</v>
      </c>
      <c r="J2721">
        <f>INDEX(Products!$E$2:$E$37, MATCH(D2721, Products!$A$2:$A$37, 0))</f>
        <v>250</v>
      </c>
      <c r="K2721" s="9">
        <f t="shared" si="168"/>
        <v>988.2</v>
      </c>
      <c r="L2721">
        <f t="shared" si="169"/>
        <v>500</v>
      </c>
      <c r="M2721" s="9">
        <f t="shared" si="170"/>
        <v>488.20000000000005</v>
      </c>
      <c r="N2721" t="str">
        <f t="shared" si="171"/>
        <v>Aug</v>
      </c>
    </row>
    <row r="2722" spans="1:14" x14ac:dyDescent="0.3">
      <c r="A2722" s="2" t="s">
        <v>2788</v>
      </c>
      <c r="B2722" s="6">
        <v>45891</v>
      </c>
      <c r="C2722" s="2" t="s">
        <v>44</v>
      </c>
      <c r="D2722" s="2" t="s">
        <v>165</v>
      </c>
      <c r="E2722" s="2">
        <v>1</v>
      </c>
      <c r="F2722" s="7">
        <v>69</v>
      </c>
      <c r="G2722" s="8">
        <v>0</v>
      </c>
      <c r="H2722" s="9" t="str">
        <f>INDEX(Products!$B$2:$B$37, MATCH(D2722, Products!$A$2:$A$37, 0))</f>
        <v>Swim Goggles</v>
      </c>
      <c r="I2722" t="str">
        <f>INDEX(Products!$C$2:$C$37, MATCH(D2722, Products!$A$2:$A$37, 0))</f>
        <v>Sports</v>
      </c>
      <c r="J2722">
        <f>INDEX(Products!$E$2:$E$37, MATCH(D2722, Products!$A$2:$A$37, 0))</f>
        <v>25</v>
      </c>
      <c r="K2722" s="9">
        <f t="shared" si="168"/>
        <v>69</v>
      </c>
      <c r="L2722">
        <f t="shared" si="169"/>
        <v>25</v>
      </c>
      <c r="M2722" s="9">
        <f t="shared" si="170"/>
        <v>44</v>
      </c>
      <c r="N2722" t="str">
        <f t="shared" si="171"/>
        <v>Aug</v>
      </c>
    </row>
    <row r="2723" spans="1:14" x14ac:dyDescent="0.3">
      <c r="A2723" s="2" t="s">
        <v>2789</v>
      </c>
      <c r="B2723" s="6">
        <v>45892</v>
      </c>
      <c r="C2723" s="2" t="s">
        <v>28</v>
      </c>
      <c r="D2723" s="2" t="s">
        <v>89</v>
      </c>
      <c r="E2723" s="2">
        <v>1</v>
      </c>
      <c r="F2723" s="7">
        <v>399</v>
      </c>
      <c r="G2723" s="8">
        <v>0.2</v>
      </c>
      <c r="H2723" s="9" t="str">
        <f>INDEX(Products!$B$2:$B$37, MATCH(D2723, Products!$A$2:$A$37, 0))</f>
        <v>Men's Kandura Premium</v>
      </c>
      <c r="I2723" t="str">
        <f>INDEX(Products!$C$2:$C$37, MATCH(D2723, Products!$A$2:$A$37, 0))</f>
        <v>Fashion</v>
      </c>
      <c r="J2723">
        <f>INDEX(Products!$E$2:$E$37, MATCH(D2723, Products!$A$2:$A$37, 0))</f>
        <v>210</v>
      </c>
      <c r="K2723" s="9">
        <f t="shared" si="168"/>
        <v>319.20000000000005</v>
      </c>
      <c r="L2723">
        <f t="shared" si="169"/>
        <v>210</v>
      </c>
      <c r="M2723" s="9">
        <f t="shared" si="170"/>
        <v>109.20000000000005</v>
      </c>
      <c r="N2723" t="str">
        <f t="shared" si="171"/>
        <v>Aug</v>
      </c>
    </row>
    <row r="2724" spans="1:14" x14ac:dyDescent="0.3">
      <c r="A2724" s="2" t="s">
        <v>2790</v>
      </c>
      <c r="B2724" s="6">
        <v>45892</v>
      </c>
      <c r="C2724" s="2" t="s">
        <v>41</v>
      </c>
      <c r="D2724" s="2" t="s">
        <v>95</v>
      </c>
      <c r="E2724" s="2">
        <v>3</v>
      </c>
      <c r="F2724" s="7">
        <v>259</v>
      </c>
      <c r="G2724" s="8">
        <v>0</v>
      </c>
      <c r="H2724" s="9" t="str">
        <f>INDEX(Products!$B$2:$B$37, MATCH(D2724, Products!$A$2:$A$37, 0))</f>
        <v>Bed Linen Set (King)</v>
      </c>
      <c r="I2724" t="str">
        <f>INDEX(Products!$C$2:$C$37, MATCH(D2724, Products!$A$2:$A$37, 0))</f>
        <v>Home &amp; Kitchen</v>
      </c>
      <c r="J2724">
        <f>INDEX(Products!$E$2:$E$37, MATCH(D2724, Products!$A$2:$A$37, 0))</f>
        <v>115</v>
      </c>
      <c r="K2724" s="9">
        <f t="shared" si="168"/>
        <v>777</v>
      </c>
      <c r="L2724">
        <f t="shared" si="169"/>
        <v>345</v>
      </c>
      <c r="M2724" s="9">
        <f t="shared" si="170"/>
        <v>432</v>
      </c>
      <c r="N2724" t="str">
        <f t="shared" si="171"/>
        <v>Aug</v>
      </c>
    </row>
    <row r="2725" spans="1:14" x14ac:dyDescent="0.3">
      <c r="A2725" s="2" t="s">
        <v>2791</v>
      </c>
      <c r="B2725" s="6">
        <v>45892</v>
      </c>
      <c r="C2725" s="2" t="s">
        <v>28</v>
      </c>
      <c r="D2725" s="2" t="s">
        <v>37</v>
      </c>
      <c r="E2725" s="2">
        <v>2</v>
      </c>
      <c r="F2725" s="7">
        <v>249</v>
      </c>
      <c r="G2725" s="8">
        <v>0.2</v>
      </c>
      <c r="H2725" s="9" t="str">
        <f>INDEX(Products!$B$2:$B$37, MATCH(D2725, Products!$A$2:$A$37, 0))</f>
        <v>Sunglasses Polarised</v>
      </c>
      <c r="I2725" t="str">
        <f>INDEX(Products!$C$2:$C$37, MATCH(D2725, Products!$A$2:$A$37, 0))</f>
        <v>Fashion</v>
      </c>
      <c r="J2725">
        <f>INDEX(Products!$E$2:$E$37, MATCH(D2725, Products!$A$2:$A$37, 0))</f>
        <v>95</v>
      </c>
      <c r="K2725" s="9">
        <f t="shared" si="168"/>
        <v>398.40000000000003</v>
      </c>
      <c r="L2725">
        <f t="shared" si="169"/>
        <v>190</v>
      </c>
      <c r="M2725" s="9">
        <f t="shared" si="170"/>
        <v>208.40000000000003</v>
      </c>
      <c r="N2725" t="str">
        <f t="shared" si="171"/>
        <v>Aug</v>
      </c>
    </row>
    <row r="2726" spans="1:14" x14ac:dyDescent="0.3">
      <c r="A2726" s="2" t="s">
        <v>2792</v>
      </c>
      <c r="B2726" s="6">
        <v>45892</v>
      </c>
      <c r="C2726" s="2" t="s">
        <v>28</v>
      </c>
      <c r="D2726" s="2" t="s">
        <v>52</v>
      </c>
      <c r="E2726" s="2">
        <v>1</v>
      </c>
      <c r="F2726" s="7">
        <v>299</v>
      </c>
      <c r="G2726" s="8">
        <v>0.15</v>
      </c>
      <c r="H2726" s="9" t="str">
        <f>INDEX(Products!$B$2:$B$37, MATCH(D2726, Products!$A$2:$A$37, 0))</f>
        <v>Hair Dryer Ionic</v>
      </c>
      <c r="I2726" t="str">
        <f>INDEX(Products!$C$2:$C$37, MATCH(D2726, Products!$A$2:$A$37, 0))</f>
        <v>Beauty</v>
      </c>
      <c r="J2726">
        <f>INDEX(Products!$E$2:$E$37, MATCH(D2726, Products!$A$2:$A$37, 0))</f>
        <v>240</v>
      </c>
      <c r="K2726" s="9">
        <f t="shared" si="168"/>
        <v>254.15</v>
      </c>
      <c r="L2726">
        <f t="shared" si="169"/>
        <v>240</v>
      </c>
      <c r="M2726" s="9">
        <f t="shared" si="170"/>
        <v>14.150000000000006</v>
      </c>
      <c r="N2726" t="str">
        <f t="shared" si="171"/>
        <v>Aug</v>
      </c>
    </row>
    <row r="2727" spans="1:14" x14ac:dyDescent="0.3">
      <c r="A2727" s="2" t="s">
        <v>2793</v>
      </c>
      <c r="B2727" s="6">
        <v>45892</v>
      </c>
      <c r="C2727" s="2" t="s">
        <v>48</v>
      </c>
      <c r="D2727" s="2" t="s">
        <v>78</v>
      </c>
      <c r="E2727" s="2">
        <v>1</v>
      </c>
      <c r="F2727" s="7">
        <v>499</v>
      </c>
      <c r="G2727" s="8">
        <v>0</v>
      </c>
      <c r="H2727" s="9" t="str">
        <f>INDEX(Products!$B$2:$B$37, MATCH(D2727, Products!$A$2:$A$37, 0))</f>
        <v>Air Fryer 5L</v>
      </c>
      <c r="I2727" t="str">
        <f>INDEX(Products!$C$2:$C$37, MATCH(D2727, Products!$A$2:$A$37, 0))</f>
        <v>Home &amp; Kitchen</v>
      </c>
      <c r="J2727">
        <f>INDEX(Products!$E$2:$E$37, MATCH(D2727, Products!$A$2:$A$37, 0))</f>
        <v>290</v>
      </c>
      <c r="K2727" s="9">
        <f t="shared" si="168"/>
        <v>499</v>
      </c>
      <c r="L2727">
        <f t="shared" si="169"/>
        <v>290</v>
      </c>
      <c r="M2727" s="9">
        <f t="shared" si="170"/>
        <v>209</v>
      </c>
      <c r="N2727" t="str">
        <f t="shared" si="171"/>
        <v>Aug</v>
      </c>
    </row>
    <row r="2728" spans="1:14" x14ac:dyDescent="0.3">
      <c r="A2728" s="2" t="s">
        <v>2794</v>
      </c>
      <c r="B2728" s="6">
        <v>45892</v>
      </c>
      <c r="C2728" s="2" t="s">
        <v>48</v>
      </c>
      <c r="D2728" s="2" t="s">
        <v>46</v>
      </c>
      <c r="E2728" s="2">
        <v>1</v>
      </c>
      <c r="F2728" s="7">
        <v>189</v>
      </c>
      <c r="G2728" s="8">
        <v>0</v>
      </c>
      <c r="H2728" s="9" t="str">
        <f>INDEX(Products!$B$2:$B$37, MATCH(D2728, Products!$A$2:$A$37, 0))</f>
        <v>Makeup Palette</v>
      </c>
      <c r="I2728" t="str">
        <f>INDEX(Products!$C$2:$C$37, MATCH(D2728, Products!$A$2:$A$37, 0))</f>
        <v>Beauty</v>
      </c>
      <c r="J2728">
        <f>INDEX(Products!$E$2:$E$37, MATCH(D2728, Products!$A$2:$A$37, 0))</f>
        <v>85</v>
      </c>
      <c r="K2728" s="9">
        <f t="shared" si="168"/>
        <v>189</v>
      </c>
      <c r="L2728">
        <f t="shared" si="169"/>
        <v>85</v>
      </c>
      <c r="M2728" s="9">
        <f t="shared" si="170"/>
        <v>104</v>
      </c>
      <c r="N2728" t="str">
        <f t="shared" si="171"/>
        <v>Aug</v>
      </c>
    </row>
    <row r="2729" spans="1:14" x14ac:dyDescent="0.3">
      <c r="A2729" s="2" t="s">
        <v>2795</v>
      </c>
      <c r="B2729" s="6">
        <v>45892</v>
      </c>
      <c r="C2729" s="2" t="s">
        <v>44</v>
      </c>
      <c r="D2729" s="2" t="s">
        <v>99</v>
      </c>
      <c r="E2729" s="2">
        <v>2</v>
      </c>
      <c r="F2729" s="7">
        <v>459</v>
      </c>
      <c r="G2729" s="8">
        <v>0</v>
      </c>
      <c r="H2729" s="9" t="str">
        <f>INDEX(Products!$B$2:$B$37, MATCH(D2729, Products!$A$2:$A$37, 0))</f>
        <v>Gaming Headset X</v>
      </c>
      <c r="I2729" t="str">
        <f>INDEX(Products!$C$2:$C$37, MATCH(D2729, Products!$A$2:$A$37, 0))</f>
        <v>Electronics</v>
      </c>
      <c r="J2729">
        <f>INDEX(Products!$E$2:$E$37, MATCH(D2729, Products!$A$2:$A$37, 0))</f>
        <v>300</v>
      </c>
      <c r="K2729" s="9">
        <f t="shared" si="168"/>
        <v>918</v>
      </c>
      <c r="L2729">
        <f t="shared" si="169"/>
        <v>600</v>
      </c>
      <c r="M2729" s="9">
        <f t="shared" si="170"/>
        <v>318</v>
      </c>
      <c r="N2729" t="str">
        <f t="shared" si="171"/>
        <v>Aug</v>
      </c>
    </row>
    <row r="2730" spans="1:14" x14ac:dyDescent="0.3">
      <c r="A2730" s="2" t="s">
        <v>2796</v>
      </c>
      <c r="B2730" s="6">
        <v>45892</v>
      </c>
      <c r="C2730" s="2" t="s">
        <v>41</v>
      </c>
      <c r="D2730" s="2" t="s">
        <v>80</v>
      </c>
      <c r="E2730" s="2">
        <v>1</v>
      </c>
      <c r="F2730" s="7">
        <v>149</v>
      </c>
      <c r="G2730" s="8">
        <v>0</v>
      </c>
      <c r="H2730" s="9" t="str">
        <f>INDEX(Products!$B$2:$B$37, MATCH(D2730, Products!$A$2:$A$37, 0))</f>
        <v>Vitamin C Serum</v>
      </c>
      <c r="I2730" t="str">
        <f>INDEX(Products!$C$2:$C$37, MATCH(D2730, Products!$A$2:$A$37, 0))</f>
        <v>Beauty</v>
      </c>
      <c r="J2730">
        <f>INDEX(Products!$E$2:$E$37, MATCH(D2730, Products!$A$2:$A$37, 0))</f>
        <v>55</v>
      </c>
      <c r="K2730" s="9">
        <f t="shared" si="168"/>
        <v>149</v>
      </c>
      <c r="L2730">
        <f t="shared" si="169"/>
        <v>55</v>
      </c>
      <c r="M2730" s="9">
        <f t="shared" si="170"/>
        <v>94</v>
      </c>
      <c r="N2730" t="str">
        <f t="shared" si="171"/>
        <v>Aug</v>
      </c>
    </row>
    <row r="2731" spans="1:14" x14ac:dyDescent="0.3">
      <c r="A2731" s="2" t="s">
        <v>2797</v>
      </c>
      <c r="B2731" s="6">
        <v>45892</v>
      </c>
      <c r="C2731" s="2" t="s">
        <v>28</v>
      </c>
      <c r="D2731" s="2" t="s">
        <v>92</v>
      </c>
      <c r="E2731" s="2">
        <v>2</v>
      </c>
      <c r="F2731" s="7">
        <v>349</v>
      </c>
      <c r="G2731" s="8">
        <v>0.05</v>
      </c>
      <c r="H2731" s="9" t="str">
        <f>INDEX(Products!$B$2:$B$37, MATCH(D2731, Products!$A$2:$A$37, 0))</f>
        <v>Non-stick Cookware Set</v>
      </c>
      <c r="I2731" t="str">
        <f>INDEX(Products!$C$2:$C$37, MATCH(D2731, Products!$A$2:$A$37, 0))</f>
        <v>Home &amp; Kitchen</v>
      </c>
      <c r="J2731">
        <f>INDEX(Products!$E$2:$E$37, MATCH(D2731, Products!$A$2:$A$37, 0))</f>
        <v>170</v>
      </c>
      <c r="K2731" s="9">
        <f t="shared" si="168"/>
        <v>663.1</v>
      </c>
      <c r="L2731">
        <f t="shared" si="169"/>
        <v>340</v>
      </c>
      <c r="M2731" s="9">
        <f t="shared" si="170"/>
        <v>323.10000000000002</v>
      </c>
      <c r="N2731" t="str">
        <f t="shared" si="171"/>
        <v>Aug</v>
      </c>
    </row>
    <row r="2732" spans="1:14" x14ac:dyDescent="0.3">
      <c r="A2732" s="2" t="s">
        <v>2798</v>
      </c>
      <c r="B2732" s="6">
        <v>45892</v>
      </c>
      <c r="C2732" s="2" t="s">
        <v>44</v>
      </c>
      <c r="D2732" s="2" t="s">
        <v>35</v>
      </c>
      <c r="E2732" s="2">
        <v>1</v>
      </c>
      <c r="F2732" s="7">
        <v>179</v>
      </c>
      <c r="G2732" s="8">
        <v>0</v>
      </c>
      <c r="H2732" s="9" t="str">
        <f>INDEX(Products!$B$2:$B$37, MATCH(D2732, Products!$A$2:$A$37, 0))</f>
        <v>Men's Linen Shirt</v>
      </c>
      <c r="I2732" t="str">
        <f>INDEX(Products!$C$2:$C$37, MATCH(D2732, Products!$A$2:$A$37, 0))</f>
        <v>Fashion</v>
      </c>
      <c r="J2732">
        <f>INDEX(Products!$E$2:$E$37, MATCH(D2732, Products!$A$2:$A$37, 0))</f>
        <v>70</v>
      </c>
      <c r="K2732" s="9">
        <f t="shared" si="168"/>
        <v>179</v>
      </c>
      <c r="L2732">
        <f t="shared" si="169"/>
        <v>70</v>
      </c>
      <c r="M2732" s="9">
        <f t="shared" si="170"/>
        <v>109</v>
      </c>
      <c r="N2732" t="str">
        <f t="shared" si="171"/>
        <v>Aug</v>
      </c>
    </row>
    <row r="2733" spans="1:14" x14ac:dyDescent="0.3">
      <c r="A2733" s="2" t="s">
        <v>2799</v>
      </c>
      <c r="B2733" s="6">
        <v>45892</v>
      </c>
      <c r="C2733" s="2" t="s">
        <v>44</v>
      </c>
      <c r="D2733" s="2" t="s">
        <v>99</v>
      </c>
      <c r="E2733" s="2">
        <v>1</v>
      </c>
      <c r="F2733" s="7">
        <v>459</v>
      </c>
      <c r="G2733" s="8">
        <v>0.3</v>
      </c>
      <c r="H2733" s="9" t="str">
        <f>INDEX(Products!$B$2:$B$37, MATCH(D2733, Products!$A$2:$A$37, 0))</f>
        <v>Gaming Headset X</v>
      </c>
      <c r="I2733" t="str">
        <f>INDEX(Products!$C$2:$C$37, MATCH(D2733, Products!$A$2:$A$37, 0))</f>
        <v>Electronics</v>
      </c>
      <c r="J2733">
        <f>INDEX(Products!$E$2:$E$37, MATCH(D2733, Products!$A$2:$A$37, 0))</f>
        <v>300</v>
      </c>
      <c r="K2733" s="9">
        <f t="shared" si="168"/>
        <v>321.29999999999995</v>
      </c>
      <c r="L2733">
        <f t="shared" si="169"/>
        <v>300</v>
      </c>
      <c r="M2733" s="9">
        <f t="shared" si="170"/>
        <v>21.299999999999955</v>
      </c>
      <c r="N2733" t="str">
        <f t="shared" si="171"/>
        <v>Aug</v>
      </c>
    </row>
    <row r="2734" spans="1:14" x14ac:dyDescent="0.3">
      <c r="A2734" s="2" t="s">
        <v>2800</v>
      </c>
      <c r="B2734" s="6">
        <v>45892</v>
      </c>
      <c r="C2734" s="2" t="s">
        <v>44</v>
      </c>
      <c r="D2734" s="2" t="s">
        <v>29</v>
      </c>
      <c r="E2734" s="2">
        <v>1</v>
      </c>
      <c r="F2734" s="7">
        <v>229</v>
      </c>
      <c r="G2734" s="8">
        <v>0</v>
      </c>
      <c r="H2734" s="9" t="str">
        <f>INDEX(Products!$B$2:$B$37, MATCH(D2734, Products!$A$2:$A$37, 0))</f>
        <v>Women's Summer Dress</v>
      </c>
      <c r="I2734" t="str">
        <f>INDEX(Products!$C$2:$C$37, MATCH(D2734, Products!$A$2:$A$37, 0))</f>
        <v>Fashion</v>
      </c>
      <c r="J2734">
        <f>INDEX(Products!$E$2:$E$37, MATCH(D2734, Products!$A$2:$A$37, 0))</f>
        <v>120</v>
      </c>
      <c r="K2734" s="9">
        <f t="shared" si="168"/>
        <v>229</v>
      </c>
      <c r="L2734">
        <f t="shared" si="169"/>
        <v>120</v>
      </c>
      <c r="M2734" s="9">
        <f t="shared" si="170"/>
        <v>109</v>
      </c>
      <c r="N2734" t="str">
        <f t="shared" si="171"/>
        <v>Aug</v>
      </c>
    </row>
    <row r="2735" spans="1:14" x14ac:dyDescent="0.3">
      <c r="A2735" s="2" t="s">
        <v>2801</v>
      </c>
      <c r="B2735" s="6">
        <v>45892</v>
      </c>
      <c r="C2735" s="2" t="s">
        <v>28</v>
      </c>
      <c r="D2735" s="2" t="s">
        <v>129</v>
      </c>
      <c r="E2735" s="2">
        <v>2</v>
      </c>
      <c r="F2735" s="7">
        <v>149</v>
      </c>
      <c r="G2735" s="8">
        <v>0.1</v>
      </c>
      <c r="H2735" s="9" t="str">
        <f>INDEX(Products!$B$2:$B$37, MATCH(D2735, Products!$A$2:$A$37, 0))</f>
        <v>Power Bank 20000mAh</v>
      </c>
      <c r="I2735" t="str">
        <f>INDEX(Products!$C$2:$C$37, MATCH(D2735, Products!$A$2:$A$37, 0))</f>
        <v>Electronics</v>
      </c>
      <c r="J2735">
        <f>INDEX(Products!$E$2:$E$37, MATCH(D2735, Products!$A$2:$A$37, 0))</f>
        <v>70</v>
      </c>
      <c r="K2735" s="9">
        <f t="shared" si="168"/>
        <v>268.2</v>
      </c>
      <c r="L2735">
        <f t="shared" si="169"/>
        <v>140</v>
      </c>
      <c r="M2735" s="9">
        <f t="shared" si="170"/>
        <v>128.19999999999999</v>
      </c>
      <c r="N2735" t="str">
        <f t="shared" si="171"/>
        <v>Aug</v>
      </c>
    </row>
    <row r="2736" spans="1:14" x14ac:dyDescent="0.3">
      <c r="A2736" s="2" t="s">
        <v>2802</v>
      </c>
      <c r="B2736" s="6">
        <v>45892</v>
      </c>
      <c r="C2736" s="2" t="s">
        <v>44</v>
      </c>
      <c r="D2736" s="2" t="s">
        <v>35</v>
      </c>
      <c r="E2736" s="2">
        <v>1</v>
      </c>
      <c r="F2736" s="7">
        <v>179</v>
      </c>
      <c r="G2736" s="8">
        <v>0.1</v>
      </c>
      <c r="H2736" s="9" t="str">
        <f>INDEX(Products!$B$2:$B$37, MATCH(D2736, Products!$A$2:$A$37, 0))</f>
        <v>Men's Linen Shirt</v>
      </c>
      <c r="I2736" t="str">
        <f>INDEX(Products!$C$2:$C$37, MATCH(D2736, Products!$A$2:$A$37, 0))</f>
        <v>Fashion</v>
      </c>
      <c r="J2736">
        <f>INDEX(Products!$E$2:$E$37, MATCH(D2736, Products!$A$2:$A$37, 0))</f>
        <v>70</v>
      </c>
      <c r="K2736" s="9">
        <f t="shared" si="168"/>
        <v>161.1</v>
      </c>
      <c r="L2736">
        <f t="shared" si="169"/>
        <v>70</v>
      </c>
      <c r="M2736" s="9">
        <f t="shared" si="170"/>
        <v>91.1</v>
      </c>
      <c r="N2736" t="str">
        <f t="shared" si="171"/>
        <v>Aug</v>
      </c>
    </row>
    <row r="2737" spans="1:14" x14ac:dyDescent="0.3">
      <c r="A2737" s="2" t="s">
        <v>2803</v>
      </c>
      <c r="B2737" s="6">
        <v>45893</v>
      </c>
      <c r="C2737" s="2" t="s">
        <v>31</v>
      </c>
      <c r="D2737" s="2" t="s">
        <v>52</v>
      </c>
      <c r="E2737" s="2">
        <v>2</v>
      </c>
      <c r="F2737" s="7">
        <v>299</v>
      </c>
      <c r="G2737" s="8">
        <v>0.25</v>
      </c>
      <c r="H2737" s="9" t="str">
        <f>INDEX(Products!$B$2:$B$37, MATCH(D2737, Products!$A$2:$A$37, 0))</f>
        <v>Hair Dryer Ionic</v>
      </c>
      <c r="I2737" t="str">
        <f>INDEX(Products!$C$2:$C$37, MATCH(D2737, Products!$A$2:$A$37, 0))</f>
        <v>Beauty</v>
      </c>
      <c r="J2737">
        <f>INDEX(Products!$E$2:$E$37, MATCH(D2737, Products!$A$2:$A$37, 0))</f>
        <v>240</v>
      </c>
      <c r="K2737" s="9">
        <f t="shared" si="168"/>
        <v>448.5</v>
      </c>
      <c r="L2737">
        <f t="shared" si="169"/>
        <v>480</v>
      </c>
      <c r="M2737" s="9">
        <f t="shared" si="170"/>
        <v>-31.5</v>
      </c>
      <c r="N2737" t="str">
        <f t="shared" si="171"/>
        <v>Aug</v>
      </c>
    </row>
    <row r="2738" spans="1:14" x14ac:dyDescent="0.3">
      <c r="A2738" s="2" t="s">
        <v>2804</v>
      </c>
      <c r="B2738" s="6">
        <v>45893</v>
      </c>
      <c r="C2738" s="2" t="s">
        <v>44</v>
      </c>
      <c r="D2738" s="2" t="s">
        <v>29</v>
      </c>
      <c r="E2738" s="2">
        <v>1</v>
      </c>
      <c r="F2738" s="7">
        <v>229</v>
      </c>
      <c r="G2738" s="8">
        <v>0</v>
      </c>
      <c r="H2738" s="9" t="str">
        <f>INDEX(Products!$B$2:$B$37, MATCH(D2738, Products!$A$2:$A$37, 0))</f>
        <v>Women's Summer Dress</v>
      </c>
      <c r="I2738" t="str">
        <f>INDEX(Products!$C$2:$C$37, MATCH(D2738, Products!$A$2:$A$37, 0))</f>
        <v>Fashion</v>
      </c>
      <c r="J2738">
        <f>INDEX(Products!$E$2:$E$37, MATCH(D2738, Products!$A$2:$A$37, 0))</f>
        <v>120</v>
      </c>
      <c r="K2738" s="9">
        <f t="shared" si="168"/>
        <v>229</v>
      </c>
      <c r="L2738">
        <f t="shared" si="169"/>
        <v>120</v>
      </c>
      <c r="M2738" s="9">
        <f t="shared" si="170"/>
        <v>109</v>
      </c>
      <c r="N2738" t="str">
        <f t="shared" si="171"/>
        <v>Aug</v>
      </c>
    </row>
    <row r="2739" spans="1:14" x14ac:dyDescent="0.3">
      <c r="A2739" s="2" t="s">
        <v>2805</v>
      </c>
      <c r="B2739" s="6">
        <v>45893</v>
      </c>
      <c r="C2739" s="2" t="s">
        <v>44</v>
      </c>
      <c r="D2739" s="2" t="s">
        <v>129</v>
      </c>
      <c r="E2739" s="2">
        <v>1</v>
      </c>
      <c r="F2739" s="7">
        <v>149</v>
      </c>
      <c r="G2739" s="8">
        <v>0.05</v>
      </c>
      <c r="H2739" s="9" t="str">
        <f>INDEX(Products!$B$2:$B$37, MATCH(D2739, Products!$A$2:$A$37, 0))</f>
        <v>Power Bank 20000mAh</v>
      </c>
      <c r="I2739" t="str">
        <f>INDEX(Products!$C$2:$C$37, MATCH(D2739, Products!$A$2:$A$37, 0))</f>
        <v>Electronics</v>
      </c>
      <c r="J2739">
        <f>INDEX(Products!$E$2:$E$37, MATCH(D2739, Products!$A$2:$A$37, 0))</f>
        <v>70</v>
      </c>
      <c r="K2739" s="9">
        <f t="shared" si="168"/>
        <v>141.54999999999998</v>
      </c>
      <c r="L2739">
        <f t="shared" si="169"/>
        <v>70</v>
      </c>
      <c r="M2739" s="9">
        <f t="shared" si="170"/>
        <v>71.549999999999983</v>
      </c>
      <c r="N2739" t="str">
        <f t="shared" si="171"/>
        <v>Aug</v>
      </c>
    </row>
    <row r="2740" spans="1:14" x14ac:dyDescent="0.3">
      <c r="A2740" s="2" t="s">
        <v>2806</v>
      </c>
      <c r="B2740" s="6">
        <v>45893</v>
      </c>
      <c r="C2740" s="2" t="s">
        <v>48</v>
      </c>
      <c r="D2740" s="2" t="s">
        <v>83</v>
      </c>
      <c r="E2740" s="2">
        <v>1</v>
      </c>
      <c r="F2740" s="7">
        <v>229</v>
      </c>
      <c r="G2740" s="8">
        <v>0</v>
      </c>
      <c r="H2740" s="9" t="str">
        <f>INDEX(Products!$B$2:$B$37, MATCH(D2740, Products!$A$2:$A$37, 0))</f>
        <v>Cycling Helmet</v>
      </c>
      <c r="I2740" t="str">
        <f>INDEX(Products!$C$2:$C$37, MATCH(D2740, Products!$A$2:$A$37, 0))</f>
        <v>Sports</v>
      </c>
      <c r="J2740">
        <f>INDEX(Products!$E$2:$E$37, MATCH(D2740, Products!$A$2:$A$37, 0))</f>
        <v>120</v>
      </c>
      <c r="K2740" s="9">
        <f t="shared" si="168"/>
        <v>229</v>
      </c>
      <c r="L2740">
        <f t="shared" si="169"/>
        <v>120</v>
      </c>
      <c r="M2740" s="9">
        <f t="shared" si="170"/>
        <v>109</v>
      </c>
      <c r="N2740" t="str">
        <f t="shared" si="171"/>
        <v>Aug</v>
      </c>
    </row>
    <row r="2741" spans="1:14" x14ac:dyDescent="0.3">
      <c r="A2741" s="2" t="s">
        <v>2807</v>
      </c>
      <c r="B2741" s="6">
        <v>45893</v>
      </c>
      <c r="C2741" s="2" t="s">
        <v>41</v>
      </c>
      <c r="D2741" s="2" t="s">
        <v>56</v>
      </c>
      <c r="E2741" s="2">
        <v>1</v>
      </c>
      <c r="F2741" s="7">
        <v>289</v>
      </c>
      <c r="G2741" s="8">
        <v>0.2</v>
      </c>
      <c r="H2741" s="9" t="str">
        <f>INDEX(Products!$B$2:$B$37, MATCH(D2741, Products!$A$2:$A$37, 0))</f>
        <v>Ceramic Dinner Set</v>
      </c>
      <c r="I2741" t="str">
        <f>INDEX(Products!$C$2:$C$37, MATCH(D2741, Products!$A$2:$A$37, 0))</f>
        <v>Home &amp; Kitchen</v>
      </c>
      <c r="J2741">
        <f>INDEX(Products!$E$2:$E$37, MATCH(D2741, Products!$A$2:$A$37, 0))</f>
        <v>140</v>
      </c>
      <c r="K2741" s="9">
        <f t="shared" si="168"/>
        <v>231.20000000000002</v>
      </c>
      <c r="L2741">
        <f t="shared" si="169"/>
        <v>140</v>
      </c>
      <c r="M2741" s="9">
        <f t="shared" si="170"/>
        <v>91.200000000000017</v>
      </c>
      <c r="N2741" t="str">
        <f t="shared" si="171"/>
        <v>Aug</v>
      </c>
    </row>
    <row r="2742" spans="1:14" x14ac:dyDescent="0.3">
      <c r="A2742" s="2" t="s">
        <v>2808</v>
      </c>
      <c r="B2742" s="6">
        <v>45893</v>
      </c>
      <c r="C2742" s="2" t="s">
        <v>28</v>
      </c>
      <c r="D2742" s="2" t="s">
        <v>35</v>
      </c>
      <c r="E2742" s="2">
        <v>3</v>
      </c>
      <c r="F2742" s="7">
        <v>179</v>
      </c>
      <c r="G2742" s="8">
        <v>0</v>
      </c>
      <c r="H2742" s="9" t="str">
        <f>INDEX(Products!$B$2:$B$37, MATCH(D2742, Products!$A$2:$A$37, 0))</f>
        <v>Men's Linen Shirt</v>
      </c>
      <c r="I2742" t="str">
        <f>INDEX(Products!$C$2:$C$37, MATCH(D2742, Products!$A$2:$A$37, 0))</f>
        <v>Fashion</v>
      </c>
      <c r="J2742">
        <f>INDEX(Products!$E$2:$E$37, MATCH(D2742, Products!$A$2:$A$37, 0))</f>
        <v>70</v>
      </c>
      <c r="K2742" s="9">
        <f t="shared" si="168"/>
        <v>537</v>
      </c>
      <c r="L2742">
        <f t="shared" si="169"/>
        <v>210</v>
      </c>
      <c r="M2742" s="9">
        <f t="shared" si="170"/>
        <v>327</v>
      </c>
      <c r="N2742" t="str">
        <f t="shared" si="171"/>
        <v>Aug</v>
      </c>
    </row>
    <row r="2743" spans="1:14" x14ac:dyDescent="0.3">
      <c r="A2743" s="2" t="s">
        <v>2809</v>
      </c>
      <c r="B2743" s="6">
        <v>45893</v>
      </c>
      <c r="C2743" s="2" t="s">
        <v>41</v>
      </c>
      <c r="D2743" s="2" t="s">
        <v>103</v>
      </c>
      <c r="E2743" s="2">
        <v>1</v>
      </c>
      <c r="F2743" s="7">
        <v>89</v>
      </c>
      <c r="G2743" s="8">
        <v>0</v>
      </c>
      <c r="H2743" s="9" t="str">
        <f>INDEX(Products!$B$2:$B$37, MATCH(D2743, Products!$A$2:$A$37, 0))</f>
        <v>Sunscreen SPF50</v>
      </c>
      <c r="I2743" t="str">
        <f>INDEX(Products!$C$2:$C$37, MATCH(D2743, Products!$A$2:$A$37, 0))</f>
        <v>Beauty</v>
      </c>
      <c r="J2743">
        <f>INDEX(Products!$E$2:$E$37, MATCH(D2743, Products!$A$2:$A$37, 0))</f>
        <v>40</v>
      </c>
      <c r="K2743" s="9">
        <f t="shared" si="168"/>
        <v>89</v>
      </c>
      <c r="L2743">
        <f t="shared" si="169"/>
        <v>40</v>
      </c>
      <c r="M2743" s="9">
        <f t="shared" si="170"/>
        <v>49</v>
      </c>
      <c r="N2743" t="str">
        <f t="shared" si="171"/>
        <v>Aug</v>
      </c>
    </row>
    <row r="2744" spans="1:14" x14ac:dyDescent="0.3">
      <c r="A2744" s="2" t="s">
        <v>2810</v>
      </c>
      <c r="B2744" s="6">
        <v>45894</v>
      </c>
      <c r="C2744" s="2" t="s">
        <v>41</v>
      </c>
      <c r="D2744" s="2" t="s">
        <v>80</v>
      </c>
      <c r="E2744" s="2">
        <v>1</v>
      </c>
      <c r="F2744" s="7">
        <v>149</v>
      </c>
      <c r="G2744" s="8">
        <v>0</v>
      </c>
      <c r="H2744" s="9" t="str">
        <f>INDEX(Products!$B$2:$B$37, MATCH(D2744, Products!$A$2:$A$37, 0))</f>
        <v>Vitamin C Serum</v>
      </c>
      <c r="I2744" t="str">
        <f>INDEX(Products!$C$2:$C$37, MATCH(D2744, Products!$A$2:$A$37, 0))</f>
        <v>Beauty</v>
      </c>
      <c r="J2744">
        <f>INDEX(Products!$E$2:$E$37, MATCH(D2744, Products!$A$2:$A$37, 0))</f>
        <v>55</v>
      </c>
      <c r="K2744" s="9">
        <f t="shared" si="168"/>
        <v>149</v>
      </c>
      <c r="L2744">
        <f t="shared" si="169"/>
        <v>55</v>
      </c>
      <c r="M2744" s="9">
        <f t="shared" si="170"/>
        <v>94</v>
      </c>
      <c r="N2744" t="str">
        <f t="shared" si="171"/>
        <v>Aug</v>
      </c>
    </row>
    <row r="2745" spans="1:14" x14ac:dyDescent="0.3">
      <c r="A2745" s="2" t="s">
        <v>2811</v>
      </c>
      <c r="B2745" s="6">
        <v>45894</v>
      </c>
      <c r="C2745" s="2" t="s">
        <v>41</v>
      </c>
      <c r="D2745" s="2" t="s">
        <v>103</v>
      </c>
      <c r="E2745" s="2">
        <v>1</v>
      </c>
      <c r="F2745" s="7">
        <v>89</v>
      </c>
      <c r="G2745" s="8">
        <v>0</v>
      </c>
      <c r="H2745" s="9" t="str">
        <f>INDEX(Products!$B$2:$B$37, MATCH(D2745, Products!$A$2:$A$37, 0))</f>
        <v>Sunscreen SPF50</v>
      </c>
      <c r="I2745" t="str">
        <f>INDEX(Products!$C$2:$C$37, MATCH(D2745, Products!$A$2:$A$37, 0))</f>
        <v>Beauty</v>
      </c>
      <c r="J2745">
        <f>INDEX(Products!$E$2:$E$37, MATCH(D2745, Products!$A$2:$A$37, 0))</f>
        <v>40</v>
      </c>
      <c r="K2745" s="9">
        <f t="shared" si="168"/>
        <v>89</v>
      </c>
      <c r="L2745">
        <f t="shared" si="169"/>
        <v>40</v>
      </c>
      <c r="M2745" s="9">
        <f t="shared" si="170"/>
        <v>49</v>
      </c>
      <c r="N2745" t="str">
        <f t="shared" si="171"/>
        <v>Aug</v>
      </c>
    </row>
    <row r="2746" spans="1:14" x14ac:dyDescent="0.3">
      <c r="A2746" s="2" t="s">
        <v>2812</v>
      </c>
      <c r="B2746" s="6">
        <v>45894</v>
      </c>
      <c r="C2746" s="2" t="s">
        <v>28</v>
      </c>
      <c r="D2746" s="2" t="s">
        <v>131</v>
      </c>
      <c r="E2746" s="2">
        <v>1</v>
      </c>
      <c r="F2746" s="7">
        <v>899</v>
      </c>
      <c r="G2746" s="8">
        <v>0.1</v>
      </c>
      <c r="H2746" s="9" t="str">
        <f>INDEX(Products!$B$2:$B$37, MATCH(D2746, Products!$A$2:$A$37, 0))</f>
        <v>4K Action Camera</v>
      </c>
      <c r="I2746" t="str">
        <f>INDEX(Products!$C$2:$C$37, MATCH(D2746, Products!$A$2:$A$37, 0))</f>
        <v>Electronics</v>
      </c>
      <c r="J2746">
        <f>INDEX(Products!$E$2:$E$37, MATCH(D2746, Products!$A$2:$A$37, 0))</f>
        <v>610</v>
      </c>
      <c r="K2746" s="9">
        <f t="shared" si="168"/>
        <v>809.1</v>
      </c>
      <c r="L2746">
        <f t="shared" si="169"/>
        <v>610</v>
      </c>
      <c r="M2746" s="9">
        <f t="shared" si="170"/>
        <v>199.10000000000002</v>
      </c>
      <c r="N2746" t="str">
        <f t="shared" si="171"/>
        <v>Aug</v>
      </c>
    </row>
    <row r="2747" spans="1:14" x14ac:dyDescent="0.3">
      <c r="A2747" s="2" t="s">
        <v>2813</v>
      </c>
      <c r="B2747" s="6">
        <v>45894</v>
      </c>
      <c r="C2747" s="2" t="s">
        <v>31</v>
      </c>
      <c r="D2747" s="2" t="s">
        <v>65</v>
      </c>
      <c r="E2747" s="2">
        <v>2</v>
      </c>
      <c r="F2747" s="7">
        <v>129</v>
      </c>
      <c r="G2747" s="8">
        <v>0.05</v>
      </c>
      <c r="H2747" s="9" t="str">
        <f>INDEX(Products!$B$2:$B$37, MATCH(D2747, Products!$A$2:$A$37, 0))</f>
        <v>Yoga Mat Premium</v>
      </c>
      <c r="I2747" t="str">
        <f>INDEX(Products!$C$2:$C$37, MATCH(D2747, Products!$A$2:$A$37, 0))</f>
        <v>Sports</v>
      </c>
      <c r="J2747">
        <f>INDEX(Products!$E$2:$E$37, MATCH(D2747, Products!$A$2:$A$37, 0))</f>
        <v>60</v>
      </c>
      <c r="K2747" s="9">
        <f t="shared" si="168"/>
        <v>245.1</v>
      </c>
      <c r="L2747">
        <f t="shared" si="169"/>
        <v>120</v>
      </c>
      <c r="M2747" s="9">
        <f t="shared" si="170"/>
        <v>125.1</v>
      </c>
      <c r="N2747" t="str">
        <f t="shared" si="171"/>
        <v>Aug</v>
      </c>
    </row>
    <row r="2748" spans="1:14" x14ac:dyDescent="0.3">
      <c r="A2748" s="2" t="s">
        <v>2814</v>
      </c>
      <c r="B2748" s="6">
        <v>45894</v>
      </c>
      <c r="C2748" s="2" t="s">
        <v>28</v>
      </c>
      <c r="D2748" s="2" t="s">
        <v>115</v>
      </c>
      <c r="E2748" s="2">
        <v>2</v>
      </c>
      <c r="F2748" s="7">
        <v>129</v>
      </c>
      <c r="G2748" s="8">
        <v>0</v>
      </c>
      <c r="H2748" s="9" t="str">
        <f>INDEX(Products!$B$2:$B$37, MATCH(D2748, Products!$A$2:$A$37, 0))</f>
        <v>Electric Kettle</v>
      </c>
      <c r="I2748" t="str">
        <f>INDEX(Products!$C$2:$C$37, MATCH(D2748, Products!$A$2:$A$37, 0))</f>
        <v>Home &amp; Kitchen</v>
      </c>
      <c r="J2748">
        <f>INDEX(Products!$E$2:$E$37, MATCH(D2748, Products!$A$2:$A$37, 0))</f>
        <v>60</v>
      </c>
      <c r="K2748" s="9">
        <f t="shared" si="168"/>
        <v>258</v>
      </c>
      <c r="L2748">
        <f t="shared" si="169"/>
        <v>120</v>
      </c>
      <c r="M2748" s="9">
        <f t="shared" si="170"/>
        <v>138</v>
      </c>
      <c r="N2748" t="str">
        <f t="shared" si="171"/>
        <v>Aug</v>
      </c>
    </row>
    <row r="2749" spans="1:14" x14ac:dyDescent="0.3">
      <c r="A2749" s="2" t="s">
        <v>2815</v>
      </c>
      <c r="B2749" s="6">
        <v>45894</v>
      </c>
      <c r="C2749" s="2" t="s">
        <v>31</v>
      </c>
      <c r="D2749" s="2" t="s">
        <v>49</v>
      </c>
      <c r="E2749" s="2">
        <v>1</v>
      </c>
      <c r="F2749" s="7">
        <v>149</v>
      </c>
      <c r="G2749" s="8">
        <v>0</v>
      </c>
      <c r="H2749" s="9" t="str">
        <f>INDEX(Products!$B$2:$B$37, MATCH(D2749, Products!$A$2:$A$37, 0))</f>
        <v>Kids' Sneakers</v>
      </c>
      <c r="I2749" t="str">
        <f>INDEX(Products!$C$2:$C$37, MATCH(D2749, Products!$A$2:$A$37, 0))</f>
        <v>Fashion</v>
      </c>
      <c r="J2749">
        <f>INDEX(Products!$E$2:$E$37, MATCH(D2749, Products!$A$2:$A$37, 0))</f>
        <v>80</v>
      </c>
      <c r="K2749" s="9">
        <f t="shared" si="168"/>
        <v>149</v>
      </c>
      <c r="L2749">
        <f t="shared" si="169"/>
        <v>80</v>
      </c>
      <c r="M2749" s="9">
        <f t="shared" si="170"/>
        <v>69</v>
      </c>
      <c r="N2749" t="str">
        <f t="shared" si="171"/>
        <v>Aug</v>
      </c>
    </row>
    <row r="2750" spans="1:14" x14ac:dyDescent="0.3">
      <c r="A2750" s="2" t="s">
        <v>2816</v>
      </c>
      <c r="B2750" s="6">
        <v>45894</v>
      </c>
      <c r="C2750" s="2" t="s">
        <v>28</v>
      </c>
      <c r="D2750" s="2" t="s">
        <v>83</v>
      </c>
      <c r="E2750" s="2">
        <v>2</v>
      </c>
      <c r="F2750" s="7">
        <v>229</v>
      </c>
      <c r="G2750" s="8">
        <v>0.2</v>
      </c>
      <c r="H2750" s="9" t="str">
        <f>INDEX(Products!$B$2:$B$37, MATCH(D2750, Products!$A$2:$A$37, 0))</f>
        <v>Cycling Helmet</v>
      </c>
      <c r="I2750" t="str">
        <f>INDEX(Products!$C$2:$C$37, MATCH(D2750, Products!$A$2:$A$37, 0))</f>
        <v>Sports</v>
      </c>
      <c r="J2750">
        <f>INDEX(Products!$E$2:$E$37, MATCH(D2750, Products!$A$2:$A$37, 0))</f>
        <v>120</v>
      </c>
      <c r="K2750" s="9">
        <f t="shared" si="168"/>
        <v>366.40000000000003</v>
      </c>
      <c r="L2750">
        <f t="shared" si="169"/>
        <v>240</v>
      </c>
      <c r="M2750" s="9">
        <f t="shared" si="170"/>
        <v>126.40000000000003</v>
      </c>
      <c r="N2750" t="str">
        <f t="shared" si="171"/>
        <v>Aug</v>
      </c>
    </row>
    <row r="2751" spans="1:14" x14ac:dyDescent="0.3">
      <c r="A2751" s="2" t="s">
        <v>2817</v>
      </c>
      <c r="B2751" s="6">
        <v>45894</v>
      </c>
      <c r="C2751" s="2" t="s">
        <v>31</v>
      </c>
      <c r="D2751" s="2" t="s">
        <v>42</v>
      </c>
      <c r="E2751" s="2">
        <v>1</v>
      </c>
      <c r="F2751" s="7">
        <v>399</v>
      </c>
      <c r="G2751" s="8">
        <v>0.2</v>
      </c>
      <c r="H2751" s="9" t="str">
        <f>INDEX(Products!$B$2:$B$37, MATCH(D2751, Products!$A$2:$A$37, 0))</f>
        <v>Wireless Earbuds Pro</v>
      </c>
      <c r="I2751" t="str">
        <f>INDEX(Products!$C$2:$C$37, MATCH(D2751, Products!$A$2:$A$37, 0))</f>
        <v>Electronics</v>
      </c>
      <c r="J2751">
        <f>INDEX(Products!$E$2:$E$37, MATCH(D2751, Products!$A$2:$A$37, 0))</f>
        <v>230</v>
      </c>
      <c r="K2751" s="9">
        <f t="shared" si="168"/>
        <v>319.20000000000005</v>
      </c>
      <c r="L2751">
        <f t="shared" si="169"/>
        <v>230</v>
      </c>
      <c r="M2751" s="9">
        <f t="shared" si="170"/>
        <v>89.200000000000045</v>
      </c>
      <c r="N2751" t="str">
        <f t="shared" si="171"/>
        <v>Aug</v>
      </c>
    </row>
    <row r="2752" spans="1:14" x14ac:dyDescent="0.3">
      <c r="A2752" s="2" t="s">
        <v>2818</v>
      </c>
      <c r="B2752" s="6">
        <v>45894</v>
      </c>
      <c r="C2752" s="2" t="s">
        <v>48</v>
      </c>
      <c r="D2752" s="2" t="s">
        <v>65</v>
      </c>
      <c r="E2752" s="2">
        <v>2</v>
      </c>
      <c r="F2752" s="7">
        <v>129</v>
      </c>
      <c r="G2752" s="8">
        <v>0.05</v>
      </c>
      <c r="H2752" s="9" t="str">
        <f>INDEX(Products!$B$2:$B$37, MATCH(D2752, Products!$A$2:$A$37, 0))</f>
        <v>Yoga Mat Premium</v>
      </c>
      <c r="I2752" t="str">
        <f>INDEX(Products!$C$2:$C$37, MATCH(D2752, Products!$A$2:$A$37, 0))</f>
        <v>Sports</v>
      </c>
      <c r="J2752">
        <f>INDEX(Products!$E$2:$E$37, MATCH(D2752, Products!$A$2:$A$37, 0))</f>
        <v>60</v>
      </c>
      <c r="K2752" s="9">
        <f t="shared" si="168"/>
        <v>245.1</v>
      </c>
      <c r="L2752">
        <f t="shared" si="169"/>
        <v>120</v>
      </c>
      <c r="M2752" s="9">
        <f t="shared" si="170"/>
        <v>125.1</v>
      </c>
      <c r="N2752" t="str">
        <f t="shared" si="171"/>
        <v>Aug</v>
      </c>
    </row>
    <row r="2753" spans="1:14" x14ac:dyDescent="0.3">
      <c r="A2753" s="2" t="s">
        <v>2819</v>
      </c>
      <c r="B2753" s="6">
        <v>45894</v>
      </c>
      <c r="C2753" s="2" t="s">
        <v>44</v>
      </c>
      <c r="D2753" s="2" t="s">
        <v>80</v>
      </c>
      <c r="E2753" s="2">
        <v>1</v>
      </c>
      <c r="F2753" s="7">
        <v>149</v>
      </c>
      <c r="G2753" s="8">
        <v>0</v>
      </c>
      <c r="H2753" s="9" t="str">
        <f>INDEX(Products!$B$2:$B$37, MATCH(D2753, Products!$A$2:$A$37, 0))</f>
        <v>Vitamin C Serum</v>
      </c>
      <c r="I2753" t="str">
        <f>INDEX(Products!$C$2:$C$37, MATCH(D2753, Products!$A$2:$A$37, 0))</f>
        <v>Beauty</v>
      </c>
      <c r="J2753">
        <f>INDEX(Products!$E$2:$E$37, MATCH(D2753, Products!$A$2:$A$37, 0))</f>
        <v>55</v>
      </c>
      <c r="K2753" s="9">
        <f t="shared" si="168"/>
        <v>149</v>
      </c>
      <c r="L2753">
        <f t="shared" si="169"/>
        <v>55</v>
      </c>
      <c r="M2753" s="9">
        <f t="shared" si="170"/>
        <v>94</v>
      </c>
      <c r="N2753" t="str">
        <f t="shared" si="171"/>
        <v>Aug</v>
      </c>
    </row>
    <row r="2754" spans="1:14" x14ac:dyDescent="0.3">
      <c r="A2754" s="2" t="s">
        <v>2820</v>
      </c>
      <c r="B2754" s="6">
        <v>45894</v>
      </c>
      <c r="C2754" s="2" t="s">
        <v>31</v>
      </c>
      <c r="D2754" s="2" t="s">
        <v>103</v>
      </c>
      <c r="E2754" s="2">
        <v>1</v>
      </c>
      <c r="F2754" s="7">
        <v>89</v>
      </c>
      <c r="G2754" s="8">
        <v>0.15</v>
      </c>
      <c r="H2754" s="9" t="str">
        <f>INDEX(Products!$B$2:$B$37, MATCH(D2754, Products!$A$2:$A$37, 0))</f>
        <v>Sunscreen SPF50</v>
      </c>
      <c r="I2754" t="str">
        <f>INDEX(Products!$C$2:$C$37, MATCH(D2754, Products!$A$2:$A$37, 0))</f>
        <v>Beauty</v>
      </c>
      <c r="J2754">
        <f>INDEX(Products!$E$2:$E$37, MATCH(D2754, Products!$A$2:$A$37, 0))</f>
        <v>40</v>
      </c>
      <c r="K2754" s="9">
        <f t="shared" ref="K2754:K2817" si="172">E2754*F2754*(1-G2754)</f>
        <v>75.649999999999991</v>
      </c>
      <c r="L2754">
        <f t="shared" ref="L2754:L2817" si="173">E2754*J2754</f>
        <v>40</v>
      </c>
      <c r="M2754" s="9">
        <f t="shared" ref="M2754:M2817" si="174">K2754-L2754</f>
        <v>35.649999999999991</v>
      </c>
      <c r="N2754" t="str">
        <f t="shared" ref="N2754:N2817" si="175">TEXT(B2754,"mmm")</f>
        <v>Aug</v>
      </c>
    </row>
    <row r="2755" spans="1:14" x14ac:dyDescent="0.3">
      <c r="A2755" s="2" t="s">
        <v>2821</v>
      </c>
      <c r="B2755" s="6">
        <v>45895</v>
      </c>
      <c r="C2755" s="2" t="s">
        <v>41</v>
      </c>
      <c r="D2755" s="2" t="s">
        <v>103</v>
      </c>
      <c r="E2755" s="2">
        <v>1</v>
      </c>
      <c r="F2755" s="7">
        <v>89</v>
      </c>
      <c r="G2755" s="8">
        <v>0</v>
      </c>
      <c r="H2755" s="9" t="str">
        <f>INDEX(Products!$B$2:$B$37, MATCH(D2755, Products!$A$2:$A$37, 0))</f>
        <v>Sunscreen SPF50</v>
      </c>
      <c r="I2755" t="str">
        <f>INDEX(Products!$C$2:$C$37, MATCH(D2755, Products!$A$2:$A$37, 0))</f>
        <v>Beauty</v>
      </c>
      <c r="J2755">
        <f>INDEX(Products!$E$2:$E$37, MATCH(D2755, Products!$A$2:$A$37, 0))</f>
        <v>40</v>
      </c>
      <c r="K2755" s="9">
        <f t="shared" si="172"/>
        <v>89</v>
      </c>
      <c r="L2755">
        <f t="shared" si="173"/>
        <v>40</v>
      </c>
      <c r="M2755" s="9">
        <f t="shared" si="174"/>
        <v>49</v>
      </c>
      <c r="N2755" t="str">
        <f t="shared" si="175"/>
        <v>Aug</v>
      </c>
    </row>
    <row r="2756" spans="1:14" x14ac:dyDescent="0.3">
      <c r="A2756" s="2" t="s">
        <v>2822</v>
      </c>
      <c r="B2756" s="6">
        <v>45895</v>
      </c>
      <c r="C2756" s="2" t="s">
        <v>28</v>
      </c>
      <c r="D2756" s="2" t="s">
        <v>52</v>
      </c>
      <c r="E2756" s="2">
        <v>1</v>
      </c>
      <c r="F2756" s="7">
        <v>299</v>
      </c>
      <c r="G2756" s="8">
        <v>0.15</v>
      </c>
      <c r="H2756" s="9" t="str">
        <f>INDEX(Products!$B$2:$B$37, MATCH(D2756, Products!$A$2:$A$37, 0))</f>
        <v>Hair Dryer Ionic</v>
      </c>
      <c r="I2756" t="str">
        <f>INDEX(Products!$C$2:$C$37, MATCH(D2756, Products!$A$2:$A$37, 0))</f>
        <v>Beauty</v>
      </c>
      <c r="J2756">
        <f>INDEX(Products!$E$2:$E$37, MATCH(D2756, Products!$A$2:$A$37, 0))</f>
        <v>240</v>
      </c>
      <c r="K2756" s="9">
        <f t="shared" si="172"/>
        <v>254.15</v>
      </c>
      <c r="L2756">
        <f t="shared" si="173"/>
        <v>240</v>
      </c>
      <c r="M2756" s="9">
        <f t="shared" si="174"/>
        <v>14.150000000000006</v>
      </c>
      <c r="N2756" t="str">
        <f t="shared" si="175"/>
        <v>Aug</v>
      </c>
    </row>
    <row r="2757" spans="1:14" x14ac:dyDescent="0.3">
      <c r="A2757" s="2" t="s">
        <v>2823</v>
      </c>
      <c r="B2757" s="6">
        <v>45895</v>
      </c>
      <c r="C2757" s="2" t="s">
        <v>31</v>
      </c>
      <c r="D2757" s="2" t="s">
        <v>194</v>
      </c>
      <c r="E2757" s="2">
        <v>3</v>
      </c>
      <c r="F2757" s="7">
        <v>699</v>
      </c>
      <c r="G2757" s="8">
        <v>0.1</v>
      </c>
      <c r="H2757" s="9" t="str">
        <f>INDEX(Products!$B$2:$B$37, MATCH(D2757, Products!$A$2:$A$37, 0))</f>
        <v>Leather Handbag</v>
      </c>
      <c r="I2757" t="str">
        <f>INDEX(Products!$C$2:$C$37, MATCH(D2757, Products!$A$2:$A$37, 0))</f>
        <v>Fashion</v>
      </c>
      <c r="J2757">
        <f>INDEX(Products!$E$2:$E$37, MATCH(D2757, Products!$A$2:$A$37, 0))</f>
        <v>380</v>
      </c>
      <c r="K2757" s="9">
        <f t="shared" si="172"/>
        <v>1887.3</v>
      </c>
      <c r="L2757">
        <f t="shared" si="173"/>
        <v>1140</v>
      </c>
      <c r="M2757" s="9">
        <f t="shared" si="174"/>
        <v>747.3</v>
      </c>
      <c r="N2757" t="str">
        <f t="shared" si="175"/>
        <v>Aug</v>
      </c>
    </row>
    <row r="2758" spans="1:14" x14ac:dyDescent="0.3">
      <c r="A2758" s="2" t="s">
        <v>2824</v>
      </c>
      <c r="B2758" s="6">
        <v>45895</v>
      </c>
      <c r="C2758" s="2" t="s">
        <v>41</v>
      </c>
      <c r="D2758" s="2" t="s">
        <v>194</v>
      </c>
      <c r="E2758" s="2">
        <v>1</v>
      </c>
      <c r="F2758" s="7">
        <v>699</v>
      </c>
      <c r="G2758" s="8">
        <v>0.05</v>
      </c>
      <c r="H2758" s="9" t="str">
        <f>INDEX(Products!$B$2:$B$37, MATCH(D2758, Products!$A$2:$A$37, 0))</f>
        <v>Leather Handbag</v>
      </c>
      <c r="I2758" t="str">
        <f>INDEX(Products!$C$2:$C$37, MATCH(D2758, Products!$A$2:$A$37, 0))</f>
        <v>Fashion</v>
      </c>
      <c r="J2758">
        <f>INDEX(Products!$E$2:$E$37, MATCH(D2758, Products!$A$2:$A$37, 0))</f>
        <v>380</v>
      </c>
      <c r="K2758" s="9">
        <f t="shared" si="172"/>
        <v>664.05</v>
      </c>
      <c r="L2758">
        <f t="shared" si="173"/>
        <v>380</v>
      </c>
      <c r="M2758" s="9">
        <f t="shared" si="174"/>
        <v>284.04999999999995</v>
      </c>
      <c r="N2758" t="str">
        <f t="shared" si="175"/>
        <v>Aug</v>
      </c>
    </row>
    <row r="2759" spans="1:14" x14ac:dyDescent="0.3">
      <c r="A2759" s="2" t="s">
        <v>2825</v>
      </c>
      <c r="B2759" s="6">
        <v>45895</v>
      </c>
      <c r="C2759" s="2" t="s">
        <v>28</v>
      </c>
      <c r="D2759" s="2" t="s">
        <v>87</v>
      </c>
      <c r="E2759" s="2">
        <v>3</v>
      </c>
      <c r="F2759" s="7">
        <v>799</v>
      </c>
      <c r="G2759" s="8">
        <v>0.15</v>
      </c>
      <c r="H2759" s="9" t="str">
        <f>INDEX(Products!$B$2:$B$37, MATCH(D2759, Products!$A$2:$A$37, 0))</f>
        <v>Adjustable Dumbbells</v>
      </c>
      <c r="I2759" t="str">
        <f>INDEX(Products!$C$2:$C$37, MATCH(D2759, Products!$A$2:$A$37, 0))</f>
        <v>Sports</v>
      </c>
      <c r="J2759">
        <f>INDEX(Products!$E$2:$E$37, MATCH(D2759, Products!$A$2:$A$37, 0))</f>
        <v>700</v>
      </c>
      <c r="K2759" s="9">
        <f t="shared" si="172"/>
        <v>2037.45</v>
      </c>
      <c r="L2759">
        <f t="shared" si="173"/>
        <v>2100</v>
      </c>
      <c r="M2759" s="9">
        <f t="shared" si="174"/>
        <v>-62.549999999999955</v>
      </c>
      <c r="N2759" t="str">
        <f t="shared" si="175"/>
        <v>Aug</v>
      </c>
    </row>
    <row r="2760" spans="1:14" x14ac:dyDescent="0.3">
      <c r="A2760" s="2" t="s">
        <v>2826</v>
      </c>
      <c r="B2760" s="6">
        <v>45895</v>
      </c>
      <c r="C2760" s="2" t="s">
        <v>44</v>
      </c>
      <c r="D2760" s="2" t="s">
        <v>89</v>
      </c>
      <c r="E2760" s="2">
        <v>1</v>
      </c>
      <c r="F2760" s="7">
        <v>399</v>
      </c>
      <c r="G2760" s="8">
        <v>0.05</v>
      </c>
      <c r="H2760" s="9" t="str">
        <f>INDEX(Products!$B$2:$B$37, MATCH(D2760, Products!$A$2:$A$37, 0))</f>
        <v>Men's Kandura Premium</v>
      </c>
      <c r="I2760" t="str">
        <f>INDEX(Products!$C$2:$C$37, MATCH(D2760, Products!$A$2:$A$37, 0))</f>
        <v>Fashion</v>
      </c>
      <c r="J2760">
        <f>INDEX(Products!$E$2:$E$37, MATCH(D2760, Products!$A$2:$A$37, 0))</f>
        <v>210</v>
      </c>
      <c r="K2760" s="9">
        <f t="shared" si="172"/>
        <v>379.04999999999995</v>
      </c>
      <c r="L2760">
        <f t="shared" si="173"/>
        <v>210</v>
      </c>
      <c r="M2760" s="9">
        <f t="shared" si="174"/>
        <v>169.04999999999995</v>
      </c>
      <c r="N2760" t="str">
        <f t="shared" si="175"/>
        <v>Aug</v>
      </c>
    </row>
    <row r="2761" spans="1:14" x14ac:dyDescent="0.3">
      <c r="A2761" s="2" t="s">
        <v>2827</v>
      </c>
      <c r="B2761" s="6">
        <v>45895</v>
      </c>
      <c r="C2761" s="2" t="s">
        <v>41</v>
      </c>
      <c r="D2761" s="2" t="s">
        <v>49</v>
      </c>
      <c r="E2761" s="2">
        <v>1</v>
      </c>
      <c r="F2761" s="7">
        <v>149</v>
      </c>
      <c r="G2761" s="8">
        <v>0.2</v>
      </c>
      <c r="H2761" s="9" t="str">
        <f>INDEX(Products!$B$2:$B$37, MATCH(D2761, Products!$A$2:$A$37, 0))</f>
        <v>Kids' Sneakers</v>
      </c>
      <c r="I2761" t="str">
        <f>INDEX(Products!$C$2:$C$37, MATCH(D2761, Products!$A$2:$A$37, 0))</f>
        <v>Fashion</v>
      </c>
      <c r="J2761">
        <f>INDEX(Products!$E$2:$E$37, MATCH(D2761, Products!$A$2:$A$37, 0))</f>
        <v>80</v>
      </c>
      <c r="K2761" s="9">
        <f t="shared" si="172"/>
        <v>119.2</v>
      </c>
      <c r="L2761">
        <f t="shared" si="173"/>
        <v>80</v>
      </c>
      <c r="M2761" s="9">
        <f t="shared" si="174"/>
        <v>39.200000000000003</v>
      </c>
      <c r="N2761" t="str">
        <f t="shared" si="175"/>
        <v>Aug</v>
      </c>
    </row>
    <row r="2762" spans="1:14" x14ac:dyDescent="0.3">
      <c r="A2762" s="2" t="s">
        <v>2828</v>
      </c>
      <c r="B2762" s="6">
        <v>45895</v>
      </c>
      <c r="C2762" s="2" t="s">
        <v>31</v>
      </c>
      <c r="D2762" s="2" t="s">
        <v>35</v>
      </c>
      <c r="E2762" s="2">
        <v>1</v>
      </c>
      <c r="F2762" s="7">
        <v>179</v>
      </c>
      <c r="G2762" s="8">
        <v>0.05</v>
      </c>
      <c r="H2762" s="9" t="str">
        <f>INDEX(Products!$B$2:$B$37, MATCH(D2762, Products!$A$2:$A$37, 0))</f>
        <v>Men's Linen Shirt</v>
      </c>
      <c r="I2762" t="str">
        <f>INDEX(Products!$C$2:$C$37, MATCH(D2762, Products!$A$2:$A$37, 0))</f>
        <v>Fashion</v>
      </c>
      <c r="J2762">
        <f>INDEX(Products!$E$2:$E$37, MATCH(D2762, Products!$A$2:$A$37, 0))</f>
        <v>70</v>
      </c>
      <c r="K2762" s="9">
        <f t="shared" si="172"/>
        <v>170.04999999999998</v>
      </c>
      <c r="L2762">
        <f t="shared" si="173"/>
        <v>70</v>
      </c>
      <c r="M2762" s="9">
        <f t="shared" si="174"/>
        <v>100.04999999999998</v>
      </c>
      <c r="N2762" t="str">
        <f t="shared" si="175"/>
        <v>Aug</v>
      </c>
    </row>
    <row r="2763" spans="1:14" x14ac:dyDescent="0.3">
      <c r="A2763" s="2" t="s">
        <v>2829</v>
      </c>
      <c r="B2763" s="6">
        <v>45895</v>
      </c>
      <c r="C2763" s="2" t="s">
        <v>44</v>
      </c>
      <c r="D2763" s="2" t="s">
        <v>165</v>
      </c>
      <c r="E2763" s="2">
        <v>2</v>
      </c>
      <c r="F2763" s="7">
        <v>69</v>
      </c>
      <c r="G2763" s="8">
        <v>0.3</v>
      </c>
      <c r="H2763" s="9" t="str">
        <f>INDEX(Products!$B$2:$B$37, MATCH(D2763, Products!$A$2:$A$37, 0))</f>
        <v>Swim Goggles</v>
      </c>
      <c r="I2763" t="str">
        <f>INDEX(Products!$C$2:$C$37, MATCH(D2763, Products!$A$2:$A$37, 0))</f>
        <v>Sports</v>
      </c>
      <c r="J2763">
        <f>INDEX(Products!$E$2:$E$37, MATCH(D2763, Products!$A$2:$A$37, 0))</f>
        <v>25</v>
      </c>
      <c r="K2763" s="9">
        <f t="shared" si="172"/>
        <v>96.6</v>
      </c>
      <c r="L2763">
        <f t="shared" si="173"/>
        <v>50</v>
      </c>
      <c r="M2763" s="9">
        <f t="shared" si="174"/>
        <v>46.599999999999994</v>
      </c>
      <c r="N2763" t="str">
        <f t="shared" si="175"/>
        <v>Aug</v>
      </c>
    </row>
    <row r="2764" spans="1:14" x14ac:dyDescent="0.3">
      <c r="A2764" s="2" t="s">
        <v>2830</v>
      </c>
      <c r="B2764" s="6">
        <v>45895</v>
      </c>
      <c r="C2764" s="2" t="s">
        <v>48</v>
      </c>
      <c r="D2764" s="2" t="s">
        <v>78</v>
      </c>
      <c r="E2764" s="2">
        <v>1</v>
      </c>
      <c r="F2764" s="7">
        <v>499</v>
      </c>
      <c r="G2764" s="8">
        <v>0</v>
      </c>
      <c r="H2764" s="9" t="str">
        <f>INDEX(Products!$B$2:$B$37, MATCH(D2764, Products!$A$2:$A$37, 0))</f>
        <v>Air Fryer 5L</v>
      </c>
      <c r="I2764" t="str">
        <f>INDEX(Products!$C$2:$C$37, MATCH(D2764, Products!$A$2:$A$37, 0))</f>
        <v>Home &amp; Kitchen</v>
      </c>
      <c r="J2764">
        <f>INDEX(Products!$E$2:$E$37, MATCH(D2764, Products!$A$2:$A$37, 0))</f>
        <v>290</v>
      </c>
      <c r="K2764" s="9">
        <f t="shared" si="172"/>
        <v>499</v>
      </c>
      <c r="L2764">
        <f t="shared" si="173"/>
        <v>290</v>
      </c>
      <c r="M2764" s="9">
        <f t="shared" si="174"/>
        <v>209</v>
      </c>
      <c r="N2764" t="str">
        <f t="shared" si="175"/>
        <v>Aug</v>
      </c>
    </row>
    <row r="2765" spans="1:14" x14ac:dyDescent="0.3">
      <c r="A2765" s="2" t="s">
        <v>2831</v>
      </c>
      <c r="B2765" s="6">
        <v>45896</v>
      </c>
      <c r="C2765" s="2" t="s">
        <v>44</v>
      </c>
      <c r="D2765" s="2" t="s">
        <v>42</v>
      </c>
      <c r="E2765" s="2">
        <v>4</v>
      </c>
      <c r="F2765" s="7">
        <v>399</v>
      </c>
      <c r="G2765" s="8">
        <v>0</v>
      </c>
      <c r="H2765" s="9" t="str">
        <f>INDEX(Products!$B$2:$B$37, MATCH(D2765, Products!$A$2:$A$37, 0))</f>
        <v>Wireless Earbuds Pro</v>
      </c>
      <c r="I2765" t="str">
        <f>INDEX(Products!$C$2:$C$37, MATCH(D2765, Products!$A$2:$A$37, 0))</f>
        <v>Electronics</v>
      </c>
      <c r="J2765">
        <f>INDEX(Products!$E$2:$E$37, MATCH(D2765, Products!$A$2:$A$37, 0))</f>
        <v>230</v>
      </c>
      <c r="K2765" s="9">
        <f t="shared" si="172"/>
        <v>1596</v>
      </c>
      <c r="L2765">
        <f t="shared" si="173"/>
        <v>920</v>
      </c>
      <c r="M2765" s="9">
        <f t="shared" si="174"/>
        <v>676</v>
      </c>
      <c r="N2765" t="str">
        <f t="shared" si="175"/>
        <v>Aug</v>
      </c>
    </row>
    <row r="2766" spans="1:14" x14ac:dyDescent="0.3">
      <c r="A2766" s="2" t="s">
        <v>2832</v>
      </c>
      <c r="B2766" s="6">
        <v>45896</v>
      </c>
      <c r="C2766" s="2" t="s">
        <v>44</v>
      </c>
      <c r="D2766" s="2" t="s">
        <v>68</v>
      </c>
      <c r="E2766" s="2">
        <v>1</v>
      </c>
      <c r="F2766" s="7">
        <v>249</v>
      </c>
      <c r="G2766" s="8">
        <v>0.1</v>
      </c>
      <c r="H2766" s="9" t="str">
        <f>INDEX(Products!$B$2:$B$37, MATCH(D2766, Products!$A$2:$A$37, 0))</f>
        <v>Bluetooth Speaker Mini</v>
      </c>
      <c r="I2766" t="str">
        <f>INDEX(Products!$C$2:$C$37, MATCH(D2766, Products!$A$2:$A$37, 0))</f>
        <v>Electronics</v>
      </c>
      <c r="J2766">
        <f>INDEX(Products!$E$2:$E$37, MATCH(D2766, Products!$A$2:$A$37, 0))</f>
        <v>150</v>
      </c>
      <c r="K2766" s="9">
        <f t="shared" si="172"/>
        <v>224.1</v>
      </c>
      <c r="L2766">
        <f t="shared" si="173"/>
        <v>150</v>
      </c>
      <c r="M2766" s="9">
        <f t="shared" si="174"/>
        <v>74.099999999999994</v>
      </c>
      <c r="N2766" t="str">
        <f t="shared" si="175"/>
        <v>Aug</v>
      </c>
    </row>
    <row r="2767" spans="1:14" x14ac:dyDescent="0.3">
      <c r="A2767" s="2" t="s">
        <v>2833</v>
      </c>
      <c r="B2767" s="6">
        <v>45896</v>
      </c>
      <c r="C2767" s="2" t="s">
        <v>44</v>
      </c>
      <c r="D2767" s="2" t="s">
        <v>52</v>
      </c>
      <c r="E2767" s="2">
        <v>2</v>
      </c>
      <c r="F2767" s="7">
        <v>299</v>
      </c>
      <c r="G2767" s="8">
        <v>0.25</v>
      </c>
      <c r="H2767" s="9" t="str">
        <f>INDEX(Products!$B$2:$B$37, MATCH(D2767, Products!$A$2:$A$37, 0))</f>
        <v>Hair Dryer Ionic</v>
      </c>
      <c r="I2767" t="str">
        <f>INDEX(Products!$C$2:$C$37, MATCH(D2767, Products!$A$2:$A$37, 0))</f>
        <v>Beauty</v>
      </c>
      <c r="J2767">
        <f>INDEX(Products!$E$2:$E$37, MATCH(D2767, Products!$A$2:$A$37, 0))</f>
        <v>240</v>
      </c>
      <c r="K2767" s="9">
        <f t="shared" si="172"/>
        <v>448.5</v>
      </c>
      <c r="L2767">
        <f t="shared" si="173"/>
        <v>480</v>
      </c>
      <c r="M2767" s="9">
        <f t="shared" si="174"/>
        <v>-31.5</v>
      </c>
      <c r="N2767" t="str">
        <f t="shared" si="175"/>
        <v>Aug</v>
      </c>
    </row>
    <row r="2768" spans="1:14" x14ac:dyDescent="0.3">
      <c r="A2768" s="2" t="s">
        <v>2834</v>
      </c>
      <c r="B2768" s="6">
        <v>45896</v>
      </c>
      <c r="C2768" s="2" t="s">
        <v>48</v>
      </c>
      <c r="D2768" s="2" t="s">
        <v>39</v>
      </c>
      <c r="E2768" s="2">
        <v>2</v>
      </c>
      <c r="F2768" s="7">
        <v>199</v>
      </c>
      <c r="G2768" s="8">
        <v>0.1</v>
      </c>
      <c r="H2768" s="9" t="str">
        <f>INDEX(Products!$B$2:$B$37, MATCH(D2768, Products!$A$2:$A$37, 0))</f>
        <v>Bakhoor Gift Set</v>
      </c>
      <c r="I2768" t="str">
        <f>INDEX(Products!$C$2:$C$37, MATCH(D2768, Products!$A$2:$A$37, 0))</f>
        <v>Beauty</v>
      </c>
      <c r="J2768">
        <f>INDEX(Products!$E$2:$E$37, MATCH(D2768, Products!$A$2:$A$37, 0))</f>
        <v>90</v>
      </c>
      <c r="K2768" s="9">
        <f t="shared" si="172"/>
        <v>358.2</v>
      </c>
      <c r="L2768">
        <f t="shared" si="173"/>
        <v>180</v>
      </c>
      <c r="M2768" s="9">
        <f t="shared" si="174"/>
        <v>178.2</v>
      </c>
      <c r="N2768" t="str">
        <f t="shared" si="175"/>
        <v>Aug</v>
      </c>
    </row>
    <row r="2769" spans="1:14" x14ac:dyDescent="0.3">
      <c r="A2769" s="2" t="s">
        <v>2835</v>
      </c>
      <c r="B2769" s="6">
        <v>45896</v>
      </c>
      <c r="C2769" s="2" t="s">
        <v>48</v>
      </c>
      <c r="D2769" s="2" t="s">
        <v>103</v>
      </c>
      <c r="E2769" s="2">
        <v>1</v>
      </c>
      <c r="F2769" s="7">
        <v>89</v>
      </c>
      <c r="G2769" s="8">
        <v>0.05</v>
      </c>
      <c r="H2769" s="9" t="str">
        <f>INDEX(Products!$B$2:$B$37, MATCH(D2769, Products!$A$2:$A$37, 0))</f>
        <v>Sunscreen SPF50</v>
      </c>
      <c r="I2769" t="str">
        <f>INDEX(Products!$C$2:$C$37, MATCH(D2769, Products!$A$2:$A$37, 0))</f>
        <v>Beauty</v>
      </c>
      <c r="J2769">
        <f>INDEX(Products!$E$2:$E$37, MATCH(D2769, Products!$A$2:$A$37, 0))</f>
        <v>40</v>
      </c>
      <c r="K2769" s="9">
        <f t="shared" si="172"/>
        <v>84.55</v>
      </c>
      <c r="L2769">
        <f t="shared" si="173"/>
        <v>40</v>
      </c>
      <c r="M2769" s="9">
        <f t="shared" si="174"/>
        <v>44.55</v>
      </c>
      <c r="N2769" t="str">
        <f t="shared" si="175"/>
        <v>Aug</v>
      </c>
    </row>
    <row r="2770" spans="1:14" x14ac:dyDescent="0.3">
      <c r="A2770" s="2" t="s">
        <v>2836</v>
      </c>
      <c r="B2770" s="6">
        <v>45896</v>
      </c>
      <c r="C2770" s="2" t="s">
        <v>28</v>
      </c>
      <c r="D2770" s="2" t="s">
        <v>29</v>
      </c>
      <c r="E2770" s="2">
        <v>3</v>
      </c>
      <c r="F2770" s="7">
        <v>229</v>
      </c>
      <c r="G2770" s="8">
        <v>0.15</v>
      </c>
      <c r="H2770" s="9" t="str">
        <f>INDEX(Products!$B$2:$B$37, MATCH(D2770, Products!$A$2:$A$37, 0))</f>
        <v>Women's Summer Dress</v>
      </c>
      <c r="I2770" t="str">
        <f>INDEX(Products!$C$2:$C$37, MATCH(D2770, Products!$A$2:$A$37, 0))</f>
        <v>Fashion</v>
      </c>
      <c r="J2770">
        <f>INDEX(Products!$E$2:$E$37, MATCH(D2770, Products!$A$2:$A$37, 0))</f>
        <v>120</v>
      </c>
      <c r="K2770" s="9">
        <f t="shared" si="172"/>
        <v>583.94999999999993</v>
      </c>
      <c r="L2770">
        <f t="shared" si="173"/>
        <v>360</v>
      </c>
      <c r="M2770" s="9">
        <f t="shared" si="174"/>
        <v>223.94999999999993</v>
      </c>
      <c r="N2770" t="str">
        <f t="shared" si="175"/>
        <v>Aug</v>
      </c>
    </row>
    <row r="2771" spans="1:14" x14ac:dyDescent="0.3">
      <c r="A2771" s="2" t="s">
        <v>2837</v>
      </c>
      <c r="B2771" s="6">
        <v>45896</v>
      </c>
      <c r="C2771" s="2" t="s">
        <v>41</v>
      </c>
      <c r="D2771" s="2" t="s">
        <v>60</v>
      </c>
      <c r="E2771" s="2">
        <v>1</v>
      </c>
      <c r="F2771" s="7">
        <v>99</v>
      </c>
      <c r="G2771" s="8">
        <v>0</v>
      </c>
      <c r="H2771" s="9" t="str">
        <f>INDEX(Products!$B$2:$B$37, MATCH(D2771, Products!$A$2:$A$37, 0))</f>
        <v>Football Size 5</v>
      </c>
      <c r="I2771" t="str">
        <f>INDEX(Products!$C$2:$C$37, MATCH(D2771, Products!$A$2:$A$37, 0))</f>
        <v>Sports</v>
      </c>
      <c r="J2771">
        <f>INDEX(Products!$E$2:$E$37, MATCH(D2771, Products!$A$2:$A$37, 0))</f>
        <v>45</v>
      </c>
      <c r="K2771" s="9">
        <f t="shared" si="172"/>
        <v>99</v>
      </c>
      <c r="L2771">
        <f t="shared" si="173"/>
        <v>45</v>
      </c>
      <c r="M2771" s="9">
        <f t="shared" si="174"/>
        <v>54</v>
      </c>
      <c r="N2771" t="str">
        <f t="shared" si="175"/>
        <v>Aug</v>
      </c>
    </row>
    <row r="2772" spans="1:14" x14ac:dyDescent="0.3">
      <c r="A2772" s="2" t="s">
        <v>2838</v>
      </c>
      <c r="B2772" s="6">
        <v>45896</v>
      </c>
      <c r="C2772" s="2" t="s">
        <v>44</v>
      </c>
      <c r="D2772" s="2" t="s">
        <v>126</v>
      </c>
      <c r="E2772" s="2">
        <v>2</v>
      </c>
      <c r="F2772" s="7">
        <v>89</v>
      </c>
      <c r="G2772" s="8">
        <v>0.05</v>
      </c>
      <c r="H2772" s="9" t="str">
        <f>INDEX(Products!$B$2:$B$37, MATCH(D2772, Products!$A$2:$A$37, 0))</f>
        <v>USB-C Fast Charger</v>
      </c>
      <c r="I2772" t="str">
        <f>INDEX(Products!$C$2:$C$37, MATCH(D2772, Products!$A$2:$A$37, 0))</f>
        <v>Electronics</v>
      </c>
      <c r="J2772">
        <f>INDEX(Products!$E$2:$E$37, MATCH(D2772, Products!$A$2:$A$37, 0))</f>
        <v>35</v>
      </c>
      <c r="K2772" s="9">
        <f t="shared" si="172"/>
        <v>169.1</v>
      </c>
      <c r="L2772">
        <f t="shared" si="173"/>
        <v>70</v>
      </c>
      <c r="M2772" s="9">
        <f t="shared" si="174"/>
        <v>99.1</v>
      </c>
      <c r="N2772" t="str">
        <f t="shared" si="175"/>
        <v>Aug</v>
      </c>
    </row>
    <row r="2773" spans="1:14" x14ac:dyDescent="0.3">
      <c r="A2773" s="2" t="s">
        <v>2839</v>
      </c>
      <c r="B2773" s="6">
        <v>45896</v>
      </c>
      <c r="C2773" s="2" t="s">
        <v>28</v>
      </c>
      <c r="D2773" s="2" t="s">
        <v>68</v>
      </c>
      <c r="E2773" s="2">
        <v>1</v>
      </c>
      <c r="F2773" s="7">
        <v>249</v>
      </c>
      <c r="G2773" s="8">
        <v>0</v>
      </c>
      <c r="H2773" s="9" t="str">
        <f>INDEX(Products!$B$2:$B$37, MATCH(D2773, Products!$A$2:$A$37, 0))</f>
        <v>Bluetooth Speaker Mini</v>
      </c>
      <c r="I2773" t="str">
        <f>INDEX(Products!$C$2:$C$37, MATCH(D2773, Products!$A$2:$A$37, 0))</f>
        <v>Electronics</v>
      </c>
      <c r="J2773">
        <f>INDEX(Products!$E$2:$E$37, MATCH(D2773, Products!$A$2:$A$37, 0))</f>
        <v>150</v>
      </c>
      <c r="K2773" s="9">
        <f t="shared" si="172"/>
        <v>249</v>
      </c>
      <c r="L2773">
        <f t="shared" si="173"/>
        <v>150</v>
      </c>
      <c r="M2773" s="9">
        <f t="shared" si="174"/>
        <v>99</v>
      </c>
      <c r="N2773" t="str">
        <f t="shared" si="175"/>
        <v>Aug</v>
      </c>
    </row>
    <row r="2774" spans="1:14" x14ac:dyDescent="0.3">
      <c r="A2774" s="2" t="s">
        <v>2840</v>
      </c>
      <c r="B2774" s="6">
        <v>45896</v>
      </c>
      <c r="C2774" s="2" t="s">
        <v>41</v>
      </c>
      <c r="D2774" s="2" t="s">
        <v>56</v>
      </c>
      <c r="E2774" s="2">
        <v>1</v>
      </c>
      <c r="F2774" s="7">
        <v>289</v>
      </c>
      <c r="G2774" s="8">
        <v>0.1</v>
      </c>
      <c r="H2774" s="9" t="str">
        <f>INDEX(Products!$B$2:$B$37, MATCH(D2774, Products!$A$2:$A$37, 0))</f>
        <v>Ceramic Dinner Set</v>
      </c>
      <c r="I2774" t="str">
        <f>INDEX(Products!$C$2:$C$37, MATCH(D2774, Products!$A$2:$A$37, 0))</f>
        <v>Home &amp; Kitchen</v>
      </c>
      <c r="J2774">
        <f>INDEX(Products!$E$2:$E$37, MATCH(D2774, Products!$A$2:$A$37, 0))</f>
        <v>140</v>
      </c>
      <c r="K2774" s="9">
        <f t="shared" si="172"/>
        <v>260.10000000000002</v>
      </c>
      <c r="L2774">
        <f t="shared" si="173"/>
        <v>140</v>
      </c>
      <c r="M2774" s="9">
        <f t="shared" si="174"/>
        <v>120.10000000000002</v>
      </c>
      <c r="N2774" t="str">
        <f t="shared" si="175"/>
        <v>Aug</v>
      </c>
    </row>
    <row r="2775" spans="1:14" x14ac:dyDescent="0.3">
      <c r="A2775" s="2" t="s">
        <v>2841</v>
      </c>
      <c r="B2775" s="6">
        <v>45896</v>
      </c>
      <c r="C2775" s="2" t="s">
        <v>48</v>
      </c>
      <c r="D2775" s="2" t="s">
        <v>39</v>
      </c>
      <c r="E2775" s="2">
        <v>1</v>
      </c>
      <c r="F2775" s="7">
        <v>199</v>
      </c>
      <c r="G2775" s="8">
        <v>0</v>
      </c>
      <c r="H2775" s="9" t="str">
        <f>INDEX(Products!$B$2:$B$37, MATCH(D2775, Products!$A$2:$A$37, 0))</f>
        <v>Bakhoor Gift Set</v>
      </c>
      <c r="I2775" t="str">
        <f>INDEX(Products!$C$2:$C$37, MATCH(D2775, Products!$A$2:$A$37, 0))</f>
        <v>Beauty</v>
      </c>
      <c r="J2775">
        <f>INDEX(Products!$E$2:$E$37, MATCH(D2775, Products!$A$2:$A$37, 0))</f>
        <v>90</v>
      </c>
      <c r="K2775" s="9">
        <f t="shared" si="172"/>
        <v>199</v>
      </c>
      <c r="L2775">
        <f t="shared" si="173"/>
        <v>90</v>
      </c>
      <c r="M2775" s="9">
        <f t="shared" si="174"/>
        <v>109</v>
      </c>
      <c r="N2775" t="str">
        <f t="shared" si="175"/>
        <v>Aug</v>
      </c>
    </row>
    <row r="2776" spans="1:14" x14ac:dyDescent="0.3">
      <c r="A2776" s="2" t="s">
        <v>2842</v>
      </c>
      <c r="B2776" s="6">
        <v>45897</v>
      </c>
      <c r="C2776" s="2" t="s">
        <v>44</v>
      </c>
      <c r="D2776" s="2" t="s">
        <v>29</v>
      </c>
      <c r="E2776" s="2">
        <v>2</v>
      </c>
      <c r="F2776" s="7">
        <v>229</v>
      </c>
      <c r="G2776" s="8">
        <v>0.1</v>
      </c>
      <c r="H2776" s="9" t="str">
        <f>INDEX(Products!$B$2:$B$37, MATCH(D2776, Products!$A$2:$A$37, 0))</f>
        <v>Women's Summer Dress</v>
      </c>
      <c r="I2776" t="str">
        <f>INDEX(Products!$C$2:$C$37, MATCH(D2776, Products!$A$2:$A$37, 0))</f>
        <v>Fashion</v>
      </c>
      <c r="J2776">
        <f>INDEX(Products!$E$2:$E$37, MATCH(D2776, Products!$A$2:$A$37, 0))</f>
        <v>120</v>
      </c>
      <c r="K2776" s="9">
        <f t="shared" si="172"/>
        <v>412.2</v>
      </c>
      <c r="L2776">
        <f t="shared" si="173"/>
        <v>240</v>
      </c>
      <c r="M2776" s="9">
        <f t="shared" si="174"/>
        <v>172.2</v>
      </c>
      <c r="N2776" t="str">
        <f t="shared" si="175"/>
        <v>Aug</v>
      </c>
    </row>
    <row r="2777" spans="1:14" x14ac:dyDescent="0.3">
      <c r="A2777" s="2" t="s">
        <v>2843</v>
      </c>
      <c r="B2777" s="6">
        <v>45897</v>
      </c>
      <c r="C2777" s="2" t="s">
        <v>41</v>
      </c>
      <c r="D2777" s="2" t="s">
        <v>33</v>
      </c>
      <c r="E2777" s="2">
        <v>4</v>
      </c>
      <c r="F2777" s="7">
        <v>199</v>
      </c>
      <c r="G2777" s="8">
        <v>0.25</v>
      </c>
      <c r="H2777" s="9" t="str">
        <f>INDEX(Products!$B$2:$B$37, MATCH(D2777, Products!$A$2:$A$37, 0))</f>
        <v>Fitness Band Lite</v>
      </c>
      <c r="I2777" t="str">
        <f>INDEX(Products!$C$2:$C$37, MATCH(D2777, Products!$A$2:$A$37, 0))</f>
        <v>Electronics</v>
      </c>
      <c r="J2777">
        <f>INDEX(Products!$E$2:$E$37, MATCH(D2777, Products!$A$2:$A$37, 0))</f>
        <v>175</v>
      </c>
      <c r="K2777" s="9">
        <f t="shared" si="172"/>
        <v>597</v>
      </c>
      <c r="L2777">
        <f t="shared" si="173"/>
        <v>700</v>
      </c>
      <c r="M2777" s="9">
        <f t="shared" si="174"/>
        <v>-103</v>
      </c>
      <c r="N2777" t="str">
        <f t="shared" si="175"/>
        <v>Aug</v>
      </c>
    </row>
    <row r="2778" spans="1:14" x14ac:dyDescent="0.3">
      <c r="A2778" s="2" t="s">
        <v>2844</v>
      </c>
      <c r="B2778" s="6">
        <v>45897</v>
      </c>
      <c r="C2778" s="2" t="s">
        <v>48</v>
      </c>
      <c r="D2778" s="2" t="s">
        <v>39</v>
      </c>
      <c r="E2778" s="2">
        <v>2</v>
      </c>
      <c r="F2778" s="7">
        <v>199</v>
      </c>
      <c r="G2778" s="8">
        <v>0</v>
      </c>
      <c r="H2778" s="9" t="str">
        <f>INDEX(Products!$B$2:$B$37, MATCH(D2778, Products!$A$2:$A$37, 0))</f>
        <v>Bakhoor Gift Set</v>
      </c>
      <c r="I2778" t="str">
        <f>INDEX(Products!$C$2:$C$37, MATCH(D2778, Products!$A$2:$A$37, 0))</f>
        <v>Beauty</v>
      </c>
      <c r="J2778">
        <f>INDEX(Products!$E$2:$E$37, MATCH(D2778, Products!$A$2:$A$37, 0))</f>
        <v>90</v>
      </c>
      <c r="K2778" s="9">
        <f t="shared" si="172"/>
        <v>398</v>
      </c>
      <c r="L2778">
        <f t="shared" si="173"/>
        <v>180</v>
      </c>
      <c r="M2778" s="9">
        <f t="shared" si="174"/>
        <v>218</v>
      </c>
      <c r="N2778" t="str">
        <f t="shared" si="175"/>
        <v>Aug</v>
      </c>
    </row>
    <row r="2779" spans="1:14" x14ac:dyDescent="0.3">
      <c r="A2779" s="2" t="s">
        <v>2845</v>
      </c>
      <c r="B2779" s="6">
        <v>45897</v>
      </c>
      <c r="C2779" s="2" t="s">
        <v>31</v>
      </c>
      <c r="D2779" s="2" t="s">
        <v>39</v>
      </c>
      <c r="E2779" s="2">
        <v>1</v>
      </c>
      <c r="F2779" s="7">
        <v>199</v>
      </c>
      <c r="G2779" s="8">
        <v>0</v>
      </c>
      <c r="H2779" s="9" t="str">
        <f>INDEX(Products!$B$2:$B$37, MATCH(D2779, Products!$A$2:$A$37, 0))</f>
        <v>Bakhoor Gift Set</v>
      </c>
      <c r="I2779" t="str">
        <f>INDEX(Products!$C$2:$C$37, MATCH(D2779, Products!$A$2:$A$37, 0))</f>
        <v>Beauty</v>
      </c>
      <c r="J2779">
        <f>INDEX(Products!$E$2:$E$37, MATCH(D2779, Products!$A$2:$A$37, 0))</f>
        <v>90</v>
      </c>
      <c r="K2779" s="9">
        <f t="shared" si="172"/>
        <v>199</v>
      </c>
      <c r="L2779">
        <f t="shared" si="173"/>
        <v>90</v>
      </c>
      <c r="M2779" s="9">
        <f t="shared" si="174"/>
        <v>109</v>
      </c>
      <c r="N2779" t="str">
        <f t="shared" si="175"/>
        <v>Aug</v>
      </c>
    </row>
    <row r="2780" spans="1:14" x14ac:dyDescent="0.3">
      <c r="A2780" s="2" t="s">
        <v>2846</v>
      </c>
      <c r="B2780" s="6">
        <v>45897</v>
      </c>
      <c r="C2780" s="2" t="s">
        <v>44</v>
      </c>
      <c r="D2780" s="2" t="s">
        <v>95</v>
      </c>
      <c r="E2780" s="2">
        <v>1</v>
      </c>
      <c r="F2780" s="7">
        <v>259</v>
      </c>
      <c r="G2780" s="8">
        <v>0.2</v>
      </c>
      <c r="H2780" s="9" t="str">
        <f>INDEX(Products!$B$2:$B$37, MATCH(D2780, Products!$A$2:$A$37, 0))</f>
        <v>Bed Linen Set (King)</v>
      </c>
      <c r="I2780" t="str">
        <f>INDEX(Products!$C$2:$C$37, MATCH(D2780, Products!$A$2:$A$37, 0))</f>
        <v>Home &amp; Kitchen</v>
      </c>
      <c r="J2780">
        <f>INDEX(Products!$E$2:$E$37, MATCH(D2780, Products!$A$2:$A$37, 0))</f>
        <v>115</v>
      </c>
      <c r="K2780" s="9">
        <f t="shared" si="172"/>
        <v>207.20000000000002</v>
      </c>
      <c r="L2780">
        <f t="shared" si="173"/>
        <v>115</v>
      </c>
      <c r="M2780" s="9">
        <f t="shared" si="174"/>
        <v>92.200000000000017</v>
      </c>
      <c r="N2780" t="str">
        <f t="shared" si="175"/>
        <v>Aug</v>
      </c>
    </row>
    <row r="2781" spans="1:14" x14ac:dyDescent="0.3">
      <c r="A2781" s="2" t="s">
        <v>2847</v>
      </c>
      <c r="B2781" s="6">
        <v>45897</v>
      </c>
      <c r="C2781" s="2" t="s">
        <v>48</v>
      </c>
      <c r="D2781" s="2" t="s">
        <v>68</v>
      </c>
      <c r="E2781" s="2">
        <v>1</v>
      </c>
      <c r="F2781" s="7">
        <v>249</v>
      </c>
      <c r="G2781" s="8">
        <v>0.1</v>
      </c>
      <c r="H2781" s="9" t="str">
        <f>INDEX(Products!$B$2:$B$37, MATCH(D2781, Products!$A$2:$A$37, 0))</f>
        <v>Bluetooth Speaker Mini</v>
      </c>
      <c r="I2781" t="str">
        <f>INDEX(Products!$C$2:$C$37, MATCH(D2781, Products!$A$2:$A$37, 0))</f>
        <v>Electronics</v>
      </c>
      <c r="J2781">
        <f>INDEX(Products!$E$2:$E$37, MATCH(D2781, Products!$A$2:$A$37, 0))</f>
        <v>150</v>
      </c>
      <c r="K2781" s="9">
        <f t="shared" si="172"/>
        <v>224.1</v>
      </c>
      <c r="L2781">
        <f t="shared" si="173"/>
        <v>150</v>
      </c>
      <c r="M2781" s="9">
        <f t="shared" si="174"/>
        <v>74.099999999999994</v>
      </c>
      <c r="N2781" t="str">
        <f t="shared" si="175"/>
        <v>Aug</v>
      </c>
    </row>
    <row r="2782" spans="1:14" x14ac:dyDescent="0.3">
      <c r="A2782" s="2" t="s">
        <v>2848</v>
      </c>
      <c r="B2782" s="6">
        <v>45897</v>
      </c>
      <c r="C2782" s="2" t="s">
        <v>28</v>
      </c>
      <c r="D2782" s="2" t="s">
        <v>37</v>
      </c>
      <c r="E2782" s="2">
        <v>1</v>
      </c>
      <c r="F2782" s="7">
        <v>249</v>
      </c>
      <c r="G2782" s="8">
        <v>0</v>
      </c>
      <c r="H2782" s="9" t="str">
        <f>INDEX(Products!$B$2:$B$37, MATCH(D2782, Products!$A$2:$A$37, 0))</f>
        <v>Sunglasses Polarised</v>
      </c>
      <c r="I2782" t="str">
        <f>INDEX(Products!$C$2:$C$37, MATCH(D2782, Products!$A$2:$A$37, 0))</f>
        <v>Fashion</v>
      </c>
      <c r="J2782">
        <f>INDEX(Products!$E$2:$E$37, MATCH(D2782, Products!$A$2:$A$37, 0))</f>
        <v>95</v>
      </c>
      <c r="K2782" s="9">
        <f t="shared" si="172"/>
        <v>249</v>
      </c>
      <c r="L2782">
        <f t="shared" si="173"/>
        <v>95</v>
      </c>
      <c r="M2782" s="9">
        <f t="shared" si="174"/>
        <v>154</v>
      </c>
      <c r="N2782" t="str">
        <f t="shared" si="175"/>
        <v>Aug</v>
      </c>
    </row>
    <row r="2783" spans="1:14" x14ac:dyDescent="0.3">
      <c r="A2783" s="2" t="s">
        <v>2849</v>
      </c>
      <c r="B2783" s="6">
        <v>45897</v>
      </c>
      <c r="C2783" s="2" t="s">
        <v>28</v>
      </c>
      <c r="D2783" s="2" t="s">
        <v>56</v>
      </c>
      <c r="E2783" s="2">
        <v>3</v>
      </c>
      <c r="F2783" s="7">
        <v>289</v>
      </c>
      <c r="G2783" s="8">
        <v>0</v>
      </c>
      <c r="H2783" s="9" t="str">
        <f>INDEX(Products!$B$2:$B$37, MATCH(D2783, Products!$A$2:$A$37, 0))</f>
        <v>Ceramic Dinner Set</v>
      </c>
      <c r="I2783" t="str">
        <f>INDEX(Products!$C$2:$C$37, MATCH(D2783, Products!$A$2:$A$37, 0))</f>
        <v>Home &amp; Kitchen</v>
      </c>
      <c r="J2783">
        <f>INDEX(Products!$E$2:$E$37, MATCH(D2783, Products!$A$2:$A$37, 0))</f>
        <v>140</v>
      </c>
      <c r="K2783" s="9">
        <f t="shared" si="172"/>
        <v>867</v>
      </c>
      <c r="L2783">
        <f t="shared" si="173"/>
        <v>420</v>
      </c>
      <c r="M2783" s="9">
        <f t="shared" si="174"/>
        <v>447</v>
      </c>
      <c r="N2783" t="str">
        <f t="shared" si="175"/>
        <v>Aug</v>
      </c>
    </row>
    <row r="2784" spans="1:14" x14ac:dyDescent="0.3">
      <c r="A2784" s="2" t="s">
        <v>2850</v>
      </c>
      <c r="B2784" s="6">
        <v>45897</v>
      </c>
      <c r="C2784" s="2" t="s">
        <v>48</v>
      </c>
      <c r="D2784" s="2" t="s">
        <v>149</v>
      </c>
      <c r="E2784" s="2">
        <v>1</v>
      </c>
      <c r="F2784" s="7">
        <v>399</v>
      </c>
      <c r="G2784" s="8">
        <v>0.1</v>
      </c>
      <c r="H2784" s="9" t="str">
        <f>INDEX(Products!$B$2:$B$37, MATCH(D2784, Products!$A$2:$A$37, 0))</f>
        <v>Blender Pro 1200W</v>
      </c>
      <c r="I2784" t="str">
        <f>INDEX(Products!$C$2:$C$37, MATCH(D2784, Products!$A$2:$A$37, 0))</f>
        <v>Home &amp; Kitchen</v>
      </c>
      <c r="J2784">
        <f>INDEX(Products!$E$2:$E$37, MATCH(D2784, Products!$A$2:$A$37, 0))</f>
        <v>250</v>
      </c>
      <c r="K2784" s="9">
        <f t="shared" si="172"/>
        <v>359.1</v>
      </c>
      <c r="L2784">
        <f t="shared" si="173"/>
        <v>250</v>
      </c>
      <c r="M2784" s="9">
        <f t="shared" si="174"/>
        <v>109.10000000000002</v>
      </c>
      <c r="N2784" t="str">
        <f t="shared" si="175"/>
        <v>Aug</v>
      </c>
    </row>
    <row r="2785" spans="1:14" x14ac:dyDescent="0.3">
      <c r="A2785" s="2" t="s">
        <v>2851</v>
      </c>
      <c r="B2785" s="6">
        <v>45897</v>
      </c>
      <c r="C2785" s="2" t="s">
        <v>28</v>
      </c>
      <c r="D2785" s="2" t="s">
        <v>95</v>
      </c>
      <c r="E2785" s="2">
        <v>1</v>
      </c>
      <c r="F2785" s="7">
        <v>259</v>
      </c>
      <c r="G2785" s="8">
        <v>0.3</v>
      </c>
      <c r="H2785" s="9" t="str">
        <f>INDEX(Products!$B$2:$B$37, MATCH(D2785, Products!$A$2:$A$37, 0))</f>
        <v>Bed Linen Set (King)</v>
      </c>
      <c r="I2785" t="str">
        <f>INDEX(Products!$C$2:$C$37, MATCH(D2785, Products!$A$2:$A$37, 0))</f>
        <v>Home &amp; Kitchen</v>
      </c>
      <c r="J2785">
        <f>INDEX(Products!$E$2:$E$37, MATCH(D2785, Products!$A$2:$A$37, 0))</f>
        <v>115</v>
      </c>
      <c r="K2785" s="9">
        <f t="shared" si="172"/>
        <v>181.29999999999998</v>
      </c>
      <c r="L2785">
        <f t="shared" si="173"/>
        <v>115</v>
      </c>
      <c r="M2785" s="9">
        <f t="shared" si="174"/>
        <v>66.299999999999983</v>
      </c>
      <c r="N2785" t="str">
        <f t="shared" si="175"/>
        <v>Aug</v>
      </c>
    </row>
    <row r="2786" spans="1:14" x14ac:dyDescent="0.3">
      <c r="A2786" s="2" t="s">
        <v>2852</v>
      </c>
      <c r="B2786" s="6">
        <v>45897</v>
      </c>
      <c r="C2786" s="2" t="s">
        <v>48</v>
      </c>
      <c r="D2786" s="2" t="s">
        <v>49</v>
      </c>
      <c r="E2786" s="2">
        <v>2</v>
      </c>
      <c r="F2786" s="7">
        <v>149</v>
      </c>
      <c r="G2786" s="8">
        <v>0</v>
      </c>
      <c r="H2786" s="9" t="str">
        <f>INDEX(Products!$B$2:$B$37, MATCH(D2786, Products!$A$2:$A$37, 0))</f>
        <v>Kids' Sneakers</v>
      </c>
      <c r="I2786" t="str">
        <f>INDEX(Products!$C$2:$C$37, MATCH(D2786, Products!$A$2:$A$37, 0))</f>
        <v>Fashion</v>
      </c>
      <c r="J2786">
        <f>INDEX(Products!$E$2:$E$37, MATCH(D2786, Products!$A$2:$A$37, 0))</f>
        <v>80</v>
      </c>
      <c r="K2786" s="9">
        <f t="shared" si="172"/>
        <v>298</v>
      </c>
      <c r="L2786">
        <f t="shared" si="173"/>
        <v>160</v>
      </c>
      <c r="M2786" s="9">
        <f t="shared" si="174"/>
        <v>138</v>
      </c>
      <c r="N2786" t="str">
        <f t="shared" si="175"/>
        <v>Aug</v>
      </c>
    </row>
    <row r="2787" spans="1:14" x14ac:dyDescent="0.3">
      <c r="A2787" s="2" t="s">
        <v>2853</v>
      </c>
      <c r="B2787" s="6">
        <v>45897</v>
      </c>
      <c r="C2787" s="2" t="s">
        <v>31</v>
      </c>
      <c r="D2787" s="2" t="s">
        <v>129</v>
      </c>
      <c r="E2787" s="2">
        <v>3</v>
      </c>
      <c r="F2787" s="7">
        <v>149</v>
      </c>
      <c r="G2787" s="8">
        <v>0</v>
      </c>
      <c r="H2787" s="9" t="str">
        <f>INDEX(Products!$B$2:$B$37, MATCH(D2787, Products!$A$2:$A$37, 0))</f>
        <v>Power Bank 20000mAh</v>
      </c>
      <c r="I2787" t="str">
        <f>INDEX(Products!$C$2:$C$37, MATCH(D2787, Products!$A$2:$A$37, 0))</f>
        <v>Electronics</v>
      </c>
      <c r="J2787">
        <f>INDEX(Products!$E$2:$E$37, MATCH(D2787, Products!$A$2:$A$37, 0))</f>
        <v>70</v>
      </c>
      <c r="K2787" s="9">
        <f t="shared" si="172"/>
        <v>447</v>
      </c>
      <c r="L2787">
        <f t="shared" si="173"/>
        <v>210</v>
      </c>
      <c r="M2787" s="9">
        <f t="shared" si="174"/>
        <v>237</v>
      </c>
      <c r="N2787" t="str">
        <f t="shared" si="175"/>
        <v>Aug</v>
      </c>
    </row>
    <row r="2788" spans="1:14" x14ac:dyDescent="0.3">
      <c r="A2788" s="2" t="s">
        <v>2854</v>
      </c>
      <c r="B2788" s="6">
        <v>45897</v>
      </c>
      <c r="C2788" s="2" t="s">
        <v>28</v>
      </c>
      <c r="D2788" s="2" t="s">
        <v>126</v>
      </c>
      <c r="E2788" s="2">
        <v>1</v>
      </c>
      <c r="F2788" s="7">
        <v>89</v>
      </c>
      <c r="G2788" s="8">
        <v>0.2</v>
      </c>
      <c r="H2788" s="9" t="str">
        <f>INDEX(Products!$B$2:$B$37, MATCH(D2788, Products!$A$2:$A$37, 0))</f>
        <v>USB-C Fast Charger</v>
      </c>
      <c r="I2788" t="str">
        <f>INDEX(Products!$C$2:$C$37, MATCH(D2788, Products!$A$2:$A$37, 0))</f>
        <v>Electronics</v>
      </c>
      <c r="J2788">
        <f>INDEX(Products!$E$2:$E$37, MATCH(D2788, Products!$A$2:$A$37, 0))</f>
        <v>35</v>
      </c>
      <c r="K2788" s="9">
        <f t="shared" si="172"/>
        <v>71.2</v>
      </c>
      <c r="L2788">
        <f t="shared" si="173"/>
        <v>35</v>
      </c>
      <c r="M2788" s="9">
        <f t="shared" si="174"/>
        <v>36.200000000000003</v>
      </c>
      <c r="N2788" t="str">
        <f t="shared" si="175"/>
        <v>Aug</v>
      </c>
    </row>
    <row r="2789" spans="1:14" x14ac:dyDescent="0.3">
      <c r="A2789" s="2" t="s">
        <v>2855</v>
      </c>
      <c r="B2789" s="6">
        <v>45898</v>
      </c>
      <c r="C2789" s="2" t="s">
        <v>41</v>
      </c>
      <c r="D2789" s="2" t="s">
        <v>33</v>
      </c>
      <c r="E2789" s="2">
        <v>4</v>
      </c>
      <c r="F2789" s="7">
        <v>199</v>
      </c>
      <c r="G2789" s="8">
        <v>0.1</v>
      </c>
      <c r="H2789" s="9" t="str">
        <f>INDEX(Products!$B$2:$B$37, MATCH(D2789, Products!$A$2:$A$37, 0))</f>
        <v>Fitness Band Lite</v>
      </c>
      <c r="I2789" t="str">
        <f>INDEX(Products!$C$2:$C$37, MATCH(D2789, Products!$A$2:$A$37, 0))</f>
        <v>Electronics</v>
      </c>
      <c r="J2789">
        <f>INDEX(Products!$E$2:$E$37, MATCH(D2789, Products!$A$2:$A$37, 0))</f>
        <v>175</v>
      </c>
      <c r="K2789" s="9">
        <f t="shared" si="172"/>
        <v>716.4</v>
      </c>
      <c r="L2789">
        <f t="shared" si="173"/>
        <v>700</v>
      </c>
      <c r="M2789" s="9">
        <f t="shared" si="174"/>
        <v>16.399999999999977</v>
      </c>
      <c r="N2789" t="str">
        <f t="shared" si="175"/>
        <v>Aug</v>
      </c>
    </row>
    <row r="2790" spans="1:14" x14ac:dyDescent="0.3">
      <c r="A2790" s="2" t="s">
        <v>2856</v>
      </c>
      <c r="B2790" s="6">
        <v>45898</v>
      </c>
      <c r="C2790" s="2" t="s">
        <v>28</v>
      </c>
      <c r="D2790" s="2" t="s">
        <v>165</v>
      </c>
      <c r="E2790" s="2">
        <v>3</v>
      </c>
      <c r="F2790" s="7">
        <v>69</v>
      </c>
      <c r="G2790" s="8">
        <v>0</v>
      </c>
      <c r="H2790" s="9" t="str">
        <f>INDEX(Products!$B$2:$B$37, MATCH(D2790, Products!$A$2:$A$37, 0))</f>
        <v>Swim Goggles</v>
      </c>
      <c r="I2790" t="str">
        <f>INDEX(Products!$C$2:$C$37, MATCH(D2790, Products!$A$2:$A$37, 0))</f>
        <v>Sports</v>
      </c>
      <c r="J2790">
        <f>INDEX(Products!$E$2:$E$37, MATCH(D2790, Products!$A$2:$A$37, 0))</f>
        <v>25</v>
      </c>
      <c r="K2790" s="9">
        <f t="shared" si="172"/>
        <v>207</v>
      </c>
      <c r="L2790">
        <f t="shared" si="173"/>
        <v>75</v>
      </c>
      <c r="M2790" s="9">
        <f t="shared" si="174"/>
        <v>132</v>
      </c>
      <c r="N2790" t="str">
        <f t="shared" si="175"/>
        <v>Aug</v>
      </c>
    </row>
    <row r="2791" spans="1:14" x14ac:dyDescent="0.3">
      <c r="A2791" s="2" t="s">
        <v>2857</v>
      </c>
      <c r="B2791" s="6">
        <v>45898</v>
      </c>
      <c r="C2791" s="2" t="s">
        <v>44</v>
      </c>
      <c r="D2791" s="2" t="s">
        <v>29</v>
      </c>
      <c r="E2791" s="2">
        <v>1</v>
      </c>
      <c r="F2791" s="7">
        <v>229</v>
      </c>
      <c r="G2791" s="8">
        <v>0.2</v>
      </c>
      <c r="H2791" s="9" t="str">
        <f>INDEX(Products!$B$2:$B$37, MATCH(D2791, Products!$A$2:$A$37, 0))</f>
        <v>Women's Summer Dress</v>
      </c>
      <c r="I2791" t="str">
        <f>INDEX(Products!$C$2:$C$37, MATCH(D2791, Products!$A$2:$A$37, 0))</f>
        <v>Fashion</v>
      </c>
      <c r="J2791">
        <f>INDEX(Products!$E$2:$E$37, MATCH(D2791, Products!$A$2:$A$37, 0))</f>
        <v>120</v>
      </c>
      <c r="K2791" s="9">
        <f t="shared" si="172"/>
        <v>183.20000000000002</v>
      </c>
      <c r="L2791">
        <f t="shared" si="173"/>
        <v>120</v>
      </c>
      <c r="M2791" s="9">
        <f t="shared" si="174"/>
        <v>63.200000000000017</v>
      </c>
      <c r="N2791" t="str">
        <f t="shared" si="175"/>
        <v>Aug</v>
      </c>
    </row>
    <row r="2792" spans="1:14" x14ac:dyDescent="0.3">
      <c r="A2792" s="2" t="s">
        <v>2858</v>
      </c>
      <c r="B2792" s="6">
        <v>45898</v>
      </c>
      <c r="C2792" s="2" t="s">
        <v>41</v>
      </c>
      <c r="D2792" s="2" t="s">
        <v>115</v>
      </c>
      <c r="E2792" s="2">
        <v>1</v>
      </c>
      <c r="F2792" s="7">
        <v>129</v>
      </c>
      <c r="G2792" s="8">
        <v>0</v>
      </c>
      <c r="H2792" s="9" t="str">
        <f>INDEX(Products!$B$2:$B$37, MATCH(D2792, Products!$A$2:$A$37, 0))</f>
        <v>Electric Kettle</v>
      </c>
      <c r="I2792" t="str">
        <f>INDEX(Products!$C$2:$C$37, MATCH(D2792, Products!$A$2:$A$37, 0))</f>
        <v>Home &amp; Kitchen</v>
      </c>
      <c r="J2792">
        <f>INDEX(Products!$E$2:$E$37, MATCH(D2792, Products!$A$2:$A$37, 0))</f>
        <v>60</v>
      </c>
      <c r="K2792" s="9">
        <f t="shared" si="172"/>
        <v>129</v>
      </c>
      <c r="L2792">
        <f t="shared" si="173"/>
        <v>60</v>
      </c>
      <c r="M2792" s="9">
        <f t="shared" si="174"/>
        <v>69</v>
      </c>
      <c r="N2792" t="str">
        <f t="shared" si="175"/>
        <v>Aug</v>
      </c>
    </row>
    <row r="2793" spans="1:14" x14ac:dyDescent="0.3">
      <c r="A2793" s="2" t="s">
        <v>2859</v>
      </c>
      <c r="B2793" s="6">
        <v>45898</v>
      </c>
      <c r="C2793" s="2" t="s">
        <v>31</v>
      </c>
      <c r="D2793" s="2" t="s">
        <v>37</v>
      </c>
      <c r="E2793" s="2">
        <v>1</v>
      </c>
      <c r="F2793" s="7">
        <v>249</v>
      </c>
      <c r="G2793" s="8">
        <v>0.05</v>
      </c>
      <c r="H2793" s="9" t="str">
        <f>INDEX(Products!$B$2:$B$37, MATCH(D2793, Products!$A$2:$A$37, 0))</f>
        <v>Sunglasses Polarised</v>
      </c>
      <c r="I2793" t="str">
        <f>INDEX(Products!$C$2:$C$37, MATCH(D2793, Products!$A$2:$A$37, 0))</f>
        <v>Fashion</v>
      </c>
      <c r="J2793">
        <f>INDEX(Products!$E$2:$E$37, MATCH(D2793, Products!$A$2:$A$37, 0))</f>
        <v>95</v>
      </c>
      <c r="K2793" s="9">
        <f t="shared" si="172"/>
        <v>236.54999999999998</v>
      </c>
      <c r="L2793">
        <f t="shared" si="173"/>
        <v>95</v>
      </c>
      <c r="M2793" s="9">
        <f t="shared" si="174"/>
        <v>141.54999999999998</v>
      </c>
      <c r="N2793" t="str">
        <f t="shared" si="175"/>
        <v>Aug</v>
      </c>
    </row>
    <row r="2794" spans="1:14" x14ac:dyDescent="0.3">
      <c r="A2794" s="2" t="s">
        <v>2860</v>
      </c>
      <c r="B2794" s="6">
        <v>45898</v>
      </c>
      <c r="C2794" s="2" t="s">
        <v>28</v>
      </c>
      <c r="D2794" s="2" t="s">
        <v>165</v>
      </c>
      <c r="E2794" s="2">
        <v>1</v>
      </c>
      <c r="F2794" s="7">
        <v>69</v>
      </c>
      <c r="G2794" s="8">
        <v>0</v>
      </c>
      <c r="H2794" s="9" t="str">
        <f>INDEX(Products!$B$2:$B$37, MATCH(D2794, Products!$A$2:$A$37, 0))</f>
        <v>Swim Goggles</v>
      </c>
      <c r="I2794" t="str">
        <f>INDEX(Products!$C$2:$C$37, MATCH(D2794, Products!$A$2:$A$37, 0))</f>
        <v>Sports</v>
      </c>
      <c r="J2794">
        <f>INDEX(Products!$E$2:$E$37, MATCH(D2794, Products!$A$2:$A$37, 0))</f>
        <v>25</v>
      </c>
      <c r="K2794" s="9">
        <f t="shared" si="172"/>
        <v>69</v>
      </c>
      <c r="L2794">
        <f t="shared" si="173"/>
        <v>25</v>
      </c>
      <c r="M2794" s="9">
        <f t="shared" si="174"/>
        <v>44</v>
      </c>
      <c r="N2794" t="str">
        <f t="shared" si="175"/>
        <v>Aug</v>
      </c>
    </row>
    <row r="2795" spans="1:14" x14ac:dyDescent="0.3">
      <c r="A2795" s="2" t="s">
        <v>2861</v>
      </c>
      <c r="B2795" s="6">
        <v>45898</v>
      </c>
      <c r="C2795" s="2" t="s">
        <v>41</v>
      </c>
      <c r="D2795" s="2" t="s">
        <v>42</v>
      </c>
      <c r="E2795" s="2">
        <v>2</v>
      </c>
      <c r="F2795" s="7">
        <v>399</v>
      </c>
      <c r="G2795" s="8">
        <v>0.05</v>
      </c>
      <c r="H2795" s="9" t="str">
        <f>INDEX(Products!$B$2:$B$37, MATCH(D2795, Products!$A$2:$A$37, 0))</f>
        <v>Wireless Earbuds Pro</v>
      </c>
      <c r="I2795" t="str">
        <f>INDEX(Products!$C$2:$C$37, MATCH(D2795, Products!$A$2:$A$37, 0))</f>
        <v>Electronics</v>
      </c>
      <c r="J2795">
        <f>INDEX(Products!$E$2:$E$37, MATCH(D2795, Products!$A$2:$A$37, 0))</f>
        <v>230</v>
      </c>
      <c r="K2795" s="9">
        <f t="shared" si="172"/>
        <v>758.09999999999991</v>
      </c>
      <c r="L2795">
        <f t="shared" si="173"/>
        <v>460</v>
      </c>
      <c r="M2795" s="9">
        <f t="shared" si="174"/>
        <v>298.09999999999991</v>
      </c>
      <c r="N2795" t="str">
        <f t="shared" si="175"/>
        <v>Aug</v>
      </c>
    </row>
    <row r="2796" spans="1:14" x14ac:dyDescent="0.3">
      <c r="A2796" s="2" t="s">
        <v>2862</v>
      </c>
      <c r="B2796" s="6">
        <v>45898</v>
      </c>
      <c r="C2796" s="2" t="s">
        <v>41</v>
      </c>
      <c r="D2796" s="2" t="s">
        <v>99</v>
      </c>
      <c r="E2796" s="2">
        <v>1</v>
      </c>
      <c r="F2796" s="7">
        <v>459</v>
      </c>
      <c r="G2796" s="8">
        <v>0</v>
      </c>
      <c r="H2796" s="9" t="str">
        <f>INDEX(Products!$B$2:$B$37, MATCH(D2796, Products!$A$2:$A$37, 0))</f>
        <v>Gaming Headset X</v>
      </c>
      <c r="I2796" t="str">
        <f>INDEX(Products!$C$2:$C$37, MATCH(D2796, Products!$A$2:$A$37, 0))</f>
        <v>Electronics</v>
      </c>
      <c r="J2796">
        <f>INDEX(Products!$E$2:$E$37, MATCH(D2796, Products!$A$2:$A$37, 0))</f>
        <v>300</v>
      </c>
      <c r="K2796" s="9">
        <f t="shared" si="172"/>
        <v>459</v>
      </c>
      <c r="L2796">
        <f t="shared" si="173"/>
        <v>300</v>
      </c>
      <c r="M2796" s="9">
        <f t="shared" si="174"/>
        <v>159</v>
      </c>
      <c r="N2796" t="str">
        <f t="shared" si="175"/>
        <v>Aug</v>
      </c>
    </row>
    <row r="2797" spans="1:14" x14ac:dyDescent="0.3">
      <c r="A2797" s="2" t="s">
        <v>2863</v>
      </c>
      <c r="B2797" s="6">
        <v>45898</v>
      </c>
      <c r="C2797" s="2" t="s">
        <v>28</v>
      </c>
      <c r="D2797" s="2" t="s">
        <v>49</v>
      </c>
      <c r="E2797" s="2">
        <v>1</v>
      </c>
      <c r="F2797" s="7">
        <v>149</v>
      </c>
      <c r="G2797" s="8">
        <v>0.2</v>
      </c>
      <c r="H2797" s="9" t="str">
        <f>INDEX(Products!$B$2:$B$37, MATCH(D2797, Products!$A$2:$A$37, 0))</f>
        <v>Kids' Sneakers</v>
      </c>
      <c r="I2797" t="str">
        <f>INDEX(Products!$C$2:$C$37, MATCH(D2797, Products!$A$2:$A$37, 0))</f>
        <v>Fashion</v>
      </c>
      <c r="J2797">
        <f>INDEX(Products!$E$2:$E$37, MATCH(D2797, Products!$A$2:$A$37, 0))</f>
        <v>80</v>
      </c>
      <c r="K2797" s="9">
        <f t="shared" si="172"/>
        <v>119.2</v>
      </c>
      <c r="L2797">
        <f t="shared" si="173"/>
        <v>80</v>
      </c>
      <c r="M2797" s="9">
        <f t="shared" si="174"/>
        <v>39.200000000000003</v>
      </c>
      <c r="N2797" t="str">
        <f t="shared" si="175"/>
        <v>Aug</v>
      </c>
    </row>
    <row r="2798" spans="1:14" x14ac:dyDescent="0.3">
      <c r="A2798" s="2" t="s">
        <v>2864</v>
      </c>
      <c r="B2798" s="6">
        <v>45898</v>
      </c>
      <c r="C2798" s="2" t="s">
        <v>28</v>
      </c>
      <c r="D2798" s="2" t="s">
        <v>70</v>
      </c>
      <c r="E2798" s="2">
        <v>1</v>
      </c>
      <c r="F2798" s="7">
        <v>429</v>
      </c>
      <c r="G2798" s="8">
        <v>0</v>
      </c>
      <c r="H2798" s="9" t="str">
        <f>INDEX(Products!$B$2:$B$37, MATCH(D2798, Products!$A$2:$A$37, 0))</f>
        <v>Running Shoes Elite</v>
      </c>
      <c r="I2798" t="str">
        <f>INDEX(Products!$C$2:$C$37, MATCH(D2798, Products!$A$2:$A$37, 0))</f>
        <v>Fashion</v>
      </c>
      <c r="J2798">
        <f>INDEX(Products!$E$2:$E$37, MATCH(D2798, Products!$A$2:$A$37, 0))</f>
        <v>300</v>
      </c>
      <c r="K2798" s="9">
        <f t="shared" si="172"/>
        <v>429</v>
      </c>
      <c r="L2798">
        <f t="shared" si="173"/>
        <v>300</v>
      </c>
      <c r="M2798" s="9">
        <f t="shared" si="174"/>
        <v>129</v>
      </c>
      <c r="N2798" t="str">
        <f t="shared" si="175"/>
        <v>Aug</v>
      </c>
    </row>
    <row r="2799" spans="1:14" x14ac:dyDescent="0.3">
      <c r="A2799" s="2" t="s">
        <v>2865</v>
      </c>
      <c r="B2799" s="6">
        <v>45898</v>
      </c>
      <c r="C2799" s="2" t="s">
        <v>44</v>
      </c>
      <c r="D2799" s="2" t="s">
        <v>103</v>
      </c>
      <c r="E2799" s="2">
        <v>1</v>
      </c>
      <c r="F2799" s="7">
        <v>89</v>
      </c>
      <c r="G2799" s="8">
        <v>0.05</v>
      </c>
      <c r="H2799" s="9" t="str">
        <f>INDEX(Products!$B$2:$B$37, MATCH(D2799, Products!$A$2:$A$37, 0))</f>
        <v>Sunscreen SPF50</v>
      </c>
      <c r="I2799" t="str">
        <f>INDEX(Products!$C$2:$C$37, MATCH(D2799, Products!$A$2:$A$37, 0))</f>
        <v>Beauty</v>
      </c>
      <c r="J2799">
        <f>INDEX(Products!$E$2:$E$37, MATCH(D2799, Products!$A$2:$A$37, 0))</f>
        <v>40</v>
      </c>
      <c r="K2799" s="9">
        <f t="shared" si="172"/>
        <v>84.55</v>
      </c>
      <c r="L2799">
        <f t="shared" si="173"/>
        <v>40</v>
      </c>
      <c r="M2799" s="9">
        <f t="shared" si="174"/>
        <v>44.55</v>
      </c>
      <c r="N2799" t="str">
        <f t="shared" si="175"/>
        <v>Aug</v>
      </c>
    </row>
    <row r="2800" spans="1:14" x14ac:dyDescent="0.3">
      <c r="A2800" s="2" t="s">
        <v>2866</v>
      </c>
      <c r="B2800" s="6">
        <v>45898</v>
      </c>
      <c r="C2800" s="2" t="s">
        <v>48</v>
      </c>
      <c r="D2800" s="2" t="s">
        <v>35</v>
      </c>
      <c r="E2800" s="2">
        <v>3</v>
      </c>
      <c r="F2800" s="7">
        <v>179</v>
      </c>
      <c r="G2800" s="8">
        <v>0</v>
      </c>
      <c r="H2800" s="9" t="str">
        <f>INDEX(Products!$B$2:$B$37, MATCH(D2800, Products!$A$2:$A$37, 0))</f>
        <v>Men's Linen Shirt</v>
      </c>
      <c r="I2800" t="str">
        <f>INDEX(Products!$C$2:$C$37, MATCH(D2800, Products!$A$2:$A$37, 0))</f>
        <v>Fashion</v>
      </c>
      <c r="J2800">
        <f>INDEX(Products!$E$2:$E$37, MATCH(D2800, Products!$A$2:$A$37, 0))</f>
        <v>70</v>
      </c>
      <c r="K2800" s="9">
        <f t="shared" si="172"/>
        <v>537</v>
      </c>
      <c r="L2800">
        <f t="shared" si="173"/>
        <v>210</v>
      </c>
      <c r="M2800" s="9">
        <f t="shared" si="174"/>
        <v>327</v>
      </c>
      <c r="N2800" t="str">
        <f t="shared" si="175"/>
        <v>Aug</v>
      </c>
    </row>
    <row r="2801" spans="1:14" x14ac:dyDescent="0.3">
      <c r="A2801" s="2" t="s">
        <v>2867</v>
      </c>
      <c r="B2801" s="6">
        <v>45898</v>
      </c>
      <c r="C2801" s="2" t="s">
        <v>44</v>
      </c>
      <c r="D2801" s="2" t="s">
        <v>194</v>
      </c>
      <c r="E2801" s="2">
        <v>1</v>
      </c>
      <c r="F2801" s="7">
        <v>699</v>
      </c>
      <c r="G2801" s="8">
        <v>0.2</v>
      </c>
      <c r="H2801" s="9" t="str">
        <f>INDEX(Products!$B$2:$B$37, MATCH(D2801, Products!$A$2:$A$37, 0))</f>
        <v>Leather Handbag</v>
      </c>
      <c r="I2801" t="str">
        <f>INDEX(Products!$C$2:$C$37, MATCH(D2801, Products!$A$2:$A$37, 0))</f>
        <v>Fashion</v>
      </c>
      <c r="J2801">
        <f>INDEX(Products!$E$2:$E$37, MATCH(D2801, Products!$A$2:$A$37, 0))</f>
        <v>380</v>
      </c>
      <c r="K2801" s="9">
        <f t="shared" si="172"/>
        <v>559.20000000000005</v>
      </c>
      <c r="L2801">
        <f t="shared" si="173"/>
        <v>380</v>
      </c>
      <c r="M2801" s="9">
        <f t="shared" si="174"/>
        <v>179.20000000000005</v>
      </c>
      <c r="N2801" t="str">
        <f t="shared" si="175"/>
        <v>Aug</v>
      </c>
    </row>
    <row r="2802" spans="1:14" x14ac:dyDescent="0.3">
      <c r="A2802" s="2" t="s">
        <v>2868</v>
      </c>
      <c r="B2802" s="6">
        <v>45898</v>
      </c>
      <c r="C2802" s="2" t="s">
        <v>48</v>
      </c>
      <c r="D2802" s="2" t="s">
        <v>129</v>
      </c>
      <c r="E2802" s="2">
        <v>1</v>
      </c>
      <c r="F2802" s="7">
        <v>149</v>
      </c>
      <c r="G2802" s="8">
        <v>0.1</v>
      </c>
      <c r="H2802" s="9" t="str">
        <f>INDEX(Products!$B$2:$B$37, MATCH(D2802, Products!$A$2:$A$37, 0))</f>
        <v>Power Bank 20000mAh</v>
      </c>
      <c r="I2802" t="str">
        <f>INDEX(Products!$C$2:$C$37, MATCH(D2802, Products!$A$2:$A$37, 0))</f>
        <v>Electronics</v>
      </c>
      <c r="J2802">
        <f>INDEX(Products!$E$2:$E$37, MATCH(D2802, Products!$A$2:$A$37, 0))</f>
        <v>70</v>
      </c>
      <c r="K2802" s="9">
        <f t="shared" si="172"/>
        <v>134.1</v>
      </c>
      <c r="L2802">
        <f t="shared" si="173"/>
        <v>70</v>
      </c>
      <c r="M2802" s="9">
        <f t="shared" si="174"/>
        <v>64.099999999999994</v>
      </c>
      <c r="N2802" t="str">
        <f t="shared" si="175"/>
        <v>Aug</v>
      </c>
    </row>
    <row r="2803" spans="1:14" x14ac:dyDescent="0.3">
      <c r="A2803" s="2" t="s">
        <v>2869</v>
      </c>
      <c r="B2803" s="6">
        <v>45898</v>
      </c>
      <c r="C2803" s="2" t="s">
        <v>41</v>
      </c>
      <c r="D2803" s="2" t="s">
        <v>37</v>
      </c>
      <c r="E2803" s="2">
        <v>1</v>
      </c>
      <c r="F2803" s="7">
        <v>249</v>
      </c>
      <c r="G2803" s="8">
        <v>0.05</v>
      </c>
      <c r="H2803" s="9" t="str">
        <f>INDEX(Products!$B$2:$B$37, MATCH(D2803, Products!$A$2:$A$37, 0))</f>
        <v>Sunglasses Polarised</v>
      </c>
      <c r="I2803" t="str">
        <f>INDEX(Products!$C$2:$C$37, MATCH(D2803, Products!$A$2:$A$37, 0))</f>
        <v>Fashion</v>
      </c>
      <c r="J2803">
        <f>INDEX(Products!$E$2:$E$37, MATCH(D2803, Products!$A$2:$A$37, 0))</f>
        <v>95</v>
      </c>
      <c r="K2803" s="9">
        <f t="shared" si="172"/>
        <v>236.54999999999998</v>
      </c>
      <c r="L2803">
        <f t="shared" si="173"/>
        <v>95</v>
      </c>
      <c r="M2803" s="9">
        <f t="shared" si="174"/>
        <v>141.54999999999998</v>
      </c>
      <c r="N2803" t="str">
        <f t="shared" si="175"/>
        <v>Aug</v>
      </c>
    </row>
    <row r="2804" spans="1:14" x14ac:dyDescent="0.3">
      <c r="A2804" s="2" t="s">
        <v>2870</v>
      </c>
      <c r="B2804" s="6">
        <v>45899</v>
      </c>
      <c r="C2804" s="2" t="s">
        <v>44</v>
      </c>
      <c r="D2804" s="2" t="s">
        <v>39</v>
      </c>
      <c r="E2804" s="2">
        <v>3</v>
      </c>
      <c r="F2804" s="7">
        <v>199</v>
      </c>
      <c r="G2804" s="8">
        <v>0.1</v>
      </c>
      <c r="H2804" s="9" t="str">
        <f>INDEX(Products!$B$2:$B$37, MATCH(D2804, Products!$A$2:$A$37, 0))</f>
        <v>Bakhoor Gift Set</v>
      </c>
      <c r="I2804" t="str">
        <f>INDEX(Products!$C$2:$C$37, MATCH(D2804, Products!$A$2:$A$37, 0))</f>
        <v>Beauty</v>
      </c>
      <c r="J2804">
        <f>INDEX(Products!$E$2:$E$37, MATCH(D2804, Products!$A$2:$A$37, 0))</f>
        <v>90</v>
      </c>
      <c r="K2804" s="9">
        <f t="shared" si="172"/>
        <v>537.30000000000007</v>
      </c>
      <c r="L2804">
        <f t="shared" si="173"/>
        <v>270</v>
      </c>
      <c r="M2804" s="9">
        <f t="shared" si="174"/>
        <v>267.30000000000007</v>
      </c>
      <c r="N2804" t="str">
        <f t="shared" si="175"/>
        <v>Aug</v>
      </c>
    </row>
    <row r="2805" spans="1:14" x14ac:dyDescent="0.3">
      <c r="A2805" s="2" t="s">
        <v>2871</v>
      </c>
      <c r="B2805" s="6">
        <v>45899</v>
      </c>
      <c r="C2805" s="2" t="s">
        <v>41</v>
      </c>
      <c r="D2805" s="2" t="s">
        <v>35</v>
      </c>
      <c r="E2805" s="2">
        <v>2</v>
      </c>
      <c r="F2805" s="7">
        <v>179</v>
      </c>
      <c r="G2805" s="8">
        <v>0.2</v>
      </c>
      <c r="H2805" s="9" t="str">
        <f>INDEX(Products!$B$2:$B$37, MATCH(D2805, Products!$A$2:$A$37, 0))</f>
        <v>Men's Linen Shirt</v>
      </c>
      <c r="I2805" t="str">
        <f>INDEX(Products!$C$2:$C$37, MATCH(D2805, Products!$A$2:$A$37, 0))</f>
        <v>Fashion</v>
      </c>
      <c r="J2805">
        <f>INDEX(Products!$E$2:$E$37, MATCH(D2805, Products!$A$2:$A$37, 0))</f>
        <v>70</v>
      </c>
      <c r="K2805" s="9">
        <f t="shared" si="172"/>
        <v>286.40000000000003</v>
      </c>
      <c r="L2805">
        <f t="shared" si="173"/>
        <v>140</v>
      </c>
      <c r="M2805" s="9">
        <f t="shared" si="174"/>
        <v>146.40000000000003</v>
      </c>
      <c r="N2805" t="str">
        <f t="shared" si="175"/>
        <v>Aug</v>
      </c>
    </row>
    <row r="2806" spans="1:14" x14ac:dyDescent="0.3">
      <c r="A2806" s="2" t="s">
        <v>2872</v>
      </c>
      <c r="B2806" s="6">
        <v>45899</v>
      </c>
      <c r="C2806" s="2" t="s">
        <v>44</v>
      </c>
      <c r="D2806" s="2" t="s">
        <v>46</v>
      </c>
      <c r="E2806" s="2">
        <v>1</v>
      </c>
      <c r="F2806" s="7">
        <v>189</v>
      </c>
      <c r="G2806" s="8">
        <v>0</v>
      </c>
      <c r="H2806" s="9" t="str">
        <f>INDEX(Products!$B$2:$B$37, MATCH(D2806, Products!$A$2:$A$37, 0))</f>
        <v>Makeup Palette</v>
      </c>
      <c r="I2806" t="str">
        <f>INDEX(Products!$C$2:$C$37, MATCH(D2806, Products!$A$2:$A$37, 0))</f>
        <v>Beauty</v>
      </c>
      <c r="J2806">
        <f>INDEX(Products!$E$2:$E$37, MATCH(D2806, Products!$A$2:$A$37, 0))</f>
        <v>85</v>
      </c>
      <c r="K2806" s="9">
        <f t="shared" si="172"/>
        <v>189</v>
      </c>
      <c r="L2806">
        <f t="shared" si="173"/>
        <v>85</v>
      </c>
      <c r="M2806" s="9">
        <f t="shared" si="174"/>
        <v>104</v>
      </c>
      <c r="N2806" t="str">
        <f t="shared" si="175"/>
        <v>Aug</v>
      </c>
    </row>
    <row r="2807" spans="1:14" x14ac:dyDescent="0.3">
      <c r="A2807" s="2" t="s">
        <v>2873</v>
      </c>
      <c r="B2807" s="6">
        <v>45899</v>
      </c>
      <c r="C2807" s="2" t="s">
        <v>41</v>
      </c>
      <c r="D2807" s="2" t="s">
        <v>37</v>
      </c>
      <c r="E2807" s="2">
        <v>2</v>
      </c>
      <c r="F2807" s="7">
        <v>249</v>
      </c>
      <c r="G2807" s="8">
        <v>0.15</v>
      </c>
      <c r="H2807" s="9" t="str">
        <f>INDEX(Products!$B$2:$B$37, MATCH(D2807, Products!$A$2:$A$37, 0))</f>
        <v>Sunglasses Polarised</v>
      </c>
      <c r="I2807" t="str">
        <f>INDEX(Products!$C$2:$C$37, MATCH(D2807, Products!$A$2:$A$37, 0))</f>
        <v>Fashion</v>
      </c>
      <c r="J2807">
        <f>INDEX(Products!$E$2:$E$37, MATCH(D2807, Products!$A$2:$A$37, 0))</f>
        <v>95</v>
      </c>
      <c r="K2807" s="9">
        <f t="shared" si="172"/>
        <v>423.3</v>
      </c>
      <c r="L2807">
        <f t="shared" si="173"/>
        <v>190</v>
      </c>
      <c r="M2807" s="9">
        <f t="shared" si="174"/>
        <v>233.3</v>
      </c>
      <c r="N2807" t="str">
        <f t="shared" si="175"/>
        <v>Aug</v>
      </c>
    </row>
    <row r="2808" spans="1:14" x14ac:dyDescent="0.3">
      <c r="A2808" s="2" t="s">
        <v>2874</v>
      </c>
      <c r="B2808" s="6">
        <v>45899</v>
      </c>
      <c r="C2808" s="2" t="s">
        <v>28</v>
      </c>
      <c r="D2808" s="2" t="s">
        <v>37</v>
      </c>
      <c r="E2808" s="2">
        <v>1</v>
      </c>
      <c r="F2808" s="7">
        <v>249</v>
      </c>
      <c r="G2808" s="8">
        <v>0</v>
      </c>
      <c r="H2808" s="9" t="str">
        <f>INDEX(Products!$B$2:$B$37, MATCH(D2808, Products!$A$2:$A$37, 0))</f>
        <v>Sunglasses Polarised</v>
      </c>
      <c r="I2808" t="str">
        <f>INDEX(Products!$C$2:$C$37, MATCH(D2808, Products!$A$2:$A$37, 0))</f>
        <v>Fashion</v>
      </c>
      <c r="J2808">
        <f>INDEX(Products!$E$2:$E$37, MATCH(D2808, Products!$A$2:$A$37, 0))</f>
        <v>95</v>
      </c>
      <c r="K2808" s="9">
        <f t="shared" si="172"/>
        <v>249</v>
      </c>
      <c r="L2808">
        <f t="shared" si="173"/>
        <v>95</v>
      </c>
      <c r="M2808" s="9">
        <f t="shared" si="174"/>
        <v>154</v>
      </c>
      <c r="N2808" t="str">
        <f t="shared" si="175"/>
        <v>Aug</v>
      </c>
    </row>
    <row r="2809" spans="1:14" x14ac:dyDescent="0.3">
      <c r="A2809" s="2" t="s">
        <v>2875</v>
      </c>
      <c r="B2809" s="6">
        <v>45899</v>
      </c>
      <c r="C2809" s="2" t="s">
        <v>44</v>
      </c>
      <c r="D2809" s="2" t="s">
        <v>149</v>
      </c>
      <c r="E2809" s="2">
        <v>3</v>
      </c>
      <c r="F2809" s="7">
        <v>399</v>
      </c>
      <c r="G2809" s="8">
        <v>0.1</v>
      </c>
      <c r="H2809" s="9" t="str">
        <f>INDEX(Products!$B$2:$B$37, MATCH(D2809, Products!$A$2:$A$37, 0))</f>
        <v>Blender Pro 1200W</v>
      </c>
      <c r="I2809" t="str">
        <f>INDEX(Products!$C$2:$C$37, MATCH(D2809, Products!$A$2:$A$37, 0))</f>
        <v>Home &amp; Kitchen</v>
      </c>
      <c r="J2809">
        <f>INDEX(Products!$E$2:$E$37, MATCH(D2809, Products!$A$2:$A$37, 0))</f>
        <v>250</v>
      </c>
      <c r="K2809" s="9">
        <f t="shared" si="172"/>
        <v>1077.3</v>
      </c>
      <c r="L2809">
        <f t="shared" si="173"/>
        <v>750</v>
      </c>
      <c r="M2809" s="9">
        <f t="shared" si="174"/>
        <v>327.29999999999995</v>
      </c>
      <c r="N2809" t="str">
        <f t="shared" si="175"/>
        <v>Aug</v>
      </c>
    </row>
    <row r="2810" spans="1:14" x14ac:dyDescent="0.3">
      <c r="A2810" s="2" t="s">
        <v>2876</v>
      </c>
      <c r="B2810" s="6">
        <v>45899</v>
      </c>
      <c r="C2810" s="2" t="s">
        <v>48</v>
      </c>
      <c r="D2810" s="2" t="s">
        <v>56</v>
      </c>
      <c r="E2810" s="2">
        <v>1</v>
      </c>
      <c r="F2810" s="7">
        <v>289</v>
      </c>
      <c r="G2810" s="8">
        <v>0</v>
      </c>
      <c r="H2810" s="9" t="str">
        <f>INDEX(Products!$B$2:$B$37, MATCH(D2810, Products!$A$2:$A$37, 0))</f>
        <v>Ceramic Dinner Set</v>
      </c>
      <c r="I2810" t="str">
        <f>INDEX(Products!$C$2:$C$37, MATCH(D2810, Products!$A$2:$A$37, 0))</f>
        <v>Home &amp; Kitchen</v>
      </c>
      <c r="J2810">
        <f>INDEX(Products!$E$2:$E$37, MATCH(D2810, Products!$A$2:$A$37, 0))</f>
        <v>140</v>
      </c>
      <c r="K2810" s="9">
        <f t="shared" si="172"/>
        <v>289</v>
      </c>
      <c r="L2810">
        <f t="shared" si="173"/>
        <v>140</v>
      </c>
      <c r="M2810" s="9">
        <f t="shared" si="174"/>
        <v>149</v>
      </c>
      <c r="N2810" t="str">
        <f t="shared" si="175"/>
        <v>Aug</v>
      </c>
    </row>
    <row r="2811" spans="1:14" x14ac:dyDescent="0.3">
      <c r="A2811" s="2" t="s">
        <v>2877</v>
      </c>
      <c r="B2811" s="6">
        <v>45899</v>
      </c>
      <c r="C2811" s="2" t="s">
        <v>28</v>
      </c>
      <c r="D2811" s="2" t="s">
        <v>149</v>
      </c>
      <c r="E2811" s="2">
        <v>1</v>
      </c>
      <c r="F2811" s="7">
        <v>399</v>
      </c>
      <c r="G2811" s="8">
        <v>0.1</v>
      </c>
      <c r="H2811" s="9" t="str">
        <f>INDEX(Products!$B$2:$B$37, MATCH(D2811, Products!$A$2:$A$37, 0))</f>
        <v>Blender Pro 1200W</v>
      </c>
      <c r="I2811" t="str">
        <f>INDEX(Products!$C$2:$C$37, MATCH(D2811, Products!$A$2:$A$37, 0))</f>
        <v>Home &amp; Kitchen</v>
      </c>
      <c r="J2811">
        <f>INDEX(Products!$E$2:$E$37, MATCH(D2811, Products!$A$2:$A$37, 0))</f>
        <v>250</v>
      </c>
      <c r="K2811" s="9">
        <f t="shared" si="172"/>
        <v>359.1</v>
      </c>
      <c r="L2811">
        <f t="shared" si="173"/>
        <v>250</v>
      </c>
      <c r="M2811" s="9">
        <f t="shared" si="174"/>
        <v>109.10000000000002</v>
      </c>
      <c r="N2811" t="str">
        <f t="shared" si="175"/>
        <v>Aug</v>
      </c>
    </row>
    <row r="2812" spans="1:14" x14ac:dyDescent="0.3">
      <c r="A2812" s="2" t="s">
        <v>2878</v>
      </c>
      <c r="B2812" s="6">
        <v>45899</v>
      </c>
      <c r="C2812" s="2" t="s">
        <v>41</v>
      </c>
      <c r="D2812" s="2" t="s">
        <v>68</v>
      </c>
      <c r="E2812" s="2">
        <v>1</v>
      </c>
      <c r="F2812" s="7">
        <v>249</v>
      </c>
      <c r="G2812" s="8">
        <v>0</v>
      </c>
      <c r="H2812" s="9" t="str">
        <f>INDEX(Products!$B$2:$B$37, MATCH(D2812, Products!$A$2:$A$37, 0))</f>
        <v>Bluetooth Speaker Mini</v>
      </c>
      <c r="I2812" t="str">
        <f>INDEX(Products!$C$2:$C$37, MATCH(D2812, Products!$A$2:$A$37, 0))</f>
        <v>Electronics</v>
      </c>
      <c r="J2812">
        <f>INDEX(Products!$E$2:$E$37, MATCH(D2812, Products!$A$2:$A$37, 0))</f>
        <v>150</v>
      </c>
      <c r="K2812" s="9">
        <f t="shared" si="172"/>
        <v>249</v>
      </c>
      <c r="L2812">
        <f t="shared" si="173"/>
        <v>150</v>
      </c>
      <c r="M2812" s="9">
        <f t="shared" si="174"/>
        <v>99</v>
      </c>
      <c r="N2812" t="str">
        <f t="shared" si="175"/>
        <v>Aug</v>
      </c>
    </row>
    <row r="2813" spans="1:14" x14ac:dyDescent="0.3">
      <c r="A2813" s="2" t="s">
        <v>2879</v>
      </c>
      <c r="B2813" s="6">
        <v>45900</v>
      </c>
      <c r="C2813" s="2" t="s">
        <v>28</v>
      </c>
      <c r="D2813" s="2" t="s">
        <v>49</v>
      </c>
      <c r="E2813" s="2">
        <v>3</v>
      </c>
      <c r="F2813" s="7">
        <v>149</v>
      </c>
      <c r="G2813" s="8">
        <v>0.2</v>
      </c>
      <c r="H2813" s="9" t="str">
        <f>INDEX(Products!$B$2:$B$37, MATCH(D2813, Products!$A$2:$A$37, 0))</f>
        <v>Kids' Sneakers</v>
      </c>
      <c r="I2813" t="str">
        <f>INDEX(Products!$C$2:$C$37, MATCH(D2813, Products!$A$2:$A$37, 0))</f>
        <v>Fashion</v>
      </c>
      <c r="J2813">
        <f>INDEX(Products!$E$2:$E$37, MATCH(D2813, Products!$A$2:$A$37, 0))</f>
        <v>80</v>
      </c>
      <c r="K2813" s="9">
        <f t="shared" si="172"/>
        <v>357.6</v>
      </c>
      <c r="L2813">
        <f t="shared" si="173"/>
        <v>240</v>
      </c>
      <c r="M2813" s="9">
        <f t="shared" si="174"/>
        <v>117.60000000000002</v>
      </c>
      <c r="N2813" t="str">
        <f t="shared" si="175"/>
        <v>Aug</v>
      </c>
    </row>
    <row r="2814" spans="1:14" x14ac:dyDescent="0.3">
      <c r="A2814" s="2" t="s">
        <v>2880</v>
      </c>
      <c r="B2814" s="6">
        <v>45900</v>
      </c>
      <c r="C2814" s="2" t="s">
        <v>31</v>
      </c>
      <c r="D2814" s="2" t="s">
        <v>115</v>
      </c>
      <c r="E2814" s="2">
        <v>1</v>
      </c>
      <c r="F2814" s="7">
        <v>129</v>
      </c>
      <c r="G2814" s="8">
        <v>0.2</v>
      </c>
      <c r="H2814" s="9" t="str">
        <f>INDEX(Products!$B$2:$B$37, MATCH(D2814, Products!$A$2:$A$37, 0))</f>
        <v>Electric Kettle</v>
      </c>
      <c r="I2814" t="str">
        <f>INDEX(Products!$C$2:$C$37, MATCH(D2814, Products!$A$2:$A$37, 0))</f>
        <v>Home &amp; Kitchen</v>
      </c>
      <c r="J2814">
        <f>INDEX(Products!$E$2:$E$37, MATCH(D2814, Products!$A$2:$A$37, 0))</f>
        <v>60</v>
      </c>
      <c r="K2814" s="9">
        <f t="shared" si="172"/>
        <v>103.2</v>
      </c>
      <c r="L2814">
        <f t="shared" si="173"/>
        <v>60</v>
      </c>
      <c r="M2814" s="9">
        <f t="shared" si="174"/>
        <v>43.2</v>
      </c>
      <c r="N2814" t="str">
        <f t="shared" si="175"/>
        <v>Aug</v>
      </c>
    </row>
    <row r="2815" spans="1:14" x14ac:dyDescent="0.3">
      <c r="A2815" s="2" t="s">
        <v>2881</v>
      </c>
      <c r="B2815" s="6">
        <v>45900</v>
      </c>
      <c r="C2815" s="2" t="s">
        <v>31</v>
      </c>
      <c r="D2815" s="2" t="s">
        <v>126</v>
      </c>
      <c r="E2815" s="2">
        <v>3</v>
      </c>
      <c r="F2815" s="7">
        <v>89</v>
      </c>
      <c r="G2815" s="8">
        <v>0</v>
      </c>
      <c r="H2815" s="9" t="str">
        <f>INDEX(Products!$B$2:$B$37, MATCH(D2815, Products!$A$2:$A$37, 0))</f>
        <v>USB-C Fast Charger</v>
      </c>
      <c r="I2815" t="str">
        <f>INDEX(Products!$C$2:$C$37, MATCH(D2815, Products!$A$2:$A$37, 0))</f>
        <v>Electronics</v>
      </c>
      <c r="J2815">
        <f>INDEX(Products!$E$2:$E$37, MATCH(D2815, Products!$A$2:$A$37, 0))</f>
        <v>35</v>
      </c>
      <c r="K2815" s="9">
        <f t="shared" si="172"/>
        <v>267</v>
      </c>
      <c r="L2815">
        <f t="shared" si="173"/>
        <v>105</v>
      </c>
      <c r="M2815" s="9">
        <f t="shared" si="174"/>
        <v>162</v>
      </c>
      <c r="N2815" t="str">
        <f t="shared" si="175"/>
        <v>Aug</v>
      </c>
    </row>
    <row r="2816" spans="1:14" x14ac:dyDescent="0.3">
      <c r="A2816" s="2" t="s">
        <v>2882</v>
      </c>
      <c r="B2816" s="6">
        <v>45900</v>
      </c>
      <c r="C2816" s="2" t="s">
        <v>31</v>
      </c>
      <c r="D2816" s="2" t="s">
        <v>165</v>
      </c>
      <c r="E2816" s="2">
        <v>3</v>
      </c>
      <c r="F2816" s="7">
        <v>69</v>
      </c>
      <c r="G2816" s="8">
        <v>0.15</v>
      </c>
      <c r="H2816" s="9" t="str">
        <f>INDEX(Products!$B$2:$B$37, MATCH(D2816, Products!$A$2:$A$37, 0))</f>
        <v>Swim Goggles</v>
      </c>
      <c r="I2816" t="str">
        <f>INDEX(Products!$C$2:$C$37, MATCH(D2816, Products!$A$2:$A$37, 0))</f>
        <v>Sports</v>
      </c>
      <c r="J2816">
        <f>INDEX(Products!$E$2:$E$37, MATCH(D2816, Products!$A$2:$A$37, 0))</f>
        <v>25</v>
      </c>
      <c r="K2816" s="9">
        <f t="shared" si="172"/>
        <v>175.95</v>
      </c>
      <c r="L2816">
        <f t="shared" si="173"/>
        <v>75</v>
      </c>
      <c r="M2816" s="9">
        <f t="shared" si="174"/>
        <v>100.94999999999999</v>
      </c>
      <c r="N2816" t="str">
        <f t="shared" si="175"/>
        <v>Aug</v>
      </c>
    </row>
    <row r="2817" spans="1:14" x14ac:dyDescent="0.3">
      <c r="A2817" s="2" t="s">
        <v>2883</v>
      </c>
      <c r="B2817" s="6">
        <v>45900</v>
      </c>
      <c r="C2817" s="2" t="s">
        <v>28</v>
      </c>
      <c r="D2817" s="2" t="s">
        <v>35</v>
      </c>
      <c r="E2817" s="2">
        <v>1</v>
      </c>
      <c r="F2817" s="7">
        <v>179</v>
      </c>
      <c r="G2817" s="8">
        <v>0</v>
      </c>
      <c r="H2817" s="9" t="str">
        <f>INDEX(Products!$B$2:$B$37, MATCH(D2817, Products!$A$2:$A$37, 0))</f>
        <v>Men's Linen Shirt</v>
      </c>
      <c r="I2817" t="str">
        <f>INDEX(Products!$C$2:$C$37, MATCH(D2817, Products!$A$2:$A$37, 0))</f>
        <v>Fashion</v>
      </c>
      <c r="J2817">
        <f>INDEX(Products!$E$2:$E$37, MATCH(D2817, Products!$A$2:$A$37, 0))</f>
        <v>70</v>
      </c>
      <c r="K2817" s="9">
        <f t="shared" si="172"/>
        <v>179</v>
      </c>
      <c r="L2817">
        <f t="shared" si="173"/>
        <v>70</v>
      </c>
      <c r="M2817" s="9">
        <f t="shared" si="174"/>
        <v>109</v>
      </c>
      <c r="N2817" t="str">
        <f t="shared" si="175"/>
        <v>Aug</v>
      </c>
    </row>
    <row r="2818" spans="1:14" x14ac:dyDescent="0.3">
      <c r="A2818" s="2" t="s">
        <v>2884</v>
      </c>
      <c r="B2818" s="6">
        <v>45900</v>
      </c>
      <c r="C2818" s="2" t="s">
        <v>48</v>
      </c>
      <c r="D2818" s="2" t="s">
        <v>149</v>
      </c>
      <c r="E2818" s="2">
        <v>2</v>
      </c>
      <c r="F2818" s="7">
        <v>399</v>
      </c>
      <c r="G2818" s="8">
        <v>0.15</v>
      </c>
      <c r="H2818" s="9" t="str">
        <f>INDEX(Products!$B$2:$B$37, MATCH(D2818, Products!$A$2:$A$37, 0))</f>
        <v>Blender Pro 1200W</v>
      </c>
      <c r="I2818" t="str">
        <f>INDEX(Products!$C$2:$C$37, MATCH(D2818, Products!$A$2:$A$37, 0))</f>
        <v>Home &amp; Kitchen</v>
      </c>
      <c r="J2818">
        <f>INDEX(Products!$E$2:$E$37, MATCH(D2818, Products!$A$2:$A$37, 0))</f>
        <v>250</v>
      </c>
      <c r="K2818" s="9">
        <f t="shared" ref="K2818:K2881" si="176">E2818*F2818*(1-G2818)</f>
        <v>678.3</v>
      </c>
      <c r="L2818">
        <f t="shared" ref="L2818:L2881" si="177">E2818*J2818</f>
        <v>500</v>
      </c>
      <c r="M2818" s="9">
        <f t="shared" ref="M2818:M2881" si="178">K2818-L2818</f>
        <v>178.29999999999995</v>
      </c>
      <c r="N2818" t="str">
        <f t="shared" ref="N2818:N2881" si="179">TEXT(B2818,"mmm")</f>
        <v>Aug</v>
      </c>
    </row>
    <row r="2819" spans="1:14" x14ac:dyDescent="0.3">
      <c r="A2819" s="2" t="s">
        <v>2885</v>
      </c>
      <c r="B2819" s="6">
        <v>45900</v>
      </c>
      <c r="C2819" s="2" t="s">
        <v>28</v>
      </c>
      <c r="D2819" s="2" t="s">
        <v>80</v>
      </c>
      <c r="E2819" s="2">
        <v>3</v>
      </c>
      <c r="F2819" s="7">
        <v>149</v>
      </c>
      <c r="G2819" s="8">
        <v>0</v>
      </c>
      <c r="H2819" s="9" t="str">
        <f>INDEX(Products!$B$2:$B$37, MATCH(D2819, Products!$A$2:$A$37, 0))</f>
        <v>Vitamin C Serum</v>
      </c>
      <c r="I2819" t="str">
        <f>INDEX(Products!$C$2:$C$37, MATCH(D2819, Products!$A$2:$A$37, 0))</f>
        <v>Beauty</v>
      </c>
      <c r="J2819">
        <f>INDEX(Products!$E$2:$E$37, MATCH(D2819, Products!$A$2:$A$37, 0))</f>
        <v>55</v>
      </c>
      <c r="K2819" s="9">
        <f t="shared" si="176"/>
        <v>447</v>
      </c>
      <c r="L2819">
        <f t="shared" si="177"/>
        <v>165</v>
      </c>
      <c r="M2819" s="9">
        <f t="shared" si="178"/>
        <v>282</v>
      </c>
      <c r="N2819" t="str">
        <f t="shared" si="179"/>
        <v>Aug</v>
      </c>
    </row>
    <row r="2820" spans="1:14" x14ac:dyDescent="0.3">
      <c r="A2820" s="2" t="s">
        <v>2886</v>
      </c>
      <c r="B2820" s="6">
        <v>45900</v>
      </c>
      <c r="C2820" s="2" t="s">
        <v>44</v>
      </c>
      <c r="D2820" s="2" t="s">
        <v>58</v>
      </c>
      <c r="E2820" s="2">
        <v>3</v>
      </c>
      <c r="F2820" s="7">
        <v>459</v>
      </c>
      <c r="G2820" s="8">
        <v>0</v>
      </c>
      <c r="H2820" s="9" t="str">
        <f>INDEX(Products!$B$2:$B$37, MATCH(D2820, Products!$A$2:$A$37, 0))</f>
        <v>Women's Abaya Classic</v>
      </c>
      <c r="I2820" t="str">
        <f>INDEX(Products!$C$2:$C$37, MATCH(D2820, Products!$A$2:$A$37, 0))</f>
        <v>Fashion</v>
      </c>
      <c r="J2820">
        <f>INDEX(Products!$E$2:$E$37, MATCH(D2820, Products!$A$2:$A$37, 0))</f>
        <v>190</v>
      </c>
      <c r="K2820" s="9">
        <f t="shared" si="176"/>
        <v>1377</v>
      </c>
      <c r="L2820">
        <f t="shared" si="177"/>
        <v>570</v>
      </c>
      <c r="M2820" s="9">
        <f t="shared" si="178"/>
        <v>807</v>
      </c>
      <c r="N2820" t="str">
        <f t="shared" si="179"/>
        <v>Aug</v>
      </c>
    </row>
    <row r="2821" spans="1:14" x14ac:dyDescent="0.3">
      <c r="A2821" s="2" t="s">
        <v>2887</v>
      </c>
      <c r="B2821" s="6">
        <v>45900</v>
      </c>
      <c r="C2821" s="2" t="s">
        <v>44</v>
      </c>
      <c r="D2821" s="2" t="s">
        <v>129</v>
      </c>
      <c r="E2821" s="2">
        <v>1</v>
      </c>
      <c r="F2821" s="7">
        <v>149</v>
      </c>
      <c r="G2821" s="8">
        <v>0</v>
      </c>
      <c r="H2821" s="9" t="str">
        <f>INDEX(Products!$B$2:$B$37, MATCH(D2821, Products!$A$2:$A$37, 0))</f>
        <v>Power Bank 20000mAh</v>
      </c>
      <c r="I2821" t="str">
        <f>INDEX(Products!$C$2:$C$37, MATCH(D2821, Products!$A$2:$A$37, 0))</f>
        <v>Electronics</v>
      </c>
      <c r="J2821">
        <f>INDEX(Products!$E$2:$E$37, MATCH(D2821, Products!$A$2:$A$37, 0))</f>
        <v>70</v>
      </c>
      <c r="K2821" s="9">
        <f t="shared" si="176"/>
        <v>149</v>
      </c>
      <c r="L2821">
        <f t="shared" si="177"/>
        <v>70</v>
      </c>
      <c r="M2821" s="9">
        <f t="shared" si="178"/>
        <v>79</v>
      </c>
      <c r="N2821" t="str">
        <f t="shared" si="179"/>
        <v>Aug</v>
      </c>
    </row>
    <row r="2822" spans="1:14" x14ac:dyDescent="0.3">
      <c r="A2822" s="2" t="s">
        <v>2888</v>
      </c>
      <c r="B2822" s="6">
        <v>45901</v>
      </c>
      <c r="C2822" s="2" t="s">
        <v>44</v>
      </c>
      <c r="D2822" s="2" t="s">
        <v>49</v>
      </c>
      <c r="E2822" s="2">
        <v>1</v>
      </c>
      <c r="F2822" s="7">
        <v>149</v>
      </c>
      <c r="G2822" s="8">
        <v>0</v>
      </c>
      <c r="H2822" s="9" t="str">
        <f>INDEX(Products!$B$2:$B$37, MATCH(D2822, Products!$A$2:$A$37, 0))</f>
        <v>Kids' Sneakers</v>
      </c>
      <c r="I2822" t="str">
        <f>INDEX(Products!$C$2:$C$37, MATCH(D2822, Products!$A$2:$A$37, 0))</f>
        <v>Fashion</v>
      </c>
      <c r="J2822">
        <f>INDEX(Products!$E$2:$E$37, MATCH(D2822, Products!$A$2:$A$37, 0))</f>
        <v>80</v>
      </c>
      <c r="K2822" s="9">
        <f t="shared" si="176"/>
        <v>149</v>
      </c>
      <c r="L2822">
        <f t="shared" si="177"/>
        <v>80</v>
      </c>
      <c r="M2822" s="9">
        <f t="shared" si="178"/>
        <v>69</v>
      </c>
      <c r="N2822" t="str">
        <f t="shared" si="179"/>
        <v>Sep</v>
      </c>
    </row>
    <row r="2823" spans="1:14" x14ac:dyDescent="0.3">
      <c r="A2823" s="2" t="s">
        <v>2889</v>
      </c>
      <c r="B2823" s="6">
        <v>45901</v>
      </c>
      <c r="C2823" s="2" t="s">
        <v>41</v>
      </c>
      <c r="D2823" s="2" t="s">
        <v>83</v>
      </c>
      <c r="E2823" s="2">
        <v>1</v>
      </c>
      <c r="F2823" s="7">
        <v>229</v>
      </c>
      <c r="G2823" s="8">
        <v>0.1</v>
      </c>
      <c r="H2823" s="9" t="str">
        <f>INDEX(Products!$B$2:$B$37, MATCH(D2823, Products!$A$2:$A$37, 0))</f>
        <v>Cycling Helmet</v>
      </c>
      <c r="I2823" t="str">
        <f>INDEX(Products!$C$2:$C$37, MATCH(D2823, Products!$A$2:$A$37, 0))</f>
        <v>Sports</v>
      </c>
      <c r="J2823">
        <f>INDEX(Products!$E$2:$E$37, MATCH(D2823, Products!$A$2:$A$37, 0))</f>
        <v>120</v>
      </c>
      <c r="K2823" s="9">
        <f t="shared" si="176"/>
        <v>206.1</v>
      </c>
      <c r="L2823">
        <f t="shared" si="177"/>
        <v>120</v>
      </c>
      <c r="M2823" s="9">
        <f t="shared" si="178"/>
        <v>86.1</v>
      </c>
      <c r="N2823" t="str">
        <f t="shared" si="179"/>
        <v>Sep</v>
      </c>
    </row>
    <row r="2824" spans="1:14" x14ac:dyDescent="0.3">
      <c r="A2824" s="2" t="s">
        <v>2890</v>
      </c>
      <c r="B2824" s="6">
        <v>45901</v>
      </c>
      <c r="C2824" s="2" t="s">
        <v>28</v>
      </c>
      <c r="D2824" s="2" t="s">
        <v>87</v>
      </c>
      <c r="E2824" s="2">
        <v>3</v>
      </c>
      <c r="F2824" s="7">
        <v>799</v>
      </c>
      <c r="G2824" s="8">
        <v>0.1</v>
      </c>
      <c r="H2824" s="9" t="str">
        <f>INDEX(Products!$B$2:$B$37, MATCH(D2824, Products!$A$2:$A$37, 0))</f>
        <v>Adjustable Dumbbells</v>
      </c>
      <c r="I2824" t="str">
        <f>INDEX(Products!$C$2:$C$37, MATCH(D2824, Products!$A$2:$A$37, 0))</f>
        <v>Sports</v>
      </c>
      <c r="J2824">
        <f>INDEX(Products!$E$2:$E$37, MATCH(D2824, Products!$A$2:$A$37, 0))</f>
        <v>700</v>
      </c>
      <c r="K2824" s="9">
        <f t="shared" si="176"/>
        <v>2157.3000000000002</v>
      </c>
      <c r="L2824">
        <f t="shared" si="177"/>
        <v>2100</v>
      </c>
      <c r="M2824" s="9">
        <f t="shared" si="178"/>
        <v>57.300000000000182</v>
      </c>
      <c r="N2824" t="str">
        <f t="shared" si="179"/>
        <v>Sep</v>
      </c>
    </row>
    <row r="2825" spans="1:14" x14ac:dyDescent="0.3">
      <c r="A2825" s="2" t="s">
        <v>2891</v>
      </c>
      <c r="B2825" s="6">
        <v>45901</v>
      </c>
      <c r="C2825" s="2" t="s">
        <v>44</v>
      </c>
      <c r="D2825" s="2" t="s">
        <v>35</v>
      </c>
      <c r="E2825" s="2">
        <v>1</v>
      </c>
      <c r="F2825" s="7">
        <v>179</v>
      </c>
      <c r="G2825" s="8">
        <v>0</v>
      </c>
      <c r="H2825" s="9" t="str">
        <f>INDEX(Products!$B$2:$B$37, MATCH(D2825, Products!$A$2:$A$37, 0))</f>
        <v>Men's Linen Shirt</v>
      </c>
      <c r="I2825" t="str">
        <f>INDEX(Products!$C$2:$C$37, MATCH(D2825, Products!$A$2:$A$37, 0))</f>
        <v>Fashion</v>
      </c>
      <c r="J2825">
        <f>INDEX(Products!$E$2:$E$37, MATCH(D2825, Products!$A$2:$A$37, 0))</f>
        <v>70</v>
      </c>
      <c r="K2825" s="9">
        <f t="shared" si="176"/>
        <v>179</v>
      </c>
      <c r="L2825">
        <f t="shared" si="177"/>
        <v>70</v>
      </c>
      <c r="M2825" s="9">
        <f t="shared" si="178"/>
        <v>109</v>
      </c>
      <c r="N2825" t="str">
        <f t="shared" si="179"/>
        <v>Sep</v>
      </c>
    </row>
    <row r="2826" spans="1:14" x14ac:dyDescent="0.3">
      <c r="A2826" s="2" t="s">
        <v>2892</v>
      </c>
      <c r="B2826" s="6">
        <v>45901</v>
      </c>
      <c r="C2826" s="2" t="s">
        <v>31</v>
      </c>
      <c r="D2826" s="2" t="s">
        <v>35</v>
      </c>
      <c r="E2826" s="2">
        <v>1</v>
      </c>
      <c r="F2826" s="7">
        <v>179</v>
      </c>
      <c r="G2826" s="8">
        <v>0.05</v>
      </c>
      <c r="H2826" s="9" t="str">
        <f>INDEX(Products!$B$2:$B$37, MATCH(D2826, Products!$A$2:$A$37, 0))</f>
        <v>Men's Linen Shirt</v>
      </c>
      <c r="I2826" t="str">
        <f>INDEX(Products!$C$2:$C$37, MATCH(D2826, Products!$A$2:$A$37, 0))</f>
        <v>Fashion</v>
      </c>
      <c r="J2826">
        <f>INDEX(Products!$E$2:$E$37, MATCH(D2826, Products!$A$2:$A$37, 0))</f>
        <v>70</v>
      </c>
      <c r="K2826" s="9">
        <f t="shared" si="176"/>
        <v>170.04999999999998</v>
      </c>
      <c r="L2826">
        <f t="shared" si="177"/>
        <v>70</v>
      </c>
      <c r="M2826" s="9">
        <f t="shared" si="178"/>
        <v>100.04999999999998</v>
      </c>
      <c r="N2826" t="str">
        <f t="shared" si="179"/>
        <v>Sep</v>
      </c>
    </row>
    <row r="2827" spans="1:14" x14ac:dyDescent="0.3">
      <c r="A2827" s="2" t="s">
        <v>2893</v>
      </c>
      <c r="B2827" s="6">
        <v>45901</v>
      </c>
      <c r="C2827" s="2" t="s">
        <v>41</v>
      </c>
      <c r="D2827" s="2" t="s">
        <v>46</v>
      </c>
      <c r="E2827" s="2">
        <v>3</v>
      </c>
      <c r="F2827" s="7">
        <v>189</v>
      </c>
      <c r="G2827" s="8">
        <v>0</v>
      </c>
      <c r="H2827" s="9" t="str">
        <f>INDEX(Products!$B$2:$B$37, MATCH(D2827, Products!$A$2:$A$37, 0))</f>
        <v>Makeup Palette</v>
      </c>
      <c r="I2827" t="str">
        <f>INDEX(Products!$C$2:$C$37, MATCH(D2827, Products!$A$2:$A$37, 0))</f>
        <v>Beauty</v>
      </c>
      <c r="J2827">
        <f>INDEX(Products!$E$2:$E$37, MATCH(D2827, Products!$A$2:$A$37, 0))</f>
        <v>85</v>
      </c>
      <c r="K2827" s="9">
        <f t="shared" si="176"/>
        <v>567</v>
      </c>
      <c r="L2827">
        <f t="shared" si="177"/>
        <v>255</v>
      </c>
      <c r="M2827" s="9">
        <f t="shared" si="178"/>
        <v>312</v>
      </c>
      <c r="N2827" t="str">
        <f t="shared" si="179"/>
        <v>Sep</v>
      </c>
    </row>
    <row r="2828" spans="1:14" x14ac:dyDescent="0.3">
      <c r="A2828" s="2" t="s">
        <v>2894</v>
      </c>
      <c r="B2828" s="6">
        <v>45901</v>
      </c>
      <c r="C2828" s="2" t="s">
        <v>41</v>
      </c>
      <c r="D2828" s="2" t="s">
        <v>126</v>
      </c>
      <c r="E2828" s="2">
        <v>1</v>
      </c>
      <c r="F2828" s="7">
        <v>89</v>
      </c>
      <c r="G2828" s="8">
        <v>0.15</v>
      </c>
      <c r="H2828" s="9" t="str">
        <f>INDEX(Products!$B$2:$B$37, MATCH(D2828, Products!$A$2:$A$37, 0))</f>
        <v>USB-C Fast Charger</v>
      </c>
      <c r="I2828" t="str">
        <f>INDEX(Products!$C$2:$C$37, MATCH(D2828, Products!$A$2:$A$37, 0))</f>
        <v>Electronics</v>
      </c>
      <c r="J2828">
        <f>INDEX(Products!$E$2:$E$37, MATCH(D2828, Products!$A$2:$A$37, 0))</f>
        <v>35</v>
      </c>
      <c r="K2828" s="9">
        <f t="shared" si="176"/>
        <v>75.649999999999991</v>
      </c>
      <c r="L2828">
        <f t="shared" si="177"/>
        <v>35</v>
      </c>
      <c r="M2828" s="9">
        <f t="shared" si="178"/>
        <v>40.649999999999991</v>
      </c>
      <c r="N2828" t="str">
        <f t="shared" si="179"/>
        <v>Sep</v>
      </c>
    </row>
    <row r="2829" spans="1:14" x14ac:dyDescent="0.3">
      <c r="A2829" s="2" t="s">
        <v>2895</v>
      </c>
      <c r="B2829" s="6">
        <v>45901</v>
      </c>
      <c r="C2829" s="2" t="s">
        <v>41</v>
      </c>
      <c r="D2829" s="2" t="s">
        <v>35</v>
      </c>
      <c r="E2829" s="2">
        <v>1</v>
      </c>
      <c r="F2829" s="7">
        <v>179</v>
      </c>
      <c r="G2829" s="8">
        <v>0</v>
      </c>
      <c r="H2829" s="9" t="str">
        <f>INDEX(Products!$B$2:$B$37, MATCH(D2829, Products!$A$2:$A$37, 0))</f>
        <v>Men's Linen Shirt</v>
      </c>
      <c r="I2829" t="str">
        <f>INDEX(Products!$C$2:$C$37, MATCH(D2829, Products!$A$2:$A$37, 0))</f>
        <v>Fashion</v>
      </c>
      <c r="J2829">
        <f>INDEX(Products!$E$2:$E$37, MATCH(D2829, Products!$A$2:$A$37, 0))</f>
        <v>70</v>
      </c>
      <c r="K2829" s="9">
        <f t="shared" si="176"/>
        <v>179</v>
      </c>
      <c r="L2829">
        <f t="shared" si="177"/>
        <v>70</v>
      </c>
      <c r="M2829" s="9">
        <f t="shared" si="178"/>
        <v>109</v>
      </c>
      <c r="N2829" t="str">
        <f t="shared" si="179"/>
        <v>Sep</v>
      </c>
    </row>
    <row r="2830" spans="1:14" x14ac:dyDescent="0.3">
      <c r="A2830" s="2" t="s">
        <v>2896</v>
      </c>
      <c r="B2830" s="6">
        <v>45902</v>
      </c>
      <c r="C2830" s="2" t="s">
        <v>31</v>
      </c>
      <c r="D2830" s="2" t="s">
        <v>78</v>
      </c>
      <c r="E2830" s="2">
        <v>1</v>
      </c>
      <c r="F2830" s="7">
        <v>499</v>
      </c>
      <c r="G2830" s="8">
        <v>0.05</v>
      </c>
      <c r="H2830" s="9" t="str">
        <f>INDEX(Products!$B$2:$B$37, MATCH(D2830, Products!$A$2:$A$37, 0))</f>
        <v>Air Fryer 5L</v>
      </c>
      <c r="I2830" t="str">
        <f>INDEX(Products!$C$2:$C$37, MATCH(D2830, Products!$A$2:$A$37, 0))</f>
        <v>Home &amp; Kitchen</v>
      </c>
      <c r="J2830">
        <f>INDEX(Products!$E$2:$E$37, MATCH(D2830, Products!$A$2:$A$37, 0))</f>
        <v>290</v>
      </c>
      <c r="K2830" s="9">
        <f t="shared" si="176"/>
        <v>474.04999999999995</v>
      </c>
      <c r="L2830">
        <f t="shared" si="177"/>
        <v>290</v>
      </c>
      <c r="M2830" s="9">
        <f t="shared" si="178"/>
        <v>184.04999999999995</v>
      </c>
      <c r="N2830" t="str">
        <f t="shared" si="179"/>
        <v>Sep</v>
      </c>
    </row>
    <row r="2831" spans="1:14" x14ac:dyDescent="0.3">
      <c r="A2831" s="2" t="s">
        <v>2897</v>
      </c>
      <c r="B2831" s="6">
        <v>45902</v>
      </c>
      <c r="C2831" s="2" t="s">
        <v>41</v>
      </c>
      <c r="D2831" s="2" t="s">
        <v>49</v>
      </c>
      <c r="E2831" s="2">
        <v>1</v>
      </c>
      <c r="F2831" s="7">
        <v>149</v>
      </c>
      <c r="G2831" s="8">
        <v>0</v>
      </c>
      <c r="H2831" s="9" t="str">
        <f>INDEX(Products!$B$2:$B$37, MATCH(D2831, Products!$A$2:$A$37, 0))</f>
        <v>Kids' Sneakers</v>
      </c>
      <c r="I2831" t="str">
        <f>INDEX(Products!$C$2:$C$37, MATCH(D2831, Products!$A$2:$A$37, 0))</f>
        <v>Fashion</v>
      </c>
      <c r="J2831">
        <f>INDEX(Products!$E$2:$E$37, MATCH(D2831, Products!$A$2:$A$37, 0))</f>
        <v>80</v>
      </c>
      <c r="K2831" s="9">
        <f t="shared" si="176"/>
        <v>149</v>
      </c>
      <c r="L2831">
        <f t="shared" si="177"/>
        <v>80</v>
      </c>
      <c r="M2831" s="9">
        <f t="shared" si="178"/>
        <v>69</v>
      </c>
      <c r="N2831" t="str">
        <f t="shared" si="179"/>
        <v>Sep</v>
      </c>
    </row>
    <row r="2832" spans="1:14" x14ac:dyDescent="0.3">
      <c r="A2832" s="2" t="s">
        <v>2898</v>
      </c>
      <c r="B2832" s="6">
        <v>45902</v>
      </c>
      <c r="C2832" s="2" t="s">
        <v>44</v>
      </c>
      <c r="D2832" s="2" t="s">
        <v>42</v>
      </c>
      <c r="E2832" s="2">
        <v>2</v>
      </c>
      <c r="F2832" s="7">
        <v>399</v>
      </c>
      <c r="G2832" s="8">
        <v>0</v>
      </c>
      <c r="H2832" s="9" t="str">
        <f>INDEX(Products!$B$2:$B$37, MATCH(D2832, Products!$A$2:$A$37, 0))</f>
        <v>Wireless Earbuds Pro</v>
      </c>
      <c r="I2832" t="str">
        <f>INDEX(Products!$C$2:$C$37, MATCH(D2832, Products!$A$2:$A$37, 0))</f>
        <v>Electronics</v>
      </c>
      <c r="J2832">
        <f>INDEX(Products!$E$2:$E$37, MATCH(D2832, Products!$A$2:$A$37, 0))</f>
        <v>230</v>
      </c>
      <c r="K2832" s="9">
        <f t="shared" si="176"/>
        <v>798</v>
      </c>
      <c r="L2832">
        <f t="shared" si="177"/>
        <v>460</v>
      </c>
      <c r="M2832" s="9">
        <f t="shared" si="178"/>
        <v>338</v>
      </c>
      <c r="N2832" t="str">
        <f t="shared" si="179"/>
        <v>Sep</v>
      </c>
    </row>
    <row r="2833" spans="1:14" x14ac:dyDescent="0.3">
      <c r="A2833" s="2" t="s">
        <v>2899</v>
      </c>
      <c r="B2833" s="6">
        <v>45902</v>
      </c>
      <c r="C2833" s="2" t="s">
        <v>28</v>
      </c>
      <c r="D2833" s="2" t="s">
        <v>58</v>
      </c>
      <c r="E2833" s="2">
        <v>1</v>
      </c>
      <c r="F2833" s="7">
        <v>459</v>
      </c>
      <c r="G2833" s="8">
        <v>0.05</v>
      </c>
      <c r="H2833" s="9" t="str">
        <f>INDEX(Products!$B$2:$B$37, MATCH(D2833, Products!$A$2:$A$37, 0))</f>
        <v>Women's Abaya Classic</v>
      </c>
      <c r="I2833" t="str">
        <f>INDEX(Products!$C$2:$C$37, MATCH(D2833, Products!$A$2:$A$37, 0))</f>
        <v>Fashion</v>
      </c>
      <c r="J2833">
        <f>INDEX(Products!$E$2:$E$37, MATCH(D2833, Products!$A$2:$A$37, 0))</f>
        <v>190</v>
      </c>
      <c r="K2833" s="9">
        <f t="shared" si="176"/>
        <v>436.04999999999995</v>
      </c>
      <c r="L2833">
        <f t="shared" si="177"/>
        <v>190</v>
      </c>
      <c r="M2833" s="9">
        <f t="shared" si="178"/>
        <v>246.04999999999995</v>
      </c>
      <c r="N2833" t="str">
        <f t="shared" si="179"/>
        <v>Sep</v>
      </c>
    </row>
    <row r="2834" spans="1:14" x14ac:dyDescent="0.3">
      <c r="A2834" s="2" t="s">
        <v>2900</v>
      </c>
      <c r="B2834" s="6">
        <v>45902</v>
      </c>
      <c r="C2834" s="2" t="s">
        <v>28</v>
      </c>
      <c r="D2834" s="2" t="s">
        <v>52</v>
      </c>
      <c r="E2834" s="2">
        <v>3</v>
      </c>
      <c r="F2834" s="7">
        <v>299</v>
      </c>
      <c r="G2834" s="8">
        <v>0.15</v>
      </c>
      <c r="H2834" s="9" t="str">
        <f>INDEX(Products!$B$2:$B$37, MATCH(D2834, Products!$A$2:$A$37, 0))</f>
        <v>Hair Dryer Ionic</v>
      </c>
      <c r="I2834" t="str">
        <f>INDEX(Products!$C$2:$C$37, MATCH(D2834, Products!$A$2:$A$37, 0))</f>
        <v>Beauty</v>
      </c>
      <c r="J2834">
        <f>INDEX(Products!$E$2:$E$37, MATCH(D2834, Products!$A$2:$A$37, 0))</f>
        <v>240</v>
      </c>
      <c r="K2834" s="9">
        <f t="shared" si="176"/>
        <v>762.44999999999993</v>
      </c>
      <c r="L2834">
        <f t="shared" si="177"/>
        <v>720</v>
      </c>
      <c r="M2834" s="9">
        <f t="shared" si="178"/>
        <v>42.449999999999932</v>
      </c>
      <c r="N2834" t="str">
        <f t="shared" si="179"/>
        <v>Sep</v>
      </c>
    </row>
    <row r="2835" spans="1:14" x14ac:dyDescent="0.3">
      <c r="A2835" s="2" t="s">
        <v>2901</v>
      </c>
      <c r="B2835" s="6">
        <v>45902</v>
      </c>
      <c r="C2835" s="2" t="s">
        <v>44</v>
      </c>
      <c r="D2835" s="2" t="s">
        <v>52</v>
      </c>
      <c r="E2835" s="2">
        <v>1</v>
      </c>
      <c r="F2835" s="7">
        <v>299</v>
      </c>
      <c r="G2835" s="8">
        <v>0.1</v>
      </c>
      <c r="H2835" s="9" t="str">
        <f>INDEX(Products!$B$2:$B$37, MATCH(D2835, Products!$A$2:$A$37, 0))</f>
        <v>Hair Dryer Ionic</v>
      </c>
      <c r="I2835" t="str">
        <f>INDEX(Products!$C$2:$C$37, MATCH(D2835, Products!$A$2:$A$37, 0))</f>
        <v>Beauty</v>
      </c>
      <c r="J2835">
        <f>INDEX(Products!$E$2:$E$37, MATCH(D2835, Products!$A$2:$A$37, 0))</f>
        <v>240</v>
      </c>
      <c r="K2835" s="9">
        <f t="shared" si="176"/>
        <v>269.10000000000002</v>
      </c>
      <c r="L2835">
        <f t="shared" si="177"/>
        <v>240</v>
      </c>
      <c r="M2835" s="9">
        <f t="shared" si="178"/>
        <v>29.100000000000023</v>
      </c>
      <c r="N2835" t="str">
        <f t="shared" si="179"/>
        <v>Sep</v>
      </c>
    </row>
    <row r="2836" spans="1:14" x14ac:dyDescent="0.3">
      <c r="A2836" s="2" t="s">
        <v>2902</v>
      </c>
      <c r="B2836" s="6">
        <v>45902</v>
      </c>
      <c r="C2836" s="2" t="s">
        <v>44</v>
      </c>
      <c r="D2836" s="2" t="s">
        <v>39</v>
      </c>
      <c r="E2836" s="2">
        <v>1</v>
      </c>
      <c r="F2836" s="7">
        <v>199</v>
      </c>
      <c r="G2836" s="8">
        <v>0.1</v>
      </c>
      <c r="H2836" s="9" t="str">
        <f>INDEX(Products!$B$2:$B$37, MATCH(D2836, Products!$A$2:$A$37, 0))</f>
        <v>Bakhoor Gift Set</v>
      </c>
      <c r="I2836" t="str">
        <f>INDEX(Products!$C$2:$C$37, MATCH(D2836, Products!$A$2:$A$37, 0))</f>
        <v>Beauty</v>
      </c>
      <c r="J2836">
        <f>INDEX(Products!$E$2:$E$37, MATCH(D2836, Products!$A$2:$A$37, 0))</f>
        <v>90</v>
      </c>
      <c r="K2836" s="9">
        <f t="shared" si="176"/>
        <v>179.1</v>
      </c>
      <c r="L2836">
        <f t="shared" si="177"/>
        <v>90</v>
      </c>
      <c r="M2836" s="9">
        <f t="shared" si="178"/>
        <v>89.1</v>
      </c>
      <c r="N2836" t="str">
        <f t="shared" si="179"/>
        <v>Sep</v>
      </c>
    </row>
    <row r="2837" spans="1:14" x14ac:dyDescent="0.3">
      <c r="A2837" s="2" t="s">
        <v>2903</v>
      </c>
      <c r="B2837" s="6">
        <v>45902</v>
      </c>
      <c r="C2837" s="2" t="s">
        <v>28</v>
      </c>
      <c r="D2837" s="2" t="s">
        <v>68</v>
      </c>
      <c r="E2837" s="2">
        <v>1</v>
      </c>
      <c r="F2837" s="7">
        <v>249</v>
      </c>
      <c r="G2837" s="8">
        <v>0</v>
      </c>
      <c r="H2837" s="9" t="str">
        <f>INDEX(Products!$B$2:$B$37, MATCH(D2837, Products!$A$2:$A$37, 0))</f>
        <v>Bluetooth Speaker Mini</v>
      </c>
      <c r="I2837" t="str">
        <f>INDEX(Products!$C$2:$C$37, MATCH(D2837, Products!$A$2:$A$37, 0))</f>
        <v>Electronics</v>
      </c>
      <c r="J2837">
        <f>INDEX(Products!$E$2:$E$37, MATCH(D2837, Products!$A$2:$A$37, 0))</f>
        <v>150</v>
      </c>
      <c r="K2837" s="9">
        <f t="shared" si="176"/>
        <v>249</v>
      </c>
      <c r="L2837">
        <f t="shared" si="177"/>
        <v>150</v>
      </c>
      <c r="M2837" s="9">
        <f t="shared" si="178"/>
        <v>99</v>
      </c>
      <c r="N2837" t="str">
        <f t="shared" si="179"/>
        <v>Sep</v>
      </c>
    </row>
    <row r="2838" spans="1:14" x14ac:dyDescent="0.3">
      <c r="A2838" s="2" t="s">
        <v>2904</v>
      </c>
      <c r="B2838" s="6">
        <v>45903</v>
      </c>
      <c r="C2838" s="2" t="s">
        <v>41</v>
      </c>
      <c r="D2838" s="2" t="s">
        <v>194</v>
      </c>
      <c r="E2838" s="2">
        <v>2</v>
      </c>
      <c r="F2838" s="7">
        <v>699</v>
      </c>
      <c r="G2838" s="8">
        <v>0</v>
      </c>
      <c r="H2838" s="9" t="str">
        <f>INDEX(Products!$B$2:$B$37, MATCH(D2838, Products!$A$2:$A$37, 0))</f>
        <v>Leather Handbag</v>
      </c>
      <c r="I2838" t="str">
        <f>INDEX(Products!$C$2:$C$37, MATCH(D2838, Products!$A$2:$A$37, 0))</f>
        <v>Fashion</v>
      </c>
      <c r="J2838">
        <f>INDEX(Products!$E$2:$E$37, MATCH(D2838, Products!$A$2:$A$37, 0))</f>
        <v>380</v>
      </c>
      <c r="K2838" s="9">
        <f t="shared" si="176"/>
        <v>1398</v>
      </c>
      <c r="L2838">
        <f t="shared" si="177"/>
        <v>760</v>
      </c>
      <c r="M2838" s="9">
        <f t="shared" si="178"/>
        <v>638</v>
      </c>
      <c r="N2838" t="str">
        <f t="shared" si="179"/>
        <v>Sep</v>
      </c>
    </row>
    <row r="2839" spans="1:14" x14ac:dyDescent="0.3">
      <c r="A2839" s="2" t="s">
        <v>2905</v>
      </c>
      <c r="B2839" s="6">
        <v>45903</v>
      </c>
      <c r="C2839" s="2" t="s">
        <v>44</v>
      </c>
      <c r="D2839" s="2" t="s">
        <v>58</v>
      </c>
      <c r="E2839" s="2">
        <v>1</v>
      </c>
      <c r="F2839" s="7">
        <v>459</v>
      </c>
      <c r="G2839" s="8">
        <v>0.05</v>
      </c>
      <c r="H2839" s="9" t="str">
        <f>INDEX(Products!$B$2:$B$37, MATCH(D2839, Products!$A$2:$A$37, 0))</f>
        <v>Women's Abaya Classic</v>
      </c>
      <c r="I2839" t="str">
        <f>INDEX(Products!$C$2:$C$37, MATCH(D2839, Products!$A$2:$A$37, 0))</f>
        <v>Fashion</v>
      </c>
      <c r="J2839">
        <f>INDEX(Products!$E$2:$E$37, MATCH(D2839, Products!$A$2:$A$37, 0))</f>
        <v>190</v>
      </c>
      <c r="K2839" s="9">
        <f t="shared" si="176"/>
        <v>436.04999999999995</v>
      </c>
      <c r="L2839">
        <f t="shared" si="177"/>
        <v>190</v>
      </c>
      <c r="M2839" s="9">
        <f t="shared" si="178"/>
        <v>246.04999999999995</v>
      </c>
      <c r="N2839" t="str">
        <f t="shared" si="179"/>
        <v>Sep</v>
      </c>
    </row>
    <row r="2840" spans="1:14" x14ac:dyDescent="0.3">
      <c r="A2840" s="2" t="s">
        <v>2906</v>
      </c>
      <c r="B2840" s="6">
        <v>45903</v>
      </c>
      <c r="C2840" s="2" t="s">
        <v>31</v>
      </c>
      <c r="D2840" s="2" t="s">
        <v>83</v>
      </c>
      <c r="E2840" s="2">
        <v>1</v>
      </c>
      <c r="F2840" s="7">
        <v>229</v>
      </c>
      <c r="G2840" s="8">
        <v>0.2</v>
      </c>
      <c r="H2840" s="9" t="str">
        <f>INDEX(Products!$B$2:$B$37, MATCH(D2840, Products!$A$2:$A$37, 0))</f>
        <v>Cycling Helmet</v>
      </c>
      <c r="I2840" t="str">
        <f>INDEX(Products!$C$2:$C$37, MATCH(D2840, Products!$A$2:$A$37, 0))</f>
        <v>Sports</v>
      </c>
      <c r="J2840">
        <f>INDEX(Products!$E$2:$E$37, MATCH(D2840, Products!$A$2:$A$37, 0))</f>
        <v>120</v>
      </c>
      <c r="K2840" s="9">
        <f t="shared" si="176"/>
        <v>183.20000000000002</v>
      </c>
      <c r="L2840">
        <f t="shared" si="177"/>
        <v>120</v>
      </c>
      <c r="M2840" s="9">
        <f t="shared" si="178"/>
        <v>63.200000000000017</v>
      </c>
      <c r="N2840" t="str">
        <f t="shared" si="179"/>
        <v>Sep</v>
      </c>
    </row>
    <row r="2841" spans="1:14" x14ac:dyDescent="0.3">
      <c r="A2841" s="2" t="s">
        <v>2907</v>
      </c>
      <c r="B2841" s="6">
        <v>45903</v>
      </c>
      <c r="C2841" s="2" t="s">
        <v>31</v>
      </c>
      <c r="D2841" s="2" t="s">
        <v>70</v>
      </c>
      <c r="E2841" s="2">
        <v>1</v>
      </c>
      <c r="F2841" s="7">
        <v>429</v>
      </c>
      <c r="G2841" s="8">
        <v>0.1</v>
      </c>
      <c r="H2841" s="9" t="str">
        <f>INDEX(Products!$B$2:$B$37, MATCH(D2841, Products!$A$2:$A$37, 0))</f>
        <v>Running Shoes Elite</v>
      </c>
      <c r="I2841" t="str">
        <f>INDEX(Products!$C$2:$C$37, MATCH(D2841, Products!$A$2:$A$37, 0))</f>
        <v>Fashion</v>
      </c>
      <c r="J2841">
        <f>INDEX(Products!$E$2:$E$37, MATCH(D2841, Products!$A$2:$A$37, 0))</f>
        <v>300</v>
      </c>
      <c r="K2841" s="9">
        <f t="shared" si="176"/>
        <v>386.1</v>
      </c>
      <c r="L2841">
        <f t="shared" si="177"/>
        <v>300</v>
      </c>
      <c r="M2841" s="9">
        <f t="shared" si="178"/>
        <v>86.100000000000023</v>
      </c>
      <c r="N2841" t="str">
        <f t="shared" si="179"/>
        <v>Sep</v>
      </c>
    </row>
    <row r="2842" spans="1:14" x14ac:dyDescent="0.3">
      <c r="A2842" s="2" t="s">
        <v>2908</v>
      </c>
      <c r="B2842" s="6">
        <v>45903</v>
      </c>
      <c r="C2842" s="2" t="s">
        <v>28</v>
      </c>
      <c r="D2842" s="2" t="s">
        <v>95</v>
      </c>
      <c r="E2842" s="2">
        <v>1</v>
      </c>
      <c r="F2842" s="7">
        <v>259</v>
      </c>
      <c r="G2842" s="8">
        <v>0</v>
      </c>
      <c r="H2842" s="9" t="str">
        <f>INDEX(Products!$B$2:$B$37, MATCH(D2842, Products!$A$2:$A$37, 0))</f>
        <v>Bed Linen Set (King)</v>
      </c>
      <c r="I2842" t="str">
        <f>INDEX(Products!$C$2:$C$37, MATCH(D2842, Products!$A$2:$A$37, 0))</f>
        <v>Home &amp; Kitchen</v>
      </c>
      <c r="J2842">
        <f>INDEX(Products!$E$2:$E$37, MATCH(D2842, Products!$A$2:$A$37, 0))</f>
        <v>115</v>
      </c>
      <c r="K2842" s="9">
        <f t="shared" si="176"/>
        <v>259</v>
      </c>
      <c r="L2842">
        <f t="shared" si="177"/>
        <v>115</v>
      </c>
      <c r="M2842" s="9">
        <f t="shared" si="178"/>
        <v>144</v>
      </c>
      <c r="N2842" t="str">
        <f t="shared" si="179"/>
        <v>Sep</v>
      </c>
    </row>
    <row r="2843" spans="1:14" x14ac:dyDescent="0.3">
      <c r="A2843" s="2" t="s">
        <v>2909</v>
      </c>
      <c r="B2843" s="6">
        <v>45903</v>
      </c>
      <c r="C2843" s="2" t="s">
        <v>41</v>
      </c>
      <c r="D2843" s="2" t="s">
        <v>37</v>
      </c>
      <c r="E2843" s="2">
        <v>1</v>
      </c>
      <c r="F2843" s="7">
        <v>249</v>
      </c>
      <c r="G2843" s="8">
        <v>0</v>
      </c>
      <c r="H2843" s="9" t="str">
        <f>INDEX(Products!$B$2:$B$37, MATCH(D2843, Products!$A$2:$A$37, 0))</f>
        <v>Sunglasses Polarised</v>
      </c>
      <c r="I2843" t="str">
        <f>INDEX(Products!$C$2:$C$37, MATCH(D2843, Products!$A$2:$A$37, 0))</f>
        <v>Fashion</v>
      </c>
      <c r="J2843">
        <f>INDEX(Products!$E$2:$E$37, MATCH(D2843, Products!$A$2:$A$37, 0))</f>
        <v>95</v>
      </c>
      <c r="K2843" s="9">
        <f t="shared" si="176"/>
        <v>249</v>
      </c>
      <c r="L2843">
        <f t="shared" si="177"/>
        <v>95</v>
      </c>
      <c r="M2843" s="9">
        <f t="shared" si="178"/>
        <v>154</v>
      </c>
      <c r="N2843" t="str">
        <f t="shared" si="179"/>
        <v>Sep</v>
      </c>
    </row>
    <row r="2844" spans="1:14" x14ac:dyDescent="0.3">
      <c r="A2844" s="2" t="s">
        <v>2910</v>
      </c>
      <c r="B2844" s="6">
        <v>45903</v>
      </c>
      <c r="C2844" s="2" t="s">
        <v>48</v>
      </c>
      <c r="D2844" s="2" t="s">
        <v>129</v>
      </c>
      <c r="E2844" s="2">
        <v>1</v>
      </c>
      <c r="F2844" s="7">
        <v>149</v>
      </c>
      <c r="G2844" s="8">
        <v>0</v>
      </c>
      <c r="H2844" s="9" t="str">
        <f>INDEX(Products!$B$2:$B$37, MATCH(D2844, Products!$A$2:$A$37, 0))</f>
        <v>Power Bank 20000mAh</v>
      </c>
      <c r="I2844" t="str">
        <f>INDEX(Products!$C$2:$C$37, MATCH(D2844, Products!$A$2:$A$37, 0))</f>
        <v>Electronics</v>
      </c>
      <c r="J2844">
        <f>INDEX(Products!$E$2:$E$37, MATCH(D2844, Products!$A$2:$A$37, 0))</f>
        <v>70</v>
      </c>
      <c r="K2844" s="9">
        <f t="shared" si="176"/>
        <v>149</v>
      </c>
      <c r="L2844">
        <f t="shared" si="177"/>
        <v>70</v>
      </c>
      <c r="M2844" s="9">
        <f t="shared" si="178"/>
        <v>79</v>
      </c>
      <c r="N2844" t="str">
        <f t="shared" si="179"/>
        <v>Sep</v>
      </c>
    </row>
    <row r="2845" spans="1:14" x14ac:dyDescent="0.3">
      <c r="A2845" s="2" t="s">
        <v>2911</v>
      </c>
      <c r="B2845" s="6">
        <v>45903</v>
      </c>
      <c r="C2845" s="2" t="s">
        <v>41</v>
      </c>
      <c r="D2845" s="2" t="s">
        <v>65</v>
      </c>
      <c r="E2845" s="2">
        <v>1</v>
      </c>
      <c r="F2845" s="7">
        <v>129</v>
      </c>
      <c r="G2845" s="8">
        <v>0.3</v>
      </c>
      <c r="H2845" s="9" t="str">
        <f>INDEX(Products!$B$2:$B$37, MATCH(D2845, Products!$A$2:$A$37, 0))</f>
        <v>Yoga Mat Premium</v>
      </c>
      <c r="I2845" t="str">
        <f>INDEX(Products!$C$2:$C$37, MATCH(D2845, Products!$A$2:$A$37, 0))</f>
        <v>Sports</v>
      </c>
      <c r="J2845">
        <f>INDEX(Products!$E$2:$E$37, MATCH(D2845, Products!$A$2:$A$37, 0))</f>
        <v>60</v>
      </c>
      <c r="K2845" s="9">
        <f t="shared" si="176"/>
        <v>90.3</v>
      </c>
      <c r="L2845">
        <f t="shared" si="177"/>
        <v>60</v>
      </c>
      <c r="M2845" s="9">
        <f t="shared" si="178"/>
        <v>30.299999999999997</v>
      </c>
      <c r="N2845" t="str">
        <f t="shared" si="179"/>
        <v>Sep</v>
      </c>
    </row>
    <row r="2846" spans="1:14" x14ac:dyDescent="0.3">
      <c r="A2846" s="2" t="s">
        <v>2912</v>
      </c>
      <c r="B2846" s="6">
        <v>45903</v>
      </c>
      <c r="C2846" s="2" t="s">
        <v>48</v>
      </c>
      <c r="D2846" s="2" t="s">
        <v>99</v>
      </c>
      <c r="E2846" s="2">
        <v>2</v>
      </c>
      <c r="F2846" s="7">
        <v>459</v>
      </c>
      <c r="G2846" s="8">
        <v>0.2</v>
      </c>
      <c r="H2846" s="9" t="str">
        <f>INDEX(Products!$B$2:$B$37, MATCH(D2846, Products!$A$2:$A$37, 0))</f>
        <v>Gaming Headset X</v>
      </c>
      <c r="I2846" t="str">
        <f>INDEX(Products!$C$2:$C$37, MATCH(D2846, Products!$A$2:$A$37, 0))</f>
        <v>Electronics</v>
      </c>
      <c r="J2846">
        <f>INDEX(Products!$E$2:$E$37, MATCH(D2846, Products!$A$2:$A$37, 0))</f>
        <v>300</v>
      </c>
      <c r="K2846" s="9">
        <f t="shared" si="176"/>
        <v>734.40000000000009</v>
      </c>
      <c r="L2846">
        <f t="shared" si="177"/>
        <v>600</v>
      </c>
      <c r="M2846" s="9">
        <f t="shared" si="178"/>
        <v>134.40000000000009</v>
      </c>
      <c r="N2846" t="str">
        <f t="shared" si="179"/>
        <v>Sep</v>
      </c>
    </row>
    <row r="2847" spans="1:14" x14ac:dyDescent="0.3">
      <c r="A2847" s="2" t="s">
        <v>2913</v>
      </c>
      <c r="B2847" s="6">
        <v>45903</v>
      </c>
      <c r="C2847" s="2" t="s">
        <v>41</v>
      </c>
      <c r="D2847" s="2" t="s">
        <v>78</v>
      </c>
      <c r="E2847" s="2">
        <v>1</v>
      </c>
      <c r="F2847" s="7">
        <v>499</v>
      </c>
      <c r="G2847" s="8">
        <v>0.05</v>
      </c>
      <c r="H2847" s="9" t="str">
        <f>INDEX(Products!$B$2:$B$37, MATCH(D2847, Products!$A$2:$A$37, 0))</f>
        <v>Air Fryer 5L</v>
      </c>
      <c r="I2847" t="str">
        <f>INDEX(Products!$C$2:$C$37, MATCH(D2847, Products!$A$2:$A$37, 0))</f>
        <v>Home &amp; Kitchen</v>
      </c>
      <c r="J2847">
        <f>INDEX(Products!$E$2:$E$37, MATCH(D2847, Products!$A$2:$A$37, 0))</f>
        <v>290</v>
      </c>
      <c r="K2847" s="9">
        <f t="shared" si="176"/>
        <v>474.04999999999995</v>
      </c>
      <c r="L2847">
        <f t="shared" si="177"/>
        <v>290</v>
      </c>
      <c r="M2847" s="9">
        <f t="shared" si="178"/>
        <v>184.04999999999995</v>
      </c>
      <c r="N2847" t="str">
        <f t="shared" si="179"/>
        <v>Sep</v>
      </c>
    </row>
    <row r="2848" spans="1:14" x14ac:dyDescent="0.3">
      <c r="A2848" s="2" t="s">
        <v>2914</v>
      </c>
      <c r="B2848" s="6">
        <v>45903</v>
      </c>
      <c r="C2848" s="2" t="s">
        <v>31</v>
      </c>
      <c r="D2848" s="2" t="s">
        <v>126</v>
      </c>
      <c r="E2848" s="2">
        <v>1</v>
      </c>
      <c r="F2848" s="7">
        <v>89</v>
      </c>
      <c r="G2848" s="8">
        <v>0</v>
      </c>
      <c r="H2848" s="9" t="str">
        <f>INDEX(Products!$B$2:$B$37, MATCH(D2848, Products!$A$2:$A$37, 0))</f>
        <v>USB-C Fast Charger</v>
      </c>
      <c r="I2848" t="str">
        <f>INDEX(Products!$C$2:$C$37, MATCH(D2848, Products!$A$2:$A$37, 0))</f>
        <v>Electronics</v>
      </c>
      <c r="J2848">
        <f>INDEX(Products!$E$2:$E$37, MATCH(D2848, Products!$A$2:$A$37, 0))</f>
        <v>35</v>
      </c>
      <c r="K2848" s="9">
        <f t="shared" si="176"/>
        <v>89</v>
      </c>
      <c r="L2848">
        <f t="shared" si="177"/>
        <v>35</v>
      </c>
      <c r="M2848" s="9">
        <f t="shared" si="178"/>
        <v>54</v>
      </c>
      <c r="N2848" t="str">
        <f t="shared" si="179"/>
        <v>Sep</v>
      </c>
    </row>
    <row r="2849" spans="1:14" x14ac:dyDescent="0.3">
      <c r="A2849" s="2" t="s">
        <v>2915</v>
      </c>
      <c r="B2849" s="6">
        <v>45903</v>
      </c>
      <c r="C2849" s="2" t="s">
        <v>31</v>
      </c>
      <c r="D2849" s="2" t="s">
        <v>109</v>
      </c>
      <c r="E2849" s="2">
        <v>1</v>
      </c>
      <c r="F2849" s="7">
        <v>1499</v>
      </c>
      <c r="G2849" s="8">
        <v>0</v>
      </c>
      <c r="H2849" s="9" t="str">
        <f>INDEX(Products!$B$2:$B$37, MATCH(D2849, Products!$A$2:$A$37, 0))</f>
        <v>Espresso Machine</v>
      </c>
      <c r="I2849" t="str">
        <f>INDEX(Products!$C$2:$C$37, MATCH(D2849, Products!$A$2:$A$37, 0))</f>
        <v>Home &amp; Kitchen</v>
      </c>
      <c r="J2849">
        <f>INDEX(Products!$E$2:$E$37, MATCH(D2849, Products!$A$2:$A$37, 0))</f>
        <v>1050</v>
      </c>
      <c r="K2849" s="9">
        <f t="shared" si="176"/>
        <v>1499</v>
      </c>
      <c r="L2849">
        <f t="shared" si="177"/>
        <v>1050</v>
      </c>
      <c r="M2849" s="9">
        <f t="shared" si="178"/>
        <v>449</v>
      </c>
      <c r="N2849" t="str">
        <f t="shared" si="179"/>
        <v>Sep</v>
      </c>
    </row>
    <row r="2850" spans="1:14" x14ac:dyDescent="0.3">
      <c r="A2850" s="2" t="s">
        <v>2916</v>
      </c>
      <c r="B2850" s="6">
        <v>45903</v>
      </c>
      <c r="C2850" s="2" t="s">
        <v>48</v>
      </c>
      <c r="D2850" s="2" t="s">
        <v>70</v>
      </c>
      <c r="E2850" s="2">
        <v>2</v>
      </c>
      <c r="F2850" s="7">
        <v>429</v>
      </c>
      <c r="G2850" s="8">
        <v>0</v>
      </c>
      <c r="H2850" s="9" t="str">
        <f>INDEX(Products!$B$2:$B$37, MATCH(D2850, Products!$A$2:$A$37, 0))</f>
        <v>Running Shoes Elite</v>
      </c>
      <c r="I2850" t="str">
        <f>INDEX(Products!$C$2:$C$37, MATCH(D2850, Products!$A$2:$A$37, 0))</f>
        <v>Fashion</v>
      </c>
      <c r="J2850">
        <f>INDEX(Products!$E$2:$E$37, MATCH(D2850, Products!$A$2:$A$37, 0))</f>
        <v>300</v>
      </c>
      <c r="K2850" s="9">
        <f t="shared" si="176"/>
        <v>858</v>
      </c>
      <c r="L2850">
        <f t="shared" si="177"/>
        <v>600</v>
      </c>
      <c r="M2850" s="9">
        <f t="shared" si="178"/>
        <v>258</v>
      </c>
      <c r="N2850" t="str">
        <f t="shared" si="179"/>
        <v>Sep</v>
      </c>
    </row>
    <row r="2851" spans="1:14" x14ac:dyDescent="0.3">
      <c r="A2851" s="2" t="s">
        <v>2917</v>
      </c>
      <c r="B2851" s="6">
        <v>45903</v>
      </c>
      <c r="C2851" s="2" t="s">
        <v>44</v>
      </c>
      <c r="D2851" s="2" t="s">
        <v>39</v>
      </c>
      <c r="E2851" s="2">
        <v>3</v>
      </c>
      <c r="F2851" s="7">
        <v>199</v>
      </c>
      <c r="G2851" s="8">
        <v>0</v>
      </c>
      <c r="H2851" s="9" t="str">
        <f>INDEX(Products!$B$2:$B$37, MATCH(D2851, Products!$A$2:$A$37, 0))</f>
        <v>Bakhoor Gift Set</v>
      </c>
      <c r="I2851" t="str">
        <f>INDEX(Products!$C$2:$C$37, MATCH(D2851, Products!$A$2:$A$37, 0))</f>
        <v>Beauty</v>
      </c>
      <c r="J2851">
        <f>INDEX(Products!$E$2:$E$37, MATCH(D2851, Products!$A$2:$A$37, 0))</f>
        <v>90</v>
      </c>
      <c r="K2851" s="9">
        <f t="shared" si="176"/>
        <v>597</v>
      </c>
      <c r="L2851">
        <f t="shared" si="177"/>
        <v>270</v>
      </c>
      <c r="M2851" s="9">
        <f t="shared" si="178"/>
        <v>327</v>
      </c>
      <c r="N2851" t="str">
        <f t="shared" si="179"/>
        <v>Sep</v>
      </c>
    </row>
    <row r="2852" spans="1:14" x14ac:dyDescent="0.3">
      <c r="A2852" s="2" t="s">
        <v>2918</v>
      </c>
      <c r="B2852" s="6">
        <v>45903</v>
      </c>
      <c r="C2852" s="2" t="s">
        <v>48</v>
      </c>
      <c r="D2852" s="2" t="s">
        <v>99</v>
      </c>
      <c r="E2852" s="2">
        <v>1</v>
      </c>
      <c r="F2852" s="7">
        <v>459</v>
      </c>
      <c r="G2852" s="8">
        <v>0.2</v>
      </c>
      <c r="H2852" s="9" t="str">
        <f>INDEX(Products!$B$2:$B$37, MATCH(D2852, Products!$A$2:$A$37, 0))</f>
        <v>Gaming Headset X</v>
      </c>
      <c r="I2852" t="str">
        <f>INDEX(Products!$C$2:$C$37, MATCH(D2852, Products!$A$2:$A$37, 0))</f>
        <v>Electronics</v>
      </c>
      <c r="J2852">
        <f>INDEX(Products!$E$2:$E$37, MATCH(D2852, Products!$A$2:$A$37, 0))</f>
        <v>300</v>
      </c>
      <c r="K2852" s="9">
        <f t="shared" si="176"/>
        <v>367.20000000000005</v>
      </c>
      <c r="L2852">
        <f t="shared" si="177"/>
        <v>300</v>
      </c>
      <c r="M2852" s="9">
        <f t="shared" si="178"/>
        <v>67.200000000000045</v>
      </c>
      <c r="N2852" t="str">
        <f t="shared" si="179"/>
        <v>Sep</v>
      </c>
    </row>
    <row r="2853" spans="1:14" x14ac:dyDescent="0.3">
      <c r="A2853" s="2" t="s">
        <v>2919</v>
      </c>
      <c r="B2853" s="6">
        <v>45904</v>
      </c>
      <c r="C2853" s="2" t="s">
        <v>28</v>
      </c>
      <c r="D2853" s="2" t="s">
        <v>106</v>
      </c>
      <c r="E2853" s="2">
        <v>1</v>
      </c>
      <c r="F2853" s="7">
        <v>1299</v>
      </c>
      <c r="G2853" s="8">
        <v>0</v>
      </c>
      <c r="H2853" s="9" t="str">
        <f>INDEX(Products!$B$2:$B$37, MATCH(D2853, Products!$A$2:$A$37, 0))</f>
        <v>Smart Watch Series 5</v>
      </c>
      <c r="I2853" t="str">
        <f>INDEX(Products!$C$2:$C$37, MATCH(D2853, Products!$A$2:$A$37, 0))</f>
        <v>Electronics</v>
      </c>
      <c r="J2853">
        <f>INDEX(Products!$E$2:$E$37, MATCH(D2853, Products!$A$2:$A$37, 0))</f>
        <v>820</v>
      </c>
      <c r="K2853" s="9">
        <f t="shared" si="176"/>
        <v>1299</v>
      </c>
      <c r="L2853">
        <f t="shared" si="177"/>
        <v>820</v>
      </c>
      <c r="M2853" s="9">
        <f t="shared" si="178"/>
        <v>479</v>
      </c>
      <c r="N2853" t="str">
        <f t="shared" si="179"/>
        <v>Sep</v>
      </c>
    </row>
    <row r="2854" spans="1:14" x14ac:dyDescent="0.3">
      <c r="A2854" s="2" t="s">
        <v>2920</v>
      </c>
      <c r="B2854" s="6">
        <v>45904</v>
      </c>
      <c r="C2854" s="2" t="s">
        <v>44</v>
      </c>
      <c r="D2854" s="2" t="s">
        <v>129</v>
      </c>
      <c r="E2854" s="2">
        <v>1</v>
      </c>
      <c r="F2854" s="7">
        <v>149</v>
      </c>
      <c r="G2854" s="8">
        <v>0.15</v>
      </c>
      <c r="H2854" s="9" t="str">
        <f>INDEX(Products!$B$2:$B$37, MATCH(D2854, Products!$A$2:$A$37, 0))</f>
        <v>Power Bank 20000mAh</v>
      </c>
      <c r="I2854" t="str">
        <f>INDEX(Products!$C$2:$C$37, MATCH(D2854, Products!$A$2:$A$37, 0))</f>
        <v>Electronics</v>
      </c>
      <c r="J2854">
        <f>INDEX(Products!$E$2:$E$37, MATCH(D2854, Products!$A$2:$A$37, 0))</f>
        <v>70</v>
      </c>
      <c r="K2854" s="9">
        <f t="shared" si="176"/>
        <v>126.64999999999999</v>
      </c>
      <c r="L2854">
        <f t="shared" si="177"/>
        <v>70</v>
      </c>
      <c r="M2854" s="9">
        <f t="shared" si="178"/>
        <v>56.649999999999991</v>
      </c>
      <c r="N2854" t="str">
        <f t="shared" si="179"/>
        <v>Sep</v>
      </c>
    </row>
    <row r="2855" spans="1:14" x14ac:dyDescent="0.3">
      <c r="A2855" s="2" t="s">
        <v>2921</v>
      </c>
      <c r="B2855" s="6">
        <v>45904</v>
      </c>
      <c r="C2855" s="2" t="s">
        <v>48</v>
      </c>
      <c r="D2855" s="2" t="s">
        <v>126</v>
      </c>
      <c r="E2855" s="2">
        <v>1</v>
      </c>
      <c r="F2855" s="7">
        <v>89</v>
      </c>
      <c r="G2855" s="8">
        <v>0</v>
      </c>
      <c r="H2855" s="9" t="str">
        <f>INDEX(Products!$B$2:$B$37, MATCH(D2855, Products!$A$2:$A$37, 0))</f>
        <v>USB-C Fast Charger</v>
      </c>
      <c r="I2855" t="str">
        <f>INDEX(Products!$C$2:$C$37, MATCH(D2855, Products!$A$2:$A$37, 0))</f>
        <v>Electronics</v>
      </c>
      <c r="J2855">
        <f>INDEX(Products!$E$2:$E$37, MATCH(D2855, Products!$A$2:$A$37, 0))</f>
        <v>35</v>
      </c>
      <c r="K2855" s="9">
        <f t="shared" si="176"/>
        <v>89</v>
      </c>
      <c r="L2855">
        <f t="shared" si="177"/>
        <v>35</v>
      </c>
      <c r="M2855" s="9">
        <f t="shared" si="178"/>
        <v>54</v>
      </c>
      <c r="N2855" t="str">
        <f t="shared" si="179"/>
        <v>Sep</v>
      </c>
    </row>
    <row r="2856" spans="1:14" x14ac:dyDescent="0.3">
      <c r="A2856" s="2" t="s">
        <v>2922</v>
      </c>
      <c r="B2856" s="6">
        <v>45904</v>
      </c>
      <c r="C2856" s="2" t="s">
        <v>31</v>
      </c>
      <c r="D2856" s="2" t="s">
        <v>33</v>
      </c>
      <c r="E2856" s="2">
        <v>1</v>
      </c>
      <c r="F2856" s="7">
        <v>199</v>
      </c>
      <c r="G2856" s="8">
        <v>0.1</v>
      </c>
      <c r="H2856" s="9" t="str">
        <f>INDEX(Products!$B$2:$B$37, MATCH(D2856, Products!$A$2:$A$37, 0))</f>
        <v>Fitness Band Lite</v>
      </c>
      <c r="I2856" t="str">
        <f>INDEX(Products!$C$2:$C$37, MATCH(D2856, Products!$A$2:$A$37, 0))</f>
        <v>Electronics</v>
      </c>
      <c r="J2856">
        <f>INDEX(Products!$E$2:$E$37, MATCH(D2856, Products!$A$2:$A$37, 0))</f>
        <v>175</v>
      </c>
      <c r="K2856" s="9">
        <f t="shared" si="176"/>
        <v>179.1</v>
      </c>
      <c r="L2856">
        <f t="shared" si="177"/>
        <v>175</v>
      </c>
      <c r="M2856" s="9">
        <f t="shared" si="178"/>
        <v>4.0999999999999943</v>
      </c>
      <c r="N2856" t="str">
        <f t="shared" si="179"/>
        <v>Sep</v>
      </c>
    </row>
    <row r="2857" spans="1:14" x14ac:dyDescent="0.3">
      <c r="A2857" s="2" t="s">
        <v>2923</v>
      </c>
      <c r="B2857" s="6">
        <v>45904</v>
      </c>
      <c r="C2857" s="2" t="s">
        <v>28</v>
      </c>
      <c r="D2857" s="2" t="s">
        <v>29</v>
      </c>
      <c r="E2857" s="2">
        <v>1</v>
      </c>
      <c r="F2857" s="7">
        <v>229</v>
      </c>
      <c r="G2857" s="8">
        <v>0.05</v>
      </c>
      <c r="H2857" s="9" t="str">
        <f>INDEX(Products!$B$2:$B$37, MATCH(D2857, Products!$A$2:$A$37, 0))</f>
        <v>Women's Summer Dress</v>
      </c>
      <c r="I2857" t="str">
        <f>INDEX(Products!$C$2:$C$37, MATCH(D2857, Products!$A$2:$A$37, 0))</f>
        <v>Fashion</v>
      </c>
      <c r="J2857">
        <f>INDEX(Products!$E$2:$E$37, MATCH(D2857, Products!$A$2:$A$37, 0))</f>
        <v>120</v>
      </c>
      <c r="K2857" s="9">
        <f t="shared" si="176"/>
        <v>217.54999999999998</v>
      </c>
      <c r="L2857">
        <f t="shared" si="177"/>
        <v>120</v>
      </c>
      <c r="M2857" s="9">
        <f t="shared" si="178"/>
        <v>97.549999999999983</v>
      </c>
      <c r="N2857" t="str">
        <f t="shared" si="179"/>
        <v>Sep</v>
      </c>
    </row>
    <row r="2858" spans="1:14" x14ac:dyDescent="0.3">
      <c r="A2858" s="2" t="s">
        <v>2924</v>
      </c>
      <c r="B2858" s="6">
        <v>45904</v>
      </c>
      <c r="C2858" s="2" t="s">
        <v>28</v>
      </c>
      <c r="D2858" s="2" t="s">
        <v>129</v>
      </c>
      <c r="E2858" s="2">
        <v>2</v>
      </c>
      <c r="F2858" s="7">
        <v>149</v>
      </c>
      <c r="G2858" s="8">
        <v>0.05</v>
      </c>
      <c r="H2858" s="9" t="str">
        <f>INDEX(Products!$B$2:$B$37, MATCH(D2858, Products!$A$2:$A$37, 0))</f>
        <v>Power Bank 20000mAh</v>
      </c>
      <c r="I2858" t="str">
        <f>INDEX(Products!$C$2:$C$37, MATCH(D2858, Products!$A$2:$A$37, 0))</f>
        <v>Electronics</v>
      </c>
      <c r="J2858">
        <f>INDEX(Products!$E$2:$E$37, MATCH(D2858, Products!$A$2:$A$37, 0))</f>
        <v>70</v>
      </c>
      <c r="K2858" s="9">
        <f t="shared" si="176"/>
        <v>283.09999999999997</v>
      </c>
      <c r="L2858">
        <f t="shared" si="177"/>
        <v>140</v>
      </c>
      <c r="M2858" s="9">
        <f t="shared" si="178"/>
        <v>143.09999999999997</v>
      </c>
      <c r="N2858" t="str">
        <f t="shared" si="179"/>
        <v>Sep</v>
      </c>
    </row>
    <row r="2859" spans="1:14" x14ac:dyDescent="0.3">
      <c r="A2859" s="2" t="s">
        <v>2925</v>
      </c>
      <c r="B2859" s="6">
        <v>45904</v>
      </c>
      <c r="C2859" s="2" t="s">
        <v>28</v>
      </c>
      <c r="D2859" s="2" t="s">
        <v>129</v>
      </c>
      <c r="E2859" s="2">
        <v>1</v>
      </c>
      <c r="F2859" s="7">
        <v>149</v>
      </c>
      <c r="G2859" s="8">
        <v>0.1</v>
      </c>
      <c r="H2859" s="9" t="str">
        <f>INDEX(Products!$B$2:$B$37, MATCH(D2859, Products!$A$2:$A$37, 0))</f>
        <v>Power Bank 20000mAh</v>
      </c>
      <c r="I2859" t="str">
        <f>INDEX(Products!$C$2:$C$37, MATCH(D2859, Products!$A$2:$A$37, 0))</f>
        <v>Electronics</v>
      </c>
      <c r="J2859">
        <f>INDEX(Products!$E$2:$E$37, MATCH(D2859, Products!$A$2:$A$37, 0))</f>
        <v>70</v>
      </c>
      <c r="K2859" s="9">
        <f t="shared" si="176"/>
        <v>134.1</v>
      </c>
      <c r="L2859">
        <f t="shared" si="177"/>
        <v>70</v>
      </c>
      <c r="M2859" s="9">
        <f t="shared" si="178"/>
        <v>64.099999999999994</v>
      </c>
      <c r="N2859" t="str">
        <f t="shared" si="179"/>
        <v>Sep</v>
      </c>
    </row>
    <row r="2860" spans="1:14" x14ac:dyDescent="0.3">
      <c r="A2860" s="2" t="s">
        <v>2926</v>
      </c>
      <c r="B2860" s="6">
        <v>45904</v>
      </c>
      <c r="C2860" s="2" t="s">
        <v>48</v>
      </c>
      <c r="D2860" s="2" t="s">
        <v>35</v>
      </c>
      <c r="E2860" s="2">
        <v>1</v>
      </c>
      <c r="F2860" s="7">
        <v>179</v>
      </c>
      <c r="G2860" s="8">
        <v>0</v>
      </c>
      <c r="H2860" s="9" t="str">
        <f>INDEX(Products!$B$2:$B$37, MATCH(D2860, Products!$A$2:$A$37, 0))</f>
        <v>Men's Linen Shirt</v>
      </c>
      <c r="I2860" t="str">
        <f>INDEX(Products!$C$2:$C$37, MATCH(D2860, Products!$A$2:$A$37, 0))</f>
        <v>Fashion</v>
      </c>
      <c r="J2860">
        <f>INDEX(Products!$E$2:$E$37, MATCH(D2860, Products!$A$2:$A$37, 0))</f>
        <v>70</v>
      </c>
      <c r="K2860" s="9">
        <f t="shared" si="176"/>
        <v>179</v>
      </c>
      <c r="L2860">
        <f t="shared" si="177"/>
        <v>70</v>
      </c>
      <c r="M2860" s="9">
        <f t="shared" si="178"/>
        <v>109</v>
      </c>
      <c r="N2860" t="str">
        <f t="shared" si="179"/>
        <v>Sep</v>
      </c>
    </row>
    <row r="2861" spans="1:14" x14ac:dyDescent="0.3">
      <c r="A2861" s="2" t="s">
        <v>2927</v>
      </c>
      <c r="B2861" s="6">
        <v>45904</v>
      </c>
      <c r="C2861" s="2" t="s">
        <v>41</v>
      </c>
      <c r="D2861" s="2" t="s">
        <v>126</v>
      </c>
      <c r="E2861" s="2">
        <v>1</v>
      </c>
      <c r="F2861" s="7">
        <v>89</v>
      </c>
      <c r="G2861" s="8">
        <v>0.2</v>
      </c>
      <c r="H2861" s="9" t="str">
        <f>INDEX(Products!$B$2:$B$37, MATCH(D2861, Products!$A$2:$A$37, 0))</f>
        <v>USB-C Fast Charger</v>
      </c>
      <c r="I2861" t="str">
        <f>INDEX(Products!$C$2:$C$37, MATCH(D2861, Products!$A$2:$A$37, 0))</f>
        <v>Electronics</v>
      </c>
      <c r="J2861">
        <f>INDEX(Products!$E$2:$E$37, MATCH(D2861, Products!$A$2:$A$37, 0))</f>
        <v>35</v>
      </c>
      <c r="K2861" s="9">
        <f t="shared" si="176"/>
        <v>71.2</v>
      </c>
      <c r="L2861">
        <f t="shared" si="177"/>
        <v>35</v>
      </c>
      <c r="M2861" s="9">
        <f t="shared" si="178"/>
        <v>36.200000000000003</v>
      </c>
      <c r="N2861" t="str">
        <f t="shared" si="179"/>
        <v>Sep</v>
      </c>
    </row>
    <row r="2862" spans="1:14" x14ac:dyDescent="0.3">
      <c r="A2862" s="2" t="s">
        <v>2928</v>
      </c>
      <c r="B2862" s="6">
        <v>45904</v>
      </c>
      <c r="C2862" s="2" t="s">
        <v>44</v>
      </c>
      <c r="D2862" s="2" t="s">
        <v>68</v>
      </c>
      <c r="E2862" s="2">
        <v>2</v>
      </c>
      <c r="F2862" s="7">
        <v>249</v>
      </c>
      <c r="G2862" s="8">
        <v>0.15</v>
      </c>
      <c r="H2862" s="9" t="str">
        <f>INDEX(Products!$B$2:$B$37, MATCH(D2862, Products!$A$2:$A$37, 0))</f>
        <v>Bluetooth Speaker Mini</v>
      </c>
      <c r="I2862" t="str">
        <f>INDEX(Products!$C$2:$C$37, MATCH(D2862, Products!$A$2:$A$37, 0))</f>
        <v>Electronics</v>
      </c>
      <c r="J2862">
        <f>INDEX(Products!$E$2:$E$37, MATCH(D2862, Products!$A$2:$A$37, 0))</f>
        <v>150</v>
      </c>
      <c r="K2862" s="9">
        <f t="shared" si="176"/>
        <v>423.3</v>
      </c>
      <c r="L2862">
        <f t="shared" si="177"/>
        <v>300</v>
      </c>
      <c r="M2862" s="9">
        <f t="shared" si="178"/>
        <v>123.30000000000001</v>
      </c>
      <c r="N2862" t="str">
        <f t="shared" si="179"/>
        <v>Sep</v>
      </c>
    </row>
    <row r="2863" spans="1:14" x14ac:dyDescent="0.3">
      <c r="A2863" s="2" t="s">
        <v>2929</v>
      </c>
      <c r="B2863" s="6">
        <v>45904</v>
      </c>
      <c r="C2863" s="2" t="s">
        <v>41</v>
      </c>
      <c r="D2863" s="2" t="s">
        <v>56</v>
      </c>
      <c r="E2863" s="2">
        <v>2</v>
      </c>
      <c r="F2863" s="7">
        <v>289</v>
      </c>
      <c r="G2863" s="8">
        <v>0</v>
      </c>
      <c r="H2863" s="9" t="str">
        <f>INDEX(Products!$B$2:$B$37, MATCH(D2863, Products!$A$2:$A$37, 0))</f>
        <v>Ceramic Dinner Set</v>
      </c>
      <c r="I2863" t="str">
        <f>INDEX(Products!$C$2:$C$37, MATCH(D2863, Products!$A$2:$A$37, 0))</f>
        <v>Home &amp; Kitchen</v>
      </c>
      <c r="J2863">
        <f>INDEX(Products!$E$2:$E$37, MATCH(D2863, Products!$A$2:$A$37, 0))</f>
        <v>140</v>
      </c>
      <c r="K2863" s="9">
        <f t="shared" si="176"/>
        <v>578</v>
      </c>
      <c r="L2863">
        <f t="shared" si="177"/>
        <v>280</v>
      </c>
      <c r="M2863" s="9">
        <f t="shared" si="178"/>
        <v>298</v>
      </c>
      <c r="N2863" t="str">
        <f t="shared" si="179"/>
        <v>Sep</v>
      </c>
    </row>
    <row r="2864" spans="1:14" x14ac:dyDescent="0.3">
      <c r="A2864" s="2" t="s">
        <v>2930</v>
      </c>
      <c r="B2864" s="6">
        <v>45904</v>
      </c>
      <c r="C2864" s="2" t="s">
        <v>28</v>
      </c>
      <c r="D2864" s="2" t="s">
        <v>42</v>
      </c>
      <c r="E2864" s="2">
        <v>1</v>
      </c>
      <c r="F2864" s="7">
        <v>399</v>
      </c>
      <c r="G2864" s="8">
        <v>0.1</v>
      </c>
      <c r="H2864" s="9" t="str">
        <f>INDEX(Products!$B$2:$B$37, MATCH(D2864, Products!$A$2:$A$37, 0))</f>
        <v>Wireless Earbuds Pro</v>
      </c>
      <c r="I2864" t="str">
        <f>INDEX(Products!$C$2:$C$37, MATCH(D2864, Products!$A$2:$A$37, 0))</f>
        <v>Electronics</v>
      </c>
      <c r="J2864">
        <f>INDEX(Products!$E$2:$E$37, MATCH(D2864, Products!$A$2:$A$37, 0))</f>
        <v>230</v>
      </c>
      <c r="K2864" s="9">
        <f t="shared" si="176"/>
        <v>359.1</v>
      </c>
      <c r="L2864">
        <f t="shared" si="177"/>
        <v>230</v>
      </c>
      <c r="M2864" s="9">
        <f t="shared" si="178"/>
        <v>129.10000000000002</v>
      </c>
      <c r="N2864" t="str">
        <f t="shared" si="179"/>
        <v>Sep</v>
      </c>
    </row>
    <row r="2865" spans="1:14" x14ac:dyDescent="0.3">
      <c r="A2865" s="2" t="s">
        <v>2931</v>
      </c>
      <c r="B2865" s="6">
        <v>45904</v>
      </c>
      <c r="C2865" s="2" t="s">
        <v>41</v>
      </c>
      <c r="D2865" s="2" t="s">
        <v>78</v>
      </c>
      <c r="E2865" s="2">
        <v>1</v>
      </c>
      <c r="F2865" s="7">
        <v>499</v>
      </c>
      <c r="G2865" s="8">
        <v>0.05</v>
      </c>
      <c r="H2865" s="9" t="str">
        <f>INDEX(Products!$B$2:$B$37, MATCH(D2865, Products!$A$2:$A$37, 0))</f>
        <v>Air Fryer 5L</v>
      </c>
      <c r="I2865" t="str">
        <f>INDEX(Products!$C$2:$C$37, MATCH(D2865, Products!$A$2:$A$37, 0))</f>
        <v>Home &amp; Kitchen</v>
      </c>
      <c r="J2865">
        <f>INDEX(Products!$E$2:$E$37, MATCH(D2865, Products!$A$2:$A$37, 0))</f>
        <v>290</v>
      </c>
      <c r="K2865" s="9">
        <f t="shared" si="176"/>
        <v>474.04999999999995</v>
      </c>
      <c r="L2865">
        <f t="shared" si="177"/>
        <v>290</v>
      </c>
      <c r="M2865" s="9">
        <f t="shared" si="178"/>
        <v>184.04999999999995</v>
      </c>
      <c r="N2865" t="str">
        <f t="shared" si="179"/>
        <v>Sep</v>
      </c>
    </row>
    <row r="2866" spans="1:14" x14ac:dyDescent="0.3">
      <c r="A2866" s="2" t="s">
        <v>2932</v>
      </c>
      <c r="B2866" s="6">
        <v>45905</v>
      </c>
      <c r="C2866" s="2" t="s">
        <v>28</v>
      </c>
      <c r="D2866" s="2" t="s">
        <v>37</v>
      </c>
      <c r="E2866" s="2">
        <v>1</v>
      </c>
      <c r="F2866" s="7">
        <v>249</v>
      </c>
      <c r="G2866" s="8">
        <v>0</v>
      </c>
      <c r="H2866" s="9" t="str">
        <f>INDEX(Products!$B$2:$B$37, MATCH(D2866, Products!$A$2:$A$37, 0))</f>
        <v>Sunglasses Polarised</v>
      </c>
      <c r="I2866" t="str">
        <f>INDEX(Products!$C$2:$C$37, MATCH(D2866, Products!$A$2:$A$37, 0))</f>
        <v>Fashion</v>
      </c>
      <c r="J2866">
        <f>INDEX(Products!$E$2:$E$37, MATCH(D2866, Products!$A$2:$A$37, 0))</f>
        <v>95</v>
      </c>
      <c r="K2866" s="9">
        <f t="shared" si="176"/>
        <v>249</v>
      </c>
      <c r="L2866">
        <f t="shared" si="177"/>
        <v>95</v>
      </c>
      <c r="M2866" s="9">
        <f t="shared" si="178"/>
        <v>154</v>
      </c>
      <c r="N2866" t="str">
        <f t="shared" si="179"/>
        <v>Sep</v>
      </c>
    </row>
    <row r="2867" spans="1:14" x14ac:dyDescent="0.3">
      <c r="A2867" s="2" t="s">
        <v>2933</v>
      </c>
      <c r="B2867" s="6">
        <v>45905</v>
      </c>
      <c r="C2867" s="2" t="s">
        <v>28</v>
      </c>
      <c r="D2867" s="2" t="s">
        <v>56</v>
      </c>
      <c r="E2867" s="2">
        <v>1</v>
      </c>
      <c r="F2867" s="7">
        <v>289</v>
      </c>
      <c r="G2867" s="8">
        <v>0</v>
      </c>
      <c r="H2867" s="9" t="str">
        <f>INDEX(Products!$B$2:$B$37, MATCH(D2867, Products!$A$2:$A$37, 0))</f>
        <v>Ceramic Dinner Set</v>
      </c>
      <c r="I2867" t="str">
        <f>INDEX(Products!$C$2:$C$37, MATCH(D2867, Products!$A$2:$A$37, 0))</f>
        <v>Home &amp; Kitchen</v>
      </c>
      <c r="J2867">
        <f>INDEX(Products!$E$2:$E$37, MATCH(D2867, Products!$A$2:$A$37, 0))</f>
        <v>140</v>
      </c>
      <c r="K2867" s="9">
        <f t="shared" si="176"/>
        <v>289</v>
      </c>
      <c r="L2867">
        <f t="shared" si="177"/>
        <v>140</v>
      </c>
      <c r="M2867" s="9">
        <f t="shared" si="178"/>
        <v>149</v>
      </c>
      <c r="N2867" t="str">
        <f t="shared" si="179"/>
        <v>Sep</v>
      </c>
    </row>
    <row r="2868" spans="1:14" x14ac:dyDescent="0.3">
      <c r="A2868" s="2" t="s">
        <v>2934</v>
      </c>
      <c r="B2868" s="6">
        <v>45905</v>
      </c>
      <c r="C2868" s="2" t="s">
        <v>41</v>
      </c>
      <c r="D2868" s="2" t="s">
        <v>131</v>
      </c>
      <c r="E2868" s="2">
        <v>4</v>
      </c>
      <c r="F2868" s="7">
        <v>899</v>
      </c>
      <c r="G2868" s="8">
        <v>0</v>
      </c>
      <c r="H2868" s="9" t="str">
        <f>INDEX(Products!$B$2:$B$37, MATCH(D2868, Products!$A$2:$A$37, 0))</f>
        <v>4K Action Camera</v>
      </c>
      <c r="I2868" t="str">
        <f>INDEX(Products!$C$2:$C$37, MATCH(D2868, Products!$A$2:$A$37, 0))</f>
        <v>Electronics</v>
      </c>
      <c r="J2868">
        <f>INDEX(Products!$E$2:$E$37, MATCH(D2868, Products!$A$2:$A$37, 0))</f>
        <v>610</v>
      </c>
      <c r="K2868" s="9">
        <f t="shared" si="176"/>
        <v>3596</v>
      </c>
      <c r="L2868">
        <f t="shared" si="177"/>
        <v>2440</v>
      </c>
      <c r="M2868" s="9">
        <f t="shared" si="178"/>
        <v>1156</v>
      </c>
      <c r="N2868" t="str">
        <f t="shared" si="179"/>
        <v>Sep</v>
      </c>
    </row>
    <row r="2869" spans="1:14" x14ac:dyDescent="0.3">
      <c r="A2869" s="2" t="s">
        <v>2935</v>
      </c>
      <c r="B2869" s="6">
        <v>45905</v>
      </c>
      <c r="C2869" s="2" t="s">
        <v>41</v>
      </c>
      <c r="D2869" s="2" t="s">
        <v>52</v>
      </c>
      <c r="E2869" s="2">
        <v>1</v>
      </c>
      <c r="F2869" s="7">
        <v>299</v>
      </c>
      <c r="G2869" s="8">
        <v>0.25</v>
      </c>
      <c r="H2869" s="9" t="str">
        <f>INDEX(Products!$B$2:$B$37, MATCH(D2869, Products!$A$2:$A$37, 0))</f>
        <v>Hair Dryer Ionic</v>
      </c>
      <c r="I2869" t="str">
        <f>INDEX(Products!$C$2:$C$37, MATCH(D2869, Products!$A$2:$A$37, 0))</f>
        <v>Beauty</v>
      </c>
      <c r="J2869">
        <f>INDEX(Products!$E$2:$E$37, MATCH(D2869, Products!$A$2:$A$37, 0))</f>
        <v>240</v>
      </c>
      <c r="K2869" s="9">
        <f t="shared" si="176"/>
        <v>224.25</v>
      </c>
      <c r="L2869">
        <f t="shared" si="177"/>
        <v>240</v>
      </c>
      <c r="M2869" s="9">
        <f t="shared" si="178"/>
        <v>-15.75</v>
      </c>
      <c r="N2869" t="str">
        <f t="shared" si="179"/>
        <v>Sep</v>
      </c>
    </row>
    <row r="2870" spans="1:14" x14ac:dyDescent="0.3">
      <c r="A2870" s="2" t="s">
        <v>2936</v>
      </c>
      <c r="B2870" s="6">
        <v>45905</v>
      </c>
      <c r="C2870" s="2" t="s">
        <v>41</v>
      </c>
      <c r="D2870" s="2" t="s">
        <v>89</v>
      </c>
      <c r="E2870" s="2">
        <v>1</v>
      </c>
      <c r="F2870" s="7">
        <v>399</v>
      </c>
      <c r="G2870" s="8">
        <v>0</v>
      </c>
      <c r="H2870" s="9" t="str">
        <f>INDEX(Products!$B$2:$B$37, MATCH(D2870, Products!$A$2:$A$37, 0))</f>
        <v>Men's Kandura Premium</v>
      </c>
      <c r="I2870" t="str">
        <f>INDEX(Products!$C$2:$C$37, MATCH(D2870, Products!$A$2:$A$37, 0))</f>
        <v>Fashion</v>
      </c>
      <c r="J2870">
        <f>INDEX(Products!$E$2:$E$37, MATCH(D2870, Products!$A$2:$A$37, 0))</f>
        <v>210</v>
      </c>
      <c r="K2870" s="9">
        <f t="shared" si="176"/>
        <v>399</v>
      </c>
      <c r="L2870">
        <f t="shared" si="177"/>
        <v>210</v>
      </c>
      <c r="M2870" s="9">
        <f t="shared" si="178"/>
        <v>189</v>
      </c>
      <c r="N2870" t="str">
        <f t="shared" si="179"/>
        <v>Sep</v>
      </c>
    </row>
    <row r="2871" spans="1:14" x14ac:dyDescent="0.3">
      <c r="A2871" s="2" t="s">
        <v>2937</v>
      </c>
      <c r="B2871" s="6">
        <v>45905</v>
      </c>
      <c r="C2871" s="2" t="s">
        <v>44</v>
      </c>
      <c r="D2871" s="2" t="s">
        <v>35</v>
      </c>
      <c r="E2871" s="2">
        <v>1</v>
      </c>
      <c r="F2871" s="7">
        <v>179</v>
      </c>
      <c r="G2871" s="8">
        <v>0.05</v>
      </c>
      <c r="H2871" s="9" t="str">
        <f>INDEX(Products!$B$2:$B$37, MATCH(D2871, Products!$A$2:$A$37, 0))</f>
        <v>Men's Linen Shirt</v>
      </c>
      <c r="I2871" t="str">
        <f>INDEX(Products!$C$2:$C$37, MATCH(D2871, Products!$A$2:$A$37, 0))</f>
        <v>Fashion</v>
      </c>
      <c r="J2871">
        <f>INDEX(Products!$E$2:$E$37, MATCH(D2871, Products!$A$2:$A$37, 0))</f>
        <v>70</v>
      </c>
      <c r="K2871" s="9">
        <f t="shared" si="176"/>
        <v>170.04999999999998</v>
      </c>
      <c r="L2871">
        <f t="shared" si="177"/>
        <v>70</v>
      </c>
      <c r="M2871" s="9">
        <f t="shared" si="178"/>
        <v>100.04999999999998</v>
      </c>
      <c r="N2871" t="str">
        <f t="shared" si="179"/>
        <v>Sep</v>
      </c>
    </row>
    <row r="2872" spans="1:14" x14ac:dyDescent="0.3">
      <c r="A2872" s="2" t="s">
        <v>2938</v>
      </c>
      <c r="B2872" s="6">
        <v>45906</v>
      </c>
      <c r="C2872" s="2" t="s">
        <v>31</v>
      </c>
      <c r="D2872" s="2" t="s">
        <v>126</v>
      </c>
      <c r="E2872" s="2">
        <v>1</v>
      </c>
      <c r="F2872" s="7">
        <v>89</v>
      </c>
      <c r="G2872" s="8">
        <v>0.2</v>
      </c>
      <c r="H2872" s="9" t="str">
        <f>INDEX(Products!$B$2:$B$37, MATCH(D2872, Products!$A$2:$A$37, 0))</f>
        <v>USB-C Fast Charger</v>
      </c>
      <c r="I2872" t="str">
        <f>INDEX(Products!$C$2:$C$37, MATCH(D2872, Products!$A$2:$A$37, 0))</f>
        <v>Electronics</v>
      </c>
      <c r="J2872">
        <f>INDEX(Products!$E$2:$E$37, MATCH(D2872, Products!$A$2:$A$37, 0))</f>
        <v>35</v>
      </c>
      <c r="K2872" s="9">
        <f t="shared" si="176"/>
        <v>71.2</v>
      </c>
      <c r="L2872">
        <f t="shared" si="177"/>
        <v>35</v>
      </c>
      <c r="M2872" s="9">
        <f t="shared" si="178"/>
        <v>36.200000000000003</v>
      </c>
      <c r="N2872" t="str">
        <f t="shared" si="179"/>
        <v>Sep</v>
      </c>
    </row>
    <row r="2873" spans="1:14" x14ac:dyDescent="0.3">
      <c r="A2873" s="2" t="s">
        <v>2939</v>
      </c>
      <c r="B2873" s="6">
        <v>45906</v>
      </c>
      <c r="C2873" s="2" t="s">
        <v>41</v>
      </c>
      <c r="D2873" s="2" t="s">
        <v>46</v>
      </c>
      <c r="E2873" s="2">
        <v>2</v>
      </c>
      <c r="F2873" s="7">
        <v>189</v>
      </c>
      <c r="G2873" s="8">
        <v>0.3</v>
      </c>
      <c r="H2873" s="9" t="str">
        <f>INDEX(Products!$B$2:$B$37, MATCH(D2873, Products!$A$2:$A$37, 0))</f>
        <v>Makeup Palette</v>
      </c>
      <c r="I2873" t="str">
        <f>INDEX(Products!$C$2:$C$37, MATCH(D2873, Products!$A$2:$A$37, 0))</f>
        <v>Beauty</v>
      </c>
      <c r="J2873">
        <f>INDEX(Products!$E$2:$E$37, MATCH(D2873, Products!$A$2:$A$37, 0))</f>
        <v>85</v>
      </c>
      <c r="K2873" s="9">
        <f t="shared" si="176"/>
        <v>264.59999999999997</v>
      </c>
      <c r="L2873">
        <f t="shared" si="177"/>
        <v>170</v>
      </c>
      <c r="M2873" s="9">
        <f t="shared" si="178"/>
        <v>94.599999999999966</v>
      </c>
      <c r="N2873" t="str">
        <f t="shared" si="179"/>
        <v>Sep</v>
      </c>
    </row>
    <row r="2874" spans="1:14" x14ac:dyDescent="0.3">
      <c r="A2874" s="2" t="s">
        <v>2940</v>
      </c>
      <c r="B2874" s="6">
        <v>45906</v>
      </c>
      <c r="C2874" s="2" t="s">
        <v>41</v>
      </c>
      <c r="D2874" s="2" t="s">
        <v>37</v>
      </c>
      <c r="E2874" s="2">
        <v>2</v>
      </c>
      <c r="F2874" s="7">
        <v>249</v>
      </c>
      <c r="G2874" s="8">
        <v>0.3</v>
      </c>
      <c r="H2874" s="9" t="str">
        <f>INDEX(Products!$B$2:$B$37, MATCH(D2874, Products!$A$2:$A$37, 0))</f>
        <v>Sunglasses Polarised</v>
      </c>
      <c r="I2874" t="str">
        <f>INDEX(Products!$C$2:$C$37, MATCH(D2874, Products!$A$2:$A$37, 0))</f>
        <v>Fashion</v>
      </c>
      <c r="J2874">
        <f>INDEX(Products!$E$2:$E$37, MATCH(D2874, Products!$A$2:$A$37, 0))</f>
        <v>95</v>
      </c>
      <c r="K2874" s="9">
        <f t="shared" si="176"/>
        <v>348.59999999999997</v>
      </c>
      <c r="L2874">
        <f t="shared" si="177"/>
        <v>190</v>
      </c>
      <c r="M2874" s="9">
        <f t="shared" si="178"/>
        <v>158.59999999999997</v>
      </c>
      <c r="N2874" t="str">
        <f t="shared" si="179"/>
        <v>Sep</v>
      </c>
    </row>
    <row r="2875" spans="1:14" x14ac:dyDescent="0.3">
      <c r="A2875" s="2" t="s">
        <v>2941</v>
      </c>
      <c r="B2875" s="6">
        <v>45906</v>
      </c>
      <c r="C2875" s="2" t="s">
        <v>28</v>
      </c>
      <c r="D2875" s="2" t="s">
        <v>58</v>
      </c>
      <c r="E2875" s="2">
        <v>1</v>
      </c>
      <c r="F2875" s="7">
        <v>459</v>
      </c>
      <c r="G2875" s="8">
        <v>0.2</v>
      </c>
      <c r="H2875" s="9" t="str">
        <f>INDEX(Products!$B$2:$B$37, MATCH(D2875, Products!$A$2:$A$37, 0))</f>
        <v>Women's Abaya Classic</v>
      </c>
      <c r="I2875" t="str">
        <f>INDEX(Products!$C$2:$C$37, MATCH(D2875, Products!$A$2:$A$37, 0))</f>
        <v>Fashion</v>
      </c>
      <c r="J2875">
        <f>INDEX(Products!$E$2:$E$37, MATCH(D2875, Products!$A$2:$A$37, 0))</f>
        <v>190</v>
      </c>
      <c r="K2875" s="9">
        <f t="shared" si="176"/>
        <v>367.20000000000005</v>
      </c>
      <c r="L2875">
        <f t="shared" si="177"/>
        <v>190</v>
      </c>
      <c r="M2875" s="9">
        <f t="shared" si="178"/>
        <v>177.20000000000005</v>
      </c>
      <c r="N2875" t="str">
        <f t="shared" si="179"/>
        <v>Sep</v>
      </c>
    </row>
    <row r="2876" spans="1:14" x14ac:dyDescent="0.3">
      <c r="A2876" s="2" t="s">
        <v>2942</v>
      </c>
      <c r="B2876" s="6">
        <v>45906</v>
      </c>
      <c r="C2876" s="2" t="s">
        <v>44</v>
      </c>
      <c r="D2876" s="2" t="s">
        <v>70</v>
      </c>
      <c r="E2876" s="2">
        <v>1</v>
      </c>
      <c r="F2876" s="7">
        <v>429</v>
      </c>
      <c r="G2876" s="8">
        <v>0.05</v>
      </c>
      <c r="H2876" s="9" t="str">
        <f>INDEX(Products!$B$2:$B$37, MATCH(D2876, Products!$A$2:$A$37, 0))</f>
        <v>Running Shoes Elite</v>
      </c>
      <c r="I2876" t="str">
        <f>INDEX(Products!$C$2:$C$37, MATCH(D2876, Products!$A$2:$A$37, 0))</f>
        <v>Fashion</v>
      </c>
      <c r="J2876">
        <f>INDEX(Products!$E$2:$E$37, MATCH(D2876, Products!$A$2:$A$37, 0))</f>
        <v>300</v>
      </c>
      <c r="K2876" s="9">
        <f t="shared" si="176"/>
        <v>407.54999999999995</v>
      </c>
      <c r="L2876">
        <f t="shared" si="177"/>
        <v>300</v>
      </c>
      <c r="M2876" s="9">
        <f t="shared" si="178"/>
        <v>107.54999999999995</v>
      </c>
      <c r="N2876" t="str">
        <f t="shared" si="179"/>
        <v>Sep</v>
      </c>
    </row>
    <row r="2877" spans="1:14" x14ac:dyDescent="0.3">
      <c r="A2877" s="2" t="s">
        <v>2943</v>
      </c>
      <c r="B2877" s="6">
        <v>45906</v>
      </c>
      <c r="C2877" s="2" t="s">
        <v>31</v>
      </c>
      <c r="D2877" s="2" t="s">
        <v>126</v>
      </c>
      <c r="E2877" s="2">
        <v>1</v>
      </c>
      <c r="F2877" s="7">
        <v>89</v>
      </c>
      <c r="G2877" s="8">
        <v>0</v>
      </c>
      <c r="H2877" s="9" t="str">
        <f>INDEX(Products!$B$2:$B$37, MATCH(D2877, Products!$A$2:$A$37, 0))</f>
        <v>USB-C Fast Charger</v>
      </c>
      <c r="I2877" t="str">
        <f>INDEX(Products!$C$2:$C$37, MATCH(D2877, Products!$A$2:$A$37, 0))</f>
        <v>Electronics</v>
      </c>
      <c r="J2877">
        <f>INDEX(Products!$E$2:$E$37, MATCH(D2877, Products!$A$2:$A$37, 0))</f>
        <v>35</v>
      </c>
      <c r="K2877" s="9">
        <f t="shared" si="176"/>
        <v>89</v>
      </c>
      <c r="L2877">
        <f t="shared" si="177"/>
        <v>35</v>
      </c>
      <c r="M2877" s="9">
        <f t="shared" si="178"/>
        <v>54</v>
      </c>
      <c r="N2877" t="str">
        <f t="shared" si="179"/>
        <v>Sep</v>
      </c>
    </row>
    <row r="2878" spans="1:14" x14ac:dyDescent="0.3">
      <c r="A2878" s="2" t="s">
        <v>2944</v>
      </c>
      <c r="B2878" s="6">
        <v>45906</v>
      </c>
      <c r="C2878" s="2" t="s">
        <v>28</v>
      </c>
      <c r="D2878" s="2" t="s">
        <v>165</v>
      </c>
      <c r="E2878" s="2">
        <v>1</v>
      </c>
      <c r="F2878" s="7">
        <v>69</v>
      </c>
      <c r="G2878" s="8">
        <v>0.1</v>
      </c>
      <c r="H2878" s="9" t="str">
        <f>INDEX(Products!$B$2:$B$37, MATCH(D2878, Products!$A$2:$A$37, 0))</f>
        <v>Swim Goggles</v>
      </c>
      <c r="I2878" t="str">
        <f>INDEX(Products!$C$2:$C$37, MATCH(D2878, Products!$A$2:$A$37, 0))</f>
        <v>Sports</v>
      </c>
      <c r="J2878">
        <f>INDEX(Products!$E$2:$E$37, MATCH(D2878, Products!$A$2:$A$37, 0))</f>
        <v>25</v>
      </c>
      <c r="K2878" s="9">
        <f t="shared" si="176"/>
        <v>62.1</v>
      </c>
      <c r="L2878">
        <f t="shared" si="177"/>
        <v>25</v>
      </c>
      <c r="M2878" s="9">
        <f t="shared" si="178"/>
        <v>37.1</v>
      </c>
      <c r="N2878" t="str">
        <f t="shared" si="179"/>
        <v>Sep</v>
      </c>
    </row>
    <row r="2879" spans="1:14" x14ac:dyDescent="0.3">
      <c r="A2879" s="2" t="s">
        <v>2945</v>
      </c>
      <c r="B2879" s="6">
        <v>45906</v>
      </c>
      <c r="C2879" s="2" t="s">
        <v>28</v>
      </c>
      <c r="D2879" s="2" t="s">
        <v>109</v>
      </c>
      <c r="E2879" s="2">
        <v>1</v>
      </c>
      <c r="F2879" s="7">
        <v>1499</v>
      </c>
      <c r="G2879" s="8">
        <v>0.1</v>
      </c>
      <c r="H2879" s="9" t="str">
        <f>INDEX(Products!$B$2:$B$37, MATCH(D2879, Products!$A$2:$A$37, 0))</f>
        <v>Espresso Machine</v>
      </c>
      <c r="I2879" t="str">
        <f>INDEX(Products!$C$2:$C$37, MATCH(D2879, Products!$A$2:$A$37, 0))</f>
        <v>Home &amp; Kitchen</v>
      </c>
      <c r="J2879">
        <f>INDEX(Products!$E$2:$E$37, MATCH(D2879, Products!$A$2:$A$37, 0))</f>
        <v>1050</v>
      </c>
      <c r="K2879" s="9">
        <f t="shared" si="176"/>
        <v>1349.1000000000001</v>
      </c>
      <c r="L2879">
        <f t="shared" si="177"/>
        <v>1050</v>
      </c>
      <c r="M2879" s="9">
        <f t="shared" si="178"/>
        <v>299.10000000000014</v>
      </c>
      <c r="N2879" t="str">
        <f t="shared" si="179"/>
        <v>Sep</v>
      </c>
    </row>
    <row r="2880" spans="1:14" x14ac:dyDescent="0.3">
      <c r="A2880" s="2" t="s">
        <v>2946</v>
      </c>
      <c r="B2880" s="6">
        <v>45906</v>
      </c>
      <c r="C2880" s="2" t="s">
        <v>28</v>
      </c>
      <c r="D2880" s="2" t="s">
        <v>99</v>
      </c>
      <c r="E2880" s="2">
        <v>2</v>
      </c>
      <c r="F2880" s="7">
        <v>459</v>
      </c>
      <c r="G2880" s="8">
        <v>0</v>
      </c>
      <c r="H2880" s="9" t="str">
        <f>INDEX(Products!$B$2:$B$37, MATCH(D2880, Products!$A$2:$A$37, 0))</f>
        <v>Gaming Headset X</v>
      </c>
      <c r="I2880" t="str">
        <f>INDEX(Products!$C$2:$C$37, MATCH(D2880, Products!$A$2:$A$37, 0))</f>
        <v>Electronics</v>
      </c>
      <c r="J2880">
        <f>INDEX(Products!$E$2:$E$37, MATCH(D2880, Products!$A$2:$A$37, 0))</f>
        <v>300</v>
      </c>
      <c r="K2880" s="9">
        <f t="shared" si="176"/>
        <v>918</v>
      </c>
      <c r="L2880">
        <f t="shared" si="177"/>
        <v>600</v>
      </c>
      <c r="M2880" s="9">
        <f t="shared" si="178"/>
        <v>318</v>
      </c>
      <c r="N2880" t="str">
        <f t="shared" si="179"/>
        <v>Sep</v>
      </c>
    </row>
    <row r="2881" spans="1:14" x14ac:dyDescent="0.3">
      <c r="A2881" s="2" t="s">
        <v>2947</v>
      </c>
      <c r="B2881" s="6">
        <v>45906</v>
      </c>
      <c r="C2881" s="2" t="s">
        <v>41</v>
      </c>
      <c r="D2881" s="2" t="s">
        <v>60</v>
      </c>
      <c r="E2881" s="2">
        <v>1</v>
      </c>
      <c r="F2881" s="7">
        <v>99</v>
      </c>
      <c r="G2881" s="8">
        <v>0</v>
      </c>
      <c r="H2881" s="9" t="str">
        <f>INDEX(Products!$B$2:$B$37, MATCH(D2881, Products!$A$2:$A$37, 0))</f>
        <v>Football Size 5</v>
      </c>
      <c r="I2881" t="str">
        <f>INDEX(Products!$C$2:$C$37, MATCH(D2881, Products!$A$2:$A$37, 0))</f>
        <v>Sports</v>
      </c>
      <c r="J2881">
        <f>INDEX(Products!$E$2:$E$37, MATCH(D2881, Products!$A$2:$A$37, 0))</f>
        <v>45</v>
      </c>
      <c r="K2881" s="9">
        <f t="shared" si="176"/>
        <v>99</v>
      </c>
      <c r="L2881">
        <f t="shared" si="177"/>
        <v>45</v>
      </c>
      <c r="M2881" s="9">
        <f t="shared" si="178"/>
        <v>54</v>
      </c>
      <c r="N2881" t="str">
        <f t="shared" si="179"/>
        <v>Sep</v>
      </c>
    </row>
    <row r="2882" spans="1:14" x14ac:dyDescent="0.3">
      <c r="A2882" s="2" t="s">
        <v>2948</v>
      </c>
      <c r="B2882" s="6">
        <v>45906</v>
      </c>
      <c r="C2882" s="2" t="s">
        <v>48</v>
      </c>
      <c r="D2882" s="2" t="s">
        <v>49</v>
      </c>
      <c r="E2882" s="2">
        <v>2</v>
      </c>
      <c r="F2882" s="7">
        <v>149</v>
      </c>
      <c r="G2882" s="8">
        <v>0.15</v>
      </c>
      <c r="H2882" s="9" t="str">
        <f>INDEX(Products!$B$2:$B$37, MATCH(D2882, Products!$A$2:$A$37, 0))</f>
        <v>Kids' Sneakers</v>
      </c>
      <c r="I2882" t="str">
        <f>INDEX(Products!$C$2:$C$37, MATCH(D2882, Products!$A$2:$A$37, 0))</f>
        <v>Fashion</v>
      </c>
      <c r="J2882">
        <f>INDEX(Products!$E$2:$E$37, MATCH(D2882, Products!$A$2:$A$37, 0))</f>
        <v>80</v>
      </c>
      <c r="K2882" s="9">
        <f t="shared" ref="K2882:K2945" si="180">E2882*F2882*(1-G2882)</f>
        <v>253.29999999999998</v>
      </c>
      <c r="L2882">
        <f t="shared" ref="L2882:L2945" si="181">E2882*J2882</f>
        <v>160</v>
      </c>
      <c r="M2882" s="9">
        <f t="shared" ref="M2882:M2945" si="182">K2882-L2882</f>
        <v>93.299999999999983</v>
      </c>
      <c r="N2882" t="str">
        <f t="shared" ref="N2882:N2945" si="183">TEXT(B2882,"mmm")</f>
        <v>Sep</v>
      </c>
    </row>
    <row r="2883" spans="1:14" x14ac:dyDescent="0.3">
      <c r="A2883" s="2" t="s">
        <v>2949</v>
      </c>
      <c r="B2883" s="6">
        <v>45906</v>
      </c>
      <c r="C2883" s="2" t="s">
        <v>44</v>
      </c>
      <c r="D2883" s="2" t="s">
        <v>78</v>
      </c>
      <c r="E2883" s="2">
        <v>1</v>
      </c>
      <c r="F2883" s="7">
        <v>499</v>
      </c>
      <c r="G2883" s="8">
        <v>0.05</v>
      </c>
      <c r="H2883" s="9" t="str">
        <f>INDEX(Products!$B$2:$B$37, MATCH(D2883, Products!$A$2:$A$37, 0))</f>
        <v>Air Fryer 5L</v>
      </c>
      <c r="I2883" t="str">
        <f>INDEX(Products!$C$2:$C$37, MATCH(D2883, Products!$A$2:$A$37, 0))</f>
        <v>Home &amp; Kitchen</v>
      </c>
      <c r="J2883">
        <f>INDEX(Products!$E$2:$E$37, MATCH(D2883, Products!$A$2:$A$37, 0))</f>
        <v>290</v>
      </c>
      <c r="K2883" s="9">
        <f t="shared" si="180"/>
        <v>474.04999999999995</v>
      </c>
      <c r="L2883">
        <f t="shared" si="181"/>
        <v>290</v>
      </c>
      <c r="M2883" s="9">
        <f t="shared" si="182"/>
        <v>184.04999999999995</v>
      </c>
      <c r="N2883" t="str">
        <f t="shared" si="183"/>
        <v>Sep</v>
      </c>
    </row>
    <row r="2884" spans="1:14" x14ac:dyDescent="0.3">
      <c r="A2884" s="2" t="s">
        <v>2950</v>
      </c>
      <c r="B2884" s="6">
        <v>45906</v>
      </c>
      <c r="C2884" s="2" t="s">
        <v>48</v>
      </c>
      <c r="D2884" s="2" t="s">
        <v>99</v>
      </c>
      <c r="E2884" s="2">
        <v>1</v>
      </c>
      <c r="F2884" s="7">
        <v>459</v>
      </c>
      <c r="G2884" s="8">
        <v>0.3</v>
      </c>
      <c r="H2884" s="9" t="str">
        <f>INDEX(Products!$B$2:$B$37, MATCH(D2884, Products!$A$2:$A$37, 0))</f>
        <v>Gaming Headset X</v>
      </c>
      <c r="I2884" t="str">
        <f>INDEX(Products!$C$2:$C$37, MATCH(D2884, Products!$A$2:$A$37, 0))</f>
        <v>Electronics</v>
      </c>
      <c r="J2884">
        <f>INDEX(Products!$E$2:$E$37, MATCH(D2884, Products!$A$2:$A$37, 0))</f>
        <v>300</v>
      </c>
      <c r="K2884" s="9">
        <f t="shared" si="180"/>
        <v>321.29999999999995</v>
      </c>
      <c r="L2884">
        <f t="shared" si="181"/>
        <v>300</v>
      </c>
      <c r="M2884" s="9">
        <f t="shared" si="182"/>
        <v>21.299999999999955</v>
      </c>
      <c r="N2884" t="str">
        <f t="shared" si="183"/>
        <v>Sep</v>
      </c>
    </row>
    <row r="2885" spans="1:14" x14ac:dyDescent="0.3">
      <c r="A2885" s="2" t="s">
        <v>2951</v>
      </c>
      <c r="B2885" s="6">
        <v>45906</v>
      </c>
      <c r="C2885" s="2" t="s">
        <v>31</v>
      </c>
      <c r="D2885" s="2" t="s">
        <v>99</v>
      </c>
      <c r="E2885" s="2">
        <v>1</v>
      </c>
      <c r="F2885" s="7">
        <v>459</v>
      </c>
      <c r="G2885" s="8">
        <v>0</v>
      </c>
      <c r="H2885" s="9" t="str">
        <f>INDEX(Products!$B$2:$B$37, MATCH(D2885, Products!$A$2:$A$37, 0))</f>
        <v>Gaming Headset X</v>
      </c>
      <c r="I2885" t="str">
        <f>INDEX(Products!$C$2:$C$37, MATCH(D2885, Products!$A$2:$A$37, 0))</f>
        <v>Electronics</v>
      </c>
      <c r="J2885">
        <f>INDEX(Products!$E$2:$E$37, MATCH(D2885, Products!$A$2:$A$37, 0))</f>
        <v>300</v>
      </c>
      <c r="K2885" s="9">
        <f t="shared" si="180"/>
        <v>459</v>
      </c>
      <c r="L2885">
        <f t="shared" si="181"/>
        <v>300</v>
      </c>
      <c r="M2885" s="9">
        <f t="shared" si="182"/>
        <v>159</v>
      </c>
      <c r="N2885" t="str">
        <f t="shared" si="183"/>
        <v>Sep</v>
      </c>
    </row>
    <row r="2886" spans="1:14" x14ac:dyDescent="0.3">
      <c r="A2886" s="2" t="s">
        <v>2952</v>
      </c>
      <c r="B2886" s="6">
        <v>45906</v>
      </c>
      <c r="C2886" s="2" t="s">
        <v>31</v>
      </c>
      <c r="D2886" s="2" t="s">
        <v>56</v>
      </c>
      <c r="E2886" s="2">
        <v>2</v>
      </c>
      <c r="F2886" s="7">
        <v>289</v>
      </c>
      <c r="G2886" s="8">
        <v>0</v>
      </c>
      <c r="H2886" s="9" t="str">
        <f>INDEX(Products!$B$2:$B$37, MATCH(D2886, Products!$A$2:$A$37, 0))</f>
        <v>Ceramic Dinner Set</v>
      </c>
      <c r="I2886" t="str">
        <f>INDEX(Products!$C$2:$C$37, MATCH(D2886, Products!$A$2:$A$37, 0))</f>
        <v>Home &amp; Kitchen</v>
      </c>
      <c r="J2886">
        <f>INDEX(Products!$E$2:$E$37, MATCH(D2886, Products!$A$2:$A$37, 0))</f>
        <v>140</v>
      </c>
      <c r="K2886" s="9">
        <f t="shared" si="180"/>
        <v>578</v>
      </c>
      <c r="L2886">
        <f t="shared" si="181"/>
        <v>280</v>
      </c>
      <c r="M2886" s="9">
        <f t="shared" si="182"/>
        <v>298</v>
      </c>
      <c r="N2886" t="str">
        <f t="shared" si="183"/>
        <v>Sep</v>
      </c>
    </row>
    <row r="2887" spans="1:14" x14ac:dyDescent="0.3">
      <c r="A2887" s="2" t="s">
        <v>2953</v>
      </c>
      <c r="B2887" s="6">
        <v>45907</v>
      </c>
      <c r="C2887" s="2" t="s">
        <v>44</v>
      </c>
      <c r="D2887" s="2" t="s">
        <v>35</v>
      </c>
      <c r="E2887" s="2">
        <v>3</v>
      </c>
      <c r="F2887" s="7">
        <v>179</v>
      </c>
      <c r="G2887" s="8">
        <v>0</v>
      </c>
      <c r="H2887" s="9" t="str">
        <f>INDEX(Products!$B$2:$B$37, MATCH(D2887, Products!$A$2:$A$37, 0))</f>
        <v>Men's Linen Shirt</v>
      </c>
      <c r="I2887" t="str">
        <f>INDEX(Products!$C$2:$C$37, MATCH(D2887, Products!$A$2:$A$37, 0))</f>
        <v>Fashion</v>
      </c>
      <c r="J2887">
        <f>INDEX(Products!$E$2:$E$37, MATCH(D2887, Products!$A$2:$A$37, 0))</f>
        <v>70</v>
      </c>
      <c r="K2887" s="9">
        <f t="shared" si="180"/>
        <v>537</v>
      </c>
      <c r="L2887">
        <f t="shared" si="181"/>
        <v>210</v>
      </c>
      <c r="M2887" s="9">
        <f t="shared" si="182"/>
        <v>327</v>
      </c>
      <c r="N2887" t="str">
        <f t="shared" si="183"/>
        <v>Sep</v>
      </c>
    </row>
    <row r="2888" spans="1:14" x14ac:dyDescent="0.3">
      <c r="A2888" s="2" t="s">
        <v>2954</v>
      </c>
      <c r="B2888" s="6">
        <v>45907</v>
      </c>
      <c r="C2888" s="2" t="s">
        <v>44</v>
      </c>
      <c r="D2888" s="2" t="s">
        <v>56</v>
      </c>
      <c r="E2888" s="2">
        <v>1</v>
      </c>
      <c r="F2888" s="7">
        <v>289</v>
      </c>
      <c r="G2888" s="8">
        <v>0</v>
      </c>
      <c r="H2888" s="9" t="str">
        <f>INDEX(Products!$B$2:$B$37, MATCH(D2888, Products!$A$2:$A$37, 0))</f>
        <v>Ceramic Dinner Set</v>
      </c>
      <c r="I2888" t="str">
        <f>INDEX(Products!$C$2:$C$37, MATCH(D2888, Products!$A$2:$A$37, 0))</f>
        <v>Home &amp; Kitchen</v>
      </c>
      <c r="J2888">
        <f>INDEX(Products!$E$2:$E$37, MATCH(D2888, Products!$A$2:$A$37, 0))</f>
        <v>140</v>
      </c>
      <c r="K2888" s="9">
        <f t="shared" si="180"/>
        <v>289</v>
      </c>
      <c r="L2888">
        <f t="shared" si="181"/>
        <v>140</v>
      </c>
      <c r="M2888" s="9">
        <f t="shared" si="182"/>
        <v>149</v>
      </c>
      <c r="N2888" t="str">
        <f t="shared" si="183"/>
        <v>Sep</v>
      </c>
    </row>
    <row r="2889" spans="1:14" x14ac:dyDescent="0.3">
      <c r="A2889" s="2" t="s">
        <v>2955</v>
      </c>
      <c r="B2889" s="6">
        <v>45907</v>
      </c>
      <c r="C2889" s="2" t="s">
        <v>28</v>
      </c>
      <c r="D2889" s="2" t="s">
        <v>92</v>
      </c>
      <c r="E2889" s="2">
        <v>3</v>
      </c>
      <c r="F2889" s="7">
        <v>349</v>
      </c>
      <c r="G2889" s="8">
        <v>0.15</v>
      </c>
      <c r="H2889" s="9" t="str">
        <f>INDEX(Products!$B$2:$B$37, MATCH(D2889, Products!$A$2:$A$37, 0))</f>
        <v>Non-stick Cookware Set</v>
      </c>
      <c r="I2889" t="str">
        <f>INDEX(Products!$C$2:$C$37, MATCH(D2889, Products!$A$2:$A$37, 0))</f>
        <v>Home &amp; Kitchen</v>
      </c>
      <c r="J2889">
        <f>INDEX(Products!$E$2:$E$37, MATCH(D2889, Products!$A$2:$A$37, 0))</f>
        <v>170</v>
      </c>
      <c r="K2889" s="9">
        <f t="shared" si="180"/>
        <v>889.94999999999993</v>
      </c>
      <c r="L2889">
        <f t="shared" si="181"/>
        <v>510</v>
      </c>
      <c r="M2889" s="9">
        <f t="shared" si="182"/>
        <v>379.94999999999993</v>
      </c>
      <c r="N2889" t="str">
        <f t="shared" si="183"/>
        <v>Sep</v>
      </c>
    </row>
    <row r="2890" spans="1:14" x14ac:dyDescent="0.3">
      <c r="A2890" s="2" t="s">
        <v>2956</v>
      </c>
      <c r="B2890" s="6">
        <v>45907</v>
      </c>
      <c r="C2890" s="2" t="s">
        <v>41</v>
      </c>
      <c r="D2890" s="2" t="s">
        <v>33</v>
      </c>
      <c r="E2890" s="2">
        <v>2</v>
      </c>
      <c r="F2890" s="7">
        <v>199</v>
      </c>
      <c r="G2890" s="8">
        <v>0.2</v>
      </c>
      <c r="H2890" s="9" t="str">
        <f>INDEX(Products!$B$2:$B$37, MATCH(D2890, Products!$A$2:$A$37, 0))</f>
        <v>Fitness Band Lite</v>
      </c>
      <c r="I2890" t="str">
        <f>INDEX(Products!$C$2:$C$37, MATCH(D2890, Products!$A$2:$A$37, 0))</f>
        <v>Electronics</v>
      </c>
      <c r="J2890">
        <f>INDEX(Products!$E$2:$E$37, MATCH(D2890, Products!$A$2:$A$37, 0))</f>
        <v>175</v>
      </c>
      <c r="K2890" s="9">
        <f t="shared" si="180"/>
        <v>318.40000000000003</v>
      </c>
      <c r="L2890">
        <f t="shared" si="181"/>
        <v>350</v>
      </c>
      <c r="M2890" s="9">
        <f t="shared" si="182"/>
        <v>-31.599999999999966</v>
      </c>
      <c r="N2890" t="str">
        <f t="shared" si="183"/>
        <v>Sep</v>
      </c>
    </row>
    <row r="2891" spans="1:14" x14ac:dyDescent="0.3">
      <c r="A2891" s="2" t="s">
        <v>2957</v>
      </c>
      <c r="B2891" s="6">
        <v>45907</v>
      </c>
      <c r="C2891" s="2" t="s">
        <v>28</v>
      </c>
      <c r="D2891" s="2" t="s">
        <v>35</v>
      </c>
      <c r="E2891" s="2">
        <v>1</v>
      </c>
      <c r="F2891" s="7">
        <v>179</v>
      </c>
      <c r="G2891" s="8">
        <v>0.05</v>
      </c>
      <c r="H2891" s="9" t="str">
        <f>INDEX(Products!$B$2:$B$37, MATCH(D2891, Products!$A$2:$A$37, 0))</f>
        <v>Men's Linen Shirt</v>
      </c>
      <c r="I2891" t="str">
        <f>INDEX(Products!$C$2:$C$37, MATCH(D2891, Products!$A$2:$A$37, 0))</f>
        <v>Fashion</v>
      </c>
      <c r="J2891">
        <f>INDEX(Products!$E$2:$E$37, MATCH(D2891, Products!$A$2:$A$37, 0))</f>
        <v>70</v>
      </c>
      <c r="K2891" s="9">
        <f t="shared" si="180"/>
        <v>170.04999999999998</v>
      </c>
      <c r="L2891">
        <f t="shared" si="181"/>
        <v>70</v>
      </c>
      <c r="M2891" s="9">
        <f t="shared" si="182"/>
        <v>100.04999999999998</v>
      </c>
      <c r="N2891" t="str">
        <f t="shared" si="183"/>
        <v>Sep</v>
      </c>
    </row>
    <row r="2892" spans="1:14" x14ac:dyDescent="0.3">
      <c r="A2892" s="2" t="s">
        <v>2958</v>
      </c>
      <c r="B2892" s="6">
        <v>45907</v>
      </c>
      <c r="C2892" s="2" t="s">
        <v>41</v>
      </c>
      <c r="D2892" s="2" t="s">
        <v>56</v>
      </c>
      <c r="E2892" s="2">
        <v>1</v>
      </c>
      <c r="F2892" s="7">
        <v>289</v>
      </c>
      <c r="G2892" s="8">
        <v>0.3</v>
      </c>
      <c r="H2892" s="9" t="str">
        <f>INDEX(Products!$B$2:$B$37, MATCH(D2892, Products!$A$2:$A$37, 0))</f>
        <v>Ceramic Dinner Set</v>
      </c>
      <c r="I2892" t="str">
        <f>INDEX(Products!$C$2:$C$37, MATCH(D2892, Products!$A$2:$A$37, 0))</f>
        <v>Home &amp; Kitchen</v>
      </c>
      <c r="J2892">
        <f>INDEX(Products!$E$2:$E$37, MATCH(D2892, Products!$A$2:$A$37, 0))</f>
        <v>140</v>
      </c>
      <c r="K2892" s="9">
        <f t="shared" si="180"/>
        <v>202.29999999999998</v>
      </c>
      <c r="L2892">
        <f t="shared" si="181"/>
        <v>140</v>
      </c>
      <c r="M2892" s="9">
        <f t="shared" si="182"/>
        <v>62.299999999999983</v>
      </c>
      <c r="N2892" t="str">
        <f t="shared" si="183"/>
        <v>Sep</v>
      </c>
    </row>
    <row r="2893" spans="1:14" x14ac:dyDescent="0.3">
      <c r="A2893" s="2" t="s">
        <v>2959</v>
      </c>
      <c r="B2893" s="6">
        <v>45907</v>
      </c>
      <c r="C2893" s="2" t="s">
        <v>41</v>
      </c>
      <c r="D2893" s="2" t="s">
        <v>49</v>
      </c>
      <c r="E2893" s="2">
        <v>2</v>
      </c>
      <c r="F2893" s="7">
        <v>149</v>
      </c>
      <c r="G2893" s="8">
        <v>0</v>
      </c>
      <c r="H2893" s="9" t="str">
        <f>INDEX(Products!$B$2:$B$37, MATCH(D2893, Products!$A$2:$A$37, 0))</f>
        <v>Kids' Sneakers</v>
      </c>
      <c r="I2893" t="str">
        <f>INDEX(Products!$C$2:$C$37, MATCH(D2893, Products!$A$2:$A$37, 0))</f>
        <v>Fashion</v>
      </c>
      <c r="J2893">
        <f>INDEX(Products!$E$2:$E$37, MATCH(D2893, Products!$A$2:$A$37, 0))</f>
        <v>80</v>
      </c>
      <c r="K2893" s="9">
        <f t="shared" si="180"/>
        <v>298</v>
      </c>
      <c r="L2893">
        <f t="shared" si="181"/>
        <v>160</v>
      </c>
      <c r="M2893" s="9">
        <f t="shared" si="182"/>
        <v>138</v>
      </c>
      <c r="N2893" t="str">
        <f t="shared" si="183"/>
        <v>Sep</v>
      </c>
    </row>
    <row r="2894" spans="1:14" x14ac:dyDescent="0.3">
      <c r="A2894" s="2" t="s">
        <v>2960</v>
      </c>
      <c r="B2894" s="6">
        <v>45907</v>
      </c>
      <c r="C2894" s="2" t="s">
        <v>44</v>
      </c>
      <c r="D2894" s="2" t="s">
        <v>131</v>
      </c>
      <c r="E2894" s="2">
        <v>1</v>
      </c>
      <c r="F2894" s="7">
        <v>899</v>
      </c>
      <c r="G2894" s="8">
        <v>0.2</v>
      </c>
      <c r="H2894" s="9" t="str">
        <f>INDEX(Products!$B$2:$B$37, MATCH(D2894, Products!$A$2:$A$37, 0))</f>
        <v>4K Action Camera</v>
      </c>
      <c r="I2894" t="str">
        <f>INDEX(Products!$C$2:$C$37, MATCH(D2894, Products!$A$2:$A$37, 0))</f>
        <v>Electronics</v>
      </c>
      <c r="J2894">
        <f>INDEX(Products!$E$2:$E$37, MATCH(D2894, Products!$A$2:$A$37, 0))</f>
        <v>610</v>
      </c>
      <c r="K2894" s="9">
        <f t="shared" si="180"/>
        <v>719.2</v>
      </c>
      <c r="L2894">
        <f t="shared" si="181"/>
        <v>610</v>
      </c>
      <c r="M2894" s="9">
        <f t="shared" si="182"/>
        <v>109.20000000000005</v>
      </c>
      <c r="N2894" t="str">
        <f t="shared" si="183"/>
        <v>Sep</v>
      </c>
    </row>
    <row r="2895" spans="1:14" x14ac:dyDescent="0.3">
      <c r="A2895" s="2" t="s">
        <v>2961</v>
      </c>
      <c r="B2895" s="6">
        <v>45907</v>
      </c>
      <c r="C2895" s="2" t="s">
        <v>41</v>
      </c>
      <c r="D2895" s="2" t="s">
        <v>60</v>
      </c>
      <c r="E2895" s="2">
        <v>4</v>
      </c>
      <c r="F2895" s="7">
        <v>99</v>
      </c>
      <c r="G2895" s="8">
        <v>0</v>
      </c>
      <c r="H2895" s="9" t="str">
        <f>INDEX(Products!$B$2:$B$37, MATCH(D2895, Products!$A$2:$A$37, 0))</f>
        <v>Football Size 5</v>
      </c>
      <c r="I2895" t="str">
        <f>INDEX(Products!$C$2:$C$37, MATCH(D2895, Products!$A$2:$A$37, 0))</f>
        <v>Sports</v>
      </c>
      <c r="J2895">
        <f>INDEX(Products!$E$2:$E$37, MATCH(D2895, Products!$A$2:$A$37, 0))</f>
        <v>45</v>
      </c>
      <c r="K2895" s="9">
        <f t="shared" si="180"/>
        <v>396</v>
      </c>
      <c r="L2895">
        <f t="shared" si="181"/>
        <v>180</v>
      </c>
      <c r="M2895" s="9">
        <f t="shared" si="182"/>
        <v>216</v>
      </c>
      <c r="N2895" t="str">
        <f t="shared" si="183"/>
        <v>Sep</v>
      </c>
    </row>
    <row r="2896" spans="1:14" x14ac:dyDescent="0.3">
      <c r="A2896" s="2" t="s">
        <v>2962</v>
      </c>
      <c r="B2896" s="6">
        <v>45907</v>
      </c>
      <c r="C2896" s="2" t="s">
        <v>41</v>
      </c>
      <c r="D2896" s="2" t="s">
        <v>29</v>
      </c>
      <c r="E2896" s="2">
        <v>2</v>
      </c>
      <c r="F2896" s="7">
        <v>229</v>
      </c>
      <c r="G2896" s="8">
        <v>0.2</v>
      </c>
      <c r="H2896" s="9" t="str">
        <f>INDEX(Products!$B$2:$B$37, MATCH(D2896, Products!$A$2:$A$37, 0))</f>
        <v>Women's Summer Dress</v>
      </c>
      <c r="I2896" t="str">
        <f>INDEX(Products!$C$2:$C$37, MATCH(D2896, Products!$A$2:$A$37, 0))</f>
        <v>Fashion</v>
      </c>
      <c r="J2896">
        <f>INDEX(Products!$E$2:$E$37, MATCH(D2896, Products!$A$2:$A$37, 0))</f>
        <v>120</v>
      </c>
      <c r="K2896" s="9">
        <f t="shared" si="180"/>
        <v>366.40000000000003</v>
      </c>
      <c r="L2896">
        <f t="shared" si="181"/>
        <v>240</v>
      </c>
      <c r="M2896" s="9">
        <f t="shared" si="182"/>
        <v>126.40000000000003</v>
      </c>
      <c r="N2896" t="str">
        <f t="shared" si="183"/>
        <v>Sep</v>
      </c>
    </row>
    <row r="2897" spans="1:14" x14ac:dyDescent="0.3">
      <c r="A2897" s="2" t="s">
        <v>2963</v>
      </c>
      <c r="B2897" s="6">
        <v>45907</v>
      </c>
      <c r="C2897" s="2" t="s">
        <v>28</v>
      </c>
      <c r="D2897" s="2" t="s">
        <v>42</v>
      </c>
      <c r="E2897" s="2">
        <v>2</v>
      </c>
      <c r="F2897" s="7">
        <v>399</v>
      </c>
      <c r="G2897" s="8">
        <v>0</v>
      </c>
      <c r="H2897" s="9" t="str">
        <f>INDEX(Products!$B$2:$B$37, MATCH(D2897, Products!$A$2:$A$37, 0))</f>
        <v>Wireless Earbuds Pro</v>
      </c>
      <c r="I2897" t="str">
        <f>INDEX(Products!$C$2:$C$37, MATCH(D2897, Products!$A$2:$A$37, 0))</f>
        <v>Electronics</v>
      </c>
      <c r="J2897">
        <f>INDEX(Products!$E$2:$E$37, MATCH(D2897, Products!$A$2:$A$37, 0))</f>
        <v>230</v>
      </c>
      <c r="K2897" s="9">
        <f t="shared" si="180"/>
        <v>798</v>
      </c>
      <c r="L2897">
        <f t="shared" si="181"/>
        <v>460</v>
      </c>
      <c r="M2897" s="9">
        <f t="shared" si="182"/>
        <v>338</v>
      </c>
      <c r="N2897" t="str">
        <f t="shared" si="183"/>
        <v>Sep</v>
      </c>
    </row>
    <row r="2898" spans="1:14" x14ac:dyDescent="0.3">
      <c r="A2898" s="2" t="s">
        <v>2964</v>
      </c>
      <c r="B2898" s="6">
        <v>45907</v>
      </c>
      <c r="C2898" s="2" t="s">
        <v>41</v>
      </c>
      <c r="D2898" s="2" t="s">
        <v>126</v>
      </c>
      <c r="E2898" s="2">
        <v>3</v>
      </c>
      <c r="F2898" s="7">
        <v>89</v>
      </c>
      <c r="G2898" s="8">
        <v>0.05</v>
      </c>
      <c r="H2898" s="9" t="str">
        <f>INDEX(Products!$B$2:$B$37, MATCH(D2898, Products!$A$2:$A$37, 0))</f>
        <v>USB-C Fast Charger</v>
      </c>
      <c r="I2898" t="str">
        <f>INDEX(Products!$C$2:$C$37, MATCH(D2898, Products!$A$2:$A$37, 0))</f>
        <v>Electronics</v>
      </c>
      <c r="J2898">
        <f>INDEX(Products!$E$2:$E$37, MATCH(D2898, Products!$A$2:$A$37, 0))</f>
        <v>35</v>
      </c>
      <c r="K2898" s="9">
        <f t="shared" si="180"/>
        <v>253.64999999999998</v>
      </c>
      <c r="L2898">
        <f t="shared" si="181"/>
        <v>105</v>
      </c>
      <c r="M2898" s="9">
        <f t="shared" si="182"/>
        <v>148.64999999999998</v>
      </c>
      <c r="N2898" t="str">
        <f t="shared" si="183"/>
        <v>Sep</v>
      </c>
    </row>
    <row r="2899" spans="1:14" x14ac:dyDescent="0.3">
      <c r="A2899" s="2" t="s">
        <v>2965</v>
      </c>
      <c r="B2899" s="6">
        <v>45908</v>
      </c>
      <c r="C2899" s="2" t="s">
        <v>41</v>
      </c>
      <c r="D2899" s="2" t="s">
        <v>126</v>
      </c>
      <c r="E2899" s="2">
        <v>1</v>
      </c>
      <c r="F2899" s="7">
        <v>89</v>
      </c>
      <c r="G2899" s="8">
        <v>0</v>
      </c>
      <c r="H2899" s="9" t="str">
        <f>INDEX(Products!$B$2:$B$37, MATCH(D2899, Products!$A$2:$A$37, 0))</f>
        <v>USB-C Fast Charger</v>
      </c>
      <c r="I2899" t="str">
        <f>INDEX(Products!$C$2:$C$37, MATCH(D2899, Products!$A$2:$A$37, 0))</f>
        <v>Electronics</v>
      </c>
      <c r="J2899">
        <f>INDEX(Products!$E$2:$E$37, MATCH(D2899, Products!$A$2:$A$37, 0))</f>
        <v>35</v>
      </c>
      <c r="K2899" s="9">
        <f t="shared" si="180"/>
        <v>89</v>
      </c>
      <c r="L2899">
        <f t="shared" si="181"/>
        <v>35</v>
      </c>
      <c r="M2899" s="9">
        <f t="shared" si="182"/>
        <v>54</v>
      </c>
      <c r="N2899" t="str">
        <f t="shared" si="183"/>
        <v>Sep</v>
      </c>
    </row>
    <row r="2900" spans="1:14" x14ac:dyDescent="0.3">
      <c r="A2900" s="2" t="s">
        <v>2966</v>
      </c>
      <c r="B2900" s="6">
        <v>45908</v>
      </c>
      <c r="C2900" s="2" t="s">
        <v>31</v>
      </c>
      <c r="D2900" s="2" t="s">
        <v>33</v>
      </c>
      <c r="E2900" s="2">
        <v>2</v>
      </c>
      <c r="F2900" s="7">
        <v>199</v>
      </c>
      <c r="G2900" s="8">
        <v>0.15</v>
      </c>
      <c r="H2900" s="9" t="str">
        <f>INDEX(Products!$B$2:$B$37, MATCH(D2900, Products!$A$2:$A$37, 0))</f>
        <v>Fitness Band Lite</v>
      </c>
      <c r="I2900" t="str">
        <f>INDEX(Products!$C$2:$C$37, MATCH(D2900, Products!$A$2:$A$37, 0))</f>
        <v>Electronics</v>
      </c>
      <c r="J2900">
        <f>INDEX(Products!$E$2:$E$37, MATCH(D2900, Products!$A$2:$A$37, 0))</f>
        <v>175</v>
      </c>
      <c r="K2900" s="9">
        <f t="shared" si="180"/>
        <v>338.3</v>
      </c>
      <c r="L2900">
        <f t="shared" si="181"/>
        <v>350</v>
      </c>
      <c r="M2900" s="9">
        <f t="shared" si="182"/>
        <v>-11.699999999999989</v>
      </c>
      <c r="N2900" t="str">
        <f t="shared" si="183"/>
        <v>Sep</v>
      </c>
    </row>
    <row r="2901" spans="1:14" x14ac:dyDescent="0.3">
      <c r="A2901" s="2" t="s">
        <v>2967</v>
      </c>
      <c r="B2901" s="6">
        <v>45908</v>
      </c>
      <c r="C2901" s="2" t="s">
        <v>28</v>
      </c>
      <c r="D2901" s="2" t="s">
        <v>106</v>
      </c>
      <c r="E2901" s="2">
        <v>1</v>
      </c>
      <c r="F2901" s="7">
        <v>1299</v>
      </c>
      <c r="G2901" s="8">
        <v>0.15</v>
      </c>
      <c r="H2901" s="9" t="str">
        <f>INDEX(Products!$B$2:$B$37, MATCH(D2901, Products!$A$2:$A$37, 0))</f>
        <v>Smart Watch Series 5</v>
      </c>
      <c r="I2901" t="str">
        <f>INDEX(Products!$C$2:$C$37, MATCH(D2901, Products!$A$2:$A$37, 0))</f>
        <v>Electronics</v>
      </c>
      <c r="J2901">
        <f>INDEX(Products!$E$2:$E$37, MATCH(D2901, Products!$A$2:$A$37, 0))</f>
        <v>820</v>
      </c>
      <c r="K2901" s="9">
        <f t="shared" si="180"/>
        <v>1104.1499999999999</v>
      </c>
      <c r="L2901">
        <f t="shared" si="181"/>
        <v>820</v>
      </c>
      <c r="M2901" s="9">
        <f t="shared" si="182"/>
        <v>284.14999999999986</v>
      </c>
      <c r="N2901" t="str">
        <f t="shared" si="183"/>
        <v>Sep</v>
      </c>
    </row>
    <row r="2902" spans="1:14" x14ac:dyDescent="0.3">
      <c r="A2902" s="2" t="s">
        <v>2968</v>
      </c>
      <c r="B2902" s="6">
        <v>45908</v>
      </c>
      <c r="C2902" s="2" t="s">
        <v>44</v>
      </c>
      <c r="D2902" s="2" t="s">
        <v>58</v>
      </c>
      <c r="E2902" s="2">
        <v>2</v>
      </c>
      <c r="F2902" s="7">
        <v>459</v>
      </c>
      <c r="G2902" s="8">
        <v>0.1</v>
      </c>
      <c r="H2902" s="9" t="str">
        <f>INDEX(Products!$B$2:$B$37, MATCH(D2902, Products!$A$2:$A$37, 0))</f>
        <v>Women's Abaya Classic</v>
      </c>
      <c r="I2902" t="str">
        <f>INDEX(Products!$C$2:$C$37, MATCH(D2902, Products!$A$2:$A$37, 0))</f>
        <v>Fashion</v>
      </c>
      <c r="J2902">
        <f>INDEX(Products!$E$2:$E$37, MATCH(D2902, Products!$A$2:$A$37, 0))</f>
        <v>190</v>
      </c>
      <c r="K2902" s="9">
        <f t="shared" si="180"/>
        <v>826.2</v>
      </c>
      <c r="L2902">
        <f t="shared" si="181"/>
        <v>380</v>
      </c>
      <c r="M2902" s="9">
        <f t="shared" si="182"/>
        <v>446.20000000000005</v>
      </c>
      <c r="N2902" t="str">
        <f t="shared" si="183"/>
        <v>Sep</v>
      </c>
    </row>
    <row r="2903" spans="1:14" x14ac:dyDescent="0.3">
      <c r="A2903" s="2" t="s">
        <v>2969</v>
      </c>
      <c r="B2903" s="6">
        <v>45908</v>
      </c>
      <c r="C2903" s="2" t="s">
        <v>44</v>
      </c>
      <c r="D2903" s="2" t="s">
        <v>89</v>
      </c>
      <c r="E2903" s="2">
        <v>2</v>
      </c>
      <c r="F2903" s="7">
        <v>399</v>
      </c>
      <c r="G2903" s="8">
        <v>0</v>
      </c>
      <c r="H2903" s="9" t="str">
        <f>INDEX(Products!$B$2:$B$37, MATCH(D2903, Products!$A$2:$A$37, 0))</f>
        <v>Men's Kandura Premium</v>
      </c>
      <c r="I2903" t="str">
        <f>INDEX(Products!$C$2:$C$37, MATCH(D2903, Products!$A$2:$A$37, 0))</f>
        <v>Fashion</v>
      </c>
      <c r="J2903">
        <f>INDEX(Products!$E$2:$E$37, MATCH(D2903, Products!$A$2:$A$37, 0))</f>
        <v>210</v>
      </c>
      <c r="K2903" s="9">
        <f t="shared" si="180"/>
        <v>798</v>
      </c>
      <c r="L2903">
        <f t="shared" si="181"/>
        <v>420</v>
      </c>
      <c r="M2903" s="9">
        <f t="shared" si="182"/>
        <v>378</v>
      </c>
      <c r="N2903" t="str">
        <f t="shared" si="183"/>
        <v>Sep</v>
      </c>
    </row>
    <row r="2904" spans="1:14" x14ac:dyDescent="0.3">
      <c r="A2904" s="2" t="s">
        <v>2970</v>
      </c>
      <c r="B2904" s="6">
        <v>45908</v>
      </c>
      <c r="C2904" s="2" t="s">
        <v>41</v>
      </c>
      <c r="D2904" s="2" t="s">
        <v>37</v>
      </c>
      <c r="E2904" s="2">
        <v>2</v>
      </c>
      <c r="F2904" s="7">
        <v>249</v>
      </c>
      <c r="G2904" s="8">
        <v>0.05</v>
      </c>
      <c r="H2904" s="9" t="str">
        <f>INDEX(Products!$B$2:$B$37, MATCH(D2904, Products!$A$2:$A$37, 0))</f>
        <v>Sunglasses Polarised</v>
      </c>
      <c r="I2904" t="str">
        <f>INDEX(Products!$C$2:$C$37, MATCH(D2904, Products!$A$2:$A$37, 0))</f>
        <v>Fashion</v>
      </c>
      <c r="J2904">
        <f>INDEX(Products!$E$2:$E$37, MATCH(D2904, Products!$A$2:$A$37, 0))</f>
        <v>95</v>
      </c>
      <c r="K2904" s="9">
        <f t="shared" si="180"/>
        <v>473.09999999999997</v>
      </c>
      <c r="L2904">
        <f t="shared" si="181"/>
        <v>190</v>
      </c>
      <c r="M2904" s="9">
        <f t="shared" si="182"/>
        <v>283.09999999999997</v>
      </c>
      <c r="N2904" t="str">
        <f t="shared" si="183"/>
        <v>Sep</v>
      </c>
    </row>
    <row r="2905" spans="1:14" x14ac:dyDescent="0.3">
      <c r="A2905" s="2" t="s">
        <v>2971</v>
      </c>
      <c r="B2905" s="6">
        <v>45908</v>
      </c>
      <c r="C2905" s="2" t="s">
        <v>41</v>
      </c>
      <c r="D2905" s="2" t="s">
        <v>126</v>
      </c>
      <c r="E2905" s="2">
        <v>4</v>
      </c>
      <c r="F2905" s="7">
        <v>89</v>
      </c>
      <c r="G2905" s="8">
        <v>0</v>
      </c>
      <c r="H2905" s="9" t="str">
        <f>INDEX(Products!$B$2:$B$37, MATCH(D2905, Products!$A$2:$A$37, 0))</f>
        <v>USB-C Fast Charger</v>
      </c>
      <c r="I2905" t="str">
        <f>INDEX(Products!$C$2:$C$37, MATCH(D2905, Products!$A$2:$A$37, 0))</f>
        <v>Electronics</v>
      </c>
      <c r="J2905">
        <f>INDEX(Products!$E$2:$E$37, MATCH(D2905, Products!$A$2:$A$37, 0))</f>
        <v>35</v>
      </c>
      <c r="K2905" s="9">
        <f t="shared" si="180"/>
        <v>356</v>
      </c>
      <c r="L2905">
        <f t="shared" si="181"/>
        <v>140</v>
      </c>
      <c r="M2905" s="9">
        <f t="shared" si="182"/>
        <v>216</v>
      </c>
      <c r="N2905" t="str">
        <f t="shared" si="183"/>
        <v>Sep</v>
      </c>
    </row>
    <row r="2906" spans="1:14" x14ac:dyDescent="0.3">
      <c r="A2906" s="2" t="s">
        <v>2972</v>
      </c>
      <c r="B2906" s="6">
        <v>45908</v>
      </c>
      <c r="C2906" s="2" t="s">
        <v>44</v>
      </c>
      <c r="D2906" s="2" t="s">
        <v>99</v>
      </c>
      <c r="E2906" s="2">
        <v>1</v>
      </c>
      <c r="F2906" s="7">
        <v>459</v>
      </c>
      <c r="G2906" s="8">
        <v>0.15</v>
      </c>
      <c r="H2906" s="9" t="str">
        <f>INDEX(Products!$B$2:$B$37, MATCH(D2906, Products!$A$2:$A$37, 0))</f>
        <v>Gaming Headset X</v>
      </c>
      <c r="I2906" t="str">
        <f>INDEX(Products!$C$2:$C$37, MATCH(D2906, Products!$A$2:$A$37, 0))</f>
        <v>Electronics</v>
      </c>
      <c r="J2906">
        <f>INDEX(Products!$E$2:$E$37, MATCH(D2906, Products!$A$2:$A$37, 0))</f>
        <v>300</v>
      </c>
      <c r="K2906" s="9">
        <f t="shared" si="180"/>
        <v>390.15</v>
      </c>
      <c r="L2906">
        <f t="shared" si="181"/>
        <v>300</v>
      </c>
      <c r="M2906" s="9">
        <f t="shared" si="182"/>
        <v>90.149999999999977</v>
      </c>
      <c r="N2906" t="str">
        <f t="shared" si="183"/>
        <v>Sep</v>
      </c>
    </row>
    <row r="2907" spans="1:14" x14ac:dyDescent="0.3">
      <c r="A2907" s="2" t="s">
        <v>2973</v>
      </c>
      <c r="B2907" s="6">
        <v>45908</v>
      </c>
      <c r="C2907" s="2" t="s">
        <v>44</v>
      </c>
      <c r="D2907" s="2" t="s">
        <v>65</v>
      </c>
      <c r="E2907" s="2">
        <v>2</v>
      </c>
      <c r="F2907" s="7">
        <v>129</v>
      </c>
      <c r="G2907" s="8">
        <v>0.15</v>
      </c>
      <c r="H2907" s="9" t="str">
        <f>INDEX(Products!$B$2:$B$37, MATCH(D2907, Products!$A$2:$A$37, 0))</f>
        <v>Yoga Mat Premium</v>
      </c>
      <c r="I2907" t="str">
        <f>INDEX(Products!$C$2:$C$37, MATCH(D2907, Products!$A$2:$A$37, 0))</f>
        <v>Sports</v>
      </c>
      <c r="J2907">
        <f>INDEX(Products!$E$2:$E$37, MATCH(D2907, Products!$A$2:$A$37, 0))</f>
        <v>60</v>
      </c>
      <c r="K2907" s="9">
        <f t="shared" si="180"/>
        <v>219.29999999999998</v>
      </c>
      <c r="L2907">
        <f t="shared" si="181"/>
        <v>120</v>
      </c>
      <c r="M2907" s="9">
        <f t="shared" si="182"/>
        <v>99.299999999999983</v>
      </c>
      <c r="N2907" t="str">
        <f t="shared" si="183"/>
        <v>Sep</v>
      </c>
    </row>
    <row r="2908" spans="1:14" x14ac:dyDescent="0.3">
      <c r="A2908" s="2" t="s">
        <v>2974</v>
      </c>
      <c r="B2908" s="6">
        <v>45908</v>
      </c>
      <c r="C2908" s="2" t="s">
        <v>28</v>
      </c>
      <c r="D2908" s="2" t="s">
        <v>52</v>
      </c>
      <c r="E2908" s="2">
        <v>3</v>
      </c>
      <c r="F2908" s="7">
        <v>299</v>
      </c>
      <c r="G2908" s="8">
        <v>0.2</v>
      </c>
      <c r="H2908" s="9" t="str">
        <f>INDEX(Products!$B$2:$B$37, MATCH(D2908, Products!$A$2:$A$37, 0))</f>
        <v>Hair Dryer Ionic</v>
      </c>
      <c r="I2908" t="str">
        <f>INDEX(Products!$C$2:$C$37, MATCH(D2908, Products!$A$2:$A$37, 0))</f>
        <v>Beauty</v>
      </c>
      <c r="J2908">
        <f>INDEX(Products!$E$2:$E$37, MATCH(D2908, Products!$A$2:$A$37, 0))</f>
        <v>240</v>
      </c>
      <c r="K2908" s="9">
        <f t="shared" si="180"/>
        <v>717.6</v>
      </c>
      <c r="L2908">
        <f t="shared" si="181"/>
        <v>720</v>
      </c>
      <c r="M2908" s="9">
        <f t="shared" si="182"/>
        <v>-2.3999999999999773</v>
      </c>
      <c r="N2908" t="str">
        <f t="shared" si="183"/>
        <v>Sep</v>
      </c>
    </row>
    <row r="2909" spans="1:14" x14ac:dyDescent="0.3">
      <c r="A2909" s="2" t="s">
        <v>2975</v>
      </c>
      <c r="B2909" s="6">
        <v>45909</v>
      </c>
      <c r="C2909" s="2" t="s">
        <v>44</v>
      </c>
      <c r="D2909" s="2" t="s">
        <v>33</v>
      </c>
      <c r="E2909" s="2">
        <v>3</v>
      </c>
      <c r="F2909" s="7">
        <v>199</v>
      </c>
      <c r="G2909" s="8">
        <v>0.1</v>
      </c>
      <c r="H2909" s="9" t="str">
        <f>INDEX(Products!$B$2:$B$37, MATCH(D2909, Products!$A$2:$A$37, 0))</f>
        <v>Fitness Band Lite</v>
      </c>
      <c r="I2909" t="str">
        <f>INDEX(Products!$C$2:$C$37, MATCH(D2909, Products!$A$2:$A$37, 0))</f>
        <v>Electronics</v>
      </c>
      <c r="J2909">
        <f>INDEX(Products!$E$2:$E$37, MATCH(D2909, Products!$A$2:$A$37, 0))</f>
        <v>175</v>
      </c>
      <c r="K2909" s="9">
        <f t="shared" si="180"/>
        <v>537.30000000000007</v>
      </c>
      <c r="L2909">
        <f t="shared" si="181"/>
        <v>525</v>
      </c>
      <c r="M2909" s="9">
        <f t="shared" si="182"/>
        <v>12.300000000000068</v>
      </c>
      <c r="N2909" t="str">
        <f t="shared" si="183"/>
        <v>Sep</v>
      </c>
    </row>
    <row r="2910" spans="1:14" x14ac:dyDescent="0.3">
      <c r="A2910" s="2" t="s">
        <v>2976</v>
      </c>
      <c r="B2910" s="6">
        <v>45909</v>
      </c>
      <c r="C2910" s="2" t="s">
        <v>41</v>
      </c>
      <c r="D2910" s="2" t="s">
        <v>99</v>
      </c>
      <c r="E2910" s="2">
        <v>3</v>
      </c>
      <c r="F2910" s="7">
        <v>459</v>
      </c>
      <c r="G2910" s="8">
        <v>0.2</v>
      </c>
      <c r="H2910" s="9" t="str">
        <f>INDEX(Products!$B$2:$B$37, MATCH(D2910, Products!$A$2:$A$37, 0))</f>
        <v>Gaming Headset X</v>
      </c>
      <c r="I2910" t="str">
        <f>INDEX(Products!$C$2:$C$37, MATCH(D2910, Products!$A$2:$A$37, 0))</f>
        <v>Electronics</v>
      </c>
      <c r="J2910">
        <f>INDEX(Products!$E$2:$E$37, MATCH(D2910, Products!$A$2:$A$37, 0))</f>
        <v>300</v>
      </c>
      <c r="K2910" s="9">
        <f t="shared" si="180"/>
        <v>1101.6000000000001</v>
      </c>
      <c r="L2910">
        <f t="shared" si="181"/>
        <v>900</v>
      </c>
      <c r="M2910" s="9">
        <f t="shared" si="182"/>
        <v>201.60000000000014</v>
      </c>
      <c r="N2910" t="str">
        <f t="shared" si="183"/>
        <v>Sep</v>
      </c>
    </row>
    <row r="2911" spans="1:14" x14ac:dyDescent="0.3">
      <c r="A2911" s="2" t="s">
        <v>2977</v>
      </c>
      <c r="B2911" s="6">
        <v>45909</v>
      </c>
      <c r="C2911" s="2" t="s">
        <v>44</v>
      </c>
      <c r="D2911" s="2" t="s">
        <v>70</v>
      </c>
      <c r="E2911" s="2">
        <v>1</v>
      </c>
      <c r="F2911" s="7">
        <v>429</v>
      </c>
      <c r="G2911" s="8">
        <v>0</v>
      </c>
      <c r="H2911" s="9" t="str">
        <f>INDEX(Products!$B$2:$B$37, MATCH(D2911, Products!$A$2:$A$37, 0))</f>
        <v>Running Shoes Elite</v>
      </c>
      <c r="I2911" t="str">
        <f>INDEX(Products!$C$2:$C$37, MATCH(D2911, Products!$A$2:$A$37, 0))</f>
        <v>Fashion</v>
      </c>
      <c r="J2911">
        <f>INDEX(Products!$E$2:$E$37, MATCH(D2911, Products!$A$2:$A$37, 0))</f>
        <v>300</v>
      </c>
      <c r="K2911" s="9">
        <f t="shared" si="180"/>
        <v>429</v>
      </c>
      <c r="L2911">
        <f t="shared" si="181"/>
        <v>300</v>
      </c>
      <c r="M2911" s="9">
        <f t="shared" si="182"/>
        <v>129</v>
      </c>
      <c r="N2911" t="str">
        <f t="shared" si="183"/>
        <v>Sep</v>
      </c>
    </row>
    <row r="2912" spans="1:14" x14ac:dyDescent="0.3">
      <c r="A2912" s="2" t="s">
        <v>2978</v>
      </c>
      <c r="B2912" s="6">
        <v>45909</v>
      </c>
      <c r="C2912" s="2" t="s">
        <v>31</v>
      </c>
      <c r="D2912" s="2" t="s">
        <v>37</v>
      </c>
      <c r="E2912" s="2">
        <v>1</v>
      </c>
      <c r="F2912" s="7">
        <v>249</v>
      </c>
      <c r="G2912" s="8">
        <v>0.2</v>
      </c>
      <c r="H2912" s="9" t="str">
        <f>INDEX(Products!$B$2:$B$37, MATCH(D2912, Products!$A$2:$A$37, 0))</f>
        <v>Sunglasses Polarised</v>
      </c>
      <c r="I2912" t="str">
        <f>INDEX(Products!$C$2:$C$37, MATCH(D2912, Products!$A$2:$A$37, 0))</f>
        <v>Fashion</v>
      </c>
      <c r="J2912">
        <f>INDEX(Products!$E$2:$E$37, MATCH(D2912, Products!$A$2:$A$37, 0))</f>
        <v>95</v>
      </c>
      <c r="K2912" s="9">
        <f t="shared" si="180"/>
        <v>199.20000000000002</v>
      </c>
      <c r="L2912">
        <f t="shared" si="181"/>
        <v>95</v>
      </c>
      <c r="M2912" s="9">
        <f t="shared" si="182"/>
        <v>104.20000000000002</v>
      </c>
      <c r="N2912" t="str">
        <f t="shared" si="183"/>
        <v>Sep</v>
      </c>
    </row>
    <row r="2913" spans="1:14" x14ac:dyDescent="0.3">
      <c r="A2913" s="2" t="s">
        <v>2979</v>
      </c>
      <c r="B2913" s="6">
        <v>45909</v>
      </c>
      <c r="C2913" s="2" t="s">
        <v>31</v>
      </c>
      <c r="D2913" s="2" t="s">
        <v>92</v>
      </c>
      <c r="E2913" s="2">
        <v>1</v>
      </c>
      <c r="F2913" s="7">
        <v>349</v>
      </c>
      <c r="G2913" s="8">
        <v>0</v>
      </c>
      <c r="H2913" s="9" t="str">
        <f>INDEX(Products!$B$2:$B$37, MATCH(D2913, Products!$A$2:$A$37, 0))</f>
        <v>Non-stick Cookware Set</v>
      </c>
      <c r="I2913" t="str">
        <f>INDEX(Products!$C$2:$C$37, MATCH(D2913, Products!$A$2:$A$37, 0))</f>
        <v>Home &amp; Kitchen</v>
      </c>
      <c r="J2913">
        <f>INDEX(Products!$E$2:$E$37, MATCH(D2913, Products!$A$2:$A$37, 0))</f>
        <v>170</v>
      </c>
      <c r="K2913" s="9">
        <f t="shared" si="180"/>
        <v>349</v>
      </c>
      <c r="L2913">
        <f t="shared" si="181"/>
        <v>170</v>
      </c>
      <c r="M2913" s="9">
        <f t="shared" si="182"/>
        <v>179</v>
      </c>
      <c r="N2913" t="str">
        <f t="shared" si="183"/>
        <v>Sep</v>
      </c>
    </row>
    <row r="2914" spans="1:14" x14ac:dyDescent="0.3">
      <c r="A2914" s="2" t="s">
        <v>2980</v>
      </c>
      <c r="B2914" s="6">
        <v>45909</v>
      </c>
      <c r="C2914" s="2" t="s">
        <v>48</v>
      </c>
      <c r="D2914" s="2" t="s">
        <v>52</v>
      </c>
      <c r="E2914" s="2">
        <v>2</v>
      </c>
      <c r="F2914" s="7">
        <v>299</v>
      </c>
      <c r="G2914" s="8">
        <v>0.1</v>
      </c>
      <c r="H2914" s="9" t="str">
        <f>INDEX(Products!$B$2:$B$37, MATCH(D2914, Products!$A$2:$A$37, 0))</f>
        <v>Hair Dryer Ionic</v>
      </c>
      <c r="I2914" t="str">
        <f>INDEX(Products!$C$2:$C$37, MATCH(D2914, Products!$A$2:$A$37, 0))</f>
        <v>Beauty</v>
      </c>
      <c r="J2914">
        <f>INDEX(Products!$E$2:$E$37, MATCH(D2914, Products!$A$2:$A$37, 0))</f>
        <v>240</v>
      </c>
      <c r="K2914" s="9">
        <f t="shared" si="180"/>
        <v>538.20000000000005</v>
      </c>
      <c r="L2914">
        <f t="shared" si="181"/>
        <v>480</v>
      </c>
      <c r="M2914" s="9">
        <f t="shared" si="182"/>
        <v>58.200000000000045</v>
      </c>
      <c r="N2914" t="str">
        <f t="shared" si="183"/>
        <v>Sep</v>
      </c>
    </row>
    <row r="2915" spans="1:14" x14ac:dyDescent="0.3">
      <c r="A2915" s="2" t="s">
        <v>2981</v>
      </c>
      <c r="B2915" s="6">
        <v>45909</v>
      </c>
      <c r="C2915" s="2" t="s">
        <v>31</v>
      </c>
      <c r="D2915" s="2" t="s">
        <v>33</v>
      </c>
      <c r="E2915" s="2">
        <v>2</v>
      </c>
      <c r="F2915" s="7">
        <v>199</v>
      </c>
      <c r="G2915" s="8">
        <v>0.15</v>
      </c>
      <c r="H2915" s="9" t="str">
        <f>INDEX(Products!$B$2:$B$37, MATCH(D2915, Products!$A$2:$A$37, 0))</f>
        <v>Fitness Band Lite</v>
      </c>
      <c r="I2915" t="str">
        <f>INDEX(Products!$C$2:$C$37, MATCH(D2915, Products!$A$2:$A$37, 0))</f>
        <v>Electronics</v>
      </c>
      <c r="J2915">
        <f>INDEX(Products!$E$2:$E$37, MATCH(D2915, Products!$A$2:$A$37, 0))</f>
        <v>175</v>
      </c>
      <c r="K2915" s="9">
        <f t="shared" si="180"/>
        <v>338.3</v>
      </c>
      <c r="L2915">
        <f t="shared" si="181"/>
        <v>350</v>
      </c>
      <c r="M2915" s="9">
        <f t="shared" si="182"/>
        <v>-11.699999999999989</v>
      </c>
      <c r="N2915" t="str">
        <f t="shared" si="183"/>
        <v>Sep</v>
      </c>
    </row>
    <row r="2916" spans="1:14" x14ac:dyDescent="0.3">
      <c r="A2916" s="2" t="s">
        <v>2982</v>
      </c>
      <c r="B2916" s="6">
        <v>45909</v>
      </c>
      <c r="C2916" s="2" t="s">
        <v>31</v>
      </c>
      <c r="D2916" s="2" t="s">
        <v>65</v>
      </c>
      <c r="E2916" s="2">
        <v>2</v>
      </c>
      <c r="F2916" s="7">
        <v>129</v>
      </c>
      <c r="G2916" s="8">
        <v>0.1</v>
      </c>
      <c r="H2916" s="9" t="str">
        <f>INDEX(Products!$B$2:$B$37, MATCH(D2916, Products!$A$2:$A$37, 0))</f>
        <v>Yoga Mat Premium</v>
      </c>
      <c r="I2916" t="str">
        <f>INDEX(Products!$C$2:$C$37, MATCH(D2916, Products!$A$2:$A$37, 0))</f>
        <v>Sports</v>
      </c>
      <c r="J2916">
        <f>INDEX(Products!$E$2:$E$37, MATCH(D2916, Products!$A$2:$A$37, 0))</f>
        <v>60</v>
      </c>
      <c r="K2916" s="9">
        <f t="shared" si="180"/>
        <v>232.20000000000002</v>
      </c>
      <c r="L2916">
        <f t="shared" si="181"/>
        <v>120</v>
      </c>
      <c r="M2916" s="9">
        <f t="shared" si="182"/>
        <v>112.20000000000002</v>
      </c>
      <c r="N2916" t="str">
        <f t="shared" si="183"/>
        <v>Sep</v>
      </c>
    </row>
    <row r="2917" spans="1:14" x14ac:dyDescent="0.3">
      <c r="A2917" s="2" t="s">
        <v>2983</v>
      </c>
      <c r="B2917" s="6">
        <v>45909</v>
      </c>
      <c r="C2917" s="2" t="s">
        <v>41</v>
      </c>
      <c r="D2917" s="2" t="s">
        <v>37</v>
      </c>
      <c r="E2917" s="2">
        <v>1</v>
      </c>
      <c r="F2917" s="7">
        <v>249</v>
      </c>
      <c r="G2917" s="8">
        <v>0</v>
      </c>
      <c r="H2917" s="9" t="str">
        <f>INDEX(Products!$B$2:$B$37, MATCH(D2917, Products!$A$2:$A$37, 0))</f>
        <v>Sunglasses Polarised</v>
      </c>
      <c r="I2917" t="str">
        <f>INDEX(Products!$C$2:$C$37, MATCH(D2917, Products!$A$2:$A$37, 0))</f>
        <v>Fashion</v>
      </c>
      <c r="J2917">
        <f>INDEX(Products!$E$2:$E$37, MATCH(D2917, Products!$A$2:$A$37, 0))</f>
        <v>95</v>
      </c>
      <c r="K2917" s="9">
        <f t="shared" si="180"/>
        <v>249</v>
      </c>
      <c r="L2917">
        <f t="shared" si="181"/>
        <v>95</v>
      </c>
      <c r="M2917" s="9">
        <f t="shared" si="182"/>
        <v>154</v>
      </c>
      <c r="N2917" t="str">
        <f t="shared" si="183"/>
        <v>Sep</v>
      </c>
    </row>
    <row r="2918" spans="1:14" x14ac:dyDescent="0.3">
      <c r="A2918" s="2" t="s">
        <v>2984</v>
      </c>
      <c r="B2918" s="6">
        <v>45909</v>
      </c>
      <c r="C2918" s="2" t="s">
        <v>28</v>
      </c>
      <c r="D2918" s="2" t="s">
        <v>115</v>
      </c>
      <c r="E2918" s="2">
        <v>1</v>
      </c>
      <c r="F2918" s="7">
        <v>129</v>
      </c>
      <c r="G2918" s="8">
        <v>0</v>
      </c>
      <c r="H2918" s="9" t="str">
        <f>INDEX(Products!$B$2:$B$37, MATCH(D2918, Products!$A$2:$A$37, 0))</f>
        <v>Electric Kettle</v>
      </c>
      <c r="I2918" t="str">
        <f>INDEX(Products!$C$2:$C$37, MATCH(D2918, Products!$A$2:$A$37, 0))</f>
        <v>Home &amp; Kitchen</v>
      </c>
      <c r="J2918">
        <f>INDEX(Products!$E$2:$E$37, MATCH(D2918, Products!$A$2:$A$37, 0))</f>
        <v>60</v>
      </c>
      <c r="K2918" s="9">
        <f t="shared" si="180"/>
        <v>129</v>
      </c>
      <c r="L2918">
        <f t="shared" si="181"/>
        <v>60</v>
      </c>
      <c r="M2918" s="9">
        <f t="shared" si="182"/>
        <v>69</v>
      </c>
      <c r="N2918" t="str">
        <f t="shared" si="183"/>
        <v>Sep</v>
      </c>
    </row>
    <row r="2919" spans="1:14" x14ac:dyDescent="0.3">
      <c r="A2919" s="2" t="s">
        <v>2985</v>
      </c>
      <c r="B2919" s="6">
        <v>45909</v>
      </c>
      <c r="C2919" s="2" t="s">
        <v>41</v>
      </c>
      <c r="D2919" s="2" t="s">
        <v>42</v>
      </c>
      <c r="E2919" s="2">
        <v>1</v>
      </c>
      <c r="F2919" s="7">
        <v>399</v>
      </c>
      <c r="G2919" s="8">
        <v>0</v>
      </c>
      <c r="H2919" s="9" t="str">
        <f>INDEX(Products!$B$2:$B$37, MATCH(D2919, Products!$A$2:$A$37, 0))</f>
        <v>Wireless Earbuds Pro</v>
      </c>
      <c r="I2919" t="str">
        <f>INDEX(Products!$C$2:$C$37, MATCH(D2919, Products!$A$2:$A$37, 0))</f>
        <v>Electronics</v>
      </c>
      <c r="J2919">
        <f>INDEX(Products!$E$2:$E$37, MATCH(D2919, Products!$A$2:$A$37, 0))</f>
        <v>230</v>
      </c>
      <c r="K2919" s="9">
        <f t="shared" si="180"/>
        <v>399</v>
      </c>
      <c r="L2919">
        <f t="shared" si="181"/>
        <v>230</v>
      </c>
      <c r="M2919" s="9">
        <f t="shared" si="182"/>
        <v>169</v>
      </c>
      <c r="N2919" t="str">
        <f t="shared" si="183"/>
        <v>Sep</v>
      </c>
    </row>
    <row r="2920" spans="1:14" x14ac:dyDescent="0.3">
      <c r="A2920" s="2" t="s">
        <v>2986</v>
      </c>
      <c r="B2920" s="6">
        <v>45909</v>
      </c>
      <c r="C2920" s="2" t="s">
        <v>44</v>
      </c>
      <c r="D2920" s="2" t="s">
        <v>29</v>
      </c>
      <c r="E2920" s="2">
        <v>2</v>
      </c>
      <c r="F2920" s="7">
        <v>229</v>
      </c>
      <c r="G2920" s="8">
        <v>0.05</v>
      </c>
      <c r="H2920" s="9" t="str">
        <f>INDEX(Products!$B$2:$B$37, MATCH(D2920, Products!$A$2:$A$37, 0))</f>
        <v>Women's Summer Dress</v>
      </c>
      <c r="I2920" t="str">
        <f>INDEX(Products!$C$2:$C$37, MATCH(D2920, Products!$A$2:$A$37, 0))</f>
        <v>Fashion</v>
      </c>
      <c r="J2920">
        <f>INDEX(Products!$E$2:$E$37, MATCH(D2920, Products!$A$2:$A$37, 0))</f>
        <v>120</v>
      </c>
      <c r="K2920" s="9">
        <f t="shared" si="180"/>
        <v>435.09999999999997</v>
      </c>
      <c r="L2920">
        <f t="shared" si="181"/>
        <v>240</v>
      </c>
      <c r="M2920" s="9">
        <f t="shared" si="182"/>
        <v>195.09999999999997</v>
      </c>
      <c r="N2920" t="str">
        <f t="shared" si="183"/>
        <v>Sep</v>
      </c>
    </row>
    <row r="2921" spans="1:14" x14ac:dyDescent="0.3">
      <c r="A2921" s="2" t="s">
        <v>2987</v>
      </c>
      <c r="B2921" s="6">
        <v>45909</v>
      </c>
      <c r="C2921" s="2" t="s">
        <v>31</v>
      </c>
      <c r="D2921" s="2" t="s">
        <v>33</v>
      </c>
      <c r="E2921" s="2">
        <v>1</v>
      </c>
      <c r="F2921" s="7">
        <v>199</v>
      </c>
      <c r="G2921" s="8">
        <v>0.2</v>
      </c>
      <c r="H2921" s="9" t="str">
        <f>INDEX(Products!$B$2:$B$37, MATCH(D2921, Products!$A$2:$A$37, 0))</f>
        <v>Fitness Band Lite</v>
      </c>
      <c r="I2921" t="str">
        <f>INDEX(Products!$C$2:$C$37, MATCH(D2921, Products!$A$2:$A$37, 0))</f>
        <v>Electronics</v>
      </c>
      <c r="J2921">
        <f>INDEX(Products!$E$2:$E$37, MATCH(D2921, Products!$A$2:$A$37, 0))</f>
        <v>175</v>
      </c>
      <c r="K2921" s="9">
        <f t="shared" si="180"/>
        <v>159.20000000000002</v>
      </c>
      <c r="L2921">
        <f t="shared" si="181"/>
        <v>175</v>
      </c>
      <c r="M2921" s="9">
        <f t="shared" si="182"/>
        <v>-15.799999999999983</v>
      </c>
      <c r="N2921" t="str">
        <f t="shared" si="183"/>
        <v>Sep</v>
      </c>
    </row>
    <row r="2922" spans="1:14" x14ac:dyDescent="0.3">
      <c r="A2922" s="2" t="s">
        <v>2988</v>
      </c>
      <c r="B2922" s="6">
        <v>45910</v>
      </c>
      <c r="C2922" s="2" t="s">
        <v>31</v>
      </c>
      <c r="D2922" s="2" t="s">
        <v>70</v>
      </c>
      <c r="E2922" s="2">
        <v>2</v>
      </c>
      <c r="F2922" s="7">
        <v>429</v>
      </c>
      <c r="G2922" s="8">
        <v>0</v>
      </c>
      <c r="H2922" s="9" t="str">
        <f>INDEX(Products!$B$2:$B$37, MATCH(D2922, Products!$A$2:$A$37, 0))</f>
        <v>Running Shoes Elite</v>
      </c>
      <c r="I2922" t="str">
        <f>INDEX(Products!$C$2:$C$37, MATCH(D2922, Products!$A$2:$A$37, 0))</f>
        <v>Fashion</v>
      </c>
      <c r="J2922">
        <f>INDEX(Products!$E$2:$E$37, MATCH(D2922, Products!$A$2:$A$37, 0))</f>
        <v>300</v>
      </c>
      <c r="K2922" s="9">
        <f t="shared" si="180"/>
        <v>858</v>
      </c>
      <c r="L2922">
        <f t="shared" si="181"/>
        <v>600</v>
      </c>
      <c r="M2922" s="9">
        <f t="shared" si="182"/>
        <v>258</v>
      </c>
      <c r="N2922" t="str">
        <f t="shared" si="183"/>
        <v>Sep</v>
      </c>
    </row>
    <row r="2923" spans="1:14" x14ac:dyDescent="0.3">
      <c r="A2923" s="2" t="s">
        <v>2989</v>
      </c>
      <c r="B2923" s="6">
        <v>45910</v>
      </c>
      <c r="C2923" s="2" t="s">
        <v>41</v>
      </c>
      <c r="D2923" s="2" t="s">
        <v>103</v>
      </c>
      <c r="E2923" s="2">
        <v>1</v>
      </c>
      <c r="F2923" s="7">
        <v>89</v>
      </c>
      <c r="G2923" s="8">
        <v>0</v>
      </c>
      <c r="H2923" s="9" t="str">
        <f>INDEX(Products!$B$2:$B$37, MATCH(D2923, Products!$A$2:$A$37, 0))</f>
        <v>Sunscreen SPF50</v>
      </c>
      <c r="I2923" t="str">
        <f>INDEX(Products!$C$2:$C$37, MATCH(D2923, Products!$A$2:$A$37, 0))</f>
        <v>Beauty</v>
      </c>
      <c r="J2923">
        <f>INDEX(Products!$E$2:$E$37, MATCH(D2923, Products!$A$2:$A$37, 0))</f>
        <v>40</v>
      </c>
      <c r="K2923" s="9">
        <f t="shared" si="180"/>
        <v>89</v>
      </c>
      <c r="L2923">
        <f t="shared" si="181"/>
        <v>40</v>
      </c>
      <c r="M2923" s="9">
        <f t="shared" si="182"/>
        <v>49</v>
      </c>
      <c r="N2923" t="str">
        <f t="shared" si="183"/>
        <v>Sep</v>
      </c>
    </row>
    <row r="2924" spans="1:14" x14ac:dyDescent="0.3">
      <c r="A2924" s="2" t="s">
        <v>2990</v>
      </c>
      <c r="B2924" s="6">
        <v>45910</v>
      </c>
      <c r="C2924" s="2" t="s">
        <v>31</v>
      </c>
      <c r="D2924" s="2" t="s">
        <v>80</v>
      </c>
      <c r="E2924" s="2">
        <v>1</v>
      </c>
      <c r="F2924" s="7">
        <v>149</v>
      </c>
      <c r="G2924" s="8">
        <v>0.3</v>
      </c>
      <c r="H2924" s="9" t="str">
        <f>INDEX(Products!$B$2:$B$37, MATCH(D2924, Products!$A$2:$A$37, 0))</f>
        <v>Vitamin C Serum</v>
      </c>
      <c r="I2924" t="str">
        <f>INDEX(Products!$C$2:$C$37, MATCH(D2924, Products!$A$2:$A$37, 0))</f>
        <v>Beauty</v>
      </c>
      <c r="J2924">
        <f>INDEX(Products!$E$2:$E$37, MATCH(D2924, Products!$A$2:$A$37, 0))</f>
        <v>55</v>
      </c>
      <c r="K2924" s="9">
        <f t="shared" si="180"/>
        <v>104.3</v>
      </c>
      <c r="L2924">
        <f t="shared" si="181"/>
        <v>55</v>
      </c>
      <c r="M2924" s="9">
        <f t="shared" si="182"/>
        <v>49.3</v>
      </c>
      <c r="N2924" t="str">
        <f t="shared" si="183"/>
        <v>Sep</v>
      </c>
    </row>
    <row r="2925" spans="1:14" x14ac:dyDescent="0.3">
      <c r="A2925" s="2" t="s">
        <v>2991</v>
      </c>
      <c r="B2925" s="6">
        <v>45910</v>
      </c>
      <c r="C2925" s="2" t="s">
        <v>31</v>
      </c>
      <c r="D2925" s="2" t="s">
        <v>56</v>
      </c>
      <c r="E2925" s="2">
        <v>1</v>
      </c>
      <c r="F2925" s="7">
        <v>289</v>
      </c>
      <c r="G2925" s="8">
        <v>0.2</v>
      </c>
      <c r="H2925" s="9" t="str">
        <f>INDEX(Products!$B$2:$B$37, MATCH(D2925, Products!$A$2:$A$37, 0))</f>
        <v>Ceramic Dinner Set</v>
      </c>
      <c r="I2925" t="str">
        <f>INDEX(Products!$C$2:$C$37, MATCH(D2925, Products!$A$2:$A$37, 0))</f>
        <v>Home &amp; Kitchen</v>
      </c>
      <c r="J2925">
        <f>INDEX(Products!$E$2:$E$37, MATCH(D2925, Products!$A$2:$A$37, 0))</f>
        <v>140</v>
      </c>
      <c r="K2925" s="9">
        <f t="shared" si="180"/>
        <v>231.20000000000002</v>
      </c>
      <c r="L2925">
        <f t="shared" si="181"/>
        <v>140</v>
      </c>
      <c r="M2925" s="9">
        <f t="shared" si="182"/>
        <v>91.200000000000017</v>
      </c>
      <c r="N2925" t="str">
        <f t="shared" si="183"/>
        <v>Sep</v>
      </c>
    </row>
    <row r="2926" spans="1:14" x14ac:dyDescent="0.3">
      <c r="A2926" s="2" t="s">
        <v>2992</v>
      </c>
      <c r="B2926" s="6">
        <v>45910</v>
      </c>
      <c r="C2926" s="2" t="s">
        <v>41</v>
      </c>
      <c r="D2926" s="2" t="s">
        <v>75</v>
      </c>
      <c r="E2926" s="2">
        <v>1</v>
      </c>
      <c r="F2926" s="7">
        <v>549</v>
      </c>
      <c r="G2926" s="8">
        <v>0</v>
      </c>
      <c r="H2926" s="9" t="str">
        <f>INDEX(Products!$B$2:$B$37, MATCH(D2926, Products!$A$2:$A$37, 0))</f>
        <v>Oud Perfume 100ml</v>
      </c>
      <c r="I2926" t="str">
        <f>INDEX(Products!$C$2:$C$37, MATCH(D2926, Products!$A$2:$A$37, 0))</f>
        <v>Beauty</v>
      </c>
      <c r="J2926">
        <f>INDEX(Products!$E$2:$E$37, MATCH(D2926, Products!$A$2:$A$37, 0))</f>
        <v>250</v>
      </c>
      <c r="K2926" s="9">
        <f t="shared" si="180"/>
        <v>549</v>
      </c>
      <c r="L2926">
        <f t="shared" si="181"/>
        <v>250</v>
      </c>
      <c r="M2926" s="9">
        <f t="shared" si="182"/>
        <v>299</v>
      </c>
      <c r="N2926" t="str">
        <f t="shared" si="183"/>
        <v>Sep</v>
      </c>
    </row>
    <row r="2927" spans="1:14" x14ac:dyDescent="0.3">
      <c r="A2927" s="2" t="s">
        <v>2993</v>
      </c>
      <c r="B2927" s="6">
        <v>45910</v>
      </c>
      <c r="C2927" s="2" t="s">
        <v>28</v>
      </c>
      <c r="D2927" s="2" t="s">
        <v>126</v>
      </c>
      <c r="E2927" s="2">
        <v>1</v>
      </c>
      <c r="F2927" s="7">
        <v>89</v>
      </c>
      <c r="G2927" s="8">
        <v>0.2</v>
      </c>
      <c r="H2927" s="9" t="str">
        <f>INDEX(Products!$B$2:$B$37, MATCH(D2927, Products!$A$2:$A$37, 0))</f>
        <v>USB-C Fast Charger</v>
      </c>
      <c r="I2927" t="str">
        <f>INDEX(Products!$C$2:$C$37, MATCH(D2927, Products!$A$2:$A$37, 0))</f>
        <v>Electronics</v>
      </c>
      <c r="J2927">
        <f>INDEX(Products!$E$2:$E$37, MATCH(D2927, Products!$A$2:$A$37, 0))</f>
        <v>35</v>
      </c>
      <c r="K2927" s="9">
        <f t="shared" si="180"/>
        <v>71.2</v>
      </c>
      <c r="L2927">
        <f t="shared" si="181"/>
        <v>35</v>
      </c>
      <c r="M2927" s="9">
        <f t="shared" si="182"/>
        <v>36.200000000000003</v>
      </c>
      <c r="N2927" t="str">
        <f t="shared" si="183"/>
        <v>Sep</v>
      </c>
    </row>
    <row r="2928" spans="1:14" x14ac:dyDescent="0.3">
      <c r="A2928" s="2" t="s">
        <v>2994</v>
      </c>
      <c r="B2928" s="6">
        <v>45910</v>
      </c>
      <c r="C2928" s="2" t="s">
        <v>28</v>
      </c>
      <c r="D2928" s="2" t="s">
        <v>60</v>
      </c>
      <c r="E2928" s="2">
        <v>1</v>
      </c>
      <c r="F2928" s="7">
        <v>99</v>
      </c>
      <c r="G2928" s="8">
        <v>0.1</v>
      </c>
      <c r="H2928" s="9" t="str">
        <f>INDEX(Products!$B$2:$B$37, MATCH(D2928, Products!$A$2:$A$37, 0))</f>
        <v>Football Size 5</v>
      </c>
      <c r="I2928" t="str">
        <f>INDEX(Products!$C$2:$C$37, MATCH(D2928, Products!$A$2:$A$37, 0))</f>
        <v>Sports</v>
      </c>
      <c r="J2928">
        <f>INDEX(Products!$E$2:$E$37, MATCH(D2928, Products!$A$2:$A$37, 0))</f>
        <v>45</v>
      </c>
      <c r="K2928" s="9">
        <f t="shared" si="180"/>
        <v>89.100000000000009</v>
      </c>
      <c r="L2928">
        <f t="shared" si="181"/>
        <v>45</v>
      </c>
      <c r="M2928" s="9">
        <f t="shared" si="182"/>
        <v>44.100000000000009</v>
      </c>
      <c r="N2928" t="str">
        <f t="shared" si="183"/>
        <v>Sep</v>
      </c>
    </row>
    <row r="2929" spans="1:14" x14ac:dyDescent="0.3">
      <c r="A2929" s="2" t="s">
        <v>2995</v>
      </c>
      <c r="B2929" s="6">
        <v>45910</v>
      </c>
      <c r="C2929" s="2" t="s">
        <v>28</v>
      </c>
      <c r="D2929" s="2" t="s">
        <v>80</v>
      </c>
      <c r="E2929" s="2">
        <v>1</v>
      </c>
      <c r="F2929" s="7">
        <v>149</v>
      </c>
      <c r="G2929" s="8">
        <v>0.2</v>
      </c>
      <c r="H2929" s="9" t="str">
        <f>INDEX(Products!$B$2:$B$37, MATCH(D2929, Products!$A$2:$A$37, 0))</f>
        <v>Vitamin C Serum</v>
      </c>
      <c r="I2929" t="str">
        <f>INDEX(Products!$C$2:$C$37, MATCH(D2929, Products!$A$2:$A$37, 0))</f>
        <v>Beauty</v>
      </c>
      <c r="J2929">
        <f>INDEX(Products!$E$2:$E$37, MATCH(D2929, Products!$A$2:$A$37, 0))</f>
        <v>55</v>
      </c>
      <c r="K2929" s="9">
        <f t="shared" si="180"/>
        <v>119.2</v>
      </c>
      <c r="L2929">
        <f t="shared" si="181"/>
        <v>55</v>
      </c>
      <c r="M2929" s="9">
        <f t="shared" si="182"/>
        <v>64.2</v>
      </c>
      <c r="N2929" t="str">
        <f t="shared" si="183"/>
        <v>Sep</v>
      </c>
    </row>
    <row r="2930" spans="1:14" x14ac:dyDescent="0.3">
      <c r="A2930" s="2" t="s">
        <v>2996</v>
      </c>
      <c r="B2930" s="6">
        <v>45910</v>
      </c>
      <c r="C2930" s="2" t="s">
        <v>48</v>
      </c>
      <c r="D2930" s="2" t="s">
        <v>46</v>
      </c>
      <c r="E2930" s="2">
        <v>1</v>
      </c>
      <c r="F2930" s="7">
        <v>189</v>
      </c>
      <c r="G2930" s="8">
        <v>0.15</v>
      </c>
      <c r="H2930" s="9" t="str">
        <f>INDEX(Products!$B$2:$B$37, MATCH(D2930, Products!$A$2:$A$37, 0))</f>
        <v>Makeup Palette</v>
      </c>
      <c r="I2930" t="str">
        <f>INDEX(Products!$C$2:$C$37, MATCH(D2930, Products!$A$2:$A$37, 0))</f>
        <v>Beauty</v>
      </c>
      <c r="J2930">
        <f>INDEX(Products!$E$2:$E$37, MATCH(D2930, Products!$A$2:$A$37, 0))</f>
        <v>85</v>
      </c>
      <c r="K2930" s="9">
        <f t="shared" si="180"/>
        <v>160.65</v>
      </c>
      <c r="L2930">
        <f t="shared" si="181"/>
        <v>85</v>
      </c>
      <c r="M2930" s="9">
        <f t="shared" si="182"/>
        <v>75.650000000000006</v>
      </c>
      <c r="N2930" t="str">
        <f t="shared" si="183"/>
        <v>Sep</v>
      </c>
    </row>
    <row r="2931" spans="1:14" x14ac:dyDescent="0.3">
      <c r="A2931" s="2" t="s">
        <v>2997</v>
      </c>
      <c r="B2931" s="6">
        <v>45910</v>
      </c>
      <c r="C2931" s="2" t="s">
        <v>28</v>
      </c>
      <c r="D2931" s="2" t="s">
        <v>87</v>
      </c>
      <c r="E2931" s="2">
        <v>2</v>
      </c>
      <c r="F2931" s="7">
        <v>799</v>
      </c>
      <c r="G2931" s="8">
        <v>0.1</v>
      </c>
      <c r="H2931" s="9" t="str">
        <f>INDEX(Products!$B$2:$B$37, MATCH(D2931, Products!$A$2:$A$37, 0))</f>
        <v>Adjustable Dumbbells</v>
      </c>
      <c r="I2931" t="str">
        <f>INDEX(Products!$C$2:$C$37, MATCH(D2931, Products!$A$2:$A$37, 0))</f>
        <v>Sports</v>
      </c>
      <c r="J2931">
        <f>INDEX(Products!$E$2:$E$37, MATCH(D2931, Products!$A$2:$A$37, 0))</f>
        <v>700</v>
      </c>
      <c r="K2931" s="9">
        <f t="shared" si="180"/>
        <v>1438.2</v>
      </c>
      <c r="L2931">
        <f t="shared" si="181"/>
        <v>1400</v>
      </c>
      <c r="M2931" s="9">
        <f t="shared" si="182"/>
        <v>38.200000000000045</v>
      </c>
      <c r="N2931" t="str">
        <f t="shared" si="183"/>
        <v>Sep</v>
      </c>
    </row>
    <row r="2932" spans="1:14" x14ac:dyDescent="0.3">
      <c r="A2932" s="2" t="s">
        <v>2998</v>
      </c>
      <c r="B2932" s="6">
        <v>45910</v>
      </c>
      <c r="C2932" s="2" t="s">
        <v>31</v>
      </c>
      <c r="D2932" s="2" t="s">
        <v>115</v>
      </c>
      <c r="E2932" s="2">
        <v>1</v>
      </c>
      <c r="F2932" s="7">
        <v>129</v>
      </c>
      <c r="G2932" s="8">
        <v>0.1</v>
      </c>
      <c r="H2932" s="9" t="str">
        <f>INDEX(Products!$B$2:$B$37, MATCH(D2932, Products!$A$2:$A$37, 0))</f>
        <v>Electric Kettle</v>
      </c>
      <c r="I2932" t="str">
        <f>INDEX(Products!$C$2:$C$37, MATCH(D2932, Products!$A$2:$A$37, 0))</f>
        <v>Home &amp; Kitchen</v>
      </c>
      <c r="J2932">
        <f>INDEX(Products!$E$2:$E$37, MATCH(D2932, Products!$A$2:$A$37, 0))</f>
        <v>60</v>
      </c>
      <c r="K2932" s="9">
        <f t="shared" si="180"/>
        <v>116.10000000000001</v>
      </c>
      <c r="L2932">
        <f t="shared" si="181"/>
        <v>60</v>
      </c>
      <c r="M2932" s="9">
        <f t="shared" si="182"/>
        <v>56.100000000000009</v>
      </c>
      <c r="N2932" t="str">
        <f t="shared" si="183"/>
        <v>Sep</v>
      </c>
    </row>
    <row r="2933" spans="1:14" x14ac:dyDescent="0.3">
      <c r="A2933" s="2" t="s">
        <v>2999</v>
      </c>
      <c r="B2933" s="6">
        <v>45910</v>
      </c>
      <c r="C2933" s="2" t="s">
        <v>28</v>
      </c>
      <c r="D2933" s="2" t="s">
        <v>115</v>
      </c>
      <c r="E2933" s="2">
        <v>1</v>
      </c>
      <c r="F2933" s="7">
        <v>129</v>
      </c>
      <c r="G2933" s="8">
        <v>0.2</v>
      </c>
      <c r="H2933" s="9" t="str">
        <f>INDEX(Products!$B$2:$B$37, MATCH(D2933, Products!$A$2:$A$37, 0))</f>
        <v>Electric Kettle</v>
      </c>
      <c r="I2933" t="str">
        <f>INDEX(Products!$C$2:$C$37, MATCH(D2933, Products!$A$2:$A$37, 0))</f>
        <v>Home &amp; Kitchen</v>
      </c>
      <c r="J2933">
        <f>INDEX(Products!$E$2:$E$37, MATCH(D2933, Products!$A$2:$A$37, 0))</f>
        <v>60</v>
      </c>
      <c r="K2933" s="9">
        <f t="shared" si="180"/>
        <v>103.2</v>
      </c>
      <c r="L2933">
        <f t="shared" si="181"/>
        <v>60</v>
      </c>
      <c r="M2933" s="9">
        <f t="shared" si="182"/>
        <v>43.2</v>
      </c>
      <c r="N2933" t="str">
        <f t="shared" si="183"/>
        <v>Sep</v>
      </c>
    </row>
    <row r="2934" spans="1:14" x14ac:dyDescent="0.3">
      <c r="A2934" s="2" t="s">
        <v>3000</v>
      </c>
      <c r="B2934" s="6">
        <v>45910</v>
      </c>
      <c r="C2934" s="2" t="s">
        <v>28</v>
      </c>
      <c r="D2934" s="2" t="s">
        <v>109</v>
      </c>
      <c r="E2934" s="2">
        <v>3</v>
      </c>
      <c r="F2934" s="7">
        <v>1499</v>
      </c>
      <c r="G2934" s="8">
        <v>0</v>
      </c>
      <c r="H2934" s="9" t="str">
        <f>INDEX(Products!$B$2:$B$37, MATCH(D2934, Products!$A$2:$A$37, 0))</f>
        <v>Espresso Machine</v>
      </c>
      <c r="I2934" t="str">
        <f>INDEX(Products!$C$2:$C$37, MATCH(D2934, Products!$A$2:$A$37, 0))</f>
        <v>Home &amp; Kitchen</v>
      </c>
      <c r="J2934">
        <f>INDEX(Products!$E$2:$E$37, MATCH(D2934, Products!$A$2:$A$37, 0))</f>
        <v>1050</v>
      </c>
      <c r="K2934" s="9">
        <f t="shared" si="180"/>
        <v>4497</v>
      </c>
      <c r="L2934">
        <f t="shared" si="181"/>
        <v>3150</v>
      </c>
      <c r="M2934" s="9">
        <f t="shared" si="182"/>
        <v>1347</v>
      </c>
      <c r="N2934" t="str">
        <f t="shared" si="183"/>
        <v>Sep</v>
      </c>
    </row>
    <row r="2935" spans="1:14" x14ac:dyDescent="0.3">
      <c r="A2935" s="2" t="s">
        <v>3001</v>
      </c>
      <c r="B2935" s="6">
        <v>45910</v>
      </c>
      <c r="C2935" s="2" t="s">
        <v>44</v>
      </c>
      <c r="D2935" s="2" t="s">
        <v>87</v>
      </c>
      <c r="E2935" s="2">
        <v>1</v>
      </c>
      <c r="F2935" s="7">
        <v>799</v>
      </c>
      <c r="G2935" s="8">
        <v>0.2</v>
      </c>
      <c r="H2935" s="9" t="str">
        <f>INDEX(Products!$B$2:$B$37, MATCH(D2935, Products!$A$2:$A$37, 0))</f>
        <v>Adjustable Dumbbells</v>
      </c>
      <c r="I2935" t="str">
        <f>INDEX(Products!$C$2:$C$37, MATCH(D2935, Products!$A$2:$A$37, 0))</f>
        <v>Sports</v>
      </c>
      <c r="J2935">
        <f>INDEX(Products!$E$2:$E$37, MATCH(D2935, Products!$A$2:$A$37, 0))</f>
        <v>700</v>
      </c>
      <c r="K2935" s="9">
        <f t="shared" si="180"/>
        <v>639.20000000000005</v>
      </c>
      <c r="L2935">
        <f t="shared" si="181"/>
        <v>700</v>
      </c>
      <c r="M2935" s="9">
        <f t="shared" si="182"/>
        <v>-60.799999999999955</v>
      </c>
      <c r="N2935" t="str">
        <f t="shared" si="183"/>
        <v>Sep</v>
      </c>
    </row>
    <row r="2936" spans="1:14" x14ac:dyDescent="0.3">
      <c r="A2936" s="2" t="s">
        <v>3002</v>
      </c>
      <c r="B2936" s="6">
        <v>45911</v>
      </c>
      <c r="C2936" s="2" t="s">
        <v>44</v>
      </c>
      <c r="D2936" s="2" t="s">
        <v>83</v>
      </c>
      <c r="E2936" s="2">
        <v>1</v>
      </c>
      <c r="F2936" s="7">
        <v>229</v>
      </c>
      <c r="G2936" s="8">
        <v>0</v>
      </c>
      <c r="H2936" s="9" t="str">
        <f>INDEX(Products!$B$2:$B$37, MATCH(D2936, Products!$A$2:$A$37, 0))</f>
        <v>Cycling Helmet</v>
      </c>
      <c r="I2936" t="str">
        <f>INDEX(Products!$C$2:$C$37, MATCH(D2936, Products!$A$2:$A$37, 0))</f>
        <v>Sports</v>
      </c>
      <c r="J2936">
        <f>INDEX(Products!$E$2:$E$37, MATCH(D2936, Products!$A$2:$A$37, 0))</f>
        <v>120</v>
      </c>
      <c r="K2936" s="9">
        <f t="shared" si="180"/>
        <v>229</v>
      </c>
      <c r="L2936">
        <f t="shared" si="181"/>
        <v>120</v>
      </c>
      <c r="M2936" s="9">
        <f t="shared" si="182"/>
        <v>109</v>
      </c>
      <c r="N2936" t="str">
        <f t="shared" si="183"/>
        <v>Sep</v>
      </c>
    </row>
    <row r="2937" spans="1:14" x14ac:dyDescent="0.3">
      <c r="A2937" s="2" t="s">
        <v>3003</v>
      </c>
      <c r="B2937" s="6">
        <v>45911</v>
      </c>
      <c r="C2937" s="2" t="s">
        <v>31</v>
      </c>
      <c r="D2937" s="2" t="s">
        <v>68</v>
      </c>
      <c r="E2937" s="2">
        <v>1</v>
      </c>
      <c r="F2937" s="7">
        <v>249</v>
      </c>
      <c r="G2937" s="8">
        <v>0.05</v>
      </c>
      <c r="H2937" s="9" t="str">
        <f>INDEX(Products!$B$2:$B$37, MATCH(D2937, Products!$A$2:$A$37, 0))</f>
        <v>Bluetooth Speaker Mini</v>
      </c>
      <c r="I2937" t="str">
        <f>INDEX(Products!$C$2:$C$37, MATCH(D2937, Products!$A$2:$A$37, 0))</f>
        <v>Electronics</v>
      </c>
      <c r="J2937">
        <f>INDEX(Products!$E$2:$E$37, MATCH(D2937, Products!$A$2:$A$37, 0))</f>
        <v>150</v>
      </c>
      <c r="K2937" s="9">
        <f t="shared" si="180"/>
        <v>236.54999999999998</v>
      </c>
      <c r="L2937">
        <f t="shared" si="181"/>
        <v>150</v>
      </c>
      <c r="M2937" s="9">
        <f t="shared" si="182"/>
        <v>86.549999999999983</v>
      </c>
      <c r="N2937" t="str">
        <f t="shared" si="183"/>
        <v>Sep</v>
      </c>
    </row>
    <row r="2938" spans="1:14" x14ac:dyDescent="0.3">
      <c r="A2938" s="2" t="s">
        <v>3004</v>
      </c>
      <c r="B2938" s="6">
        <v>45911</v>
      </c>
      <c r="C2938" s="2" t="s">
        <v>44</v>
      </c>
      <c r="D2938" s="2" t="s">
        <v>29</v>
      </c>
      <c r="E2938" s="2">
        <v>2</v>
      </c>
      <c r="F2938" s="7">
        <v>229</v>
      </c>
      <c r="G2938" s="8">
        <v>0</v>
      </c>
      <c r="H2938" s="9" t="str">
        <f>INDEX(Products!$B$2:$B$37, MATCH(D2938, Products!$A$2:$A$37, 0))</f>
        <v>Women's Summer Dress</v>
      </c>
      <c r="I2938" t="str">
        <f>INDEX(Products!$C$2:$C$37, MATCH(D2938, Products!$A$2:$A$37, 0))</f>
        <v>Fashion</v>
      </c>
      <c r="J2938">
        <f>INDEX(Products!$E$2:$E$37, MATCH(D2938, Products!$A$2:$A$37, 0))</f>
        <v>120</v>
      </c>
      <c r="K2938" s="9">
        <f t="shared" si="180"/>
        <v>458</v>
      </c>
      <c r="L2938">
        <f t="shared" si="181"/>
        <v>240</v>
      </c>
      <c r="M2938" s="9">
        <f t="shared" si="182"/>
        <v>218</v>
      </c>
      <c r="N2938" t="str">
        <f t="shared" si="183"/>
        <v>Sep</v>
      </c>
    </row>
    <row r="2939" spans="1:14" x14ac:dyDescent="0.3">
      <c r="A2939" s="2" t="s">
        <v>3005</v>
      </c>
      <c r="B2939" s="6">
        <v>45911</v>
      </c>
      <c r="C2939" s="2" t="s">
        <v>28</v>
      </c>
      <c r="D2939" s="2" t="s">
        <v>39</v>
      </c>
      <c r="E2939" s="2">
        <v>1</v>
      </c>
      <c r="F2939" s="7">
        <v>199</v>
      </c>
      <c r="G2939" s="8">
        <v>0.1</v>
      </c>
      <c r="H2939" s="9" t="str">
        <f>INDEX(Products!$B$2:$B$37, MATCH(D2939, Products!$A$2:$A$37, 0))</f>
        <v>Bakhoor Gift Set</v>
      </c>
      <c r="I2939" t="str">
        <f>INDEX(Products!$C$2:$C$37, MATCH(D2939, Products!$A$2:$A$37, 0))</f>
        <v>Beauty</v>
      </c>
      <c r="J2939">
        <f>INDEX(Products!$E$2:$E$37, MATCH(D2939, Products!$A$2:$A$37, 0))</f>
        <v>90</v>
      </c>
      <c r="K2939" s="9">
        <f t="shared" si="180"/>
        <v>179.1</v>
      </c>
      <c r="L2939">
        <f t="shared" si="181"/>
        <v>90</v>
      </c>
      <c r="M2939" s="9">
        <f t="shared" si="182"/>
        <v>89.1</v>
      </c>
      <c r="N2939" t="str">
        <f t="shared" si="183"/>
        <v>Sep</v>
      </c>
    </row>
    <row r="2940" spans="1:14" x14ac:dyDescent="0.3">
      <c r="A2940" s="2" t="s">
        <v>3006</v>
      </c>
      <c r="B2940" s="6">
        <v>45911</v>
      </c>
      <c r="C2940" s="2" t="s">
        <v>44</v>
      </c>
      <c r="D2940" s="2" t="s">
        <v>42</v>
      </c>
      <c r="E2940" s="2">
        <v>3</v>
      </c>
      <c r="F2940" s="7">
        <v>399</v>
      </c>
      <c r="G2940" s="8">
        <v>0</v>
      </c>
      <c r="H2940" s="9" t="str">
        <f>INDEX(Products!$B$2:$B$37, MATCH(D2940, Products!$A$2:$A$37, 0))</f>
        <v>Wireless Earbuds Pro</v>
      </c>
      <c r="I2940" t="str">
        <f>INDEX(Products!$C$2:$C$37, MATCH(D2940, Products!$A$2:$A$37, 0))</f>
        <v>Electronics</v>
      </c>
      <c r="J2940">
        <f>INDEX(Products!$E$2:$E$37, MATCH(D2940, Products!$A$2:$A$37, 0))</f>
        <v>230</v>
      </c>
      <c r="K2940" s="9">
        <f t="shared" si="180"/>
        <v>1197</v>
      </c>
      <c r="L2940">
        <f t="shared" si="181"/>
        <v>690</v>
      </c>
      <c r="M2940" s="9">
        <f t="shared" si="182"/>
        <v>507</v>
      </c>
      <c r="N2940" t="str">
        <f t="shared" si="183"/>
        <v>Sep</v>
      </c>
    </row>
    <row r="2941" spans="1:14" x14ac:dyDescent="0.3">
      <c r="A2941" s="2" t="s">
        <v>3007</v>
      </c>
      <c r="B2941" s="6">
        <v>45911</v>
      </c>
      <c r="C2941" s="2" t="s">
        <v>28</v>
      </c>
      <c r="D2941" s="2" t="s">
        <v>75</v>
      </c>
      <c r="E2941" s="2">
        <v>1</v>
      </c>
      <c r="F2941" s="7">
        <v>549</v>
      </c>
      <c r="G2941" s="8">
        <v>0.1</v>
      </c>
      <c r="H2941" s="9" t="str">
        <f>INDEX(Products!$B$2:$B$37, MATCH(D2941, Products!$A$2:$A$37, 0))</f>
        <v>Oud Perfume 100ml</v>
      </c>
      <c r="I2941" t="str">
        <f>INDEX(Products!$C$2:$C$37, MATCH(D2941, Products!$A$2:$A$37, 0))</f>
        <v>Beauty</v>
      </c>
      <c r="J2941">
        <f>INDEX(Products!$E$2:$E$37, MATCH(D2941, Products!$A$2:$A$37, 0))</f>
        <v>250</v>
      </c>
      <c r="K2941" s="9">
        <f t="shared" si="180"/>
        <v>494.1</v>
      </c>
      <c r="L2941">
        <f t="shared" si="181"/>
        <v>250</v>
      </c>
      <c r="M2941" s="9">
        <f t="shared" si="182"/>
        <v>244.10000000000002</v>
      </c>
      <c r="N2941" t="str">
        <f t="shared" si="183"/>
        <v>Sep</v>
      </c>
    </row>
    <row r="2942" spans="1:14" x14ac:dyDescent="0.3">
      <c r="A2942" s="2" t="s">
        <v>3008</v>
      </c>
      <c r="B2942" s="6">
        <v>45911</v>
      </c>
      <c r="C2942" s="2" t="s">
        <v>44</v>
      </c>
      <c r="D2942" s="2" t="s">
        <v>89</v>
      </c>
      <c r="E2942" s="2">
        <v>3</v>
      </c>
      <c r="F2942" s="7">
        <v>399</v>
      </c>
      <c r="G2942" s="8">
        <v>0.05</v>
      </c>
      <c r="H2942" s="9" t="str">
        <f>INDEX(Products!$B$2:$B$37, MATCH(D2942, Products!$A$2:$A$37, 0))</f>
        <v>Men's Kandura Premium</v>
      </c>
      <c r="I2942" t="str">
        <f>INDEX(Products!$C$2:$C$37, MATCH(D2942, Products!$A$2:$A$37, 0))</f>
        <v>Fashion</v>
      </c>
      <c r="J2942">
        <f>INDEX(Products!$E$2:$E$37, MATCH(D2942, Products!$A$2:$A$37, 0))</f>
        <v>210</v>
      </c>
      <c r="K2942" s="9">
        <f t="shared" si="180"/>
        <v>1137.1499999999999</v>
      </c>
      <c r="L2942">
        <f t="shared" si="181"/>
        <v>630</v>
      </c>
      <c r="M2942" s="9">
        <f t="shared" si="182"/>
        <v>507.14999999999986</v>
      </c>
      <c r="N2942" t="str">
        <f t="shared" si="183"/>
        <v>Sep</v>
      </c>
    </row>
    <row r="2943" spans="1:14" x14ac:dyDescent="0.3">
      <c r="A2943" s="2" t="s">
        <v>3009</v>
      </c>
      <c r="B2943" s="6">
        <v>45911</v>
      </c>
      <c r="C2943" s="2" t="s">
        <v>44</v>
      </c>
      <c r="D2943" s="2" t="s">
        <v>46</v>
      </c>
      <c r="E2943" s="2">
        <v>2</v>
      </c>
      <c r="F2943" s="7">
        <v>189</v>
      </c>
      <c r="G2943" s="8">
        <v>0</v>
      </c>
      <c r="H2943" s="9" t="str">
        <f>INDEX(Products!$B$2:$B$37, MATCH(D2943, Products!$A$2:$A$37, 0))</f>
        <v>Makeup Palette</v>
      </c>
      <c r="I2943" t="str">
        <f>INDEX(Products!$C$2:$C$37, MATCH(D2943, Products!$A$2:$A$37, 0))</f>
        <v>Beauty</v>
      </c>
      <c r="J2943">
        <f>INDEX(Products!$E$2:$E$37, MATCH(D2943, Products!$A$2:$A$37, 0))</f>
        <v>85</v>
      </c>
      <c r="K2943" s="9">
        <f t="shared" si="180"/>
        <v>378</v>
      </c>
      <c r="L2943">
        <f t="shared" si="181"/>
        <v>170</v>
      </c>
      <c r="M2943" s="9">
        <f t="shared" si="182"/>
        <v>208</v>
      </c>
      <c r="N2943" t="str">
        <f t="shared" si="183"/>
        <v>Sep</v>
      </c>
    </row>
    <row r="2944" spans="1:14" x14ac:dyDescent="0.3">
      <c r="A2944" s="2" t="s">
        <v>3010</v>
      </c>
      <c r="B2944" s="6">
        <v>45911</v>
      </c>
      <c r="C2944" s="2" t="s">
        <v>44</v>
      </c>
      <c r="D2944" s="2" t="s">
        <v>115</v>
      </c>
      <c r="E2944" s="2">
        <v>2</v>
      </c>
      <c r="F2944" s="7">
        <v>129</v>
      </c>
      <c r="G2944" s="8">
        <v>0.2</v>
      </c>
      <c r="H2944" s="9" t="str">
        <f>INDEX(Products!$B$2:$B$37, MATCH(D2944, Products!$A$2:$A$37, 0))</f>
        <v>Electric Kettle</v>
      </c>
      <c r="I2944" t="str">
        <f>INDEX(Products!$C$2:$C$37, MATCH(D2944, Products!$A$2:$A$37, 0))</f>
        <v>Home &amp; Kitchen</v>
      </c>
      <c r="J2944">
        <f>INDEX(Products!$E$2:$E$37, MATCH(D2944, Products!$A$2:$A$37, 0))</f>
        <v>60</v>
      </c>
      <c r="K2944" s="9">
        <f t="shared" si="180"/>
        <v>206.4</v>
      </c>
      <c r="L2944">
        <f t="shared" si="181"/>
        <v>120</v>
      </c>
      <c r="M2944" s="9">
        <f t="shared" si="182"/>
        <v>86.4</v>
      </c>
      <c r="N2944" t="str">
        <f t="shared" si="183"/>
        <v>Sep</v>
      </c>
    </row>
    <row r="2945" spans="1:14" x14ac:dyDescent="0.3">
      <c r="A2945" s="2" t="s">
        <v>3011</v>
      </c>
      <c r="B2945" s="6">
        <v>45911</v>
      </c>
      <c r="C2945" s="2" t="s">
        <v>28</v>
      </c>
      <c r="D2945" s="2" t="s">
        <v>194</v>
      </c>
      <c r="E2945" s="2">
        <v>1</v>
      </c>
      <c r="F2945" s="7">
        <v>699</v>
      </c>
      <c r="G2945" s="8">
        <v>0.05</v>
      </c>
      <c r="H2945" s="9" t="str">
        <f>INDEX(Products!$B$2:$B$37, MATCH(D2945, Products!$A$2:$A$37, 0))</f>
        <v>Leather Handbag</v>
      </c>
      <c r="I2945" t="str">
        <f>INDEX(Products!$C$2:$C$37, MATCH(D2945, Products!$A$2:$A$37, 0))</f>
        <v>Fashion</v>
      </c>
      <c r="J2945">
        <f>INDEX(Products!$E$2:$E$37, MATCH(D2945, Products!$A$2:$A$37, 0))</f>
        <v>380</v>
      </c>
      <c r="K2945" s="9">
        <f t="shared" si="180"/>
        <v>664.05</v>
      </c>
      <c r="L2945">
        <f t="shared" si="181"/>
        <v>380</v>
      </c>
      <c r="M2945" s="9">
        <f t="shared" si="182"/>
        <v>284.04999999999995</v>
      </c>
      <c r="N2945" t="str">
        <f t="shared" si="183"/>
        <v>Sep</v>
      </c>
    </row>
    <row r="2946" spans="1:14" x14ac:dyDescent="0.3">
      <c r="A2946" s="2" t="s">
        <v>3012</v>
      </c>
      <c r="B2946" s="6">
        <v>45911</v>
      </c>
      <c r="C2946" s="2" t="s">
        <v>44</v>
      </c>
      <c r="D2946" s="2" t="s">
        <v>131</v>
      </c>
      <c r="E2946" s="2">
        <v>1</v>
      </c>
      <c r="F2946" s="7">
        <v>899</v>
      </c>
      <c r="G2946" s="8">
        <v>0.05</v>
      </c>
      <c r="H2946" s="9" t="str">
        <f>INDEX(Products!$B$2:$B$37, MATCH(D2946, Products!$A$2:$A$37, 0))</f>
        <v>4K Action Camera</v>
      </c>
      <c r="I2946" t="str">
        <f>INDEX(Products!$C$2:$C$37, MATCH(D2946, Products!$A$2:$A$37, 0))</f>
        <v>Electronics</v>
      </c>
      <c r="J2946">
        <f>INDEX(Products!$E$2:$E$37, MATCH(D2946, Products!$A$2:$A$37, 0))</f>
        <v>610</v>
      </c>
      <c r="K2946" s="9">
        <f t="shared" ref="K2946:K3009" si="184">E2946*F2946*(1-G2946)</f>
        <v>854.05</v>
      </c>
      <c r="L2946">
        <f t="shared" ref="L2946:L3009" si="185">E2946*J2946</f>
        <v>610</v>
      </c>
      <c r="M2946" s="9">
        <f t="shared" ref="M2946:M3009" si="186">K2946-L2946</f>
        <v>244.04999999999995</v>
      </c>
      <c r="N2946" t="str">
        <f t="shared" ref="N2946:N3009" si="187">TEXT(B2946,"mmm")</f>
        <v>Sep</v>
      </c>
    </row>
    <row r="2947" spans="1:14" x14ac:dyDescent="0.3">
      <c r="A2947" s="2" t="s">
        <v>3013</v>
      </c>
      <c r="B2947" s="6">
        <v>45911</v>
      </c>
      <c r="C2947" s="2" t="s">
        <v>31</v>
      </c>
      <c r="D2947" s="2" t="s">
        <v>29</v>
      </c>
      <c r="E2947" s="2">
        <v>2</v>
      </c>
      <c r="F2947" s="7">
        <v>229</v>
      </c>
      <c r="G2947" s="8">
        <v>0</v>
      </c>
      <c r="H2947" s="9" t="str">
        <f>INDEX(Products!$B$2:$B$37, MATCH(D2947, Products!$A$2:$A$37, 0))</f>
        <v>Women's Summer Dress</v>
      </c>
      <c r="I2947" t="str">
        <f>INDEX(Products!$C$2:$C$37, MATCH(D2947, Products!$A$2:$A$37, 0))</f>
        <v>Fashion</v>
      </c>
      <c r="J2947">
        <f>INDEX(Products!$E$2:$E$37, MATCH(D2947, Products!$A$2:$A$37, 0))</f>
        <v>120</v>
      </c>
      <c r="K2947" s="9">
        <f t="shared" si="184"/>
        <v>458</v>
      </c>
      <c r="L2947">
        <f t="shared" si="185"/>
        <v>240</v>
      </c>
      <c r="M2947" s="9">
        <f t="shared" si="186"/>
        <v>218</v>
      </c>
      <c r="N2947" t="str">
        <f t="shared" si="187"/>
        <v>Sep</v>
      </c>
    </row>
    <row r="2948" spans="1:14" x14ac:dyDescent="0.3">
      <c r="A2948" s="2" t="s">
        <v>3014</v>
      </c>
      <c r="B2948" s="6">
        <v>45912</v>
      </c>
      <c r="C2948" s="2" t="s">
        <v>41</v>
      </c>
      <c r="D2948" s="2" t="s">
        <v>115</v>
      </c>
      <c r="E2948" s="2">
        <v>1</v>
      </c>
      <c r="F2948" s="7">
        <v>129</v>
      </c>
      <c r="G2948" s="8">
        <v>0</v>
      </c>
      <c r="H2948" s="9" t="str">
        <f>INDEX(Products!$B$2:$B$37, MATCH(D2948, Products!$A$2:$A$37, 0))</f>
        <v>Electric Kettle</v>
      </c>
      <c r="I2948" t="str">
        <f>INDEX(Products!$C$2:$C$37, MATCH(D2948, Products!$A$2:$A$37, 0))</f>
        <v>Home &amp; Kitchen</v>
      </c>
      <c r="J2948">
        <f>INDEX(Products!$E$2:$E$37, MATCH(D2948, Products!$A$2:$A$37, 0))</f>
        <v>60</v>
      </c>
      <c r="K2948" s="9">
        <f t="shared" si="184"/>
        <v>129</v>
      </c>
      <c r="L2948">
        <f t="shared" si="185"/>
        <v>60</v>
      </c>
      <c r="M2948" s="9">
        <f t="shared" si="186"/>
        <v>69</v>
      </c>
      <c r="N2948" t="str">
        <f t="shared" si="187"/>
        <v>Sep</v>
      </c>
    </row>
    <row r="2949" spans="1:14" x14ac:dyDescent="0.3">
      <c r="A2949" s="2" t="s">
        <v>3015</v>
      </c>
      <c r="B2949" s="6">
        <v>45912</v>
      </c>
      <c r="C2949" s="2" t="s">
        <v>44</v>
      </c>
      <c r="D2949" s="2" t="s">
        <v>131</v>
      </c>
      <c r="E2949" s="2">
        <v>3</v>
      </c>
      <c r="F2949" s="7">
        <v>899</v>
      </c>
      <c r="G2949" s="8">
        <v>0.15</v>
      </c>
      <c r="H2949" s="9" t="str">
        <f>INDEX(Products!$B$2:$B$37, MATCH(D2949, Products!$A$2:$A$37, 0))</f>
        <v>4K Action Camera</v>
      </c>
      <c r="I2949" t="str">
        <f>INDEX(Products!$C$2:$C$37, MATCH(D2949, Products!$A$2:$A$37, 0))</f>
        <v>Electronics</v>
      </c>
      <c r="J2949">
        <f>INDEX(Products!$E$2:$E$37, MATCH(D2949, Products!$A$2:$A$37, 0))</f>
        <v>610</v>
      </c>
      <c r="K2949" s="9">
        <f t="shared" si="184"/>
        <v>2292.4499999999998</v>
      </c>
      <c r="L2949">
        <f t="shared" si="185"/>
        <v>1830</v>
      </c>
      <c r="M2949" s="9">
        <f t="shared" si="186"/>
        <v>462.44999999999982</v>
      </c>
      <c r="N2949" t="str">
        <f t="shared" si="187"/>
        <v>Sep</v>
      </c>
    </row>
    <row r="2950" spans="1:14" x14ac:dyDescent="0.3">
      <c r="A2950" s="2" t="s">
        <v>3016</v>
      </c>
      <c r="B2950" s="6">
        <v>45912</v>
      </c>
      <c r="C2950" s="2" t="s">
        <v>28</v>
      </c>
      <c r="D2950" s="2" t="s">
        <v>131</v>
      </c>
      <c r="E2950" s="2">
        <v>1</v>
      </c>
      <c r="F2950" s="7">
        <v>899</v>
      </c>
      <c r="G2950" s="8">
        <v>0</v>
      </c>
      <c r="H2950" s="9" t="str">
        <f>INDEX(Products!$B$2:$B$37, MATCH(D2950, Products!$A$2:$A$37, 0))</f>
        <v>4K Action Camera</v>
      </c>
      <c r="I2950" t="str">
        <f>INDEX(Products!$C$2:$C$37, MATCH(D2950, Products!$A$2:$A$37, 0))</f>
        <v>Electronics</v>
      </c>
      <c r="J2950">
        <f>INDEX(Products!$E$2:$E$37, MATCH(D2950, Products!$A$2:$A$37, 0))</f>
        <v>610</v>
      </c>
      <c r="K2950" s="9">
        <f t="shared" si="184"/>
        <v>899</v>
      </c>
      <c r="L2950">
        <f t="shared" si="185"/>
        <v>610</v>
      </c>
      <c r="M2950" s="9">
        <f t="shared" si="186"/>
        <v>289</v>
      </c>
      <c r="N2950" t="str">
        <f t="shared" si="187"/>
        <v>Sep</v>
      </c>
    </row>
    <row r="2951" spans="1:14" x14ac:dyDescent="0.3">
      <c r="A2951" s="2" t="s">
        <v>3017</v>
      </c>
      <c r="B2951" s="6">
        <v>45912</v>
      </c>
      <c r="C2951" s="2" t="s">
        <v>28</v>
      </c>
      <c r="D2951" s="2" t="s">
        <v>163</v>
      </c>
      <c r="E2951" s="2">
        <v>2</v>
      </c>
      <c r="F2951" s="7">
        <v>2499</v>
      </c>
      <c r="G2951" s="8">
        <v>0.2</v>
      </c>
      <c r="H2951" s="9" t="str">
        <f>INDEX(Products!$B$2:$B$37, MATCH(D2951, Products!$A$2:$A$37, 0))</f>
        <v>Treadmill Compact</v>
      </c>
      <c r="I2951" t="str">
        <f>INDEX(Products!$C$2:$C$37, MATCH(D2951, Products!$A$2:$A$37, 0))</f>
        <v>Sports</v>
      </c>
      <c r="J2951">
        <f>INDEX(Products!$E$2:$E$37, MATCH(D2951, Products!$A$2:$A$37, 0))</f>
        <v>2150</v>
      </c>
      <c r="K2951" s="9">
        <f t="shared" si="184"/>
        <v>3998.4</v>
      </c>
      <c r="L2951">
        <f t="shared" si="185"/>
        <v>4300</v>
      </c>
      <c r="M2951" s="9">
        <f t="shared" si="186"/>
        <v>-301.59999999999991</v>
      </c>
      <c r="N2951" t="str">
        <f t="shared" si="187"/>
        <v>Sep</v>
      </c>
    </row>
    <row r="2952" spans="1:14" x14ac:dyDescent="0.3">
      <c r="A2952" s="2" t="s">
        <v>3018</v>
      </c>
      <c r="B2952" s="6">
        <v>45912</v>
      </c>
      <c r="C2952" s="2" t="s">
        <v>41</v>
      </c>
      <c r="D2952" s="2" t="s">
        <v>52</v>
      </c>
      <c r="E2952" s="2">
        <v>3</v>
      </c>
      <c r="F2952" s="7">
        <v>299</v>
      </c>
      <c r="G2952" s="8">
        <v>0.2</v>
      </c>
      <c r="H2952" s="9" t="str">
        <f>INDEX(Products!$B$2:$B$37, MATCH(D2952, Products!$A$2:$A$37, 0))</f>
        <v>Hair Dryer Ionic</v>
      </c>
      <c r="I2952" t="str">
        <f>INDEX(Products!$C$2:$C$37, MATCH(D2952, Products!$A$2:$A$37, 0))</f>
        <v>Beauty</v>
      </c>
      <c r="J2952">
        <f>INDEX(Products!$E$2:$E$37, MATCH(D2952, Products!$A$2:$A$37, 0))</f>
        <v>240</v>
      </c>
      <c r="K2952" s="9">
        <f t="shared" si="184"/>
        <v>717.6</v>
      </c>
      <c r="L2952">
        <f t="shared" si="185"/>
        <v>720</v>
      </c>
      <c r="M2952" s="9">
        <f t="shared" si="186"/>
        <v>-2.3999999999999773</v>
      </c>
      <c r="N2952" t="str">
        <f t="shared" si="187"/>
        <v>Sep</v>
      </c>
    </row>
    <row r="2953" spans="1:14" x14ac:dyDescent="0.3">
      <c r="A2953" s="2" t="s">
        <v>3019</v>
      </c>
      <c r="B2953" s="6">
        <v>45912</v>
      </c>
      <c r="C2953" s="2" t="s">
        <v>41</v>
      </c>
      <c r="D2953" s="2" t="s">
        <v>106</v>
      </c>
      <c r="E2953" s="2">
        <v>1</v>
      </c>
      <c r="F2953" s="7">
        <v>1299</v>
      </c>
      <c r="G2953" s="8">
        <v>0.1</v>
      </c>
      <c r="H2953" s="9" t="str">
        <f>INDEX(Products!$B$2:$B$37, MATCH(D2953, Products!$A$2:$A$37, 0))</f>
        <v>Smart Watch Series 5</v>
      </c>
      <c r="I2953" t="str">
        <f>INDEX(Products!$C$2:$C$37, MATCH(D2953, Products!$A$2:$A$37, 0))</f>
        <v>Electronics</v>
      </c>
      <c r="J2953">
        <f>INDEX(Products!$E$2:$E$37, MATCH(D2953, Products!$A$2:$A$37, 0))</f>
        <v>820</v>
      </c>
      <c r="K2953" s="9">
        <f t="shared" si="184"/>
        <v>1169.1000000000001</v>
      </c>
      <c r="L2953">
        <f t="shared" si="185"/>
        <v>820</v>
      </c>
      <c r="M2953" s="9">
        <f t="shared" si="186"/>
        <v>349.10000000000014</v>
      </c>
      <c r="N2953" t="str">
        <f t="shared" si="187"/>
        <v>Sep</v>
      </c>
    </row>
    <row r="2954" spans="1:14" x14ac:dyDescent="0.3">
      <c r="A2954" s="2" t="s">
        <v>3020</v>
      </c>
      <c r="B2954" s="6">
        <v>45913</v>
      </c>
      <c r="C2954" s="2" t="s">
        <v>31</v>
      </c>
      <c r="D2954" s="2" t="s">
        <v>33</v>
      </c>
      <c r="E2954" s="2">
        <v>1</v>
      </c>
      <c r="F2954" s="7">
        <v>199</v>
      </c>
      <c r="G2954" s="8">
        <v>0.15</v>
      </c>
      <c r="H2954" s="9" t="str">
        <f>INDEX(Products!$B$2:$B$37, MATCH(D2954, Products!$A$2:$A$37, 0))</f>
        <v>Fitness Band Lite</v>
      </c>
      <c r="I2954" t="str">
        <f>INDEX(Products!$C$2:$C$37, MATCH(D2954, Products!$A$2:$A$37, 0))</f>
        <v>Electronics</v>
      </c>
      <c r="J2954">
        <f>INDEX(Products!$E$2:$E$37, MATCH(D2954, Products!$A$2:$A$37, 0))</f>
        <v>175</v>
      </c>
      <c r="K2954" s="9">
        <f t="shared" si="184"/>
        <v>169.15</v>
      </c>
      <c r="L2954">
        <f t="shared" si="185"/>
        <v>175</v>
      </c>
      <c r="M2954" s="9">
        <f t="shared" si="186"/>
        <v>-5.8499999999999943</v>
      </c>
      <c r="N2954" t="str">
        <f t="shared" si="187"/>
        <v>Sep</v>
      </c>
    </row>
    <row r="2955" spans="1:14" x14ac:dyDescent="0.3">
      <c r="A2955" s="2" t="s">
        <v>3021</v>
      </c>
      <c r="B2955" s="6">
        <v>45913</v>
      </c>
      <c r="C2955" s="2" t="s">
        <v>41</v>
      </c>
      <c r="D2955" s="2" t="s">
        <v>70</v>
      </c>
      <c r="E2955" s="2">
        <v>2</v>
      </c>
      <c r="F2955" s="7">
        <v>429</v>
      </c>
      <c r="G2955" s="8">
        <v>0</v>
      </c>
      <c r="H2955" s="9" t="str">
        <f>INDEX(Products!$B$2:$B$37, MATCH(D2955, Products!$A$2:$A$37, 0))</f>
        <v>Running Shoes Elite</v>
      </c>
      <c r="I2955" t="str">
        <f>INDEX(Products!$C$2:$C$37, MATCH(D2955, Products!$A$2:$A$37, 0))</f>
        <v>Fashion</v>
      </c>
      <c r="J2955">
        <f>INDEX(Products!$E$2:$E$37, MATCH(D2955, Products!$A$2:$A$37, 0))</f>
        <v>300</v>
      </c>
      <c r="K2955" s="9">
        <f t="shared" si="184"/>
        <v>858</v>
      </c>
      <c r="L2955">
        <f t="shared" si="185"/>
        <v>600</v>
      </c>
      <c r="M2955" s="9">
        <f t="shared" si="186"/>
        <v>258</v>
      </c>
      <c r="N2955" t="str">
        <f t="shared" si="187"/>
        <v>Sep</v>
      </c>
    </row>
    <row r="2956" spans="1:14" x14ac:dyDescent="0.3">
      <c r="A2956" s="2" t="s">
        <v>3022</v>
      </c>
      <c r="B2956" s="6">
        <v>45913</v>
      </c>
      <c r="C2956" s="2" t="s">
        <v>41</v>
      </c>
      <c r="D2956" s="2" t="s">
        <v>83</v>
      </c>
      <c r="E2956" s="2">
        <v>3</v>
      </c>
      <c r="F2956" s="7">
        <v>229</v>
      </c>
      <c r="G2956" s="8">
        <v>0</v>
      </c>
      <c r="H2956" s="9" t="str">
        <f>INDEX(Products!$B$2:$B$37, MATCH(D2956, Products!$A$2:$A$37, 0))</f>
        <v>Cycling Helmet</v>
      </c>
      <c r="I2956" t="str">
        <f>INDEX(Products!$C$2:$C$37, MATCH(D2956, Products!$A$2:$A$37, 0))</f>
        <v>Sports</v>
      </c>
      <c r="J2956">
        <f>INDEX(Products!$E$2:$E$37, MATCH(D2956, Products!$A$2:$A$37, 0))</f>
        <v>120</v>
      </c>
      <c r="K2956" s="9">
        <f t="shared" si="184"/>
        <v>687</v>
      </c>
      <c r="L2956">
        <f t="shared" si="185"/>
        <v>360</v>
      </c>
      <c r="M2956" s="9">
        <f t="shared" si="186"/>
        <v>327</v>
      </c>
      <c r="N2956" t="str">
        <f t="shared" si="187"/>
        <v>Sep</v>
      </c>
    </row>
    <row r="2957" spans="1:14" x14ac:dyDescent="0.3">
      <c r="A2957" s="2" t="s">
        <v>3023</v>
      </c>
      <c r="B2957" s="6">
        <v>45913</v>
      </c>
      <c r="C2957" s="2" t="s">
        <v>41</v>
      </c>
      <c r="D2957" s="2" t="s">
        <v>106</v>
      </c>
      <c r="E2957" s="2">
        <v>1</v>
      </c>
      <c r="F2957" s="7">
        <v>1299</v>
      </c>
      <c r="G2957" s="8">
        <v>0</v>
      </c>
      <c r="H2957" s="9" t="str">
        <f>INDEX(Products!$B$2:$B$37, MATCH(D2957, Products!$A$2:$A$37, 0))</f>
        <v>Smart Watch Series 5</v>
      </c>
      <c r="I2957" t="str">
        <f>INDEX(Products!$C$2:$C$37, MATCH(D2957, Products!$A$2:$A$37, 0))</f>
        <v>Electronics</v>
      </c>
      <c r="J2957">
        <f>INDEX(Products!$E$2:$E$37, MATCH(D2957, Products!$A$2:$A$37, 0))</f>
        <v>820</v>
      </c>
      <c r="K2957" s="9">
        <f t="shared" si="184"/>
        <v>1299</v>
      </c>
      <c r="L2957">
        <f t="shared" si="185"/>
        <v>820</v>
      </c>
      <c r="M2957" s="9">
        <f t="shared" si="186"/>
        <v>479</v>
      </c>
      <c r="N2957" t="str">
        <f t="shared" si="187"/>
        <v>Sep</v>
      </c>
    </row>
    <row r="2958" spans="1:14" x14ac:dyDescent="0.3">
      <c r="A2958" s="2" t="s">
        <v>3024</v>
      </c>
      <c r="B2958" s="6">
        <v>45913</v>
      </c>
      <c r="C2958" s="2" t="s">
        <v>41</v>
      </c>
      <c r="D2958" s="2" t="s">
        <v>42</v>
      </c>
      <c r="E2958" s="2">
        <v>1</v>
      </c>
      <c r="F2958" s="7">
        <v>399</v>
      </c>
      <c r="G2958" s="8">
        <v>0.05</v>
      </c>
      <c r="H2958" s="9" t="str">
        <f>INDEX(Products!$B$2:$B$37, MATCH(D2958, Products!$A$2:$A$37, 0))</f>
        <v>Wireless Earbuds Pro</v>
      </c>
      <c r="I2958" t="str">
        <f>INDEX(Products!$C$2:$C$37, MATCH(D2958, Products!$A$2:$A$37, 0))</f>
        <v>Electronics</v>
      </c>
      <c r="J2958">
        <f>INDEX(Products!$E$2:$E$37, MATCH(D2958, Products!$A$2:$A$37, 0))</f>
        <v>230</v>
      </c>
      <c r="K2958" s="9">
        <f t="shared" si="184"/>
        <v>379.04999999999995</v>
      </c>
      <c r="L2958">
        <f t="shared" si="185"/>
        <v>230</v>
      </c>
      <c r="M2958" s="9">
        <f t="shared" si="186"/>
        <v>149.04999999999995</v>
      </c>
      <c r="N2958" t="str">
        <f t="shared" si="187"/>
        <v>Sep</v>
      </c>
    </row>
    <row r="2959" spans="1:14" x14ac:dyDescent="0.3">
      <c r="A2959" s="2" t="s">
        <v>3025</v>
      </c>
      <c r="B2959" s="6">
        <v>45913</v>
      </c>
      <c r="C2959" s="2" t="s">
        <v>44</v>
      </c>
      <c r="D2959" s="2" t="s">
        <v>115</v>
      </c>
      <c r="E2959" s="2">
        <v>1</v>
      </c>
      <c r="F2959" s="7">
        <v>129</v>
      </c>
      <c r="G2959" s="8">
        <v>0</v>
      </c>
      <c r="H2959" s="9" t="str">
        <f>INDEX(Products!$B$2:$B$37, MATCH(D2959, Products!$A$2:$A$37, 0))</f>
        <v>Electric Kettle</v>
      </c>
      <c r="I2959" t="str">
        <f>INDEX(Products!$C$2:$C$37, MATCH(D2959, Products!$A$2:$A$37, 0))</f>
        <v>Home &amp; Kitchen</v>
      </c>
      <c r="J2959">
        <f>INDEX(Products!$E$2:$E$37, MATCH(D2959, Products!$A$2:$A$37, 0))</f>
        <v>60</v>
      </c>
      <c r="K2959" s="9">
        <f t="shared" si="184"/>
        <v>129</v>
      </c>
      <c r="L2959">
        <f t="shared" si="185"/>
        <v>60</v>
      </c>
      <c r="M2959" s="9">
        <f t="shared" si="186"/>
        <v>69</v>
      </c>
      <c r="N2959" t="str">
        <f t="shared" si="187"/>
        <v>Sep</v>
      </c>
    </row>
    <row r="2960" spans="1:14" x14ac:dyDescent="0.3">
      <c r="A2960" s="2" t="s">
        <v>3026</v>
      </c>
      <c r="B2960" s="6">
        <v>45913</v>
      </c>
      <c r="C2960" s="2" t="s">
        <v>31</v>
      </c>
      <c r="D2960" s="2" t="s">
        <v>46</v>
      </c>
      <c r="E2960" s="2">
        <v>1</v>
      </c>
      <c r="F2960" s="7">
        <v>189</v>
      </c>
      <c r="G2960" s="8">
        <v>0</v>
      </c>
      <c r="H2960" s="9" t="str">
        <f>INDEX(Products!$B$2:$B$37, MATCH(D2960, Products!$A$2:$A$37, 0))</f>
        <v>Makeup Palette</v>
      </c>
      <c r="I2960" t="str">
        <f>INDEX(Products!$C$2:$C$37, MATCH(D2960, Products!$A$2:$A$37, 0))</f>
        <v>Beauty</v>
      </c>
      <c r="J2960">
        <f>INDEX(Products!$E$2:$E$37, MATCH(D2960, Products!$A$2:$A$37, 0))</f>
        <v>85</v>
      </c>
      <c r="K2960" s="9">
        <f t="shared" si="184"/>
        <v>189</v>
      </c>
      <c r="L2960">
        <f t="shared" si="185"/>
        <v>85</v>
      </c>
      <c r="M2960" s="9">
        <f t="shared" si="186"/>
        <v>104</v>
      </c>
      <c r="N2960" t="str">
        <f t="shared" si="187"/>
        <v>Sep</v>
      </c>
    </row>
    <row r="2961" spans="1:14" x14ac:dyDescent="0.3">
      <c r="A2961" s="2" t="s">
        <v>3027</v>
      </c>
      <c r="B2961" s="6">
        <v>45913</v>
      </c>
      <c r="C2961" s="2" t="s">
        <v>41</v>
      </c>
      <c r="D2961" s="2" t="s">
        <v>29</v>
      </c>
      <c r="E2961" s="2">
        <v>2</v>
      </c>
      <c r="F2961" s="7">
        <v>229</v>
      </c>
      <c r="G2961" s="8">
        <v>0.05</v>
      </c>
      <c r="H2961" s="9" t="str">
        <f>INDEX(Products!$B$2:$B$37, MATCH(D2961, Products!$A$2:$A$37, 0))</f>
        <v>Women's Summer Dress</v>
      </c>
      <c r="I2961" t="str">
        <f>INDEX(Products!$C$2:$C$37, MATCH(D2961, Products!$A$2:$A$37, 0))</f>
        <v>Fashion</v>
      </c>
      <c r="J2961">
        <f>INDEX(Products!$E$2:$E$37, MATCH(D2961, Products!$A$2:$A$37, 0))</f>
        <v>120</v>
      </c>
      <c r="K2961" s="9">
        <f t="shared" si="184"/>
        <v>435.09999999999997</v>
      </c>
      <c r="L2961">
        <f t="shared" si="185"/>
        <v>240</v>
      </c>
      <c r="M2961" s="9">
        <f t="shared" si="186"/>
        <v>195.09999999999997</v>
      </c>
      <c r="N2961" t="str">
        <f t="shared" si="187"/>
        <v>Sep</v>
      </c>
    </row>
    <row r="2962" spans="1:14" x14ac:dyDescent="0.3">
      <c r="A2962" s="2" t="s">
        <v>3028</v>
      </c>
      <c r="B2962" s="6">
        <v>45913</v>
      </c>
      <c r="C2962" s="2" t="s">
        <v>44</v>
      </c>
      <c r="D2962" s="2" t="s">
        <v>52</v>
      </c>
      <c r="E2962" s="2">
        <v>1</v>
      </c>
      <c r="F2962" s="7">
        <v>299</v>
      </c>
      <c r="G2962" s="8">
        <v>0.1</v>
      </c>
      <c r="H2962" s="9" t="str">
        <f>INDEX(Products!$B$2:$B$37, MATCH(D2962, Products!$A$2:$A$37, 0))</f>
        <v>Hair Dryer Ionic</v>
      </c>
      <c r="I2962" t="str">
        <f>INDEX(Products!$C$2:$C$37, MATCH(D2962, Products!$A$2:$A$37, 0))</f>
        <v>Beauty</v>
      </c>
      <c r="J2962">
        <f>INDEX(Products!$E$2:$E$37, MATCH(D2962, Products!$A$2:$A$37, 0))</f>
        <v>240</v>
      </c>
      <c r="K2962" s="9">
        <f t="shared" si="184"/>
        <v>269.10000000000002</v>
      </c>
      <c r="L2962">
        <f t="shared" si="185"/>
        <v>240</v>
      </c>
      <c r="M2962" s="9">
        <f t="shared" si="186"/>
        <v>29.100000000000023</v>
      </c>
      <c r="N2962" t="str">
        <f t="shared" si="187"/>
        <v>Sep</v>
      </c>
    </row>
    <row r="2963" spans="1:14" x14ac:dyDescent="0.3">
      <c r="A2963" s="2" t="s">
        <v>3029</v>
      </c>
      <c r="B2963" s="6">
        <v>45913</v>
      </c>
      <c r="C2963" s="2" t="s">
        <v>31</v>
      </c>
      <c r="D2963" s="2" t="s">
        <v>165</v>
      </c>
      <c r="E2963" s="2">
        <v>4</v>
      </c>
      <c r="F2963" s="7">
        <v>69</v>
      </c>
      <c r="G2963" s="8">
        <v>0.3</v>
      </c>
      <c r="H2963" s="9" t="str">
        <f>INDEX(Products!$B$2:$B$37, MATCH(D2963, Products!$A$2:$A$37, 0))</f>
        <v>Swim Goggles</v>
      </c>
      <c r="I2963" t="str">
        <f>INDEX(Products!$C$2:$C$37, MATCH(D2963, Products!$A$2:$A$37, 0))</f>
        <v>Sports</v>
      </c>
      <c r="J2963">
        <f>INDEX(Products!$E$2:$E$37, MATCH(D2963, Products!$A$2:$A$37, 0))</f>
        <v>25</v>
      </c>
      <c r="K2963" s="9">
        <f t="shared" si="184"/>
        <v>193.2</v>
      </c>
      <c r="L2963">
        <f t="shared" si="185"/>
        <v>100</v>
      </c>
      <c r="M2963" s="9">
        <f t="shared" si="186"/>
        <v>93.199999999999989</v>
      </c>
      <c r="N2963" t="str">
        <f t="shared" si="187"/>
        <v>Sep</v>
      </c>
    </row>
    <row r="2964" spans="1:14" x14ac:dyDescent="0.3">
      <c r="A2964" s="2" t="s">
        <v>3030</v>
      </c>
      <c r="B2964" s="6">
        <v>45913</v>
      </c>
      <c r="C2964" s="2" t="s">
        <v>28</v>
      </c>
      <c r="D2964" s="2" t="s">
        <v>35</v>
      </c>
      <c r="E2964" s="2">
        <v>2</v>
      </c>
      <c r="F2964" s="7">
        <v>179</v>
      </c>
      <c r="G2964" s="8">
        <v>0.15</v>
      </c>
      <c r="H2964" s="9" t="str">
        <f>INDEX(Products!$B$2:$B$37, MATCH(D2964, Products!$A$2:$A$37, 0))</f>
        <v>Men's Linen Shirt</v>
      </c>
      <c r="I2964" t="str">
        <f>INDEX(Products!$C$2:$C$37, MATCH(D2964, Products!$A$2:$A$37, 0))</f>
        <v>Fashion</v>
      </c>
      <c r="J2964">
        <f>INDEX(Products!$E$2:$E$37, MATCH(D2964, Products!$A$2:$A$37, 0))</f>
        <v>70</v>
      </c>
      <c r="K2964" s="9">
        <f t="shared" si="184"/>
        <v>304.3</v>
      </c>
      <c r="L2964">
        <f t="shared" si="185"/>
        <v>140</v>
      </c>
      <c r="M2964" s="9">
        <f t="shared" si="186"/>
        <v>164.3</v>
      </c>
      <c r="N2964" t="str">
        <f t="shared" si="187"/>
        <v>Sep</v>
      </c>
    </row>
    <row r="2965" spans="1:14" x14ac:dyDescent="0.3">
      <c r="A2965" s="2" t="s">
        <v>3031</v>
      </c>
      <c r="B2965" s="6">
        <v>45914</v>
      </c>
      <c r="C2965" s="2" t="s">
        <v>44</v>
      </c>
      <c r="D2965" s="2" t="s">
        <v>87</v>
      </c>
      <c r="E2965" s="2">
        <v>2</v>
      </c>
      <c r="F2965" s="7">
        <v>799</v>
      </c>
      <c r="G2965" s="8">
        <v>0.2</v>
      </c>
      <c r="H2965" s="9" t="str">
        <f>INDEX(Products!$B$2:$B$37, MATCH(D2965, Products!$A$2:$A$37, 0))</f>
        <v>Adjustable Dumbbells</v>
      </c>
      <c r="I2965" t="str">
        <f>INDEX(Products!$C$2:$C$37, MATCH(D2965, Products!$A$2:$A$37, 0))</f>
        <v>Sports</v>
      </c>
      <c r="J2965">
        <f>INDEX(Products!$E$2:$E$37, MATCH(D2965, Products!$A$2:$A$37, 0))</f>
        <v>700</v>
      </c>
      <c r="K2965" s="9">
        <f t="shared" si="184"/>
        <v>1278.4000000000001</v>
      </c>
      <c r="L2965">
        <f t="shared" si="185"/>
        <v>1400</v>
      </c>
      <c r="M2965" s="9">
        <f t="shared" si="186"/>
        <v>-121.59999999999991</v>
      </c>
      <c r="N2965" t="str">
        <f t="shared" si="187"/>
        <v>Sep</v>
      </c>
    </row>
    <row r="2966" spans="1:14" x14ac:dyDescent="0.3">
      <c r="A2966" s="2" t="s">
        <v>3032</v>
      </c>
      <c r="B2966" s="6">
        <v>45914</v>
      </c>
      <c r="C2966" s="2" t="s">
        <v>48</v>
      </c>
      <c r="D2966" s="2" t="s">
        <v>80</v>
      </c>
      <c r="E2966" s="2">
        <v>3</v>
      </c>
      <c r="F2966" s="7">
        <v>149</v>
      </c>
      <c r="G2966" s="8">
        <v>0.15</v>
      </c>
      <c r="H2966" s="9" t="str">
        <f>INDEX(Products!$B$2:$B$37, MATCH(D2966, Products!$A$2:$A$37, 0))</f>
        <v>Vitamin C Serum</v>
      </c>
      <c r="I2966" t="str">
        <f>INDEX(Products!$C$2:$C$37, MATCH(D2966, Products!$A$2:$A$37, 0))</f>
        <v>Beauty</v>
      </c>
      <c r="J2966">
        <f>INDEX(Products!$E$2:$E$37, MATCH(D2966, Products!$A$2:$A$37, 0))</f>
        <v>55</v>
      </c>
      <c r="K2966" s="9">
        <f t="shared" si="184"/>
        <v>379.95</v>
      </c>
      <c r="L2966">
        <f t="shared" si="185"/>
        <v>165</v>
      </c>
      <c r="M2966" s="9">
        <f t="shared" si="186"/>
        <v>214.95</v>
      </c>
      <c r="N2966" t="str">
        <f t="shared" si="187"/>
        <v>Sep</v>
      </c>
    </row>
    <row r="2967" spans="1:14" x14ac:dyDescent="0.3">
      <c r="A2967" s="2" t="s">
        <v>3033</v>
      </c>
      <c r="B2967" s="6">
        <v>45914</v>
      </c>
      <c r="C2967" s="2" t="s">
        <v>31</v>
      </c>
      <c r="D2967" s="2" t="s">
        <v>70</v>
      </c>
      <c r="E2967" s="2">
        <v>3</v>
      </c>
      <c r="F2967" s="7">
        <v>429</v>
      </c>
      <c r="G2967" s="8">
        <v>0.2</v>
      </c>
      <c r="H2967" s="9" t="str">
        <f>INDEX(Products!$B$2:$B$37, MATCH(D2967, Products!$A$2:$A$37, 0))</f>
        <v>Running Shoes Elite</v>
      </c>
      <c r="I2967" t="str">
        <f>INDEX(Products!$C$2:$C$37, MATCH(D2967, Products!$A$2:$A$37, 0))</f>
        <v>Fashion</v>
      </c>
      <c r="J2967">
        <f>INDEX(Products!$E$2:$E$37, MATCH(D2967, Products!$A$2:$A$37, 0))</f>
        <v>300</v>
      </c>
      <c r="K2967" s="9">
        <f t="shared" si="184"/>
        <v>1029.6000000000001</v>
      </c>
      <c r="L2967">
        <f t="shared" si="185"/>
        <v>900</v>
      </c>
      <c r="M2967" s="9">
        <f t="shared" si="186"/>
        <v>129.60000000000014</v>
      </c>
      <c r="N2967" t="str">
        <f t="shared" si="187"/>
        <v>Sep</v>
      </c>
    </row>
    <row r="2968" spans="1:14" x14ac:dyDescent="0.3">
      <c r="A2968" s="2" t="s">
        <v>3034</v>
      </c>
      <c r="B2968" s="6">
        <v>45914</v>
      </c>
      <c r="C2968" s="2" t="s">
        <v>41</v>
      </c>
      <c r="D2968" s="2" t="s">
        <v>194</v>
      </c>
      <c r="E2968" s="2">
        <v>1</v>
      </c>
      <c r="F2968" s="7">
        <v>699</v>
      </c>
      <c r="G2968" s="8">
        <v>0</v>
      </c>
      <c r="H2968" s="9" t="str">
        <f>INDEX(Products!$B$2:$B$37, MATCH(D2968, Products!$A$2:$A$37, 0))</f>
        <v>Leather Handbag</v>
      </c>
      <c r="I2968" t="str">
        <f>INDEX(Products!$C$2:$C$37, MATCH(D2968, Products!$A$2:$A$37, 0))</f>
        <v>Fashion</v>
      </c>
      <c r="J2968">
        <f>INDEX(Products!$E$2:$E$37, MATCH(D2968, Products!$A$2:$A$37, 0))</f>
        <v>380</v>
      </c>
      <c r="K2968" s="9">
        <f t="shared" si="184"/>
        <v>699</v>
      </c>
      <c r="L2968">
        <f t="shared" si="185"/>
        <v>380</v>
      </c>
      <c r="M2968" s="9">
        <f t="shared" si="186"/>
        <v>319</v>
      </c>
      <c r="N2968" t="str">
        <f t="shared" si="187"/>
        <v>Sep</v>
      </c>
    </row>
    <row r="2969" spans="1:14" x14ac:dyDescent="0.3">
      <c r="A2969" s="2" t="s">
        <v>3035</v>
      </c>
      <c r="B2969" s="6">
        <v>45914</v>
      </c>
      <c r="C2969" s="2" t="s">
        <v>44</v>
      </c>
      <c r="D2969" s="2" t="s">
        <v>129</v>
      </c>
      <c r="E2969" s="2">
        <v>2</v>
      </c>
      <c r="F2969" s="7">
        <v>149</v>
      </c>
      <c r="G2969" s="8">
        <v>0.05</v>
      </c>
      <c r="H2969" s="9" t="str">
        <f>INDEX(Products!$B$2:$B$37, MATCH(D2969, Products!$A$2:$A$37, 0))</f>
        <v>Power Bank 20000mAh</v>
      </c>
      <c r="I2969" t="str">
        <f>INDEX(Products!$C$2:$C$37, MATCH(D2969, Products!$A$2:$A$37, 0))</f>
        <v>Electronics</v>
      </c>
      <c r="J2969">
        <f>INDEX(Products!$E$2:$E$37, MATCH(D2969, Products!$A$2:$A$37, 0))</f>
        <v>70</v>
      </c>
      <c r="K2969" s="9">
        <f t="shared" si="184"/>
        <v>283.09999999999997</v>
      </c>
      <c r="L2969">
        <f t="shared" si="185"/>
        <v>140</v>
      </c>
      <c r="M2969" s="9">
        <f t="shared" si="186"/>
        <v>143.09999999999997</v>
      </c>
      <c r="N2969" t="str">
        <f t="shared" si="187"/>
        <v>Sep</v>
      </c>
    </row>
    <row r="2970" spans="1:14" x14ac:dyDescent="0.3">
      <c r="A2970" s="2" t="s">
        <v>3036</v>
      </c>
      <c r="B2970" s="6">
        <v>45914</v>
      </c>
      <c r="C2970" s="2" t="s">
        <v>48</v>
      </c>
      <c r="D2970" s="2" t="s">
        <v>75</v>
      </c>
      <c r="E2970" s="2">
        <v>1</v>
      </c>
      <c r="F2970" s="7">
        <v>549</v>
      </c>
      <c r="G2970" s="8">
        <v>0</v>
      </c>
      <c r="H2970" s="9" t="str">
        <f>INDEX(Products!$B$2:$B$37, MATCH(D2970, Products!$A$2:$A$37, 0))</f>
        <v>Oud Perfume 100ml</v>
      </c>
      <c r="I2970" t="str">
        <f>INDEX(Products!$C$2:$C$37, MATCH(D2970, Products!$A$2:$A$37, 0))</f>
        <v>Beauty</v>
      </c>
      <c r="J2970">
        <f>INDEX(Products!$E$2:$E$37, MATCH(D2970, Products!$A$2:$A$37, 0))</f>
        <v>250</v>
      </c>
      <c r="K2970" s="9">
        <f t="shared" si="184"/>
        <v>549</v>
      </c>
      <c r="L2970">
        <f t="shared" si="185"/>
        <v>250</v>
      </c>
      <c r="M2970" s="9">
        <f t="shared" si="186"/>
        <v>299</v>
      </c>
      <c r="N2970" t="str">
        <f t="shared" si="187"/>
        <v>Sep</v>
      </c>
    </row>
    <row r="2971" spans="1:14" x14ac:dyDescent="0.3">
      <c r="A2971" s="2" t="s">
        <v>3037</v>
      </c>
      <c r="B2971" s="6">
        <v>45914</v>
      </c>
      <c r="C2971" s="2" t="s">
        <v>31</v>
      </c>
      <c r="D2971" s="2" t="s">
        <v>78</v>
      </c>
      <c r="E2971" s="2">
        <v>2</v>
      </c>
      <c r="F2971" s="7">
        <v>499</v>
      </c>
      <c r="G2971" s="8">
        <v>0</v>
      </c>
      <c r="H2971" s="9" t="str">
        <f>INDEX(Products!$B$2:$B$37, MATCH(D2971, Products!$A$2:$A$37, 0))</f>
        <v>Air Fryer 5L</v>
      </c>
      <c r="I2971" t="str">
        <f>INDEX(Products!$C$2:$C$37, MATCH(D2971, Products!$A$2:$A$37, 0))</f>
        <v>Home &amp; Kitchen</v>
      </c>
      <c r="J2971">
        <f>INDEX(Products!$E$2:$E$37, MATCH(D2971, Products!$A$2:$A$37, 0))</f>
        <v>290</v>
      </c>
      <c r="K2971" s="9">
        <f t="shared" si="184"/>
        <v>998</v>
      </c>
      <c r="L2971">
        <f t="shared" si="185"/>
        <v>580</v>
      </c>
      <c r="M2971" s="9">
        <f t="shared" si="186"/>
        <v>418</v>
      </c>
      <c r="N2971" t="str">
        <f t="shared" si="187"/>
        <v>Sep</v>
      </c>
    </row>
    <row r="2972" spans="1:14" x14ac:dyDescent="0.3">
      <c r="A2972" s="2" t="s">
        <v>3038</v>
      </c>
      <c r="B2972" s="6">
        <v>45915</v>
      </c>
      <c r="C2972" s="2" t="s">
        <v>28</v>
      </c>
      <c r="D2972" s="2" t="s">
        <v>35</v>
      </c>
      <c r="E2972" s="2">
        <v>2</v>
      </c>
      <c r="F2972" s="7">
        <v>179</v>
      </c>
      <c r="G2972" s="8">
        <v>0</v>
      </c>
      <c r="H2972" s="9" t="str">
        <f>INDEX(Products!$B$2:$B$37, MATCH(D2972, Products!$A$2:$A$37, 0))</f>
        <v>Men's Linen Shirt</v>
      </c>
      <c r="I2972" t="str">
        <f>INDEX(Products!$C$2:$C$37, MATCH(D2972, Products!$A$2:$A$37, 0))</f>
        <v>Fashion</v>
      </c>
      <c r="J2972">
        <f>INDEX(Products!$E$2:$E$37, MATCH(D2972, Products!$A$2:$A$37, 0))</f>
        <v>70</v>
      </c>
      <c r="K2972" s="9">
        <f t="shared" si="184"/>
        <v>358</v>
      </c>
      <c r="L2972">
        <f t="shared" si="185"/>
        <v>140</v>
      </c>
      <c r="M2972" s="9">
        <f t="shared" si="186"/>
        <v>218</v>
      </c>
      <c r="N2972" t="str">
        <f t="shared" si="187"/>
        <v>Sep</v>
      </c>
    </row>
    <row r="2973" spans="1:14" x14ac:dyDescent="0.3">
      <c r="A2973" s="2" t="s">
        <v>3039</v>
      </c>
      <c r="B2973" s="6">
        <v>45915</v>
      </c>
      <c r="C2973" s="2" t="s">
        <v>41</v>
      </c>
      <c r="D2973" s="2" t="s">
        <v>126</v>
      </c>
      <c r="E2973" s="2">
        <v>2</v>
      </c>
      <c r="F2973" s="7">
        <v>89</v>
      </c>
      <c r="G2973" s="8">
        <v>0</v>
      </c>
      <c r="H2973" s="9" t="str">
        <f>INDEX(Products!$B$2:$B$37, MATCH(D2973, Products!$A$2:$A$37, 0))</f>
        <v>USB-C Fast Charger</v>
      </c>
      <c r="I2973" t="str">
        <f>INDEX(Products!$C$2:$C$37, MATCH(D2973, Products!$A$2:$A$37, 0))</f>
        <v>Electronics</v>
      </c>
      <c r="J2973">
        <f>INDEX(Products!$E$2:$E$37, MATCH(D2973, Products!$A$2:$A$37, 0))</f>
        <v>35</v>
      </c>
      <c r="K2973" s="9">
        <f t="shared" si="184"/>
        <v>178</v>
      </c>
      <c r="L2973">
        <f t="shared" si="185"/>
        <v>70</v>
      </c>
      <c r="M2973" s="9">
        <f t="shared" si="186"/>
        <v>108</v>
      </c>
      <c r="N2973" t="str">
        <f t="shared" si="187"/>
        <v>Sep</v>
      </c>
    </row>
    <row r="2974" spans="1:14" x14ac:dyDescent="0.3">
      <c r="A2974" s="2" t="s">
        <v>3040</v>
      </c>
      <c r="B2974" s="6">
        <v>45915</v>
      </c>
      <c r="C2974" s="2" t="s">
        <v>28</v>
      </c>
      <c r="D2974" s="2" t="s">
        <v>33</v>
      </c>
      <c r="E2974" s="2">
        <v>1</v>
      </c>
      <c r="F2974" s="7">
        <v>199</v>
      </c>
      <c r="G2974" s="8">
        <v>0.2</v>
      </c>
      <c r="H2974" s="9" t="str">
        <f>INDEX(Products!$B$2:$B$37, MATCH(D2974, Products!$A$2:$A$37, 0))</f>
        <v>Fitness Band Lite</v>
      </c>
      <c r="I2974" t="str">
        <f>INDEX(Products!$C$2:$C$37, MATCH(D2974, Products!$A$2:$A$37, 0))</f>
        <v>Electronics</v>
      </c>
      <c r="J2974">
        <f>INDEX(Products!$E$2:$E$37, MATCH(D2974, Products!$A$2:$A$37, 0))</f>
        <v>175</v>
      </c>
      <c r="K2974" s="9">
        <f t="shared" si="184"/>
        <v>159.20000000000002</v>
      </c>
      <c r="L2974">
        <f t="shared" si="185"/>
        <v>175</v>
      </c>
      <c r="M2974" s="9">
        <f t="shared" si="186"/>
        <v>-15.799999999999983</v>
      </c>
      <c r="N2974" t="str">
        <f t="shared" si="187"/>
        <v>Sep</v>
      </c>
    </row>
    <row r="2975" spans="1:14" x14ac:dyDescent="0.3">
      <c r="A2975" s="2" t="s">
        <v>3041</v>
      </c>
      <c r="B2975" s="6">
        <v>45915</v>
      </c>
      <c r="C2975" s="2" t="s">
        <v>41</v>
      </c>
      <c r="D2975" s="2" t="s">
        <v>149</v>
      </c>
      <c r="E2975" s="2">
        <v>2</v>
      </c>
      <c r="F2975" s="7">
        <v>399</v>
      </c>
      <c r="G2975" s="8">
        <v>0.15</v>
      </c>
      <c r="H2975" s="9" t="str">
        <f>INDEX(Products!$B$2:$B$37, MATCH(D2975, Products!$A$2:$A$37, 0))</f>
        <v>Blender Pro 1200W</v>
      </c>
      <c r="I2975" t="str">
        <f>INDEX(Products!$C$2:$C$37, MATCH(D2975, Products!$A$2:$A$37, 0))</f>
        <v>Home &amp; Kitchen</v>
      </c>
      <c r="J2975">
        <f>INDEX(Products!$E$2:$E$37, MATCH(D2975, Products!$A$2:$A$37, 0))</f>
        <v>250</v>
      </c>
      <c r="K2975" s="9">
        <f t="shared" si="184"/>
        <v>678.3</v>
      </c>
      <c r="L2975">
        <f t="shared" si="185"/>
        <v>500</v>
      </c>
      <c r="M2975" s="9">
        <f t="shared" si="186"/>
        <v>178.29999999999995</v>
      </c>
      <c r="N2975" t="str">
        <f t="shared" si="187"/>
        <v>Sep</v>
      </c>
    </row>
    <row r="2976" spans="1:14" x14ac:dyDescent="0.3">
      <c r="A2976" s="2" t="s">
        <v>3042</v>
      </c>
      <c r="B2976" s="6">
        <v>45915</v>
      </c>
      <c r="C2976" s="2" t="s">
        <v>44</v>
      </c>
      <c r="D2976" s="2" t="s">
        <v>46</v>
      </c>
      <c r="E2976" s="2">
        <v>1</v>
      </c>
      <c r="F2976" s="7">
        <v>189</v>
      </c>
      <c r="G2976" s="8">
        <v>0.05</v>
      </c>
      <c r="H2976" s="9" t="str">
        <f>INDEX(Products!$B$2:$B$37, MATCH(D2976, Products!$A$2:$A$37, 0))</f>
        <v>Makeup Palette</v>
      </c>
      <c r="I2976" t="str">
        <f>INDEX(Products!$C$2:$C$37, MATCH(D2976, Products!$A$2:$A$37, 0))</f>
        <v>Beauty</v>
      </c>
      <c r="J2976">
        <f>INDEX(Products!$E$2:$E$37, MATCH(D2976, Products!$A$2:$A$37, 0))</f>
        <v>85</v>
      </c>
      <c r="K2976" s="9">
        <f t="shared" si="184"/>
        <v>179.54999999999998</v>
      </c>
      <c r="L2976">
        <f t="shared" si="185"/>
        <v>85</v>
      </c>
      <c r="M2976" s="9">
        <f t="shared" si="186"/>
        <v>94.549999999999983</v>
      </c>
      <c r="N2976" t="str">
        <f t="shared" si="187"/>
        <v>Sep</v>
      </c>
    </row>
    <row r="2977" spans="1:14" x14ac:dyDescent="0.3">
      <c r="A2977" s="2" t="s">
        <v>3043</v>
      </c>
      <c r="B2977" s="6">
        <v>45915</v>
      </c>
      <c r="C2977" s="2" t="s">
        <v>31</v>
      </c>
      <c r="D2977" s="2" t="s">
        <v>52</v>
      </c>
      <c r="E2977" s="2">
        <v>1</v>
      </c>
      <c r="F2977" s="7">
        <v>299</v>
      </c>
      <c r="G2977" s="8">
        <v>0.1</v>
      </c>
      <c r="H2977" s="9" t="str">
        <f>INDEX(Products!$B$2:$B$37, MATCH(D2977, Products!$A$2:$A$37, 0))</f>
        <v>Hair Dryer Ionic</v>
      </c>
      <c r="I2977" t="str">
        <f>INDEX(Products!$C$2:$C$37, MATCH(D2977, Products!$A$2:$A$37, 0))</f>
        <v>Beauty</v>
      </c>
      <c r="J2977">
        <f>INDEX(Products!$E$2:$E$37, MATCH(D2977, Products!$A$2:$A$37, 0))</f>
        <v>240</v>
      </c>
      <c r="K2977" s="9">
        <f t="shared" si="184"/>
        <v>269.10000000000002</v>
      </c>
      <c r="L2977">
        <f t="shared" si="185"/>
        <v>240</v>
      </c>
      <c r="M2977" s="9">
        <f t="shared" si="186"/>
        <v>29.100000000000023</v>
      </c>
      <c r="N2977" t="str">
        <f t="shared" si="187"/>
        <v>Sep</v>
      </c>
    </row>
    <row r="2978" spans="1:14" x14ac:dyDescent="0.3">
      <c r="A2978" s="2" t="s">
        <v>3044</v>
      </c>
      <c r="B2978" s="6">
        <v>45915</v>
      </c>
      <c r="C2978" s="2" t="s">
        <v>41</v>
      </c>
      <c r="D2978" s="2" t="s">
        <v>194</v>
      </c>
      <c r="E2978" s="2">
        <v>1</v>
      </c>
      <c r="F2978" s="7">
        <v>699</v>
      </c>
      <c r="G2978" s="8">
        <v>0</v>
      </c>
      <c r="H2978" s="9" t="str">
        <f>INDEX(Products!$B$2:$B$37, MATCH(D2978, Products!$A$2:$A$37, 0))</f>
        <v>Leather Handbag</v>
      </c>
      <c r="I2978" t="str">
        <f>INDEX(Products!$C$2:$C$37, MATCH(D2978, Products!$A$2:$A$37, 0))</f>
        <v>Fashion</v>
      </c>
      <c r="J2978">
        <f>INDEX(Products!$E$2:$E$37, MATCH(D2978, Products!$A$2:$A$37, 0))</f>
        <v>380</v>
      </c>
      <c r="K2978" s="9">
        <f t="shared" si="184"/>
        <v>699</v>
      </c>
      <c r="L2978">
        <f t="shared" si="185"/>
        <v>380</v>
      </c>
      <c r="M2978" s="9">
        <f t="shared" si="186"/>
        <v>319</v>
      </c>
      <c r="N2978" t="str">
        <f t="shared" si="187"/>
        <v>Sep</v>
      </c>
    </row>
    <row r="2979" spans="1:14" x14ac:dyDescent="0.3">
      <c r="A2979" s="2" t="s">
        <v>3045</v>
      </c>
      <c r="B2979" s="6">
        <v>45915</v>
      </c>
      <c r="C2979" s="2" t="s">
        <v>44</v>
      </c>
      <c r="D2979" s="2" t="s">
        <v>103</v>
      </c>
      <c r="E2979" s="2">
        <v>2</v>
      </c>
      <c r="F2979" s="7">
        <v>89</v>
      </c>
      <c r="G2979" s="8">
        <v>0.1</v>
      </c>
      <c r="H2979" s="9" t="str">
        <f>INDEX(Products!$B$2:$B$37, MATCH(D2979, Products!$A$2:$A$37, 0))</f>
        <v>Sunscreen SPF50</v>
      </c>
      <c r="I2979" t="str">
        <f>INDEX(Products!$C$2:$C$37, MATCH(D2979, Products!$A$2:$A$37, 0))</f>
        <v>Beauty</v>
      </c>
      <c r="J2979">
        <f>INDEX(Products!$E$2:$E$37, MATCH(D2979, Products!$A$2:$A$37, 0))</f>
        <v>40</v>
      </c>
      <c r="K2979" s="9">
        <f t="shared" si="184"/>
        <v>160.20000000000002</v>
      </c>
      <c r="L2979">
        <f t="shared" si="185"/>
        <v>80</v>
      </c>
      <c r="M2979" s="9">
        <f t="shared" si="186"/>
        <v>80.200000000000017</v>
      </c>
      <c r="N2979" t="str">
        <f t="shared" si="187"/>
        <v>Sep</v>
      </c>
    </row>
    <row r="2980" spans="1:14" x14ac:dyDescent="0.3">
      <c r="A2980" s="2" t="s">
        <v>3046</v>
      </c>
      <c r="B2980" s="6">
        <v>45915</v>
      </c>
      <c r="C2980" s="2" t="s">
        <v>44</v>
      </c>
      <c r="D2980" s="2" t="s">
        <v>46</v>
      </c>
      <c r="E2980" s="2">
        <v>2</v>
      </c>
      <c r="F2980" s="7">
        <v>189</v>
      </c>
      <c r="G2980" s="8">
        <v>0</v>
      </c>
      <c r="H2980" s="9" t="str">
        <f>INDEX(Products!$B$2:$B$37, MATCH(D2980, Products!$A$2:$A$37, 0))</f>
        <v>Makeup Palette</v>
      </c>
      <c r="I2980" t="str">
        <f>INDEX(Products!$C$2:$C$37, MATCH(D2980, Products!$A$2:$A$37, 0))</f>
        <v>Beauty</v>
      </c>
      <c r="J2980">
        <f>INDEX(Products!$E$2:$E$37, MATCH(D2980, Products!$A$2:$A$37, 0))</f>
        <v>85</v>
      </c>
      <c r="K2980" s="9">
        <f t="shared" si="184"/>
        <v>378</v>
      </c>
      <c r="L2980">
        <f t="shared" si="185"/>
        <v>170</v>
      </c>
      <c r="M2980" s="9">
        <f t="shared" si="186"/>
        <v>208</v>
      </c>
      <c r="N2980" t="str">
        <f t="shared" si="187"/>
        <v>Sep</v>
      </c>
    </row>
    <row r="2981" spans="1:14" x14ac:dyDescent="0.3">
      <c r="A2981" s="2" t="s">
        <v>3047</v>
      </c>
      <c r="B2981" s="6">
        <v>45915</v>
      </c>
      <c r="C2981" s="2" t="s">
        <v>44</v>
      </c>
      <c r="D2981" s="2" t="s">
        <v>39</v>
      </c>
      <c r="E2981" s="2">
        <v>1</v>
      </c>
      <c r="F2981" s="7">
        <v>199</v>
      </c>
      <c r="G2981" s="8">
        <v>0.1</v>
      </c>
      <c r="H2981" s="9" t="str">
        <f>INDEX(Products!$B$2:$B$37, MATCH(D2981, Products!$A$2:$A$37, 0))</f>
        <v>Bakhoor Gift Set</v>
      </c>
      <c r="I2981" t="str">
        <f>INDEX(Products!$C$2:$C$37, MATCH(D2981, Products!$A$2:$A$37, 0))</f>
        <v>Beauty</v>
      </c>
      <c r="J2981">
        <f>INDEX(Products!$E$2:$E$37, MATCH(D2981, Products!$A$2:$A$37, 0))</f>
        <v>90</v>
      </c>
      <c r="K2981" s="9">
        <f t="shared" si="184"/>
        <v>179.1</v>
      </c>
      <c r="L2981">
        <f t="shared" si="185"/>
        <v>90</v>
      </c>
      <c r="M2981" s="9">
        <f t="shared" si="186"/>
        <v>89.1</v>
      </c>
      <c r="N2981" t="str">
        <f t="shared" si="187"/>
        <v>Sep</v>
      </c>
    </row>
    <row r="2982" spans="1:14" x14ac:dyDescent="0.3">
      <c r="A2982" s="2" t="s">
        <v>3048</v>
      </c>
      <c r="B2982" s="6">
        <v>45915</v>
      </c>
      <c r="C2982" s="2" t="s">
        <v>31</v>
      </c>
      <c r="D2982" s="2" t="s">
        <v>52</v>
      </c>
      <c r="E2982" s="2">
        <v>2</v>
      </c>
      <c r="F2982" s="7">
        <v>299</v>
      </c>
      <c r="G2982" s="8">
        <v>0.2</v>
      </c>
      <c r="H2982" s="9" t="str">
        <f>INDEX(Products!$B$2:$B$37, MATCH(D2982, Products!$A$2:$A$37, 0))</f>
        <v>Hair Dryer Ionic</v>
      </c>
      <c r="I2982" t="str">
        <f>INDEX(Products!$C$2:$C$37, MATCH(D2982, Products!$A$2:$A$37, 0))</f>
        <v>Beauty</v>
      </c>
      <c r="J2982">
        <f>INDEX(Products!$E$2:$E$37, MATCH(D2982, Products!$A$2:$A$37, 0))</f>
        <v>240</v>
      </c>
      <c r="K2982" s="9">
        <f t="shared" si="184"/>
        <v>478.40000000000003</v>
      </c>
      <c r="L2982">
        <f t="shared" si="185"/>
        <v>480</v>
      </c>
      <c r="M2982" s="9">
        <f t="shared" si="186"/>
        <v>-1.5999999999999659</v>
      </c>
      <c r="N2982" t="str">
        <f t="shared" si="187"/>
        <v>Sep</v>
      </c>
    </row>
    <row r="2983" spans="1:14" x14ac:dyDescent="0.3">
      <c r="A2983" s="2" t="s">
        <v>3049</v>
      </c>
      <c r="B2983" s="6">
        <v>45915</v>
      </c>
      <c r="C2983" s="2" t="s">
        <v>41</v>
      </c>
      <c r="D2983" s="2" t="s">
        <v>75</v>
      </c>
      <c r="E2983" s="2">
        <v>1</v>
      </c>
      <c r="F2983" s="7">
        <v>549</v>
      </c>
      <c r="G2983" s="8">
        <v>0</v>
      </c>
      <c r="H2983" s="9" t="str">
        <f>INDEX(Products!$B$2:$B$37, MATCH(D2983, Products!$A$2:$A$37, 0))</f>
        <v>Oud Perfume 100ml</v>
      </c>
      <c r="I2983" t="str">
        <f>INDEX(Products!$C$2:$C$37, MATCH(D2983, Products!$A$2:$A$37, 0))</f>
        <v>Beauty</v>
      </c>
      <c r="J2983">
        <f>INDEX(Products!$E$2:$E$37, MATCH(D2983, Products!$A$2:$A$37, 0))</f>
        <v>250</v>
      </c>
      <c r="K2983" s="9">
        <f t="shared" si="184"/>
        <v>549</v>
      </c>
      <c r="L2983">
        <f t="shared" si="185"/>
        <v>250</v>
      </c>
      <c r="M2983" s="9">
        <f t="shared" si="186"/>
        <v>299</v>
      </c>
      <c r="N2983" t="str">
        <f t="shared" si="187"/>
        <v>Sep</v>
      </c>
    </row>
    <row r="2984" spans="1:14" x14ac:dyDescent="0.3">
      <c r="A2984" s="2" t="s">
        <v>3050</v>
      </c>
      <c r="B2984" s="6">
        <v>45916</v>
      </c>
      <c r="C2984" s="2" t="s">
        <v>31</v>
      </c>
      <c r="D2984" s="2" t="s">
        <v>56</v>
      </c>
      <c r="E2984" s="2">
        <v>2</v>
      </c>
      <c r="F2984" s="7">
        <v>289</v>
      </c>
      <c r="G2984" s="8">
        <v>0.3</v>
      </c>
      <c r="H2984" s="9" t="str">
        <f>INDEX(Products!$B$2:$B$37, MATCH(D2984, Products!$A$2:$A$37, 0))</f>
        <v>Ceramic Dinner Set</v>
      </c>
      <c r="I2984" t="str">
        <f>INDEX(Products!$C$2:$C$37, MATCH(D2984, Products!$A$2:$A$37, 0))</f>
        <v>Home &amp; Kitchen</v>
      </c>
      <c r="J2984">
        <f>INDEX(Products!$E$2:$E$37, MATCH(D2984, Products!$A$2:$A$37, 0))</f>
        <v>140</v>
      </c>
      <c r="K2984" s="9">
        <f t="shared" si="184"/>
        <v>404.59999999999997</v>
      </c>
      <c r="L2984">
        <f t="shared" si="185"/>
        <v>280</v>
      </c>
      <c r="M2984" s="9">
        <f t="shared" si="186"/>
        <v>124.59999999999997</v>
      </c>
      <c r="N2984" t="str">
        <f t="shared" si="187"/>
        <v>Sep</v>
      </c>
    </row>
    <row r="2985" spans="1:14" x14ac:dyDescent="0.3">
      <c r="A2985" s="2" t="s">
        <v>3051</v>
      </c>
      <c r="B2985" s="6">
        <v>45916</v>
      </c>
      <c r="C2985" s="2" t="s">
        <v>41</v>
      </c>
      <c r="D2985" s="2" t="s">
        <v>60</v>
      </c>
      <c r="E2985" s="2">
        <v>1</v>
      </c>
      <c r="F2985" s="7">
        <v>99</v>
      </c>
      <c r="G2985" s="8">
        <v>0.1</v>
      </c>
      <c r="H2985" s="9" t="str">
        <f>INDEX(Products!$B$2:$B$37, MATCH(D2985, Products!$A$2:$A$37, 0))</f>
        <v>Football Size 5</v>
      </c>
      <c r="I2985" t="str">
        <f>INDEX(Products!$C$2:$C$37, MATCH(D2985, Products!$A$2:$A$37, 0))</f>
        <v>Sports</v>
      </c>
      <c r="J2985">
        <f>INDEX(Products!$E$2:$E$37, MATCH(D2985, Products!$A$2:$A$37, 0))</f>
        <v>45</v>
      </c>
      <c r="K2985" s="9">
        <f t="shared" si="184"/>
        <v>89.100000000000009</v>
      </c>
      <c r="L2985">
        <f t="shared" si="185"/>
        <v>45</v>
      </c>
      <c r="M2985" s="9">
        <f t="shared" si="186"/>
        <v>44.100000000000009</v>
      </c>
      <c r="N2985" t="str">
        <f t="shared" si="187"/>
        <v>Sep</v>
      </c>
    </row>
    <row r="2986" spans="1:14" x14ac:dyDescent="0.3">
      <c r="A2986" s="2" t="s">
        <v>3052</v>
      </c>
      <c r="B2986" s="6">
        <v>45916</v>
      </c>
      <c r="C2986" s="2" t="s">
        <v>44</v>
      </c>
      <c r="D2986" s="2" t="s">
        <v>35</v>
      </c>
      <c r="E2986" s="2">
        <v>2</v>
      </c>
      <c r="F2986" s="7">
        <v>179</v>
      </c>
      <c r="G2986" s="8">
        <v>0.05</v>
      </c>
      <c r="H2986" s="9" t="str">
        <f>INDEX(Products!$B$2:$B$37, MATCH(D2986, Products!$A$2:$A$37, 0))</f>
        <v>Men's Linen Shirt</v>
      </c>
      <c r="I2986" t="str">
        <f>INDEX(Products!$C$2:$C$37, MATCH(D2986, Products!$A$2:$A$37, 0))</f>
        <v>Fashion</v>
      </c>
      <c r="J2986">
        <f>INDEX(Products!$E$2:$E$37, MATCH(D2986, Products!$A$2:$A$37, 0))</f>
        <v>70</v>
      </c>
      <c r="K2986" s="9">
        <f t="shared" si="184"/>
        <v>340.09999999999997</v>
      </c>
      <c r="L2986">
        <f t="shared" si="185"/>
        <v>140</v>
      </c>
      <c r="M2986" s="9">
        <f t="shared" si="186"/>
        <v>200.09999999999997</v>
      </c>
      <c r="N2986" t="str">
        <f t="shared" si="187"/>
        <v>Sep</v>
      </c>
    </row>
    <row r="2987" spans="1:14" x14ac:dyDescent="0.3">
      <c r="A2987" s="2" t="s">
        <v>3053</v>
      </c>
      <c r="B2987" s="6">
        <v>45916</v>
      </c>
      <c r="C2987" s="2" t="s">
        <v>41</v>
      </c>
      <c r="D2987" s="2" t="s">
        <v>49</v>
      </c>
      <c r="E2987" s="2">
        <v>2</v>
      </c>
      <c r="F2987" s="7">
        <v>149</v>
      </c>
      <c r="G2987" s="8">
        <v>0</v>
      </c>
      <c r="H2987" s="9" t="str">
        <f>INDEX(Products!$B$2:$B$37, MATCH(D2987, Products!$A$2:$A$37, 0))</f>
        <v>Kids' Sneakers</v>
      </c>
      <c r="I2987" t="str">
        <f>INDEX(Products!$C$2:$C$37, MATCH(D2987, Products!$A$2:$A$37, 0))</f>
        <v>Fashion</v>
      </c>
      <c r="J2987">
        <f>INDEX(Products!$E$2:$E$37, MATCH(D2987, Products!$A$2:$A$37, 0))</f>
        <v>80</v>
      </c>
      <c r="K2987" s="9">
        <f t="shared" si="184"/>
        <v>298</v>
      </c>
      <c r="L2987">
        <f t="shared" si="185"/>
        <v>160</v>
      </c>
      <c r="M2987" s="9">
        <f t="shared" si="186"/>
        <v>138</v>
      </c>
      <c r="N2987" t="str">
        <f t="shared" si="187"/>
        <v>Sep</v>
      </c>
    </row>
    <row r="2988" spans="1:14" x14ac:dyDescent="0.3">
      <c r="A2988" s="2" t="s">
        <v>3054</v>
      </c>
      <c r="B2988" s="6">
        <v>45916</v>
      </c>
      <c r="C2988" s="2" t="s">
        <v>44</v>
      </c>
      <c r="D2988" s="2" t="s">
        <v>60</v>
      </c>
      <c r="E2988" s="2">
        <v>1</v>
      </c>
      <c r="F2988" s="7">
        <v>99</v>
      </c>
      <c r="G2988" s="8">
        <v>0</v>
      </c>
      <c r="H2988" s="9" t="str">
        <f>INDEX(Products!$B$2:$B$37, MATCH(D2988, Products!$A$2:$A$37, 0))</f>
        <v>Football Size 5</v>
      </c>
      <c r="I2988" t="str">
        <f>INDEX(Products!$C$2:$C$37, MATCH(D2988, Products!$A$2:$A$37, 0))</f>
        <v>Sports</v>
      </c>
      <c r="J2988">
        <f>INDEX(Products!$E$2:$E$37, MATCH(D2988, Products!$A$2:$A$37, 0))</f>
        <v>45</v>
      </c>
      <c r="K2988" s="9">
        <f t="shared" si="184"/>
        <v>99</v>
      </c>
      <c r="L2988">
        <f t="shared" si="185"/>
        <v>45</v>
      </c>
      <c r="M2988" s="9">
        <f t="shared" si="186"/>
        <v>54</v>
      </c>
      <c r="N2988" t="str">
        <f t="shared" si="187"/>
        <v>Sep</v>
      </c>
    </row>
    <row r="2989" spans="1:14" x14ac:dyDescent="0.3">
      <c r="A2989" s="2" t="s">
        <v>3055</v>
      </c>
      <c r="B2989" s="6">
        <v>45916</v>
      </c>
      <c r="C2989" s="2" t="s">
        <v>41</v>
      </c>
      <c r="D2989" s="2" t="s">
        <v>99</v>
      </c>
      <c r="E2989" s="2">
        <v>2</v>
      </c>
      <c r="F2989" s="7">
        <v>459</v>
      </c>
      <c r="G2989" s="8">
        <v>0.15</v>
      </c>
      <c r="H2989" s="9" t="str">
        <f>INDEX(Products!$B$2:$B$37, MATCH(D2989, Products!$A$2:$A$37, 0))</f>
        <v>Gaming Headset X</v>
      </c>
      <c r="I2989" t="str">
        <f>INDEX(Products!$C$2:$C$37, MATCH(D2989, Products!$A$2:$A$37, 0))</f>
        <v>Electronics</v>
      </c>
      <c r="J2989">
        <f>INDEX(Products!$E$2:$E$37, MATCH(D2989, Products!$A$2:$A$37, 0))</f>
        <v>300</v>
      </c>
      <c r="K2989" s="9">
        <f t="shared" si="184"/>
        <v>780.3</v>
      </c>
      <c r="L2989">
        <f t="shared" si="185"/>
        <v>600</v>
      </c>
      <c r="M2989" s="9">
        <f t="shared" si="186"/>
        <v>180.29999999999995</v>
      </c>
      <c r="N2989" t="str">
        <f t="shared" si="187"/>
        <v>Sep</v>
      </c>
    </row>
    <row r="2990" spans="1:14" x14ac:dyDescent="0.3">
      <c r="A2990" s="2" t="s">
        <v>3056</v>
      </c>
      <c r="B2990" s="6">
        <v>45916</v>
      </c>
      <c r="C2990" s="2" t="s">
        <v>44</v>
      </c>
      <c r="D2990" s="2" t="s">
        <v>37</v>
      </c>
      <c r="E2990" s="2">
        <v>1</v>
      </c>
      <c r="F2990" s="7">
        <v>249</v>
      </c>
      <c r="G2990" s="8">
        <v>0.1</v>
      </c>
      <c r="H2990" s="9" t="str">
        <f>INDEX(Products!$B$2:$B$37, MATCH(D2990, Products!$A$2:$A$37, 0))</f>
        <v>Sunglasses Polarised</v>
      </c>
      <c r="I2990" t="str">
        <f>INDEX(Products!$C$2:$C$37, MATCH(D2990, Products!$A$2:$A$37, 0))</f>
        <v>Fashion</v>
      </c>
      <c r="J2990">
        <f>INDEX(Products!$E$2:$E$37, MATCH(D2990, Products!$A$2:$A$37, 0))</f>
        <v>95</v>
      </c>
      <c r="K2990" s="9">
        <f t="shared" si="184"/>
        <v>224.1</v>
      </c>
      <c r="L2990">
        <f t="shared" si="185"/>
        <v>95</v>
      </c>
      <c r="M2990" s="9">
        <f t="shared" si="186"/>
        <v>129.1</v>
      </c>
      <c r="N2990" t="str">
        <f t="shared" si="187"/>
        <v>Sep</v>
      </c>
    </row>
    <row r="2991" spans="1:14" x14ac:dyDescent="0.3">
      <c r="A2991" s="2" t="s">
        <v>3057</v>
      </c>
      <c r="B2991" s="6">
        <v>45916</v>
      </c>
      <c r="C2991" s="2" t="s">
        <v>31</v>
      </c>
      <c r="D2991" s="2" t="s">
        <v>29</v>
      </c>
      <c r="E2991" s="2">
        <v>1</v>
      </c>
      <c r="F2991" s="7">
        <v>229</v>
      </c>
      <c r="G2991" s="8">
        <v>0</v>
      </c>
      <c r="H2991" s="9" t="str">
        <f>INDEX(Products!$B$2:$B$37, MATCH(D2991, Products!$A$2:$A$37, 0))</f>
        <v>Women's Summer Dress</v>
      </c>
      <c r="I2991" t="str">
        <f>INDEX(Products!$C$2:$C$37, MATCH(D2991, Products!$A$2:$A$37, 0))</f>
        <v>Fashion</v>
      </c>
      <c r="J2991">
        <f>INDEX(Products!$E$2:$E$37, MATCH(D2991, Products!$A$2:$A$37, 0))</f>
        <v>120</v>
      </c>
      <c r="K2991" s="9">
        <f t="shared" si="184"/>
        <v>229</v>
      </c>
      <c r="L2991">
        <f t="shared" si="185"/>
        <v>120</v>
      </c>
      <c r="M2991" s="9">
        <f t="shared" si="186"/>
        <v>109</v>
      </c>
      <c r="N2991" t="str">
        <f t="shared" si="187"/>
        <v>Sep</v>
      </c>
    </row>
    <row r="2992" spans="1:14" x14ac:dyDescent="0.3">
      <c r="A2992" s="2" t="s">
        <v>3058</v>
      </c>
      <c r="B2992" s="6">
        <v>45916</v>
      </c>
      <c r="C2992" s="2" t="s">
        <v>41</v>
      </c>
      <c r="D2992" s="2" t="s">
        <v>33</v>
      </c>
      <c r="E2992" s="2">
        <v>2</v>
      </c>
      <c r="F2992" s="7">
        <v>199</v>
      </c>
      <c r="G2992" s="8">
        <v>0.25</v>
      </c>
      <c r="H2992" s="9" t="str">
        <f>INDEX(Products!$B$2:$B$37, MATCH(D2992, Products!$A$2:$A$37, 0))</f>
        <v>Fitness Band Lite</v>
      </c>
      <c r="I2992" t="str">
        <f>INDEX(Products!$C$2:$C$37, MATCH(D2992, Products!$A$2:$A$37, 0))</f>
        <v>Electronics</v>
      </c>
      <c r="J2992">
        <f>INDEX(Products!$E$2:$E$37, MATCH(D2992, Products!$A$2:$A$37, 0))</f>
        <v>175</v>
      </c>
      <c r="K2992" s="9">
        <f t="shared" si="184"/>
        <v>298.5</v>
      </c>
      <c r="L2992">
        <f t="shared" si="185"/>
        <v>350</v>
      </c>
      <c r="M2992" s="9">
        <f t="shared" si="186"/>
        <v>-51.5</v>
      </c>
      <c r="N2992" t="str">
        <f t="shared" si="187"/>
        <v>Sep</v>
      </c>
    </row>
    <row r="2993" spans="1:14" x14ac:dyDescent="0.3">
      <c r="A2993" s="2" t="s">
        <v>3059</v>
      </c>
      <c r="B2993" s="6">
        <v>45917</v>
      </c>
      <c r="C2993" s="2" t="s">
        <v>28</v>
      </c>
      <c r="D2993" s="2" t="s">
        <v>37</v>
      </c>
      <c r="E2993" s="2">
        <v>1</v>
      </c>
      <c r="F2993" s="7">
        <v>249</v>
      </c>
      <c r="G2993" s="8">
        <v>0.1</v>
      </c>
      <c r="H2993" s="9" t="str">
        <f>INDEX(Products!$B$2:$B$37, MATCH(D2993, Products!$A$2:$A$37, 0))</f>
        <v>Sunglasses Polarised</v>
      </c>
      <c r="I2993" t="str">
        <f>INDEX(Products!$C$2:$C$37, MATCH(D2993, Products!$A$2:$A$37, 0))</f>
        <v>Fashion</v>
      </c>
      <c r="J2993">
        <f>INDEX(Products!$E$2:$E$37, MATCH(D2993, Products!$A$2:$A$37, 0))</f>
        <v>95</v>
      </c>
      <c r="K2993" s="9">
        <f t="shared" si="184"/>
        <v>224.1</v>
      </c>
      <c r="L2993">
        <f t="shared" si="185"/>
        <v>95</v>
      </c>
      <c r="M2993" s="9">
        <f t="shared" si="186"/>
        <v>129.1</v>
      </c>
      <c r="N2993" t="str">
        <f t="shared" si="187"/>
        <v>Sep</v>
      </c>
    </row>
    <row r="2994" spans="1:14" x14ac:dyDescent="0.3">
      <c r="A2994" s="2" t="s">
        <v>3060</v>
      </c>
      <c r="B2994" s="6">
        <v>45917</v>
      </c>
      <c r="C2994" s="2" t="s">
        <v>44</v>
      </c>
      <c r="D2994" s="2" t="s">
        <v>89</v>
      </c>
      <c r="E2994" s="2">
        <v>2</v>
      </c>
      <c r="F2994" s="7">
        <v>399</v>
      </c>
      <c r="G2994" s="8">
        <v>0</v>
      </c>
      <c r="H2994" s="9" t="str">
        <f>INDEX(Products!$B$2:$B$37, MATCH(D2994, Products!$A$2:$A$37, 0))</f>
        <v>Men's Kandura Premium</v>
      </c>
      <c r="I2994" t="str">
        <f>INDEX(Products!$C$2:$C$37, MATCH(D2994, Products!$A$2:$A$37, 0))</f>
        <v>Fashion</v>
      </c>
      <c r="J2994">
        <f>INDEX(Products!$E$2:$E$37, MATCH(D2994, Products!$A$2:$A$37, 0))</f>
        <v>210</v>
      </c>
      <c r="K2994" s="9">
        <f t="shared" si="184"/>
        <v>798</v>
      </c>
      <c r="L2994">
        <f t="shared" si="185"/>
        <v>420</v>
      </c>
      <c r="M2994" s="9">
        <f t="shared" si="186"/>
        <v>378</v>
      </c>
      <c r="N2994" t="str">
        <f t="shared" si="187"/>
        <v>Sep</v>
      </c>
    </row>
    <row r="2995" spans="1:14" x14ac:dyDescent="0.3">
      <c r="A2995" s="2" t="s">
        <v>3061</v>
      </c>
      <c r="B2995" s="6">
        <v>45917</v>
      </c>
      <c r="C2995" s="2" t="s">
        <v>31</v>
      </c>
      <c r="D2995" s="2" t="s">
        <v>126</v>
      </c>
      <c r="E2995" s="2">
        <v>1</v>
      </c>
      <c r="F2995" s="7">
        <v>89</v>
      </c>
      <c r="G2995" s="8">
        <v>0</v>
      </c>
      <c r="H2995" s="9" t="str">
        <f>INDEX(Products!$B$2:$B$37, MATCH(D2995, Products!$A$2:$A$37, 0))</f>
        <v>USB-C Fast Charger</v>
      </c>
      <c r="I2995" t="str">
        <f>INDEX(Products!$C$2:$C$37, MATCH(D2995, Products!$A$2:$A$37, 0))</f>
        <v>Electronics</v>
      </c>
      <c r="J2995">
        <f>INDEX(Products!$E$2:$E$37, MATCH(D2995, Products!$A$2:$A$37, 0))</f>
        <v>35</v>
      </c>
      <c r="K2995" s="9">
        <f t="shared" si="184"/>
        <v>89</v>
      </c>
      <c r="L2995">
        <f t="shared" si="185"/>
        <v>35</v>
      </c>
      <c r="M2995" s="9">
        <f t="shared" si="186"/>
        <v>54</v>
      </c>
      <c r="N2995" t="str">
        <f t="shared" si="187"/>
        <v>Sep</v>
      </c>
    </row>
    <row r="2996" spans="1:14" x14ac:dyDescent="0.3">
      <c r="A2996" s="2" t="s">
        <v>3062</v>
      </c>
      <c r="B2996" s="6">
        <v>45917</v>
      </c>
      <c r="C2996" s="2" t="s">
        <v>28</v>
      </c>
      <c r="D2996" s="2" t="s">
        <v>35</v>
      </c>
      <c r="E2996" s="2">
        <v>2</v>
      </c>
      <c r="F2996" s="7">
        <v>179</v>
      </c>
      <c r="G2996" s="8">
        <v>0.15</v>
      </c>
      <c r="H2996" s="9" t="str">
        <f>INDEX(Products!$B$2:$B$37, MATCH(D2996, Products!$A$2:$A$37, 0))</f>
        <v>Men's Linen Shirt</v>
      </c>
      <c r="I2996" t="str">
        <f>INDEX(Products!$C$2:$C$37, MATCH(D2996, Products!$A$2:$A$37, 0))</f>
        <v>Fashion</v>
      </c>
      <c r="J2996">
        <f>INDEX(Products!$E$2:$E$37, MATCH(D2996, Products!$A$2:$A$37, 0))</f>
        <v>70</v>
      </c>
      <c r="K2996" s="9">
        <f t="shared" si="184"/>
        <v>304.3</v>
      </c>
      <c r="L2996">
        <f t="shared" si="185"/>
        <v>140</v>
      </c>
      <c r="M2996" s="9">
        <f t="shared" si="186"/>
        <v>164.3</v>
      </c>
      <c r="N2996" t="str">
        <f t="shared" si="187"/>
        <v>Sep</v>
      </c>
    </row>
    <row r="2997" spans="1:14" x14ac:dyDescent="0.3">
      <c r="A2997" s="2" t="s">
        <v>3063</v>
      </c>
      <c r="B2997" s="6">
        <v>45917</v>
      </c>
      <c r="C2997" s="2" t="s">
        <v>31</v>
      </c>
      <c r="D2997" s="2" t="s">
        <v>78</v>
      </c>
      <c r="E2997" s="2">
        <v>3</v>
      </c>
      <c r="F2997" s="7">
        <v>499</v>
      </c>
      <c r="G2997" s="8">
        <v>0</v>
      </c>
      <c r="H2997" s="9" t="str">
        <f>INDEX(Products!$B$2:$B$37, MATCH(D2997, Products!$A$2:$A$37, 0))</f>
        <v>Air Fryer 5L</v>
      </c>
      <c r="I2997" t="str">
        <f>INDEX(Products!$C$2:$C$37, MATCH(D2997, Products!$A$2:$A$37, 0))</f>
        <v>Home &amp; Kitchen</v>
      </c>
      <c r="J2997">
        <f>INDEX(Products!$E$2:$E$37, MATCH(D2997, Products!$A$2:$A$37, 0))</f>
        <v>290</v>
      </c>
      <c r="K2997" s="9">
        <f t="shared" si="184"/>
        <v>1497</v>
      </c>
      <c r="L2997">
        <f t="shared" si="185"/>
        <v>870</v>
      </c>
      <c r="M2997" s="9">
        <f t="shared" si="186"/>
        <v>627</v>
      </c>
      <c r="N2997" t="str">
        <f t="shared" si="187"/>
        <v>Sep</v>
      </c>
    </row>
    <row r="2998" spans="1:14" x14ac:dyDescent="0.3">
      <c r="A2998" s="2" t="s">
        <v>3064</v>
      </c>
      <c r="B2998" s="6">
        <v>45917</v>
      </c>
      <c r="C2998" s="2" t="s">
        <v>28</v>
      </c>
      <c r="D2998" s="2" t="s">
        <v>99</v>
      </c>
      <c r="E2998" s="2">
        <v>1</v>
      </c>
      <c r="F2998" s="7">
        <v>459</v>
      </c>
      <c r="G2998" s="8">
        <v>0.1</v>
      </c>
      <c r="H2998" s="9" t="str">
        <f>INDEX(Products!$B$2:$B$37, MATCH(D2998, Products!$A$2:$A$37, 0))</f>
        <v>Gaming Headset X</v>
      </c>
      <c r="I2998" t="str">
        <f>INDEX(Products!$C$2:$C$37, MATCH(D2998, Products!$A$2:$A$37, 0))</f>
        <v>Electronics</v>
      </c>
      <c r="J2998">
        <f>INDEX(Products!$E$2:$E$37, MATCH(D2998, Products!$A$2:$A$37, 0))</f>
        <v>300</v>
      </c>
      <c r="K2998" s="9">
        <f t="shared" si="184"/>
        <v>413.1</v>
      </c>
      <c r="L2998">
        <f t="shared" si="185"/>
        <v>300</v>
      </c>
      <c r="M2998" s="9">
        <f t="shared" si="186"/>
        <v>113.10000000000002</v>
      </c>
      <c r="N2998" t="str">
        <f t="shared" si="187"/>
        <v>Sep</v>
      </c>
    </row>
    <row r="2999" spans="1:14" x14ac:dyDescent="0.3">
      <c r="A2999" s="2" t="s">
        <v>3065</v>
      </c>
      <c r="B2999" s="6">
        <v>45917</v>
      </c>
      <c r="C2999" s="2" t="s">
        <v>44</v>
      </c>
      <c r="D2999" s="2" t="s">
        <v>46</v>
      </c>
      <c r="E2999" s="2">
        <v>3</v>
      </c>
      <c r="F2999" s="7">
        <v>189</v>
      </c>
      <c r="G2999" s="8">
        <v>0.15</v>
      </c>
      <c r="H2999" s="9" t="str">
        <f>INDEX(Products!$B$2:$B$37, MATCH(D2999, Products!$A$2:$A$37, 0))</f>
        <v>Makeup Palette</v>
      </c>
      <c r="I2999" t="str">
        <f>INDEX(Products!$C$2:$C$37, MATCH(D2999, Products!$A$2:$A$37, 0))</f>
        <v>Beauty</v>
      </c>
      <c r="J2999">
        <f>INDEX(Products!$E$2:$E$37, MATCH(D2999, Products!$A$2:$A$37, 0))</f>
        <v>85</v>
      </c>
      <c r="K2999" s="9">
        <f t="shared" si="184"/>
        <v>481.95</v>
      </c>
      <c r="L2999">
        <f t="shared" si="185"/>
        <v>255</v>
      </c>
      <c r="M2999" s="9">
        <f t="shared" si="186"/>
        <v>226.95</v>
      </c>
      <c r="N2999" t="str">
        <f t="shared" si="187"/>
        <v>Sep</v>
      </c>
    </row>
    <row r="3000" spans="1:14" x14ac:dyDescent="0.3">
      <c r="A3000" s="2" t="s">
        <v>3066</v>
      </c>
      <c r="B3000" s="6">
        <v>45917</v>
      </c>
      <c r="C3000" s="2" t="s">
        <v>31</v>
      </c>
      <c r="D3000" s="2" t="s">
        <v>35</v>
      </c>
      <c r="E3000" s="2">
        <v>1</v>
      </c>
      <c r="F3000" s="7">
        <v>179</v>
      </c>
      <c r="G3000" s="8">
        <v>0.2</v>
      </c>
      <c r="H3000" s="9" t="str">
        <f>INDEX(Products!$B$2:$B$37, MATCH(D3000, Products!$A$2:$A$37, 0))</f>
        <v>Men's Linen Shirt</v>
      </c>
      <c r="I3000" t="str">
        <f>INDEX(Products!$C$2:$C$37, MATCH(D3000, Products!$A$2:$A$37, 0))</f>
        <v>Fashion</v>
      </c>
      <c r="J3000">
        <f>INDEX(Products!$E$2:$E$37, MATCH(D3000, Products!$A$2:$A$37, 0))</f>
        <v>70</v>
      </c>
      <c r="K3000" s="9">
        <f t="shared" si="184"/>
        <v>143.20000000000002</v>
      </c>
      <c r="L3000">
        <f t="shared" si="185"/>
        <v>70</v>
      </c>
      <c r="M3000" s="9">
        <f t="shared" si="186"/>
        <v>73.200000000000017</v>
      </c>
      <c r="N3000" t="str">
        <f t="shared" si="187"/>
        <v>Sep</v>
      </c>
    </row>
    <row r="3001" spans="1:14" x14ac:dyDescent="0.3">
      <c r="A3001" s="2" t="s">
        <v>3067</v>
      </c>
      <c r="B3001" s="6">
        <v>45917</v>
      </c>
      <c r="C3001" s="2" t="s">
        <v>44</v>
      </c>
      <c r="D3001" s="2" t="s">
        <v>78</v>
      </c>
      <c r="E3001" s="2">
        <v>1</v>
      </c>
      <c r="F3001" s="7">
        <v>499</v>
      </c>
      <c r="G3001" s="8">
        <v>0</v>
      </c>
      <c r="H3001" s="9" t="str">
        <f>INDEX(Products!$B$2:$B$37, MATCH(D3001, Products!$A$2:$A$37, 0))</f>
        <v>Air Fryer 5L</v>
      </c>
      <c r="I3001" t="str">
        <f>INDEX(Products!$C$2:$C$37, MATCH(D3001, Products!$A$2:$A$37, 0))</f>
        <v>Home &amp; Kitchen</v>
      </c>
      <c r="J3001">
        <f>INDEX(Products!$E$2:$E$37, MATCH(D3001, Products!$A$2:$A$37, 0))</f>
        <v>290</v>
      </c>
      <c r="K3001" s="9">
        <f t="shared" si="184"/>
        <v>499</v>
      </c>
      <c r="L3001">
        <f t="shared" si="185"/>
        <v>290</v>
      </c>
      <c r="M3001" s="9">
        <f t="shared" si="186"/>
        <v>209</v>
      </c>
      <c r="N3001" t="str">
        <f t="shared" si="187"/>
        <v>Sep</v>
      </c>
    </row>
    <row r="3002" spans="1:14" x14ac:dyDescent="0.3">
      <c r="A3002" s="2" t="s">
        <v>3068</v>
      </c>
      <c r="B3002" s="6">
        <v>45917</v>
      </c>
      <c r="C3002" s="2" t="s">
        <v>28</v>
      </c>
      <c r="D3002" s="2" t="s">
        <v>56</v>
      </c>
      <c r="E3002" s="2">
        <v>1</v>
      </c>
      <c r="F3002" s="7">
        <v>289</v>
      </c>
      <c r="G3002" s="8">
        <v>0.05</v>
      </c>
      <c r="H3002" s="9" t="str">
        <f>INDEX(Products!$B$2:$B$37, MATCH(D3002, Products!$A$2:$A$37, 0))</f>
        <v>Ceramic Dinner Set</v>
      </c>
      <c r="I3002" t="str">
        <f>INDEX(Products!$C$2:$C$37, MATCH(D3002, Products!$A$2:$A$37, 0))</f>
        <v>Home &amp; Kitchen</v>
      </c>
      <c r="J3002">
        <f>INDEX(Products!$E$2:$E$37, MATCH(D3002, Products!$A$2:$A$37, 0))</f>
        <v>140</v>
      </c>
      <c r="K3002" s="9">
        <f t="shared" si="184"/>
        <v>274.55</v>
      </c>
      <c r="L3002">
        <f t="shared" si="185"/>
        <v>140</v>
      </c>
      <c r="M3002" s="9">
        <f t="shared" si="186"/>
        <v>134.55000000000001</v>
      </c>
      <c r="N3002" t="str">
        <f t="shared" si="187"/>
        <v>Sep</v>
      </c>
    </row>
    <row r="3003" spans="1:14" x14ac:dyDescent="0.3">
      <c r="A3003" s="2" t="s">
        <v>3069</v>
      </c>
      <c r="B3003" s="6">
        <v>45917</v>
      </c>
      <c r="C3003" s="2" t="s">
        <v>44</v>
      </c>
      <c r="D3003" s="2" t="s">
        <v>126</v>
      </c>
      <c r="E3003" s="2">
        <v>1</v>
      </c>
      <c r="F3003" s="7">
        <v>89</v>
      </c>
      <c r="G3003" s="8">
        <v>0</v>
      </c>
      <c r="H3003" s="9" t="str">
        <f>INDEX(Products!$B$2:$B$37, MATCH(D3003, Products!$A$2:$A$37, 0))</f>
        <v>USB-C Fast Charger</v>
      </c>
      <c r="I3003" t="str">
        <f>INDEX(Products!$C$2:$C$37, MATCH(D3003, Products!$A$2:$A$37, 0))</f>
        <v>Electronics</v>
      </c>
      <c r="J3003">
        <f>INDEX(Products!$E$2:$E$37, MATCH(D3003, Products!$A$2:$A$37, 0))</f>
        <v>35</v>
      </c>
      <c r="K3003" s="9">
        <f t="shared" si="184"/>
        <v>89</v>
      </c>
      <c r="L3003">
        <f t="shared" si="185"/>
        <v>35</v>
      </c>
      <c r="M3003" s="9">
        <f t="shared" si="186"/>
        <v>54</v>
      </c>
      <c r="N3003" t="str">
        <f t="shared" si="187"/>
        <v>Sep</v>
      </c>
    </row>
    <row r="3004" spans="1:14" x14ac:dyDescent="0.3">
      <c r="A3004" s="2" t="s">
        <v>3070</v>
      </c>
      <c r="B3004" s="6">
        <v>45917</v>
      </c>
      <c r="C3004" s="2" t="s">
        <v>48</v>
      </c>
      <c r="D3004" s="2" t="s">
        <v>37</v>
      </c>
      <c r="E3004" s="2">
        <v>3</v>
      </c>
      <c r="F3004" s="7">
        <v>249</v>
      </c>
      <c r="G3004" s="8">
        <v>0.15</v>
      </c>
      <c r="H3004" s="9" t="str">
        <f>INDEX(Products!$B$2:$B$37, MATCH(D3004, Products!$A$2:$A$37, 0))</f>
        <v>Sunglasses Polarised</v>
      </c>
      <c r="I3004" t="str">
        <f>INDEX(Products!$C$2:$C$37, MATCH(D3004, Products!$A$2:$A$37, 0))</f>
        <v>Fashion</v>
      </c>
      <c r="J3004">
        <f>INDEX(Products!$E$2:$E$37, MATCH(D3004, Products!$A$2:$A$37, 0))</f>
        <v>95</v>
      </c>
      <c r="K3004" s="9">
        <f t="shared" si="184"/>
        <v>634.94999999999993</v>
      </c>
      <c r="L3004">
        <f t="shared" si="185"/>
        <v>285</v>
      </c>
      <c r="M3004" s="9">
        <f t="shared" si="186"/>
        <v>349.94999999999993</v>
      </c>
      <c r="N3004" t="str">
        <f t="shared" si="187"/>
        <v>Sep</v>
      </c>
    </row>
    <row r="3005" spans="1:14" x14ac:dyDescent="0.3">
      <c r="A3005" s="2" t="s">
        <v>3071</v>
      </c>
      <c r="B3005" s="6">
        <v>45917</v>
      </c>
      <c r="C3005" s="2" t="s">
        <v>48</v>
      </c>
      <c r="D3005" s="2" t="s">
        <v>131</v>
      </c>
      <c r="E3005" s="2">
        <v>1</v>
      </c>
      <c r="F3005" s="7">
        <v>899</v>
      </c>
      <c r="G3005" s="8">
        <v>0.05</v>
      </c>
      <c r="H3005" s="9" t="str">
        <f>INDEX(Products!$B$2:$B$37, MATCH(D3005, Products!$A$2:$A$37, 0))</f>
        <v>4K Action Camera</v>
      </c>
      <c r="I3005" t="str">
        <f>INDEX(Products!$C$2:$C$37, MATCH(D3005, Products!$A$2:$A$37, 0))</f>
        <v>Electronics</v>
      </c>
      <c r="J3005">
        <f>INDEX(Products!$E$2:$E$37, MATCH(D3005, Products!$A$2:$A$37, 0))</f>
        <v>610</v>
      </c>
      <c r="K3005" s="9">
        <f t="shared" si="184"/>
        <v>854.05</v>
      </c>
      <c r="L3005">
        <f t="shared" si="185"/>
        <v>610</v>
      </c>
      <c r="M3005" s="9">
        <f t="shared" si="186"/>
        <v>244.04999999999995</v>
      </c>
      <c r="N3005" t="str">
        <f t="shared" si="187"/>
        <v>Sep</v>
      </c>
    </row>
    <row r="3006" spans="1:14" x14ac:dyDescent="0.3">
      <c r="A3006" s="2" t="s">
        <v>3072</v>
      </c>
      <c r="B3006" s="6">
        <v>45917</v>
      </c>
      <c r="C3006" s="2" t="s">
        <v>48</v>
      </c>
      <c r="D3006" s="2" t="s">
        <v>149</v>
      </c>
      <c r="E3006" s="2">
        <v>1</v>
      </c>
      <c r="F3006" s="7">
        <v>399</v>
      </c>
      <c r="G3006" s="8">
        <v>0</v>
      </c>
      <c r="H3006" s="9" t="str">
        <f>INDEX(Products!$B$2:$B$37, MATCH(D3006, Products!$A$2:$A$37, 0))</f>
        <v>Blender Pro 1200W</v>
      </c>
      <c r="I3006" t="str">
        <f>INDEX(Products!$C$2:$C$37, MATCH(D3006, Products!$A$2:$A$37, 0))</f>
        <v>Home &amp; Kitchen</v>
      </c>
      <c r="J3006">
        <f>INDEX(Products!$E$2:$E$37, MATCH(D3006, Products!$A$2:$A$37, 0))</f>
        <v>250</v>
      </c>
      <c r="K3006" s="9">
        <f t="shared" si="184"/>
        <v>399</v>
      </c>
      <c r="L3006">
        <f t="shared" si="185"/>
        <v>250</v>
      </c>
      <c r="M3006" s="9">
        <f t="shared" si="186"/>
        <v>149</v>
      </c>
      <c r="N3006" t="str">
        <f t="shared" si="187"/>
        <v>Sep</v>
      </c>
    </row>
    <row r="3007" spans="1:14" x14ac:dyDescent="0.3">
      <c r="A3007" s="2" t="s">
        <v>3073</v>
      </c>
      <c r="B3007" s="6">
        <v>45917</v>
      </c>
      <c r="C3007" s="2" t="s">
        <v>28</v>
      </c>
      <c r="D3007" s="2" t="s">
        <v>35</v>
      </c>
      <c r="E3007" s="2">
        <v>1</v>
      </c>
      <c r="F3007" s="7">
        <v>179</v>
      </c>
      <c r="G3007" s="8">
        <v>0.1</v>
      </c>
      <c r="H3007" s="9" t="str">
        <f>INDEX(Products!$B$2:$B$37, MATCH(D3007, Products!$A$2:$A$37, 0))</f>
        <v>Men's Linen Shirt</v>
      </c>
      <c r="I3007" t="str">
        <f>INDEX(Products!$C$2:$C$37, MATCH(D3007, Products!$A$2:$A$37, 0))</f>
        <v>Fashion</v>
      </c>
      <c r="J3007">
        <f>INDEX(Products!$E$2:$E$37, MATCH(D3007, Products!$A$2:$A$37, 0))</f>
        <v>70</v>
      </c>
      <c r="K3007" s="9">
        <f t="shared" si="184"/>
        <v>161.1</v>
      </c>
      <c r="L3007">
        <f t="shared" si="185"/>
        <v>70</v>
      </c>
      <c r="M3007" s="9">
        <f t="shared" si="186"/>
        <v>91.1</v>
      </c>
      <c r="N3007" t="str">
        <f t="shared" si="187"/>
        <v>Sep</v>
      </c>
    </row>
    <row r="3008" spans="1:14" x14ac:dyDescent="0.3">
      <c r="A3008" s="2" t="s">
        <v>3074</v>
      </c>
      <c r="B3008" s="6">
        <v>45917</v>
      </c>
      <c r="C3008" s="2" t="s">
        <v>44</v>
      </c>
      <c r="D3008" s="2" t="s">
        <v>68</v>
      </c>
      <c r="E3008" s="2">
        <v>1</v>
      </c>
      <c r="F3008" s="7">
        <v>249</v>
      </c>
      <c r="G3008" s="8">
        <v>0.1</v>
      </c>
      <c r="H3008" s="9" t="str">
        <f>INDEX(Products!$B$2:$B$37, MATCH(D3008, Products!$A$2:$A$37, 0))</f>
        <v>Bluetooth Speaker Mini</v>
      </c>
      <c r="I3008" t="str">
        <f>INDEX(Products!$C$2:$C$37, MATCH(D3008, Products!$A$2:$A$37, 0))</f>
        <v>Electronics</v>
      </c>
      <c r="J3008">
        <f>INDEX(Products!$E$2:$E$37, MATCH(D3008, Products!$A$2:$A$37, 0))</f>
        <v>150</v>
      </c>
      <c r="K3008" s="9">
        <f t="shared" si="184"/>
        <v>224.1</v>
      </c>
      <c r="L3008">
        <f t="shared" si="185"/>
        <v>150</v>
      </c>
      <c r="M3008" s="9">
        <f t="shared" si="186"/>
        <v>74.099999999999994</v>
      </c>
      <c r="N3008" t="str">
        <f t="shared" si="187"/>
        <v>Sep</v>
      </c>
    </row>
    <row r="3009" spans="1:14" x14ac:dyDescent="0.3">
      <c r="A3009" s="2" t="s">
        <v>3075</v>
      </c>
      <c r="B3009" s="6">
        <v>45917</v>
      </c>
      <c r="C3009" s="2" t="s">
        <v>44</v>
      </c>
      <c r="D3009" s="2" t="s">
        <v>149</v>
      </c>
      <c r="E3009" s="2">
        <v>2</v>
      </c>
      <c r="F3009" s="7">
        <v>399</v>
      </c>
      <c r="G3009" s="8">
        <v>0.1</v>
      </c>
      <c r="H3009" s="9" t="str">
        <f>INDEX(Products!$B$2:$B$37, MATCH(D3009, Products!$A$2:$A$37, 0))</f>
        <v>Blender Pro 1200W</v>
      </c>
      <c r="I3009" t="str">
        <f>INDEX(Products!$C$2:$C$37, MATCH(D3009, Products!$A$2:$A$37, 0))</f>
        <v>Home &amp; Kitchen</v>
      </c>
      <c r="J3009">
        <f>INDEX(Products!$E$2:$E$37, MATCH(D3009, Products!$A$2:$A$37, 0))</f>
        <v>250</v>
      </c>
      <c r="K3009" s="9">
        <f t="shared" si="184"/>
        <v>718.2</v>
      </c>
      <c r="L3009">
        <f t="shared" si="185"/>
        <v>500</v>
      </c>
      <c r="M3009" s="9">
        <f t="shared" si="186"/>
        <v>218.20000000000005</v>
      </c>
      <c r="N3009" t="str">
        <f t="shared" si="187"/>
        <v>Sep</v>
      </c>
    </row>
    <row r="3010" spans="1:14" x14ac:dyDescent="0.3">
      <c r="A3010" s="2" t="s">
        <v>3076</v>
      </c>
      <c r="B3010" s="6">
        <v>45918</v>
      </c>
      <c r="C3010" s="2" t="s">
        <v>31</v>
      </c>
      <c r="D3010" s="2" t="s">
        <v>126</v>
      </c>
      <c r="E3010" s="2">
        <v>1</v>
      </c>
      <c r="F3010" s="7">
        <v>89</v>
      </c>
      <c r="G3010" s="8">
        <v>0.1</v>
      </c>
      <c r="H3010" s="9" t="str">
        <f>INDEX(Products!$B$2:$B$37, MATCH(D3010, Products!$A$2:$A$37, 0))</f>
        <v>USB-C Fast Charger</v>
      </c>
      <c r="I3010" t="str">
        <f>INDEX(Products!$C$2:$C$37, MATCH(D3010, Products!$A$2:$A$37, 0))</f>
        <v>Electronics</v>
      </c>
      <c r="J3010">
        <f>INDEX(Products!$E$2:$E$37, MATCH(D3010, Products!$A$2:$A$37, 0))</f>
        <v>35</v>
      </c>
      <c r="K3010" s="9">
        <f t="shared" ref="K3010:K3073" si="188">E3010*F3010*(1-G3010)</f>
        <v>80.100000000000009</v>
      </c>
      <c r="L3010">
        <f t="shared" ref="L3010:L3073" si="189">E3010*J3010</f>
        <v>35</v>
      </c>
      <c r="M3010" s="9">
        <f t="shared" ref="M3010:M3073" si="190">K3010-L3010</f>
        <v>45.100000000000009</v>
      </c>
      <c r="N3010" t="str">
        <f t="shared" ref="N3010:N3073" si="191">TEXT(B3010,"mmm")</f>
        <v>Sep</v>
      </c>
    </row>
    <row r="3011" spans="1:14" x14ac:dyDescent="0.3">
      <c r="A3011" s="2" t="s">
        <v>3077</v>
      </c>
      <c r="B3011" s="6">
        <v>45918</v>
      </c>
      <c r="C3011" s="2" t="s">
        <v>28</v>
      </c>
      <c r="D3011" s="2" t="s">
        <v>33</v>
      </c>
      <c r="E3011" s="2">
        <v>1</v>
      </c>
      <c r="F3011" s="7">
        <v>199</v>
      </c>
      <c r="G3011" s="8">
        <v>0.2</v>
      </c>
      <c r="H3011" s="9" t="str">
        <f>INDEX(Products!$B$2:$B$37, MATCH(D3011, Products!$A$2:$A$37, 0))</f>
        <v>Fitness Band Lite</v>
      </c>
      <c r="I3011" t="str">
        <f>INDEX(Products!$C$2:$C$37, MATCH(D3011, Products!$A$2:$A$37, 0))</f>
        <v>Electronics</v>
      </c>
      <c r="J3011">
        <f>INDEX(Products!$E$2:$E$37, MATCH(D3011, Products!$A$2:$A$37, 0))</f>
        <v>175</v>
      </c>
      <c r="K3011" s="9">
        <f t="shared" si="188"/>
        <v>159.20000000000002</v>
      </c>
      <c r="L3011">
        <f t="shared" si="189"/>
        <v>175</v>
      </c>
      <c r="M3011" s="9">
        <f t="shared" si="190"/>
        <v>-15.799999999999983</v>
      </c>
      <c r="N3011" t="str">
        <f t="shared" si="191"/>
        <v>Sep</v>
      </c>
    </row>
    <row r="3012" spans="1:14" x14ac:dyDescent="0.3">
      <c r="A3012" s="2" t="s">
        <v>3078</v>
      </c>
      <c r="B3012" s="6">
        <v>45918</v>
      </c>
      <c r="C3012" s="2" t="s">
        <v>44</v>
      </c>
      <c r="D3012" s="2" t="s">
        <v>129</v>
      </c>
      <c r="E3012" s="2">
        <v>1</v>
      </c>
      <c r="F3012" s="7">
        <v>149</v>
      </c>
      <c r="G3012" s="8">
        <v>0.05</v>
      </c>
      <c r="H3012" s="9" t="str">
        <f>INDEX(Products!$B$2:$B$37, MATCH(D3012, Products!$A$2:$A$37, 0))</f>
        <v>Power Bank 20000mAh</v>
      </c>
      <c r="I3012" t="str">
        <f>INDEX(Products!$C$2:$C$37, MATCH(D3012, Products!$A$2:$A$37, 0))</f>
        <v>Electronics</v>
      </c>
      <c r="J3012">
        <f>INDEX(Products!$E$2:$E$37, MATCH(D3012, Products!$A$2:$A$37, 0))</f>
        <v>70</v>
      </c>
      <c r="K3012" s="9">
        <f t="shared" si="188"/>
        <v>141.54999999999998</v>
      </c>
      <c r="L3012">
        <f t="shared" si="189"/>
        <v>70</v>
      </c>
      <c r="M3012" s="9">
        <f t="shared" si="190"/>
        <v>71.549999999999983</v>
      </c>
      <c r="N3012" t="str">
        <f t="shared" si="191"/>
        <v>Sep</v>
      </c>
    </row>
    <row r="3013" spans="1:14" x14ac:dyDescent="0.3">
      <c r="A3013" s="2" t="s">
        <v>3079</v>
      </c>
      <c r="B3013" s="6">
        <v>45918</v>
      </c>
      <c r="C3013" s="2" t="s">
        <v>44</v>
      </c>
      <c r="D3013" s="2" t="s">
        <v>49</v>
      </c>
      <c r="E3013" s="2">
        <v>2</v>
      </c>
      <c r="F3013" s="7">
        <v>149</v>
      </c>
      <c r="G3013" s="8">
        <v>0.1</v>
      </c>
      <c r="H3013" s="9" t="str">
        <f>INDEX(Products!$B$2:$B$37, MATCH(D3013, Products!$A$2:$A$37, 0))</f>
        <v>Kids' Sneakers</v>
      </c>
      <c r="I3013" t="str">
        <f>INDEX(Products!$C$2:$C$37, MATCH(D3013, Products!$A$2:$A$37, 0))</f>
        <v>Fashion</v>
      </c>
      <c r="J3013">
        <f>INDEX(Products!$E$2:$E$37, MATCH(D3013, Products!$A$2:$A$37, 0))</f>
        <v>80</v>
      </c>
      <c r="K3013" s="9">
        <f t="shared" si="188"/>
        <v>268.2</v>
      </c>
      <c r="L3013">
        <f t="shared" si="189"/>
        <v>160</v>
      </c>
      <c r="M3013" s="9">
        <f t="shared" si="190"/>
        <v>108.19999999999999</v>
      </c>
      <c r="N3013" t="str">
        <f t="shared" si="191"/>
        <v>Sep</v>
      </c>
    </row>
    <row r="3014" spans="1:14" x14ac:dyDescent="0.3">
      <c r="A3014" s="2" t="s">
        <v>3080</v>
      </c>
      <c r="B3014" s="6">
        <v>45918</v>
      </c>
      <c r="C3014" s="2" t="s">
        <v>44</v>
      </c>
      <c r="D3014" s="2" t="s">
        <v>99</v>
      </c>
      <c r="E3014" s="2">
        <v>1</v>
      </c>
      <c r="F3014" s="7">
        <v>459</v>
      </c>
      <c r="G3014" s="8">
        <v>0.1</v>
      </c>
      <c r="H3014" s="9" t="str">
        <f>INDEX(Products!$B$2:$B$37, MATCH(D3014, Products!$A$2:$A$37, 0))</f>
        <v>Gaming Headset X</v>
      </c>
      <c r="I3014" t="str">
        <f>INDEX(Products!$C$2:$C$37, MATCH(D3014, Products!$A$2:$A$37, 0))</f>
        <v>Electronics</v>
      </c>
      <c r="J3014">
        <f>INDEX(Products!$E$2:$E$37, MATCH(D3014, Products!$A$2:$A$37, 0))</f>
        <v>300</v>
      </c>
      <c r="K3014" s="9">
        <f t="shared" si="188"/>
        <v>413.1</v>
      </c>
      <c r="L3014">
        <f t="shared" si="189"/>
        <v>300</v>
      </c>
      <c r="M3014" s="9">
        <f t="shared" si="190"/>
        <v>113.10000000000002</v>
      </c>
      <c r="N3014" t="str">
        <f t="shared" si="191"/>
        <v>Sep</v>
      </c>
    </row>
    <row r="3015" spans="1:14" x14ac:dyDescent="0.3">
      <c r="A3015" s="2" t="s">
        <v>3081</v>
      </c>
      <c r="B3015" s="6">
        <v>45918</v>
      </c>
      <c r="C3015" s="2" t="s">
        <v>41</v>
      </c>
      <c r="D3015" s="2" t="s">
        <v>131</v>
      </c>
      <c r="E3015" s="2">
        <v>2</v>
      </c>
      <c r="F3015" s="7">
        <v>899</v>
      </c>
      <c r="G3015" s="8">
        <v>0.05</v>
      </c>
      <c r="H3015" s="9" t="str">
        <f>INDEX(Products!$B$2:$B$37, MATCH(D3015, Products!$A$2:$A$37, 0))</f>
        <v>4K Action Camera</v>
      </c>
      <c r="I3015" t="str">
        <f>INDEX(Products!$C$2:$C$37, MATCH(D3015, Products!$A$2:$A$37, 0))</f>
        <v>Electronics</v>
      </c>
      <c r="J3015">
        <f>INDEX(Products!$E$2:$E$37, MATCH(D3015, Products!$A$2:$A$37, 0))</f>
        <v>610</v>
      </c>
      <c r="K3015" s="9">
        <f t="shared" si="188"/>
        <v>1708.1</v>
      </c>
      <c r="L3015">
        <f t="shared" si="189"/>
        <v>1220</v>
      </c>
      <c r="M3015" s="9">
        <f t="shared" si="190"/>
        <v>488.09999999999991</v>
      </c>
      <c r="N3015" t="str">
        <f t="shared" si="191"/>
        <v>Sep</v>
      </c>
    </row>
    <row r="3016" spans="1:14" x14ac:dyDescent="0.3">
      <c r="A3016" s="2" t="s">
        <v>3082</v>
      </c>
      <c r="B3016" s="6">
        <v>45918</v>
      </c>
      <c r="C3016" s="2" t="s">
        <v>28</v>
      </c>
      <c r="D3016" s="2" t="s">
        <v>80</v>
      </c>
      <c r="E3016" s="2">
        <v>2</v>
      </c>
      <c r="F3016" s="7">
        <v>149</v>
      </c>
      <c r="G3016" s="8">
        <v>0.05</v>
      </c>
      <c r="H3016" s="9" t="str">
        <f>INDEX(Products!$B$2:$B$37, MATCH(D3016, Products!$A$2:$A$37, 0))</f>
        <v>Vitamin C Serum</v>
      </c>
      <c r="I3016" t="str">
        <f>INDEX(Products!$C$2:$C$37, MATCH(D3016, Products!$A$2:$A$37, 0))</f>
        <v>Beauty</v>
      </c>
      <c r="J3016">
        <f>INDEX(Products!$E$2:$E$37, MATCH(D3016, Products!$A$2:$A$37, 0))</f>
        <v>55</v>
      </c>
      <c r="K3016" s="9">
        <f t="shared" si="188"/>
        <v>283.09999999999997</v>
      </c>
      <c r="L3016">
        <f t="shared" si="189"/>
        <v>110</v>
      </c>
      <c r="M3016" s="9">
        <f t="shared" si="190"/>
        <v>173.09999999999997</v>
      </c>
      <c r="N3016" t="str">
        <f t="shared" si="191"/>
        <v>Sep</v>
      </c>
    </row>
    <row r="3017" spans="1:14" x14ac:dyDescent="0.3">
      <c r="A3017" s="2" t="s">
        <v>3083</v>
      </c>
      <c r="B3017" s="6">
        <v>45918</v>
      </c>
      <c r="C3017" s="2" t="s">
        <v>28</v>
      </c>
      <c r="D3017" s="2" t="s">
        <v>33</v>
      </c>
      <c r="E3017" s="2">
        <v>1</v>
      </c>
      <c r="F3017" s="7">
        <v>199</v>
      </c>
      <c r="G3017" s="8">
        <v>0.1</v>
      </c>
      <c r="H3017" s="9" t="str">
        <f>INDEX(Products!$B$2:$B$37, MATCH(D3017, Products!$A$2:$A$37, 0))</f>
        <v>Fitness Band Lite</v>
      </c>
      <c r="I3017" t="str">
        <f>INDEX(Products!$C$2:$C$37, MATCH(D3017, Products!$A$2:$A$37, 0))</f>
        <v>Electronics</v>
      </c>
      <c r="J3017">
        <f>INDEX(Products!$E$2:$E$37, MATCH(D3017, Products!$A$2:$A$37, 0))</f>
        <v>175</v>
      </c>
      <c r="K3017" s="9">
        <f t="shared" si="188"/>
        <v>179.1</v>
      </c>
      <c r="L3017">
        <f t="shared" si="189"/>
        <v>175</v>
      </c>
      <c r="M3017" s="9">
        <f t="shared" si="190"/>
        <v>4.0999999999999943</v>
      </c>
      <c r="N3017" t="str">
        <f t="shared" si="191"/>
        <v>Sep</v>
      </c>
    </row>
    <row r="3018" spans="1:14" x14ac:dyDescent="0.3">
      <c r="A3018" s="2" t="s">
        <v>3084</v>
      </c>
      <c r="B3018" s="6">
        <v>45918</v>
      </c>
      <c r="C3018" s="2" t="s">
        <v>44</v>
      </c>
      <c r="D3018" s="2" t="s">
        <v>80</v>
      </c>
      <c r="E3018" s="2">
        <v>1</v>
      </c>
      <c r="F3018" s="7">
        <v>149</v>
      </c>
      <c r="G3018" s="8">
        <v>0</v>
      </c>
      <c r="H3018" s="9" t="str">
        <f>INDEX(Products!$B$2:$B$37, MATCH(D3018, Products!$A$2:$A$37, 0))</f>
        <v>Vitamin C Serum</v>
      </c>
      <c r="I3018" t="str">
        <f>INDEX(Products!$C$2:$C$37, MATCH(D3018, Products!$A$2:$A$37, 0))</f>
        <v>Beauty</v>
      </c>
      <c r="J3018">
        <f>INDEX(Products!$E$2:$E$37, MATCH(D3018, Products!$A$2:$A$37, 0))</f>
        <v>55</v>
      </c>
      <c r="K3018" s="9">
        <f t="shared" si="188"/>
        <v>149</v>
      </c>
      <c r="L3018">
        <f t="shared" si="189"/>
        <v>55</v>
      </c>
      <c r="M3018" s="9">
        <f t="shared" si="190"/>
        <v>94</v>
      </c>
      <c r="N3018" t="str">
        <f t="shared" si="191"/>
        <v>Sep</v>
      </c>
    </row>
    <row r="3019" spans="1:14" x14ac:dyDescent="0.3">
      <c r="A3019" s="2" t="s">
        <v>3085</v>
      </c>
      <c r="B3019" s="6">
        <v>45918</v>
      </c>
      <c r="C3019" s="2" t="s">
        <v>41</v>
      </c>
      <c r="D3019" s="2" t="s">
        <v>49</v>
      </c>
      <c r="E3019" s="2">
        <v>2</v>
      </c>
      <c r="F3019" s="7">
        <v>149</v>
      </c>
      <c r="G3019" s="8">
        <v>0.15</v>
      </c>
      <c r="H3019" s="9" t="str">
        <f>INDEX(Products!$B$2:$B$37, MATCH(D3019, Products!$A$2:$A$37, 0))</f>
        <v>Kids' Sneakers</v>
      </c>
      <c r="I3019" t="str">
        <f>INDEX(Products!$C$2:$C$37, MATCH(D3019, Products!$A$2:$A$37, 0))</f>
        <v>Fashion</v>
      </c>
      <c r="J3019">
        <f>INDEX(Products!$E$2:$E$37, MATCH(D3019, Products!$A$2:$A$37, 0))</f>
        <v>80</v>
      </c>
      <c r="K3019" s="9">
        <f t="shared" si="188"/>
        <v>253.29999999999998</v>
      </c>
      <c r="L3019">
        <f t="shared" si="189"/>
        <v>160</v>
      </c>
      <c r="M3019" s="9">
        <f t="shared" si="190"/>
        <v>93.299999999999983</v>
      </c>
      <c r="N3019" t="str">
        <f t="shared" si="191"/>
        <v>Sep</v>
      </c>
    </row>
    <row r="3020" spans="1:14" x14ac:dyDescent="0.3">
      <c r="A3020" s="2" t="s">
        <v>3086</v>
      </c>
      <c r="B3020" s="6">
        <v>45918</v>
      </c>
      <c r="C3020" s="2" t="s">
        <v>44</v>
      </c>
      <c r="D3020" s="2" t="s">
        <v>129</v>
      </c>
      <c r="E3020" s="2">
        <v>1</v>
      </c>
      <c r="F3020" s="7">
        <v>149</v>
      </c>
      <c r="G3020" s="8">
        <v>0.3</v>
      </c>
      <c r="H3020" s="9" t="str">
        <f>INDEX(Products!$B$2:$B$37, MATCH(D3020, Products!$A$2:$A$37, 0))</f>
        <v>Power Bank 20000mAh</v>
      </c>
      <c r="I3020" t="str">
        <f>INDEX(Products!$C$2:$C$37, MATCH(D3020, Products!$A$2:$A$37, 0))</f>
        <v>Electronics</v>
      </c>
      <c r="J3020">
        <f>INDEX(Products!$E$2:$E$37, MATCH(D3020, Products!$A$2:$A$37, 0))</f>
        <v>70</v>
      </c>
      <c r="K3020" s="9">
        <f t="shared" si="188"/>
        <v>104.3</v>
      </c>
      <c r="L3020">
        <f t="shared" si="189"/>
        <v>70</v>
      </c>
      <c r="M3020" s="9">
        <f t="shared" si="190"/>
        <v>34.299999999999997</v>
      </c>
      <c r="N3020" t="str">
        <f t="shared" si="191"/>
        <v>Sep</v>
      </c>
    </row>
    <row r="3021" spans="1:14" x14ac:dyDescent="0.3">
      <c r="A3021" s="2" t="s">
        <v>3087</v>
      </c>
      <c r="B3021" s="6">
        <v>45918</v>
      </c>
      <c r="C3021" s="2" t="s">
        <v>41</v>
      </c>
      <c r="D3021" s="2" t="s">
        <v>83</v>
      </c>
      <c r="E3021" s="2">
        <v>3</v>
      </c>
      <c r="F3021" s="7">
        <v>229</v>
      </c>
      <c r="G3021" s="8">
        <v>0.05</v>
      </c>
      <c r="H3021" s="9" t="str">
        <f>INDEX(Products!$B$2:$B$37, MATCH(D3021, Products!$A$2:$A$37, 0))</f>
        <v>Cycling Helmet</v>
      </c>
      <c r="I3021" t="str">
        <f>INDEX(Products!$C$2:$C$37, MATCH(D3021, Products!$A$2:$A$37, 0))</f>
        <v>Sports</v>
      </c>
      <c r="J3021">
        <f>INDEX(Products!$E$2:$E$37, MATCH(D3021, Products!$A$2:$A$37, 0))</f>
        <v>120</v>
      </c>
      <c r="K3021" s="9">
        <f t="shared" si="188"/>
        <v>652.65</v>
      </c>
      <c r="L3021">
        <f t="shared" si="189"/>
        <v>360</v>
      </c>
      <c r="M3021" s="9">
        <f t="shared" si="190"/>
        <v>292.64999999999998</v>
      </c>
      <c r="N3021" t="str">
        <f t="shared" si="191"/>
        <v>Sep</v>
      </c>
    </row>
    <row r="3022" spans="1:14" x14ac:dyDescent="0.3">
      <c r="A3022" s="2" t="s">
        <v>3088</v>
      </c>
      <c r="B3022" s="6">
        <v>45919</v>
      </c>
      <c r="C3022" s="2" t="s">
        <v>41</v>
      </c>
      <c r="D3022" s="2" t="s">
        <v>35</v>
      </c>
      <c r="E3022" s="2">
        <v>1</v>
      </c>
      <c r="F3022" s="7">
        <v>179</v>
      </c>
      <c r="G3022" s="8">
        <v>0.3</v>
      </c>
      <c r="H3022" s="9" t="str">
        <f>INDEX(Products!$B$2:$B$37, MATCH(D3022, Products!$A$2:$A$37, 0))</f>
        <v>Men's Linen Shirt</v>
      </c>
      <c r="I3022" t="str">
        <f>INDEX(Products!$C$2:$C$37, MATCH(D3022, Products!$A$2:$A$37, 0))</f>
        <v>Fashion</v>
      </c>
      <c r="J3022">
        <f>INDEX(Products!$E$2:$E$37, MATCH(D3022, Products!$A$2:$A$37, 0))</f>
        <v>70</v>
      </c>
      <c r="K3022" s="9">
        <f t="shared" si="188"/>
        <v>125.3</v>
      </c>
      <c r="L3022">
        <f t="shared" si="189"/>
        <v>70</v>
      </c>
      <c r="M3022" s="9">
        <f t="shared" si="190"/>
        <v>55.3</v>
      </c>
      <c r="N3022" t="str">
        <f t="shared" si="191"/>
        <v>Sep</v>
      </c>
    </row>
    <row r="3023" spans="1:14" x14ac:dyDescent="0.3">
      <c r="A3023" s="2" t="s">
        <v>3089</v>
      </c>
      <c r="B3023" s="6">
        <v>45919</v>
      </c>
      <c r="C3023" s="2" t="s">
        <v>28</v>
      </c>
      <c r="D3023" s="2" t="s">
        <v>60</v>
      </c>
      <c r="E3023" s="2">
        <v>1</v>
      </c>
      <c r="F3023" s="7">
        <v>99</v>
      </c>
      <c r="G3023" s="8">
        <v>0.15</v>
      </c>
      <c r="H3023" s="9" t="str">
        <f>INDEX(Products!$B$2:$B$37, MATCH(D3023, Products!$A$2:$A$37, 0))</f>
        <v>Football Size 5</v>
      </c>
      <c r="I3023" t="str">
        <f>INDEX(Products!$C$2:$C$37, MATCH(D3023, Products!$A$2:$A$37, 0))</f>
        <v>Sports</v>
      </c>
      <c r="J3023">
        <f>INDEX(Products!$E$2:$E$37, MATCH(D3023, Products!$A$2:$A$37, 0))</f>
        <v>45</v>
      </c>
      <c r="K3023" s="9">
        <f t="shared" si="188"/>
        <v>84.149999999999991</v>
      </c>
      <c r="L3023">
        <f t="shared" si="189"/>
        <v>45</v>
      </c>
      <c r="M3023" s="9">
        <f t="shared" si="190"/>
        <v>39.149999999999991</v>
      </c>
      <c r="N3023" t="str">
        <f t="shared" si="191"/>
        <v>Sep</v>
      </c>
    </row>
    <row r="3024" spans="1:14" x14ac:dyDescent="0.3">
      <c r="A3024" s="2" t="s">
        <v>3090</v>
      </c>
      <c r="B3024" s="6">
        <v>45919</v>
      </c>
      <c r="C3024" s="2" t="s">
        <v>28</v>
      </c>
      <c r="D3024" s="2" t="s">
        <v>78</v>
      </c>
      <c r="E3024" s="2">
        <v>3</v>
      </c>
      <c r="F3024" s="7">
        <v>499</v>
      </c>
      <c r="G3024" s="8">
        <v>0</v>
      </c>
      <c r="H3024" s="9" t="str">
        <f>INDEX(Products!$B$2:$B$37, MATCH(D3024, Products!$A$2:$A$37, 0))</f>
        <v>Air Fryer 5L</v>
      </c>
      <c r="I3024" t="str">
        <f>INDEX(Products!$C$2:$C$37, MATCH(D3024, Products!$A$2:$A$37, 0))</f>
        <v>Home &amp; Kitchen</v>
      </c>
      <c r="J3024">
        <f>INDEX(Products!$E$2:$E$37, MATCH(D3024, Products!$A$2:$A$37, 0))</f>
        <v>290</v>
      </c>
      <c r="K3024" s="9">
        <f t="shared" si="188"/>
        <v>1497</v>
      </c>
      <c r="L3024">
        <f t="shared" si="189"/>
        <v>870</v>
      </c>
      <c r="M3024" s="9">
        <f t="shared" si="190"/>
        <v>627</v>
      </c>
      <c r="N3024" t="str">
        <f t="shared" si="191"/>
        <v>Sep</v>
      </c>
    </row>
    <row r="3025" spans="1:14" x14ac:dyDescent="0.3">
      <c r="A3025" s="2" t="s">
        <v>3091</v>
      </c>
      <c r="B3025" s="6">
        <v>45919</v>
      </c>
      <c r="C3025" s="2" t="s">
        <v>41</v>
      </c>
      <c r="D3025" s="2" t="s">
        <v>194</v>
      </c>
      <c r="E3025" s="2">
        <v>1</v>
      </c>
      <c r="F3025" s="7">
        <v>699</v>
      </c>
      <c r="G3025" s="8">
        <v>0</v>
      </c>
      <c r="H3025" s="9" t="str">
        <f>INDEX(Products!$B$2:$B$37, MATCH(D3025, Products!$A$2:$A$37, 0))</f>
        <v>Leather Handbag</v>
      </c>
      <c r="I3025" t="str">
        <f>INDEX(Products!$C$2:$C$37, MATCH(D3025, Products!$A$2:$A$37, 0))</f>
        <v>Fashion</v>
      </c>
      <c r="J3025">
        <f>INDEX(Products!$E$2:$E$37, MATCH(D3025, Products!$A$2:$A$37, 0))</f>
        <v>380</v>
      </c>
      <c r="K3025" s="9">
        <f t="shared" si="188"/>
        <v>699</v>
      </c>
      <c r="L3025">
        <f t="shared" si="189"/>
        <v>380</v>
      </c>
      <c r="M3025" s="9">
        <f t="shared" si="190"/>
        <v>319</v>
      </c>
      <c r="N3025" t="str">
        <f t="shared" si="191"/>
        <v>Sep</v>
      </c>
    </row>
    <row r="3026" spans="1:14" x14ac:dyDescent="0.3">
      <c r="A3026" s="2" t="s">
        <v>3092</v>
      </c>
      <c r="B3026" s="6">
        <v>45919</v>
      </c>
      <c r="C3026" s="2" t="s">
        <v>48</v>
      </c>
      <c r="D3026" s="2" t="s">
        <v>68</v>
      </c>
      <c r="E3026" s="2">
        <v>2</v>
      </c>
      <c r="F3026" s="7">
        <v>249</v>
      </c>
      <c r="G3026" s="8">
        <v>0</v>
      </c>
      <c r="H3026" s="9" t="str">
        <f>INDEX(Products!$B$2:$B$37, MATCH(D3026, Products!$A$2:$A$37, 0))</f>
        <v>Bluetooth Speaker Mini</v>
      </c>
      <c r="I3026" t="str">
        <f>INDEX(Products!$C$2:$C$37, MATCH(D3026, Products!$A$2:$A$37, 0))</f>
        <v>Electronics</v>
      </c>
      <c r="J3026">
        <f>INDEX(Products!$E$2:$E$37, MATCH(D3026, Products!$A$2:$A$37, 0))</f>
        <v>150</v>
      </c>
      <c r="K3026" s="9">
        <f t="shared" si="188"/>
        <v>498</v>
      </c>
      <c r="L3026">
        <f t="shared" si="189"/>
        <v>300</v>
      </c>
      <c r="M3026" s="9">
        <f t="shared" si="190"/>
        <v>198</v>
      </c>
      <c r="N3026" t="str">
        <f t="shared" si="191"/>
        <v>Sep</v>
      </c>
    </row>
    <row r="3027" spans="1:14" x14ac:dyDescent="0.3">
      <c r="A3027" s="2" t="s">
        <v>3093</v>
      </c>
      <c r="B3027" s="6">
        <v>45919</v>
      </c>
      <c r="C3027" s="2" t="s">
        <v>44</v>
      </c>
      <c r="D3027" s="2" t="s">
        <v>29</v>
      </c>
      <c r="E3027" s="2">
        <v>4</v>
      </c>
      <c r="F3027" s="7">
        <v>229</v>
      </c>
      <c r="G3027" s="8">
        <v>0</v>
      </c>
      <c r="H3027" s="9" t="str">
        <f>INDEX(Products!$B$2:$B$37, MATCH(D3027, Products!$A$2:$A$37, 0))</f>
        <v>Women's Summer Dress</v>
      </c>
      <c r="I3027" t="str">
        <f>INDEX(Products!$C$2:$C$37, MATCH(D3027, Products!$A$2:$A$37, 0))</f>
        <v>Fashion</v>
      </c>
      <c r="J3027">
        <f>INDEX(Products!$E$2:$E$37, MATCH(D3027, Products!$A$2:$A$37, 0))</f>
        <v>120</v>
      </c>
      <c r="K3027" s="9">
        <f t="shared" si="188"/>
        <v>916</v>
      </c>
      <c r="L3027">
        <f t="shared" si="189"/>
        <v>480</v>
      </c>
      <c r="M3027" s="9">
        <f t="shared" si="190"/>
        <v>436</v>
      </c>
      <c r="N3027" t="str">
        <f t="shared" si="191"/>
        <v>Sep</v>
      </c>
    </row>
    <row r="3028" spans="1:14" x14ac:dyDescent="0.3">
      <c r="A3028" s="2" t="s">
        <v>3094</v>
      </c>
      <c r="B3028" s="6">
        <v>45919</v>
      </c>
      <c r="C3028" s="2" t="s">
        <v>48</v>
      </c>
      <c r="D3028" s="2" t="s">
        <v>129</v>
      </c>
      <c r="E3028" s="2">
        <v>2</v>
      </c>
      <c r="F3028" s="7">
        <v>149</v>
      </c>
      <c r="G3028" s="8">
        <v>0</v>
      </c>
      <c r="H3028" s="9" t="str">
        <f>INDEX(Products!$B$2:$B$37, MATCH(D3028, Products!$A$2:$A$37, 0))</f>
        <v>Power Bank 20000mAh</v>
      </c>
      <c r="I3028" t="str">
        <f>INDEX(Products!$C$2:$C$37, MATCH(D3028, Products!$A$2:$A$37, 0))</f>
        <v>Electronics</v>
      </c>
      <c r="J3028">
        <f>INDEX(Products!$E$2:$E$37, MATCH(D3028, Products!$A$2:$A$37, 0))</f>
        <v>70</v>
      </c>
      <c r="K3028" s="9">
        <f t="shared" si="188"/>
        <v>298</v>
      </c>
      <c r="L3028">
        <f t="shared" si="189"/>
        <v>140</v>
      </c>
      <c r="M3028" s="9">
        <f t="shared" si="190"/>
        <v>158</v>
      </c>
      <c r="N3028" t="str">
        <f t="shared" si="191"/>
        <v>Sep</v>
      </c>
    </row>
    <row r="3029" spans="1:14" x14ac:dyDescent="0.3">
      <c r="A3029" s="2" t="s">
        <v>3095</v>
      </c>
      <c r="B3029" s="6">
        <v>45919</v>
      </c>
      <c r="C3029" s="2" t="s">
        <v>31</v>
      </c>
      <c r="D3029" s="2" t="s">
        <v>89</v>
      </c>
      <c r="E3029" s="2">
        <v>2</v>
      </c>
      <c r="F3029" s="7">
        <v>399</v>
      </c>
      <c r="G3029" s="8">
        <v>0.1</v>
      </c>
      <c r="H3029" s="9" t="str">
        <f>INDEX(Products!$B$2:$B$37, MATCH(D3029, Products!$A$2:$A$37, 0))</f>
        <v>Men's Kandura Premium</v>
      </c>
      <c r="I3029" t="str">
        <f>INDEX(Products!$C$2:$C$37, MATCH(D3029, Products!$A$2:$A$37, 0))</f>
        <v>Fashion</v>
      </c>
      <c r="J3029">
        <f>INDEX(Products!$E$2:$E$37, MATCH(D3029, Products!$A$2:$A$37, 0))</f>
        <v>210</v>
      </c>
      <c r="K3029" s="9">
        <f t="shared" si="188"/>
        <v>718.2</v>
      </c>
      <c r="L3029">
        <f t="shared" si="189"/>
        <v>420</v>
      </c>
      <c r="M3029" s="9">
        <f t="shared" si="190"/>
        <v>298.20000000000005</v>
      </c>
      <c r="N3029" t="str">
        <f t="shared" si="191"/>
        <v>Sep</v>
      </c>
    </row>
    <row r="3030" spans="1:14" x14ac:dyDescent="0.3">
      <c r="A3030" s="2" t="s">
        <v>3096</v>
      </c>
      <c r="B3030" s="6">
        <v>45920</v>
      </c>
      <c r="C3030" s="2" t="s">
        <v>28</v>
      </c>
      <c r="D3030" s="2" t="s">
        <v>52</v>
      </c>
      <c r="E3030" s="2">
        <v>1</v>
      </c>
      <c r="F3030" s="7">
        <v>299</v>
      </c>
      <c r="G3030" s="8">
        <v>0.25</v>
      </c>
      <c r="H3030" s="9" t="str">
        <f>INDEX(Products!$B$2:$B$37, MATCH(D3030, Products!$A$2:$A$37, 0))</f>
        <v>Hair Dryer Ionic</v>
      </c>
      <c r="I3030" t="str">
        <f>INDEX(Products!$C$2:$C$37, MATCH(D3030, Products!$A$2:$A$37, 0))</f>
        <v>Beauty</v>
      </c>
      <c r="J3030">
        <f>INDEX(Products!$E$2:$E$37, MATCH(D3030, Products!$A$2:$A$37, 0))</f>
        <v>240</v>
      </c>
      <c r="K3030" s="9">
        <f t="shared" si="188"/>
        <v>224.25</v>
      </c>
      <c r="L3030">
        <f t="shared" si="189"/>
        <v>240</v>
      </c>
      <c r="M3030" s="9">
        <f t="shared" si="190"/>
        <v>-15.75</v>
      </c>
      <c r="N3030" t="str">
        <f t="shared" si="191"/>
        <v>Sep</v>
      </c>
    </row>
    <row r="3031" spans="1:14" x14ac:dyDescent="0.3">
      <c r="A3031" s="2" t="s">
        <v>3097</v>
      </c>
      <c r="B3031" s="6">
        <v>45920</v>
      </c>
      <c r="C3031" s="2" t="s">
        <v>28</v>
      </c>
      <c r="D3031" s="2" t="s">
        <v>89</v>
      </c>
      <c r="E3031" s="2">
        <v>2</v>
      </c>
      <c r="F3031" s="7">
        <v>399</v>
      </c>
      <c r="G3031" s="8">
        <v>0.1</v>
      </c>
      <c r="H3031" s="9" t="str">
        <f>INDEX(Products!$B$2:$B$37, MATCH(D3031, Products!$A$2:$A$37, 0))</f>
        <v>Men's Kandura Premium</v>
      </c>
      <c r="I3031" t="str">
        <f>INDEX(Products!$C$2:$C$37, MATCH(D3031, Products!$A$2:$A$37, 0))</f>
        <v>Fashion</v>
      </c>
      <c r="J3031">
        <f>INDEX(Products!$E$2:$E$37, MATCH(D3031, Products!$A$2:$A$37, 0))</f>
        <v>210</v>
      </c>
      <c r="K3031" s="9">
        <f t="shared" si="188"/>
        <v>718.2</v>
      </c>
      <c r="L3031">
        <f t="shared" si="189"/>
        <v>420</v>
      </c>
      <c r="M3031" s="9">
        <f t="shared" si="190"/>
        <v>298.20000000000005</v>
      </c>
      <c r="N3031" t="str">
        <f t="shared" si="191"/>
        <v>Sep</v>
      </c>
    </row>
    <row r="3032" spans="1:14" x14ac:dyDescent="0.3">
      <c r="A3032" s="2" t="s">
        <v>3098</v>
      </c>
      <c r="B3032" s="6">
        <v>45920</v>
      </c>
      <c r="C3032" s="2" t="s">
        <v>44</v>
      </c>
      <c r="D3032" s="2" t="s">
        <v>126</v>
      </c>
      <c r="E3032" s="2">
        <v>1</v>
      </c>
      <c r="F3032" s="7">
        <v>89</v>
      </c>
      <c r="G3032" s="8">
        <v>0</v>
      </c>
      <c r="H3032" s="9" t="str">
        <f>INDEX(Products!$B$2:$B$37, MATCH(D3032, Products!$A$2:$A$37, 0))</f>
        <v>USB-C Fast Charger</v>
      </c>
      <c r="I3032" t="str">
        <f>INDEX(Products!$C$2:$C$37, MATCH(D3032, Products!$A$2:$A$37, 0))</f>
        <v>Electronics</v>
      </c>
      <c r="J3032">
        <f>INDEX(Products!$E$2:$E$37, MATCH(D3032, Products!$A$2:$A$37, 0))</f>
        <v>35</v>
      </c>
      <c r="K3032" s="9">
        <f t="shared" si="188"/>
        <v>89</v>
      </c>
      <c r="L3032">
        <f t="shared" si="189"/>
        <v>35</v>
      </c>
      <c r="M3032" s="9">
        <f t="shared" si="190"/>
        <v>54</v>
      </c>
      <c r="N3032" t="str">
        <f t="shared" si="191"/>
        <v>Sep</v>
      </c>
    </row>
    <row r="3033" spans="1:14" x14ac:dyDescent="0.3">
      <c r="A3033" s="2" t="s">
        <v>3099</v>
      </c>
      <c r="B3033" s="6">
        <v>45920</v>
      </c>
      <c r="C3033" s="2" t="s">
        <v>41</v>
      </c>
      <c r="D3033" s="2" t="s">
        <v>126</v>
      </c>
      <c r="E3033" s="2">
        <v>1</v>
      </c>
      <c r="F3033" s="7">
        <v>89</v>
      </c>
      <c r="G3033" s="8">
        <v>0</v>
      </c>
      <c r="H3033" s="9" t="str">
        <f>INDEX(Products!$B$2:$B$37, MATCH(D3033, Products!$A$2:$A$37, 0))</f>
        <v>USB-C Fast Charger</v>
      </c>
      <c r="I3033" t="str">
        <f>INDEX(Products!$C$2:$C$37, MATCH(D3033, Products!$A$2:$A$37, 0))</f>
        <v>Electronics</v>
      </c>
      <c r="J3033">
        <f>INDEX(Products!$E$2:$E$37, MATCH(D3033, Products!$A$2:$A$37, 0))</f>
        <v>35</v>
      </c>
      <c r="K3033" s="9">
        <f t="shared" si="188"/>
        <v>89</v>
      </c>
      <c r="L3033">
        <f t="shared" si="189"/>
        <v>35</v>
      </c>
      <c r="M3033" s="9">
        <f t="shared" si="190"/>
        <v>54</v>
      </c>
      <c r="N3033" t="str">
        <f t="shared" si="191"/>
        <v>Sep</v>
      </c>
    </row>
    <row r="3034" spans="1:14" x14ac:dyDescent="0.3">
      <c r="A3034" s="2" t="s">
        <v>3100</v>
      </c>
      <c r="B3034" s="6">
        <v>45920</v>
      </c>
      <c r="C3034" s="2" t="s">
        <v>41</v>
      </c>
      <c r="D3034" s="2" t="s">
        <v>33</v>
      </c>
      <c r="E3034" s="2">
        <v>1</v>
      </c>
      <c r="F3034" s="7">
        <v>199</v>
      </c>
      <c r="G3034" s="8">
        <v>0.15</v>
      </c>
      <c r="H3034" s="9" t="str">
        <f>INDEX(Products!$B$2:$B$37, MATCH(D3034, Products!$A$2:$A$37, 0))</f>
        <v>Fitness Band Lite</v>
      </c>
      <c r="I3034" t="str">
        <f>INDEX(Products!$C$2:$C$37, MATCH(D3034, Products!$A$2:$A$37, 0))</f>
        <v>Electronics</v>
      </c>
      <c r="J3034">
        <f>INDEX(Products!$E$2:$E$37, MATCH(D3034, Products!$A$2:$A$37, 0))</f>
        <v>175</v>
      </c>
      <c r="K3034" s="9">
        <f t="shared" si="188"/>
        <v>169.15</v>
      </c>
      <c r="L3034">
        <f t="shared" si="189"/>
        <v>175</v>
      </c>
      <c r="M3034" s="9">
        <f t="shared" si="190"/>
        <v>-5.8499999999999943</v>
      </c>
      <c r="N3034" t="str">
        <f t="shared" si="191"/>
        <v>Sep</v>
      </c>
    </row>
    <row r="3035" spans="1:14" x14ac:dyDescent="0.3">
      <c r="A3035" s="2" t="s">
        <v>3101</v>
      </c>
      <c r="B3035" s="6">
        <v>45920</v>
      </c>
      <c r="C3035" s="2" t="s">
        <v>41</v>
      </c>
      <c r="D3035" s="2" t="s">
        <v>103</v>
      </c>
      <c r="E3035" s="2">
        <v>3</v>
      </c>
      <c r="F3035" s="7">
        <v>89</v>
      </c>
      <c r="G3035" s="8">
        <v>0</v>
      </c>
      <c r="H3035" s="9" t="str">
        <f>INDEX(Products!$B$2:$B$37, MATCH(D3035, Products!$A$2:$A$37, 0))</f>
        <v>Sunscreen SPF50</v>
      </c>
      <c r="I3035" t="str">
        <f>INDEX(Products!$C$2:$C$37, MATCH(D3035, Products!$A$2:$A$37, 0))</f>
        <v>Beauty</v>
      </c>
      <c r="J3035">
        <f>INDEX(Products!$E$2:$E$37, MATCH(D3035, Products!$A$2:$A$37, 0))</f>
        <v>40</v>
      </c>
      <c r="K3035" s="9">
        <f t="shared" si="188"/>
        <v>267</v>
      </c>
      <c r="L3035">
        <f t="shared" si="189"/>
        <v>120</v>
      </c>
      <c r="M3035" s="9">
        <f t="shared" si="190"/>
        <v>147</v>
      </c>
      <c r="N3035" t="str">
        <f t="shared" si="191"/>
        <v>Sep</v>
      </c>
    </row>
    <row r="3036" spans="1:14" x14ac:dyDescent="0.3">
      <c r="A3036" s="2" t="s">
        <v>3102</v>
      </c>
      <c r="B3036" s="6">
        <v>45920</v>
      </c>
      <c r="C3036" s="2" t="s">
        <v>28</v>
      </c>
      <c r="D3036" s="2" t="s">
        <v>131</v>
      </c>
      <c r="E3036" s="2">
        <v>1</v>
      </c>
      <c r="F3036" s="7">
        <v>899</v>
      </c>
      <c r="G3036" s="8">
        <v>0.05</v>
      </c>
      <c r="H3036" s="9" t="str">
        <f>INDEX(Products!$B$2:$B$37, MATCH(D3036, Products!$A$2:$A$37, 0))</f>
        <v>4K Action Camera</v>
      </c>
      <c r="I3036" t="str">
        <f>INDEX(Products!$C$2:$C$37, MATCH(D3036, Products!$A$2:$A$37, 0))</f>
        <v>Electronics</v>
      </c>
      <c r="J3036">
        <f>INDEX(Products!$E$2:$E$37, MATCH(D3036, Products!$A$2:$A$37, 0))</f>
        <v>610</v>
      </c>
      <c r="K3036" s="9">
        <f t="shared" si="188"/>
        <v>854.05</v>
      </c>
      <c r="L3036">
        <f t="shared" si="189"/>
        <v>610</v>
      </c>
      <c r="M3036" s="9">
        <f t="shared" si="190"/>
        <v>244.04999999999995</v>
      </c>
      <c r="N3036" t="str">
        <f t="shared" si="191"/>
        <v>Sep</v>
      </c>
    </row>
    <row r="3037" spans="1:14" x14ac:dyDescent="0.3">
      <c r="A3037" s="2" t="s">
        <v>3103</v>
      </c>
      <c r="B3037" s="6">
        <v>45920</v>
      </c>
      <c r="C3037" s="2" t="s">
        <v>28</v>
      </c>
      <c r="D3037" s="2" t="s">
        <v>80</v>
      </c>
      <c r="E3037" s="2">
        <v>1</v>
      </c>
      <c r="F3037" s="7">
        <v>149</v>
      </c>
      <c r="G3037" s="8">
        <v>0.15</v>
      </c>
      <c r="H3037" s="9" t="str">
        <f>INDEX(Products!$B$2:$B$37, MATCH(D3037, Products!$A$2:$A$37, 0))</f>
        <v>Vitamin C Serum</v>
      </c>
      <c r="I3037" t="str">
        <f>INDEX(Products!$C$2:$C$37, MATCH(D3037, Products!$A$2:$A$37, 0))</f>
        <v>Beauty</v>
      </c>
      <c r="J3037">
        <f>INDEX(Products!$E$2:$E$37, MATCH(D3037, Products!$A$2:$A$37, 0))</f>
        <v>55</v>
      </c>
      <c r="K3037" s="9">
        <f t="shared" si="188"/>
        <v>126.64999999999999</v>
      </c>
      <c r="L3037">
        <f t="shared" si="189"/>
        <v>55</v>
      </c>
      <c r="M3037" s="9">
        <f t="shared" si="190"/>
        <v>71.649999999999991</v>
      </c>
      <c r="N3037" t="str">
        <f t="shared" si="191"/>
        <v>Sep</v>
      </c>
    </row>
    <row r="3038" spans="1:14" x14ac:dyDescent="0.3">
      <c r="A3038" s="2" t="s">
        <v>3104</v>
      </c>
      <c r="B3038" s="6">
        <v>45920</v>
      </c>
      <c r="C3038" s="2" t="s">
        <v>28</v>
      </c>
      <c r="D3038" s="2" t="s">
        <v>60</v>
      </c>
      <c r="E3038" s="2">
        <v>1</v>
      </c>
      <c r="F3038" s="7">
        <v>99</v>
      </c>
      <c r="G3038" s="8">
        <v>0.1</v>
      </c>
      <c r="H3038" s="9" t="str">
        <f>INDEX(Products!$B$2:$B$37, MATCH(D3038, Products!$A$2:$A$37, 0))</f>
        <v>Football Size 5</v>
      </c>
      <c r="I3038" t="str">
        <f>INDEX(Products!$C$2:$C$37, MATCH(D3038, Products!$A$2:$A$37, 0))</f>
        <v>Sports</v>
      </c>
      <c r="J3038">
        <f>INDEX(Products!$E$2:$E$37, MATCH(D3038, Products!$A$2:$A$37, 0))</f>
        <v>45</v>
      </c>
      <c r="K3038" s="9">
        <f t="shared" si="188"/>
        <v>89.100000000000009</v>
      </c>
      <c r="L3038">
        <f t="shared" si="189"/>
        <v>45</v>
      </c>
      <c r="M3038" s="9">
        <f t="shared" si="190"/>
        <v>44.100000000000009</v>
      </c>
      <c r="N3038" t="str">
        <f t="shared" si="191"/>
        <v>Sep</v>
      </c>
    </row>
    <row r="3039" spans="1:14" x14ac:dyDescent="0.3">
      <c r="A3039" s="2" t="s">
        <v>3105</v>
      </c>
      <c r="B3039" s="6">
        <v>45920</v>
      </c>
      <c r="C3039" s="2" t="s">
        <v>44</v>
      </c>
      <c r="D3039" s="2" t="s">
        <v>95</v>
      </c>
      <c r="E3039" s="2">
        <v>1</v>
      </c>
      <c r="F3039" s="7">
        <v>259</v>
      </c>
      <c r="G3039" s="8">
        <v>0</v>
      </c>
      <c r="H3039" s="9" t="str">
        <f>INDEX(Products!$B$2:$B$37, MATCH(D3039, Products!$A$2:$A$37, 0))</f>
        <v>Bed Linen Set (King)</v>
      </c>
      <c r="I3039" t="str">
        <f>INDEX(Products!$C$2:$C$37, MATCH(D3039, Products!$A$2:$A$37, 0))</f>
        <v>Home &amp; Kitchen</v>
      </c>
      <c r="J3039">
        <f>INDEX(Products!$E$2:$E$37, MATCH(D3039, Products!$A$2:$A$37, 0))</f>
        <v>115</v>
      </c>
      <c r="K3039" s="9">
        <f t="shared" si="188"/>
        <v>259</v>
      </c>
      <c r="L3039">
        <f t="shared" si="189"/>
        <v>115</v>
      </c>
      <c r="M3039" s="9">
        <f t="shared" si="190"/>
        <v>144</v>
      </c>
      <c r="N3039" t="str">
        <f t="shared" si="191"/>
        <v>Sep</v>
      </c>
    </row>
    <row r="3040" spans="1:14" x14ac:dyDescent="0.3">
      <c r="A3040" s="2" t="s">
        <v>3106</v>
      </c>
      <c r="B3040" s="6">
        <v>45920</v>
      </c>
      <c r="C3040" s="2" t="s">
        <v>41</v>
      </c>
      <c r="D3040" s="2" t="s">
        <v>80</v>
      </c>
      <c r="E3040" s="2">
        <v>2</v>
      </c>
      <c r="F3040" s="7">
        <v>149</v>
      </c>
      <c r="G3040" s="8">
        <v>0.1</v>
      </c>
      <c r="H3040" s="9" t="str">
        <f>INDEX(Products!$B$2:$B$37, MATCH(D3040, Products!$A$2:$A$37, 0))</f>
        <v>Vitamin C Serum</v>
      </c>
      <c r="I3040" t="str">
        <f>INDEX(Products!$C$2:$C$37, MATCH(D3040, Products!$A$2:$A$37, 0))</f>
        <v>Beauty</v>
      </c>
      <c r="J3040">
        <f>INDEX(Products!$E$2:$E$37, MATCH(D3040, Products!$A$2:$A$37, 0))</f>
        <v>55</v>
      </c>
      <c r="K3040" s="9">
        <f t="shared" si="188"/>
        <v>268.2</v>
      </c>
      <c r="L3040">
        <f t="shared" si="189"/>
        <v>110</v>
      </c>
      <c r="M3040" s="9">
        <f t="shared" si="190"/>
        <v>158.19999999999999</v>
      </c>
      <c r="N3040" t="str">
        <f t="shared" si="191"/>
        <v>Sep</v>
      </c>
    </row>
    <row r="3041" spans="1:14" x14ac:dyDescent="0.3">
      <c r="A3041" s="2" t="s">
        <v>3107</v>
      </c>
      <c r="B3041" s="6">
        <v>45920</v>
      </c>
      <c r="C3041" s="2" t="s">
        <v>41</v>
      </c>
      <c r="D3041" s="2" t="s">
        <v>35</v>
      </c>
      <c r="E3041" s="2">
        <v>1</v>
      </c>
      <c r="F3041" s="7">
        <v>179</v>
      </c>
      <c r="G3041" s="8">
        <v>0.05</v>
      </c>
      <c r="H3041" s="9" t="str">
        <f>INDEX(Products!$B$2:$B$37, MATCH(D3041, Products!$A$2:$A$37, 0))</f>
        <v>Men's Linen Shirt</v>
      </c>
      <c r="I3041" t="str">
        <f>INDEX(Products!$C$2:$C$37, MATCH(D3041, Products!$A$2:$A$37, 0))</f>
        <v>Fashion</v>
      </c>
      <c r="J3041">
        <f>INDEX(Products!$E$2:$E$37, MATCH(D3041, Products!$A$2:$A$37, 0))</f>
        <v>70</v>
      </c>
      <c r="K3041" s="9">
        <f t="shared" si="188"/>
        <v>170.04999999999998</v>
      </c>
      <c r="L3041">
        <f t="shared" si="189"/>
        <v>70</v>
      </c>
      <c r="M3041" s="9">
        <f t="shared" si="190"/>
        <v>100.04999999999998</v>
      </c>
      <c r="N3041" t="str">
        <f t="shared" si="191"/>
        <v>Sep</v>
      </c>
    </row>
    <row r="3042" spans="1:14" x14ac:dyDescent="0.3">
      <c r="A3042" s="2" t="s">
        <v>3108</v>
      </c>
      <c r="B3042" s="6">
        <v>45920</v>
      </c>
      <c r="C3042" s="2" t="s">
        <v>48</v>
      </c>
      <c r="D3042" s="2" t="s">
        <v>58</v>
      </c>
      <c r="E3042" s="2">
        <v>3</v>
      </c>
      <c r="F3042" s="7">
        <v>459</v>
      </c>
      <c r="G3042" s="8">
        <v>0</v>
      </c>
      <c r="H3042" s="9" t="str">
        <f>INDEX(Products!$B$2:$B$37, MATCH(D3042, Products!$A$2:$A$37, 0))</f>
        <v>Women's Abaya Classic</v>
      </c>
      <c r="I3042" t="str">
        <f>INDEX(Products!$C$2:$C$37, MATCH(D3042, Products!$A$2:$A$37, 0))</f>
        <v>Fashion</v>
      </c>
      <c r="J3042">
        <f>INDEX(Products!$E$2:$E$37, MATCH(D3042, Products!$A$2:$A$37, 0))</f>
        <v>190</v>
      </c>
      <c r="K3042" s="9">
        <f t="shared" si="188"/>
        <v>1377</v>
      </c>
      <c r="L3042">
        <f t="shared" si="189"/>
        <v>570</v>
      </c>
      <c r="M3042" s="9">
        <f t="shared" si="190"/>
        <v>807</v>
      </c>
      <c r="N3042" t="str">
        <f t="shared" si="191"/>
        <v>Sep</v>
      </c>
    </row>
    <row r="3043" spans="1:14" x14ac:dyDescent="0.3">
      <c r="A3043" s="2" t="s">
        <v>3109</v>
      </c>
      <c r="B3043" s="6">
        <v>45920</v>
      </c>
      <c r="C3043" s="2" t="s">
        <v>31</v>
      </c>
      <c r="D3043" s="2" t="s">
        <v>39</v>
      </c>
      <c r="E3043" s="2">
        <v>1</v>
      </c>
      <c r="F3043" s="7">
        <v>199</v>
      </c>
      <c r="G3043" s="8">
        <v>0.1</v>
      </c>
      <c r="H3043" s="9" t="str">
        <f>INDEX(Products!$B$2:$B$37, MATCH(D3043, Products!$A$2:$A$37, 0))</f>
        <v>Bakhoor Gift Set</v>
      </c>
      <c r="I3043" t="str">
        <f>INDEX(Products!$C$2:$C$37, MATCH(D3043, Products!$A$2:$A$37, 0))</f>
        <v>Beauty</v>
      </c>
      <c r="J3043">
        <f>INDEX(Products!$E$2:$E$37, MATCH(D3043, Products!$A$2:$A$37, 0))</f>
        <v>90</v>
      </c>
      <c r="K3043" s="9">
        <f t="shared" si="188"/>
        <v>179.1</v>
      </c>
      <c r="L3043">
        <f t="shared" si="189"/>
        <v>90</v>
      </c>
      <c r="M3043" s="9">
        <f t="shared" si="190"/>
        <v>89.1</v>
      </c>
      <c r="N3043" t="str">
        <f t="shared" si="191"/>
        <v>Sep</v>
      </c>
    </row>
    <row r="3044" spans="1:14" x14ac:dyDescent="0.3">
      <c r="A3044" s="2" t="s">
        <v>3110</v>
      </c>
      <c r="B3044" s="6">
        <v>45920</v>
      </c>
      <c r="C3044" s="2" t="s">
        <v>28</v>
      </c>
      <c r="D3044" s="2" t="s">
        <v>165</v>
      </c>
      <c r="E3044" s="2">
        <v>2</v>
      </c>
      <c r="F3044" s="7">
        <v>69</v>
      </c>
      <c r="G3044" s="8">
        <v>0</v>
      </c>
      <c r="H3044" s="9" t="str">
        <f>INDEX(Products!$B$2:$B$37, MATCH(D3044, Products!$A$2:$A$37, 0))</f>
        <v>Swim Goggles</v>
      </c>
      <c r="I3044" t="str">
        <f>INDEX(Products!$C$2:$C$37, MATCH(D3044, Products!$A$2:$A$37, 0))</f>
        <v>Sports</v>
      </c>
      <c r="J3044">
        <f>INDEX(Products!$E$2:$E$37, MATCH(D3044, Products!$A$2:$A$37, 0))</f>
        <v>25</v>
      </c>
      <c r="K3044" s="9">
        <f t="shared" si="188"/>
        <v>138</v>
      </c>
      <c r="L3044">
        <f t="shared" si="189"/>
        <v>50</v>
      </c>
      <c r="M3044" s="9">
        <f t="shared" si="190"/>
        <v>88</v>
      </c>
      <c r="N3044" t="str">
        <f t="shared" si="191"/>
        <v>Sep</v>
      </c>
    </row>
    <row r="3045" spans="1:14" x14ac:dyDescent="0.3">
      <c r="A3045" s="2" t="s">
        <v>3111</v>
      </c>
      <c r="B3045" s="6">
        <v>45920</v>
      </c>
      <c r="C3045" s="2" t="s">
        <v>41</v>
      </c>
      <c r="D3045" s="2" t="s">
        <v>35</v>
      </c>
      <c r="E3045" s="2">
        <v>1</v>
      </c>
      <c r="F3045" s="7">
        <v>179</v>
      </c>
      <c r="G3045" s="8">
        <v>0</v>
      </c>
      <c r="H3045" s="9" t="str">
        <f>INDEX(Products!$B$2:$B$37, MATCH(D3045, Products!$A$2:$A$37, 0))</f>
        <v>Men's Linen Shirt</v>
      </c>
      <c r="I3045" t="str">
        <f>INDEX(Products!$C$2:$C$37, MATCH(D3045, Products!$A$2:$A$37, 0))</f>
        <v>Fashion</v>
      </c>
      <c r="J3045">
        <f>INDEX(Products!$E$2:$E$37, MATCH(D3045, Products!$A$2:$A$37, 0))</f>
        <v>70</v>
      </c>
      <c r="K3045" s="9">
        <f t="shared" si="188"/>
        <v>179</v>
      </c>
      <c r="L3045">
        <f t="shared" si="189"/>
        <v>70</v>
      </c>
      <c r="M3045" s="9">
        <f t="shared" si="190"/>
        <v>109</v>
      </c>
      <c r="N3045" t="str">
        <f t="shared" si="191"/>
        <v>Sep</v>
      </c>
    </row>
    <row r="3046" spans="1:14" x14ac:dyDescent="0.3">
      <c r="A3046" s="2" t="s">
        <v>3112</v>
      </c>
      <c r="B3046" s="6">
        <v>45921</v>
      </c>
      <c r="C3046" s="2" t="s">
        <v>44</v>
      </c>
      <c r="D3046" s="2" t="s">
        <v>194</v>
      </c>
      <c r="E3046" s="2">
        <v>1</v>
      </c>
      <c r="F3046" s="7">
        <v>699</v>
      </c>
      <c r="G3046" s="8">
        <v>0</v>
      </c>
      <c r="H3046" s="9" t="str">
        <f>INDEX(Products!$B$2:$B$37, MATCH(D3046, Products!$A$2:$A$37, 0))</f>
        <v>Leather Handbag</v>
      </c>
      <c r="I3046" t="str">
        <f>INDEX(Products!$C$2:$C$37, MATCH(D3046, Products!$A$2:$A$37, 0))</f>
        <v>Fashion</v>
      </c>
      <c r="J3046">
        <f>INDEX(Products!$E$2:$E$37, MATCH(D3046, Products!$A$2:$A$37, 0))</f>
        <v>380</v>
      </c>
      <c r="K3046" s="9">
        <f t="shared" si="188"/>
        <v>699</v>
      </c>
      <c r="L3046">
        <f t="shared" si="189"/>
        <v>380</v>
      </c>
      <c r="M3046" s="9">
        <f t="shared" si="190"/>
        <v>319</v>
      </c>
      <c r="N3046" t="str">
        <f t="shared" si="191"/>
        <v>Sep</v>
      </c>
    </row>
    <row r="3047" spans="1:14" x14ac:dyDescent="0.3">
      <c r="A3047" s="2" t="s">
        <v>3113</v>
      </c>
      <c r="B3047" s="6">
        <v>45921</v>
      </c>
      <c r="C3047" s="2" t="s">
        <v>31</v>
      </c>
      <c r="D3047" s="2" t="s">
        <v>68</v>
      </c>
      <c r="E3047" s="2">
        <v>1</v>
      </c>
      <c r="F3047" s="7">
        <v>249</v>
      </c>
      <c r="G3047" s="8">
        <v>0.1</v>
      </c>
      <c r="H3047" s="9" t="str">
        <f>INDEX(Products!$B$2:$B$37, MATCH(D3047, Products!$A$2:$A$37, 0))</f>
        <v>Bluetooth Speaker Mini</v>
      </c>
      <c r="I3047" t="str">
        <f>INDEX(Products!$C$2:$C$37, MATCH(D3047, Products!$A$2:$A$37, 0))</f>
        <v>Electronics</v>
      </c>
      <c r="J3047">
        <f>INDEX(Products!$E$2:$E$37, MATCH(D3047, Products!$A$2:$A$37, 0))</f>
        <v>150</v>
      </c>
      <c r="K3047" s="9">
        <f t="shared" si="188"/>
        <v>224.1</v>
      </c>
      <c r="L3047">
        <f t="shared" si="189"/>
        <v>150</v>
      </c>
      <c r="M3047" s="9">
        <f t="shared" si="190"/>
        <v>74.099999999999994</v>
      </c>
      <c r="N3047" t="str">
        <f t="shared" si="191"/>
        <v>Sep</v>
      </c>
    </row>
    <row r="3048" spans="1:14" x14ac:dyDescent="0.3">
      <c r="A3048" s="2" t="s">
        <v>3114</v>
      </c>
      <c r="B3048" s="6">
        <v>45921</v>
      </c>
      <c r="C3048" s="2" t="s">
        <v>48</v>
      </c>
      <c r="D3048" s="2" t="s">
        <v>56</v>
      </c>
      <c r="E3048" s="2">
        <v>1</v>
      </c>
      <c r="F3048" s="7">
        <v>289</v>
      </c>
      <c r="G3048" s="8">
        <v>0</v>
      </c>
      <c r="H3048" s="9" t="str">
        <f>INDEX(Products!$B$2:$B$37, MATCH(D3048, Products!$A$2:$A$37, 0))</f>
        <v>Ceramic Dinner Set</v>
      </c>
      <c r="I3048" t="str">
        <f>INDEX(Products!$C$2:$C$37, MATCH(D3048, Products!$A$2:$A$37, 0))</f>
        <v>Home &amp; Kitchen</v>
      </c>
      <c r="J3048">
        <f>INDEX(Products!$E$2:$E$37, MATCH(D3048, Products!$A$2:$A$37, 0))</f>
        <v>140</v>
      </c>
      <c r="K3048" s="9">
        <f t="shared" si="188"/>
        <v>289</v>
      </c>
      <c r="L3048">
        <f t="shared" si="189"/>
        <v>140</v>
      </c>
      <c r="M3048" s="9">
        <f t="shared" si="190"/>
        <v>149</v>
      </c>
      <c r="N3048" t="str">
        <f t="shared" si="191"/>
        <v>Sep</v>
      </c>
    </row>
    <row r="3049" spans="1:14" x14ac:dyDescent="0.3">
      <c r="A3049" s="2" t="s">
        <v>3115</v>
      </c>
      <c r="B3049" s="6">
        <v>45921</v>
      </c>
      <c r="C3049" s="2" t="s">
        <v>44</v>
      </c>
      <c r="D3049" s="2" t="s">
        <v>29</v>
      </c>
      <c r="E3049" s="2">
        <v>1</v>
      </c>
      <c r="F3049" s="7">
        <v>229</v>
      </c>
      <c r="G3049" s="8">
        <v>0.15</v>
      </c>
      <c r="H3049" s="9" t="str">
        <f>INDEX(Products!$B$2:$B$37, MATCH(D3049, Products!$A$2:$A$37, 0))</f>
        <v>Women's Summer Dress</v>
      </c>
      <c r="I3049" t="str">
        <f>INDEX(Products!$C$2:$C$37, MATCH(D3049, Products!$A$2:$A$37, 0))</f>
        <v>Fashion</v>
      </c>
      <c r="J3049">
        <f>INDEX(Products!$E$2:$E$37, MATCH(D3049, Products!$A$2:$A$37, 0))</f>
        <v>120</v>
      </c>
      <c r="K3049" s="9">
        <f t="shared" si="188"/>
        <v>194.65</v>
      </c>
      <c r="L3049">
        <f t="shared" si="189"/>
        <v>120</v>
      </c>
      <c r="M3049" s="9">
        <f t="shared" si="190"/>
        <v>74.650000000000006</v>
      </c>
      <c r="N3049" t="str">
        <f t="shared" si="191"/>
        <v>Sep</v>
      </c>
    </row>
    <row r="3050" spans="1:14" x14ac:dyDescent="0.3">
      <c r="A3050" s="2" t="s">
        <v>3116</v>
      </c>
      <c r="B3050" s="6">
        <v>45921</v>
      </c>
      <c r="C3050" s="2" t="s">
        <v>41</v>
      </c>
      <c r="D3050" s="2" t="s">
        <v>99</v>
      </c>
      <c r="E3050" s="2">
        <v>3</v>
      </c>
      <c r="F3050" s="7">
        <v>459</v>
      </c>
      <c r="G3050" s="8">
        <v>0</v>
      </c>
      <c r="H3050" s="9" t="str">
        <f>INDEX(Products!$B$2:$B$37, MATCH(D3050, Products!$A$2:$A$37, 0))</f>
        <v>Gaming Headset X</v>
      </c>
      <c r="I3050" t="str">
        <f>INDEX(Products!$C$2:$C$37, MATCH(D3050, Products!$A$2:$A$37, 0))</f>
        <v>Electronics</v>
      </c>
      <c r="J3050">
        <f>INDEX(Products!$E$2:$E$37, MATCH(D3050, Products!$A$2:$A$37, 0))</f>
        <v>300</v>
      </c>
      <c r="K3050" s="9">
        <f t="shared" si="188"/>
        <v>1377</v>
      </c>
      <c r="L3050">
        <f t="shared" si="189"/>
        <v>900</v>
      </c>
      <c r="M3050" s="9">
        <f t="shared" si="190"/>
        <v>477</v>
      </c>
      <c r="N3050" t="str">
        <f t="shared" si="191"/>
        <v>Sep</v>
      </c>
    </row>
    <row r="3051" spans="1:14" x14ac:dyDescent="0.3">
      <c r="A3051" s="2" t="s">
        <v>3117</v>
      </c>
      <c r="B3051" s="6">
        <v>45921</v>
      </c>
      <c r="C3051" s="2" t="s">
        <v>41</v>
      </c>
      <c r="D3051" s="2" t="s">
        <v>33</v>
      </c>
      <c r="E3051" s="2">
        <v>1</v>
      </c>
      <c r="F3051" s="7">
        <v>199</v>
      </c>
      <c r="G3051" s="8">
        <v>0.2</v>
      </c>
      <c r="H3051" s="9" t="str">
        <f>INDEX(Products!$B$2:$B$37, MATCH(D3051, Products!$A$2:$A$37, 0))</f>
        <v>Fitness Band Lite</v>
      </c>
      <c r="I3051" t="str">
        <f>INDEX(Products!$C$2:$C$37, MATCH(D3051, Products!$A$2:$A$37, 0))</f>
        <v>Electronics</v>
      </c>
      <c r="J3051">
        <f>INDEX(Products!$E$2:$E$37, MATCH(D3051, Products!$A$2:$A$37, 0))</f>
        <v>175</v>
      </c>
      <c r="K3051" s="9">
        <f t="shared" si="188"/>
        <v>159.20000000000002</v>
      </c>
      <c r="L3051">
        <f t="shared" si="189"/>
        <v>175</v>
      </c>
      <c r="M3051" s="9">
        <f t="shared" si="190"/>
        <v>-15.799999999999983</v>
      </c>
      <c r="N3051" t="str">
        <f t="shared" si="191"/>
        <v>Sep</v>
      </c>
    </row>
    <row r="3052" spans="1:14" x14ac:dyDescent="0.3">
      <c r="A3052" s="2" t="s">
        <v>3118</v>
      </c>
      <c r="B3052" s="6">
        <v>45921</v>
      </c>
      <c r="C3052" s="2" t="s">
        <v>48</v>
      </c>
      <c r="D3052" s="2" t="s">
        <v>80</v>
      </c>
      <c r="E3052" s="2">
        <v>1</v>
      </c>
      <c r="F3052" s="7">
        <v>149</v>
      </c>
      <c r="G3052" s="8">
        <v>0.15</v>
      </c>
      <c r="H3052" s="9" t="str">
        <f>INDEX(Products!$B$2:$B$37, MATCH(D3052, Products!$A$2:$A$37, 0))</f>
        <v>Vitamin C Serum</v>
      </c>
      <c r="I3052" t="str">
        <f>INDEX(Products!$C$2:$C$37, MATCH(D3052, Products!$A$2:$A$37, 0))</f>
        <v>Beauty</v>
      </c>
      <c r="J3052">
        <f>INDEX(Products!$E$2:$E$37, MATCH(D3052, Products!$A$2:$A$37, 0))</f>
        <v>55</v>
      </c>
      <c r="K3052" s="9">
        <f t="shared" si="188"/>
        <v>126.64999999999999</v>
      </c>
      <c r="L3052">
        <f t="shared" si="189"/>
        <v>55</v>
      </c>
      <c r="M3052" s="9">
        <f t="shared" si="190"/>
        <v>71.649999999999991</v>
      </c>
      <c r="N3052" t="str">
        <f t="shared" si="191"/>
        <v>Sep</v>
      </c>
    </row>
    <row r="3053" spans="1:14" x14ac:dyDescent="0.3">
      <c r="A3053" s="2" t="s">
        <v>3119</v>
      </c>
      <c r="B3053" s="6">
        <v>45921</v>
      </c>
      <c r="C3053" s="2" t="s">
        <v>41</v>
      </c>
      <c r="D3053" s="2" t="s">
        <v>46</v>
      </c>
      <c r="E3053" s="2">
        <v>1</v>
      </c>
      <c r="F3053" s="7">
        <v>189</v>
      </c>
      <c r="G3053" s="8">
        <v>0.05</v>
      </c>
      <c r="H3053" s="9" t="str">
        <f>INDEX(Products!$B$2:$B$37, MATCH(D3053, Products!$A$2:$A$37, 0))</f>
        <v>Makeup Palette</v>
      </c>
      <c r="I3053" t="str">
        <f>INDEX(Products!$C$2:$C$37, MATCH(D3053, Products!$A$2:$A$37, 0))</f>
        <v>Beauty</v>
      </c>
      <c r="J3053">
        <f>INDEX(Products!$E$2:$E$37, MATCH(D3053, Products!$A$2:$A$37, 0))</f>
        <v>85</v>
      </c>
      <c r="K3053" s="9">
        <f t="shared" si="188"/>
        <v>179.54999999999998</v>
      </c>
      <c r="L3053">
        <f t="shared" si="189"/>
        <v>85</v>
      </c>
      <c r="M3053" s="9">
        <f t="shared" si="190"/>
        <v>94.549999999999983</v>
      </c>
      <c r="N3053" t="str">
        <f t="shared" si="191"/>
        <v>Sep</v>
      </c>
    </row>
    <row r="3054" spans="1:14" x14ac:dyDescent="0.3">
      <c r="A3054" s="2" t="s">
        <v>3120</v>
      </c>
      <c r="B3054" s="6">
        <v>45921</v>
      </c>
      <c r="C3054" s="2" t="s">
        <v>44</v>
      </c>
      <c r="D3054" s="2" t="s">
        <v>49</v>
      </c>
      <c r="E3054" s="2">
        <v>2</v>
      </c>
      <c r="F3054" s="7">
        <v>149</v>
      </c>
      <c r="G3054" s="8">
        <v>0.1</v>
      </c>
      <c r="H3054" s="9" t="str">
        <f>INDEX(Products!$B$2:$B$37, MATCH(D3054, Products!$A$2:$A$37, 0))</f>
        <v>Kids' Sneakers</v>
      </c>
      <c r="I3054" t="str">
        <f>INDEX(Products!$C$2:$C$37, MATCH(D3054, Products!$A$2:$A$37, 0))</f>
        <v>Fashion</v>
      </c>
      <c r="J3054">
        <f>INDEX(Products!$E$2:$E$37, MATCH(D3054, Products!$A$2:$A$37, 0))</f>
        <v>80</v>
      </c>
      <c r="K3054" s="9">
        <f t="shared" si="188"/>
        <v>268.2</v>
      </c>
      <c r="L3054">
        <f t="shared" si="189"/>
        <v>160</v>
      </c>
      <c r="M3054" s="9">
        <f t="shared" si="190"/>
        <v>108.19999999999999</v>
      </c>
      <c r="N3054" t="str">
        <f t="shared" si="191"/>
        <v>Sep</v>
      </c>
    </row>
    <row r="3055" spans="1:14" x14ac:dyDescent="0.3">
      <c r="A3055" s="2" t="s">
        <v>3121</v>
      </c>
      <c r="B3055" s="6">
        <v>45921</v>
      </c>
      <c r="C3055" s="2" t="s">
        <v>28</v>
      </c>
      <c r="D3055" s="2" t="s">
        <v>70</v>
      </c>
      <c r="E3055" s="2">
        <v>2</v>
      </c>
      <c r="F3055" s="7">
        <v>429</v>
      </c>
      <c r="G3055" s="8">
        <v>0</v>
      </c>
      <c r="H3055" s="9" t="str">
        <f>INDEX(Products!$B$2:$B$37, MATCH(D3055, Products!$A$2:$A$37, 0))</f>
        <v>Running Shoes Elite</v>
      </c>
      <c r="I3055" t="str">
        <f>INDEX(Products!$C$2:$C$37, MATCH(D3055, Products!$A$2:$A$37, 0))</f>
        <v>Fashion</v>
      </c>
      <c r="J3055">
        <f>INDEX(Products!$E$2:$E$37, MATCH(D3055, Products!$A$2:$A$37, 0))</f>
        <v>300</v>
      </c>
      <c r="K3055" s="9">
        <f t="shared" si="188"/>
        <v>858</v>
      </c>
      <c r="L3055">
        <f t="shared" si="189"/>
        <v>600</v>
      </c>
      <c r="M3055" s="9">
        <f t="shared" si="190"/>
        <v>258</v>
      </c>
      <c r="N3055" t="str">
        <f t="shared" si="191"/>
        <v>Sep</v>
      </c>
    </row>
    <row r="3056" spans="1:14" x14ac:dyDescent="0.3">
      <c r="A3056" s="2" t="s">
        <v>3122</v>
      </c>
      <c r="B3056" s="6">
        <v>45921</v>
      </c>
      <c r="C3056" s="2" t="s">
        <v>28</v>
      </c>
      <c r="D3056" s="2" t="s">
        <v>103</v>
      </c>
      <c r="E3056" s="2">
        <v>1</v>
      </c>
      <c r="F3056" s="7">
        <v>89</v>
      </c>
      <c r="G3056" s="8">
        <v>0.2</v>
      </c>
      <c r="H3056" s="9" t="str">
        <f>INDEX(Products!$B$2:$B$37, MATCH(D3056, Products!$A$2:$A$37, 0))</f>
        <v>Sunscreen SPF50</v>
      </c>
      <c r="I3056" t="str">
        <f>INDEX(Products!$C$2:$C$37, MATCH(D3056, Products!$A$2:$A$37, 0))</f>
        <v>Beauty</v>
      </c>
      <c r="J3056">
        <f>INDEX(Products!$E$2:$E$37, MATCH(D3056, Products!$A$2:$A$37, 0))</f>
        <v>40</v>
      </c>
      <c r="K3056" s="9">
        <f t="shared" si="188"/>
        <v>71.2</v>
      </c>
      <c r="L3056">
        <f t="shared" si="189"/>
        <v>40</v>
      </c>
      <c r="M3056" s="9">
        <f t="shared" si="190"/>
        <v>31.200000000000003</v>
      </c>
      <c r="N3056" t="str">
        <f t="shared" si="191"/>
        <v>Sep</v>
      </c>
    </row>
    <row r="3057" spans="1:14" x14ac:dyDescent="0.3">
      <c r="A3057" s="2" t="s">
        <v>3123</v>
      </c>
      <c r="B3057" s="6">
        <v>45921</v>
      </c>
      <c r="C3057" s="2" t="s">
        <v>44</v>
      </c>
      <c r="D3057" s="2" t="s">
        <v>115</v>
      </c>
      <c r="E3057" s="2">
        <v>1</v>
      </c>
      <c r="F3057" s="7">
        <v>129</v>
      </c>
      <c r="G3057" s="8">
        <v>0.1</v>
      </c>
      <c r="H3057" s="9" t="str">
        <f>INDEX(Products!$B$2:$B$37, MATCH(D3057, Products!$A$2:$A$37, 0))</f>
        <v>Electric Kettle</v>
      </c>
      <c r="I3057" t="str">
        <f>INDEX(Products!$C$2:$C$37, MATCH(D3057, Products!$A$2:$A$37, 0))</f>
        <v>Home &amp; Kitchen</v>
      </c>
      <c r="J3057">
        <f>INDEX(Products!$E$2:$E$37, MATCH(D3057, Products!$A$2:$A$37, 0))</f>
        <v>60</v>
      </c>
      <c r="K3057" s="9">
        <f t="shared" si="188"/>
        <v>116.10000000000001</v>
      </c>
      <c r="L3057">
        <f t="shared" si="189"/>
        <v>60</v>
      </c>
      <c r="M3057" s="9">
        <f t="shared" si="190"/>
        <v>56.100000000000009</v>
      </c>
      <c r="N3057" t="str">
        <f t="shared" si="191"/>
        <v>Sep</v>
      </c>
    </row>
    <row r="3058" spans="1:14" x14ac:dyDescent="0.3">
      <c r="A3058" s="2" t="s">
        <v>3124</v>
      </c>
      <c r="B3058" s="6">
        <v>45922</v>
      </c>
      <c r="C3058" s="2" t="s">
        <v>48</v>
      </c>
      <c r="D3058" s="2" t="s">
        <v>65</v>
      </c>
      <c r="E3058" s="2">
        <v>2</v>
      </c>
      <c r="F3058" s="7">
        <v>129</v>
      </c>
      <c r="G3058" s="8">
        <v>0</v>
      </c>
      <c r="H3058" s="9" t="str">
        <f>INDEX(Products!$B$2:$B$37, MATCH(D3058, Products!$A$2:$A$37, 0))</f>
        <v>Yoga Mat Premium</v>
      </c>
      <c r="I3058" t="str">
        <f>INDEX(Products!$C$2:$C$37, MATCH(D3058, Products!$A$2:$A$37, 0))</f>
        <v>Sports</v>
      </c>
      <c r="J3058">
        <f>INDEX(Products!$E$2:$E$37, MATCH(D3058, Products!$A$2:$A$37, 0))</f>
        <v>60</v>
      </c>
      <c r="K3058" s="9">
        <f t="shared" si="188"/>
        <v>258</v>
      </c>
      <c r="L3058">
        <f t="shared" si="189"/>
        <v>120</v>
      </c>
      <c r="M3058" s="9">
        <f t="shared" si="190"/>
        <v>138</v>
      </c>
      <c r="N3058" t="str">
        <f t="shared" si="191"/>
        <v>Sep</v>
      </c>
    </row>
    <row r="3059" spans="1:14" x14ac:dyDescent="0.3">
      <c r="A3059" s="2" t="s">
        <v>3125</v>
      </c>
      <c r="B3059" s="6">
        <v>45922</v>
      </c>
      <c r="C3059" s="2" t="s">
        <v>28</v>
      </c>
      <c r="D3059" s="2" t="s">
        <v>99</v>
      </c>
      <c r="E3059" s="2">
        <v>1</v>
      </c>
      <c r="F3059" s="7">
        <v>459</v>
      </c>
      <c r="G3059" s="8">
        <v>0</v>
      </c>
      <c r="H3059" s="9" t="str">
        <f>INDEX(Products!$B$2:$B$37, MATCH(D3059, Products!$A$2:$A$37, 0))</f>
        <v>Gaming Headset X</v>
      </c>
      <c r="I3059" t="str">
        <f>INDEX(Products!$C$2:$C$37, MATCH(D3059, Products!$A$2:$A$37, 0))</f>
        <v>Electronics</v>
      </c>
      <c r="J3059">
        <f>INDEX(Products!$E$2:$E$37, MATCH(D3059, Products!$A$2:$A$37, 0))</f>
        <v>300</v>
      </c>
      <c r="K3059" s="9">
        <f t="shared" si="188"/>
        <v>459</v>
      </c>
      <c r="L3059">
        <f t="shared" si="189"/>
        <v>300</v>
      </c>
      <c r="M3059" s="9">
        <f t="shared" si="190"/>
        <v>159</v>
      </c>
      <c r="N3059" t="str">
        <f t="shared" si="191"/>
        <v>Sep</v>
      </c>
    </row>
    <row r="3060" spans="1:14" x14ac:dyDescent="0.3">
      <c r="A3060" s="2" t="s">
        <v>3126</v>
      </c>
      <c r="B3060" s="6">
        <v>45922</v>
      </c>
      <c r="C3060" s="2" t="s">
        <v>28</v>
      </c>
      <c r="D3060" s="2" t="s">
        <v>68</v>
      </c>
      <c r="E3060" s="2">
        <v>4</v>
      </c>
      <c r="F3060" s="7">
        <v>249</v>
      </c>
      <c r="G3060" s="8">
        <v>0.2</v>
      </c>
      <c r="H3060" s="9" t="str">
        <f>INDEX(Products!$B$2:$B$37, MATCH(D3060, Products!$A$2:$A$37, 0))</f>
        <v>Bluetooth Speaker Mini</v>
      </c>
      <c r="I3060" t="str">
        <f>INDEX(Products!$C$2:$C$37, MATCH(D3060, Products!$A$2:$A$37, 0))</f>
        <v>Electronics</v>
      </c>
      <c r="J3060">
        <f>INDEX(Products!$E$2:$E$37, MATCH(D3060, Products!$A$2:$A$37, 0))</f>
        <v>150</v>
      </c>
      <c r="K3060" s="9">
        <f t="shared" si="188"/>
        <v>796.80000000000007</v>
      </c>
      <c r="L3060">
        <f t="shared" si="189"/>
        <v>600</v>
      </c>
      <c r="M3060" s="9">
        <f t="shared" si="190"/>
        <v>196.80000000000007</v>
      </c>
      <c r="N3060" t="str">
        <f t="shared" si="191"/>
        <v>Sep</v>
      </c>
    </row>
    <row r="3061" spans="1:14" x14ac:dyDescent="0.3">
      <c r="A3061" s="2" t="s">
        <v>3127</v>
      </c>
      <c r="B3061" s="6">
        <v>45922</v>
      </c>
      <c r="C3061" s="2" t="s">
        <v>41</v>
      </c>
      <c r="D3061" s="2" t="s">
        <v>78</v>
      </c>
      <c r="E3061" s="2">
        <v>2</v>
      </c>
      <c r="F3061" s="7">
        <v>499</v>
      </c>
      <c r="G3061" s="8">
        <v>0</v>
      </c>
      <c r="H3061" s="9" t="str">
        <f>INDEX(Products!$B$2:$B$37, MATCH(D3061, Products!$A$2:$A$37, 0))</f>
        <v>Air Fryer 5L</v>
      </c>
      <c r="I3061" t="str">
        <f>INDEX(Products!$C$2:$C$37, MATCH(D3061, Products!$A$2:$A$37, 0))</f>
        <v>Home &amp; Kitchen</v>
      </c>
      <c r="J3061">
        <f>INDEX(Products!$E$2:$E$37, MATCH(D3061, Products!$A$2:$A$37, 0))</f>
        <v>290</v>
      </c>
      <c r="K3061" s="9">
        <f t="shared" si="188"/>
        <v>998</v>
      </c>
      <c r="L3061">
        <f t="shared" si="189"/>
        <v>580</v>
      </c>
      <c r="M3061" s="9">
        <f t="shared" si="190"/>
        <v>418</v>
      </c>
      <c r="N3061" t="str">
        <f t="shared" si="191"/>
        <v>Sep</v>
      </c>
    </row>
    <row r="3062" spans="1:14" x14ac:dyDescent="0.3">
      <c r="A3062" s="2" t="s">
        <v>3128</v>
      </c>
      <c r="B3062" s="6">
        <v>45922</v>
      </c>
      <c r="C3062" s="2" t="s">
        <v>41</v>
      </c>
      <c r="D3062" s="2" t="s">
        <v>89</v>
      </c>
      <c r="E3062" s="2">
        <v>1</v>
      </c>
      <c r="F3062" s="7">
        <v>399</v>
      </c>
      <c r="G3062" s="8">
        <v>0.2</v>
      </c>
      <c r="H3062" s="9" t="str">
        <f>INDEX(Products!$B$2:$B$37, MATCH(D3062, Products!$A$2:$A$37, 0))</f>
        <v>Men's Kandura Premium</v>
      </c>
      <c r="I3062" t="str">
        <f>INDEX(Products!$C$2:$C$37, MATCH(D3062, Products!$A$2:$A$37, 0))</f>
        <v>Fashion</v>
      </c>
      <c r="J3062">
        <f>INDEX(Products!$E$2:$E$37, MATCH(D3062, Products!$A$2:$A$37, 0))</f>
        <v>210</v>
      </c>
      <c r="K3062" s="9">
        <f t="shared" si="188"/>
        <v>319.20000000000005</v>
      </c>
      <c r="L3062">
        <f t="shared" si="189"/>
        <v>210</v>
      </c>
      <c r="M3062" s="9">
        <f t="shared" si="190"/>
        <v>109.20000000000005</v>
      </c>
      <c r="N3062" t="str">
        <f t="shared" si="191"/>
        <v>Sep</v>
      </c>
    </row>
    <row r="3063" spans="1:14" x14ac:dyDescent="0.3">
      <c r="A3063" s="2" t="s">
        <v>3129</v>
      </c>
      <c r="B3063" s="6">
        <v>45922</v>
      </c>
      <c r="C3063" s="2" t="s">
        <v>41</v>
      </c>
      <c r="D3063" s="2" t="s">
        <v>65</v>
      </c>
      <c r="E3063" s="2">
        <v>1</v>
      </c>
      <c r="F3063" s="7">
        <v>129</v>
      </c>
      <c r="G3063" s="8">
        <v>0</v>
      </c>
      <c r="H3063" s="9" t="str">
        <f>INDEX(Products!$B$2:$B$37, MATCH(D3063, Products!$A$2:$A$37, 0))</f>
        <v>Yoga Mat Premium</v>
      </c>
      <c r="I3063" t="str">
        <f>INDEX(Products!$C$2:$C$37, MATCH(D3063, Products!$A$2:$A$37, 0))</f>
        <v>Sports</v>
      </c>
      <c r="J3063">
        <f>INDEX(Products!$E$2:$E$37, MATCH(D3063, Products!$A$2:$A$37, 0))</f>
        <v>60</v>
      </c>
      <c r="K3063" s="9">
        <f t="shared" si="188"/>
        <v>129</v>
      </c>
      <c r="L3063">
        <f t="shared" si="189"/>
        <v>60</v>
      </c>
      <c r="M3063" s="9">
        <f t="shared" si="190"/>
        <v>69</v>
      </c>
      <c r="N3063" t="str">
        <f t="shared" si="191"/>
        <v>Sep</v>
      </c>
    </row>
    <row r="3064" spans="1:14" x14ac:dyDescent="0.3">
      <c r="A3064" s="2" t="s">
        <v>3130</v>
      </c>
      <c r="B3064" s="6">
        <v>45922</v>
      </c>
      <c r="C3064" s="2" t="s">
        <v>31</v>
      </c>
      <c r="D3064" s="2" t="s">
        <v>46</v>
      </c>
      <c r="E3064" s="2">
        <v>2</v>
      </c>
      <c r="F3064" s="7">
        <v>189</v>
      </c>
      <c r="G3064" s="8">
        <v>0.3</v>
      </c>
      <c r="H3064" s="9" t="str">
        <f>INDEX(Products!$B$2:$B$37, MATCH(D3064, Products!$A$2:$A$37, 0))</f>
        <v>Makeup Palette</v>
      </c>
      <c r="I3064" t="str">
        <f>INDEX(Products!$C$2:$C$37, MATCH(D3064, Products!$A$2:$A$37, 0))</f>
        <v>Beauty</v>
      </c>
      <c r="J3064">
        <f>INDEX(Products!$E$2:$E$37, MATCH(D3064, Products!$A$2:$A$37, 0))</f>
        <v>85</v>
      </c>
      <c r="K3064" s="9">
        <f t="shared" si="188"/>
        <v>264.59999999999997</v>
      </c>
      <c r="L3064">
        <f t="shared" si="189"/>
        <v>170</v>
      </c>
      <c r="M3064" s="9">
        <f t="shared" si="190"/>
        <v>94.599999999999966</v>
      </c>
      <c r="N3064" t="str">
        <f t="shared" si="191"/>
        <v>Sep</v>
      </c>
    </row>
    <row r="3065" spans="1:14" x14ac:dyDescent="0.3">
      <c r="A3065" s="2" t="s">
        <v>3131</v>
      </c>
      <c r="B3065" s="6">
        <v>45923</v>
      </c>
      <c r="C3065" s="2" t="s">
        <v>44</v>
      </c>
      <c r="D3065" s="2" t="s">
        <v>165</v>
      </c>
      <c r="E3065" s="2">
        <v>1</v>
      </c>
      <c r="F3065" s="7">
        <v>69</v>
      </c>
      <c r="G3065" s="8">
        <v>0</v>
      </c>
      <c r="H3065" s="9" t="str">
        <f>INDEX(Products!$B$2:$B$37, MATCH(D3065, Products!$A$2:$A$37, 0))</f>
        <v>Swim Goggles</v>
      </c>
      <c r="I3065" t="str">
        <f>INDEX(Products!$C$2:$C$37, MATCH(D3065, Products!$A$2:$A$37, 0))</f>
        <v>Sports</v>
      </c>
      <c r="J3065">
        <f>INDEX(Products!$E$2:$E$37, MATCH(D3065, Products!$A$2:$A$37, 0))</f>
        <v>25</v>
      </c>
      <c r="K3065" s="9">
        <f t="shared" si="188"/>
        <v>69</v>
      </c>
      <c r="L3065">
        <f t="shared" si="189"/>
        <v>25</v>
      </c>
      <c r="M3065" s="9">
        <f t="shared" si="190"/>
        <v>44</v>
      </c>
      <c r="N3065" t="str">
        <f t="shared" si="191"/>
        <v>Sep</v>
      </c>
    </row>
    <row r="3066" spans="1:14" x14ac:dyDescent="0.3">
      <c r="A3066" s="2" t="s">
        <v>3132</v>
      </c>
      <c r="B3066" s="6">
        <v>45923</v>
      </c>
      <c r="C3066" s="2" t="s">
        <v>44</v>
      </c>
      <c r="D3066" s="2" t="s">
        <v>52</v>
      </c>
      <c r="E3066" s="2">
        <v>1</v>
      </c>
      <c r="F3066" s="7">
        <v>299</v>
      </c>
      <c r="G3066" s="8">
        <v>0.25</v>
      </c>
      <c r="H3066" s="9" t="str">
        <f>INDEX(Products!$B$2:$B$37, MATCH(D3066, Products!$A$2:$A$37, 0))</f>
        <v>Hair Dryer Ionic</v>
      </c>
      <c r="I3066" t="str">
        <f>INDEX(Products!$C$2:$C$37, MATCH(D3066, Products!$A$2:$A$37, 0))</f>
        <v>Beauty</v>
      </c>
      <c r="J3066">
        <f>INDEX(Products!$E$2:$E$37, MATCH(D3066, Products!$A$2:$A$37, 0))</f>
        <v>240</v>
      </c>
      <c r="K3066" s="9">
        <f t="shared" si="188"/>
        <v>224.25</v>
      </c>
      <c r="L3066">
        <f t="shared" si="189"/>
        <v>240</v>
      </c>
      <c r="M3066" s="9">
        <f t="shared" si="190"/>
        <v>-15.75</v>
      </c>
      <c r="N3066" t="str">
        <f t="shared" si="191"/>
        <v>Sep</v>
      </c>
    </row>
    <row r="3067" spans="1:14" x14ac:dyDescent="0.3">
      <c r="A3067" s="2" t="s">
        <v>3133</v>
      </c>
      <c r="B3067" s="6">
        <v>45923</v>
      </c>
      <c r="C3067" s="2" t="s">
        <v>44</v>
      </c>
      <c r="D3067" s="2" t="s">
        <v>129</v>
      </c>
      <c r="E3067" s="2">
        <v>1</v>
      </c>
      <c r="F3067" s="7">
        <v>149</v>
      </c>
      <c r="G3067" s="8">
        <v>0.05</v>
      </c>
      <c r="H3067" s="9" t="str">
        <f>INDEX(Products!$B$2:$B$37, MATCH(D3067, Products!$A$2:$A$37, 0))</f>
        <v>Power Bank 20000mAh</v>
      </c>
      <c r="I3067" t="str">
        <f>INDEX(Products!$C$2:$C$37, MATCH(D3067, Products!$A$2:$A$37, 0))</f>
        <v>Electronics</v>
      </c>
      <c r="J3067">
        <f>INDEX(Products!$E$2:$E$37, MATCH(D3067, Products!$A$2:$A$37, 0))</f>
        <v>70</v>
      </c>
      <c r="K3067" s="9">
        <f t="shared" si="188"/>
        <v>141.54999999999998</v>
      </c>
      <c r="L3067">
        <f t="shared" si="189"/>
        <v>70</v>
      </c>
      <c r="M3067" s="9">
        <f t="shared" si="190"/>
        <v>71.549999999999983</v>
      </c>
      <c r="N3067" t="str">
        <f t="shared" si="191"/>
        <v>Sep</v>
      </c>
    </row>
    <row r="3068" spans="1:14" x14ac:dyDescent="0.3">
      <c r="A3068" s="2" t="s">
        <v>3134</v>
      </c>
      <c r="B3068" s="6">
        <v>45923</v>
      </c>
      <c r="C3068" s="2" t="s">
        <v>31</v>
      </c>
      <c r="D3068" s="2" t="s">
        <v>126</v>
      </c>
      <c r="E3068" s="2">
        <v>2</v>
      </c>
      <c r="F3068" s="7">
        <v>89</v>
      </c>
      <c r="G3068" s="8">
        <v>0</v>
      </c>
      <c r="H3068" s="9" t="str">
        <f>INDEX(Products!$B$2:$B$37, MATCH(D3068, Products!$A$2:$A$37, 0))</f>
        <v>USB-C Fast Charger</v>
      </c>
      <c r="I3068" t="str">
        <f>INDEX(Products!$C$2:$C$37, MATCH(D3068, Products!$A$2:$A$37, 0))</f>
        <v>Electronics</v>
      </c>
      <c r="J3068">
        <f>INDEX(Products!$E$2:$E$37, MATCH(D3068, Products!$A$2:$A$37, 0))</f>
        <v>35</v>
      </c>
      <c r="K3068" s="9">
        <f t="shared" si="188"/>
        <v>178</v>
      </c>
      <c r="L3068">
        <f t="shared" si="189"/>
        <v>70</v>
      </c>
      <c r="M3068" s="9">
        <f t="shared" si="190"/>
        <v>108</v>
      </c>
      <c r="N3068" t="str">
        <f t="shared" si="191"/>
        <v>Sep</v>
      </c>
    </row>
    <row r="3069" spans="1:14" x14ac:dyDescent="0.3">
      <c r="A3069" s="2" t="s">
        <v>3135</v>
      </c>
      <c r="B3069" s="6">
        <v>45923</v>
      </c>
      <c r="C3069" s="2" t="s">
        <v>31</v>
      </c>
      <c r="D3069" s="2" t="s">
        <v>99</v>
      </c>
      <c r="E3069" s="2">
        <v>2</v>
      </c>
      <c r="F3069" s="7">
        <v>459</v>
      </c>
      <c r="G3069" s="8">
        <v>0.05</v>
      </c>
      <c r="H3069" s="9" t="str">
        <f>INDEX(Products!$B$2:$B$37, MATCH(D3069, Products!$A$2:$A$37, 0))</f>
        <v>Gaming Headset X</v>
      </c>
      <c r="I3069" t="str">
        <f>INDEX(Products!$C$2:$C$37, MATCH(D3069, Products!$A$2:$A$37, 0))</f>
        <v>Electronics</v>
      </c>
      <c r="J3069">
        <f>INDEX(Products!$E$2:$E$37, MATCH(D3069, Products!$A$2:$A$37, 0))</f>
        <v>300</v>
      </c>
      <c r="K3069" s="9">
        <f t="shared" si="188"/>
        <v>872.09999999999991</v>
      </c>
      <c r="L3069">
        <f t="shared" si="189"/>
        <v>600</v>
      </c>
      <c r="M3069" s="9">
        <f t="shared" si="190"/>
        <v>272.09999999999991</v>
      </c>
      <c r="N3069" t="str">
        <f t="shared" si="191"/>
        <v>Sep</v>
      </c>
    </row>
    <row r="3070" spans="1:14" x14ac:dyDescent="0.3">
      <c r="A3070" s="2" t="s">
        <v>3136</v>
      </c>
      <c r="B3070" s="6">
        <v>45923</v>
      </c>
      <c r="C3070" s="2" t="s">
        <v>41</v>
      </c>
      <c r="D3070" s="2" t="s">
        <v>39</v>
      </c>
      <c r="E3070" s="2">
        <v>2</v>
      </c>
      <c r="F3070" s="7">
        <v>199</v>
      </c>
      <c r="G3070" s="8">
        <v>0.3</v>
      </c>
      <c r="H3070" s="9" t="str">
        <f>INDEX(Products!$B$2:$B$37, MATCH(D3070, Products!$A$2:$A$37, 0))</f>
        <v>Bakhoor Gift Set</v>
      </c>
      <c r="I3070" t="str">
        <f>INDEX(Products!$C$2:$C$37, MATCH(D3070, Products!$A$2:$A$37, 0))</f>
        <v>Beauty</v>
      </c>
      <c r="J3070">
        <f>INDEX(Products!$E$2:$E$37, MATCH(D3070, Products!$A$2:$A$37, 0))</f>
        <v>90</v>
      </c>
      <c r="K3070" s="9">
        <f t="shared" si="188"/>
        <v>278.59999999999997</v>
      </c>
      <c r="L3070">
        <f t="shared" si="189"/>
        <v>180</v>
      </c>
      <c r="M3070" s="9">
        <f t="shared" si="190"/>
        <v>98.599999999999966</v>
      </c>
      <c r="N3070" t="str">
        <f t="shared" si="191"/>
        <v>Sep</v>
      </c>
    </row>
    <row r="3071" spans="1:14" x14ac:dyDescent="0.3">
      <c r="A3071" s="2" t="s">
        <v>3137</v>
      </c>
      <c r="B3071" s="6">
        <v>45923</v>
      </c>
      <c r="C3071" s="2" t="s">
        <v>31</v>
      </c>
      <c r="D3071" s="2" t="s">
        <v>68</v>
      </c>
      <c r="E3071" s="2">
        <v>1</v>
      </c>
      <c r="F3071" s="7">
        <v>249</v>
      </c>
      <c r="G3071" s="8">
        <v>0</v>
      </c>
      <c r="H3071" s="9" t="str">
        <f>INDEX(Products!$B$2:$B$37, MATCH(D3071, Products!$A$2:$A$37, 0))</f>
        <v>Bluetooth Speaker Mini</v>
      </c>
      <c r="I3071" t="str">
        <f>INDEX(Products!$C$2:$C$37, MATCH(D3071, Products!$A$2:$A$37, 0))</f>
        <v>Electronics</v>
      </c>
      <c r="J3071">
        <f>INDEX(Products!$E$2:$E$37, MATCH(D3071, Products!$A$2:$A$37, 0))</f>
        <v>150</v>
      </c>
      <c r="K3071" s="9">
        <f t="shared" si="188"/>
        <v>249</v>
      </c>
      <c r="L3071">
        <f t="shared" si="189"/>
        <v>150</v>
      </c>
      <c r="M3071" s="9">
        <f t="shared" si="190"/>
        <v>99</v>
      </c>
      <c r="N3071" t="str">
        <f t="shared" si="191"/>
        <v>Sep</v>
      </c>
    </row>
    <row r="3072" spans="1:14" x14ac:dyDescent="0.3">
      <c r="A3072" s="2" t="s">
        <v>3138</v>
      </c>
      <c r="B3072" s="6">
        <v>45923</v>
      </c>
      <c r="C3072" s="2" t="s">
        <v>28</v>
      </c>
      <c r="D3072" s="2" t="s">
        <v>165</v>
      </c>
      <c r="E3072" s="2">
        <v>1</v>
      </c>
      <c r="F3072" s="7">
        <v>69</v>
      </c>
      <c r="G3072" s="8">
        <v>0.1</v>
      </c>
      <c r="H3072" s="9" t="str">
        <f>INDEX(Products!$B$2:$B$37, MATCH(D3072, Products!$A$2:$A$37, 0))</f>
        <v>Swim Goggles</v>
      </c>
      <c r="I3072" t="str">
        <f>INDEX(Products!$C$2:$C$37, MATCH(D3072, Products!$A$2:$A$37, 0))</f>
        <v>Sports</v>
      </c>
      <c r="J3072">
        <f>INDEX(Products!$E$2:$E$37, MATCH(D3072, Products!$A$2:$A$37, 0))</f>
        <v>25</v>
      </c>
      <c r="K3072" s="9">
        <f t="shared" si="188"/>
        <v>62.1</v>
      </c>
      <c r="L3072">
        <f t="shared" si="189"/>
        <v>25</v>
      </c>
      <c r="M3072" s="9">
        <f t="shared" si="190"/>
        <v>37.1</v>
      </c>
      <c r="N3072" t="str">
        <f t="shared" si="191"/>
        <v>Sep</v>
      </c>
    </row>
    <row r="3073" spans="1:14" x14ac:dyDescent="0.3">
      <c r="A3073" s="2" t="s">
        <v>3139</v>
      </c>
      <c r="B3073" s="6">
        <v>45923</v>
      </c>
      <c r="C3073" s="2" t="s">
        <v>28</v>
      </c>
      <c r="D3073" s="2" t="s">
        <v>89</v>
      </c>
      <c r="E3073" s="2">
        <v>1</v>
      </c>
      <c r="F3073" s="7">
        <v>399</v>
      </c>
      <c r="G3073" s="8">
        <v>0.1</v>
      </c>
      <c r="H3073" s="9" t="str">
        <f>INDEX(Products!$B$2:$B$37, MATCH(D3073, Products!$A$2:$A$37, 0))</f>
        <v>Men's Kandura Premium</v>
      </c>
      <c r="I3073" t="str">
        <f>INDEX(Products!$C$2:$C$37, MATCH(D3073, Products!$A$2:$A$37, 0))</f>
        <v>Fashion</v>
      </c>
      <c r="J3073">
        <f>INDEX(Products!$E$2:$E$37, MATCH(D3073, Products!$A$2:$A$37, 0))</f>
        <v>210</v>
      </c>
      <c r="K3073" s="9">
        <f t="shared" si="188"/>
        <v>359.1</v>
      </c>
      <c r="L3073">
        <f t="shared" si="189"/>
        <v>210</v>
      </c>
      <c r="M3073" s="9">
        <f t="shared" si="190"/>
        <v>149.10000000000002</v>
      </c>
      <c r="N3073" t="str">
        <f t="shared" si="191"/>
        <v>Sep</v>
      </c>
    </row>
    <row r="3074" spans="1:14" x14ac:dyDescent="0.3">
      <c r="A3074" s="2" t="s">
        <v>3140</v>
      </c>
      <c r="B3074" s="6">
        <v>45924</v>
      </c>
      <c r="C3074" s="2" t="s">
        <v>41</v>
      </c>
      <c r="D3074" s="2" t="s">
        <v>70</v>
      </c>
      <c r="E3074" s="2">
        <v>2</v>
      </c>
      <c r="F3074" s="7">
        <v>429</v>
      </c>
      <c r="G3074" s="8">
        <v>0.15</v>
      </c>
      <c r="H3074" s="9" t="str">
        <f>INDEX(Products!$B$2:$B$37, MATCH(D3074, Products!$A$2:$A$37, 0))</f>
        <v>Running Shoes Elite</v>
      </c>
      <c r="I3074" t="str">
        <f>INDEX(Products!$C$2:$C$37, MATCH(D3074, Products!$A$2:$A$37, 0))</f>
        <v>Fashion</v>
      </c>
      <c r="J3074">
        <f>INDEX(Products!$E$2:$E$37, MATCH(D3074, Products!$A$2:$A$37, 0))</f>
        <v>300</v>
      </c>
      <c r="K3074" s="9">
        <f t="shared" ref="K3074:K3137" si="192">E3074*F3074*(1-G3074)</f>
        <v>729.3</v>
      </c>
      <c r="L3074">
        <f t="shared" ref="L3074:L3137" si="193">E3074*J3074</f>
        <v>600</v>
      </c>
      <c r="M3074" s="9">
        <f t="shared" ref="M3074:M3137" si="194">K3074-L3074</f>
        <v>129.29999999999995</v>
      </c>
      <c r="N3074" t="str">
        <f t="shared" ref="N3074:N3137" si="195">TEXT(B3074,"mmm")</f>
        <v>Sep</v>
      </c>
    </row>
    <row r="3075" spans="1:14" x14ac:dyDescent="0.3">
      <c r="A3075" s="2" t="s">
        <v>3141</v>
      </c>
      <c r="B3075" s="6">
        <v>45924</v>
      </c>
      <c r="C3075" s="2" t="s">
        <v>48</v>
      </c>
      <c r="D3075" s="2" t="s">
        <v>80</v>
      </c>
      <c r="E3075" s="2">
        <v>1</v>
      </c>
      <c r="F3075" s="7">
        <v>149</v>
      </c>
      <c r="G3075" s="8">
        <v>0</v>
      </c>
      <c r="H3075" s="9" t="str">
        <f>INDEX(Products!$B$2:$B$37, MATCH(D3075, Products!$A$2:$A$37, 0))</f>
        <v>Vitamin C Serum</v>
      </c>
      <c r="I3075" t="str">
        <f>INDEX(Products!$C$2:$C$37, MATCH(D3075, Products!$A$2:$A$37, 0))</f>
        <v>Beauty</v>
      </c>
      <c r="J3075">
        <f>INDEX(Products!$E$2:$E$37, MATCH(D3075, Products!$A$2:$A$37, 0))</f>
        <v>55</v>
      </c>
      <c r="K3075" s="9">
        <f t="shared" si="192"/>
        <v>149</v>
      </c>
      <c r="L3075">
        <f t="shared" si="193"/>
        <v>55</v>
      </c>
      <c r="M3075" s="9">
        <f t="shared" si="194"/>
        <v>94</v>
      </c>
      <c r="N3075" t="str">
        <f t="shared" si="195"/>
        <v>Sep</v>
      </c>
    </row>
    <row r="3076" spans="1:14" x14ac:dyDescent="0.3">
      <c r="A3076" s="2" t="s">
        <v>3142</v>
      </c>
      <c r="B3076" s="6">
        <v>45924</v>
      </c>
      <c r="C3076" s="2" t="s">
        <v>28</v>
      </c>
      <c r="D3076" s="2" t="s">
        <v>194</v>
      </c>
      <c r="E3076" s="2">
        <v>2</v>
      </c>
      <c r="F3076" s="7">
        <v>699</v>
      </c>
      <c r="G3076" s="8">
        <v>0</v>
      </c>
      <c r="H3076" s="9" t="str">
        <f>INDEX(Products!$B$2:$B$37, MATCH(D3076, Products!$A$2:$A$37, 0))</f>
        <v>Leather Handbag</v>
      </c>
      <c r="I3076" t="str">
        <f>INDEX(Products!$C$2:$C$37, MATCH(D3076, Products!$A$2:$A$37, 0))</f>
        <v>Fashion</v>
      </c>
      <c r="J3076">
        <f>INDEX(Products!$E$2:$E$37, MATCH(D3076, Products!$A$2:$A$37, 0))</f>
        <v>380</v>
      </c>
      <c r="K3076" s="9">
        <f t="shared" si="192"/>
        <v>1398</v>
      </c>
      <c r="L3076">
        <f t="shared" si="193"/>
        <v>760</v>
      </c>
      <c r="M3076" s="9">
        <f t="shared" si="194"/>
        <v>638</v>
      </c>
      <c r="N3076" t="str">
        <f t="shared" si="195"/>
        <v>Sep</v>
      </c>
    </row>
    <row r="3077" spans="1:14" x14ac:dyDescent="0.3">
      <c r="A3077" s="2" t="s">
        <v>3143</v>
      </c>
      <c r="B3077" s="6">
        <v>45924</v>
      </c>
      <c r="C3077" s="2" t="s">
        <v>44</v>
      </c>
      <c r="D3077" s="2" t="s">
        <v>29</v>
      </c>
      <c r="E3077" s="2">
        <v>4</v>
      </c>
      <c r="F3077" s="7">
        <v>229</v>
      </c>
      <c r="G3077" s="8">
        <v>0</v>
      </c>
      <c r="H3077" s="9" t="str">
        <f>INDEX(Products!$B$2:$B$37, MATCH(D3077, Products!$A$2:$A$37, 0))</f>
        <v>Women's Summer Dress</v>
      </c>
      <c r="I3077" t="str">
        <f>INDEX(Products!$C$2:$C$37, MATCH(D3077, Products!$A$2:$A$37, 0))</f>
        <v>Fashion</v>
      </c>
      <c r="J3077">
        <f>INDEX(Products!$E$2:$E$37, MATCH(D3077, Products!$A$2:$A$37, 0))</f>
        <v>120</v>
      </c>
      <c r="K3077" s="9">
        <f t="shared" si="192"/>
        <v>916</v>
      </c>
      <c r="L3077">
        <f t="shared" si="193"/>
        <v>480</v>
      </c>
      <c r="M3077" s="9">
        <f t="shared" si="194"/>
        <v>436</v>
      </c>
      <c r="N3077" t="str">
        <f t="shared" si="195"/>
        <v>Sep</v>
      </c>
    </row>
    <row r="3078" spans="1:14" x14ac:dyDescent="0.3">
      <c r="A3078" s="2" t="s">
        <v>3144</v>
      </c>
      <c r="B3078" s="6">
        <v>45924</v>
      </c>
      <c r="C3078" s="2" t="s">
        <v>44</v>
      </c>
      <c r="D3078" s="2" t="s">
        <v>39</v>
      </c>
      <c r="E3078" s="2">
        <v>1</v>
      </c>
      <c r="F3078" s="7">
        <v>199</v>
      </c>
      <c r="G3078" s="8">
        <v>0</v>
      </c>
      <c r="H3078" s="9" t="str">
        <f>INDEX(Products!$B$2:$B$37, MATCH(D3078, Products!$A$2:$A$37, 0))</f>
        <v>Bakhoor Gift Set</v>
      </c>
      <c r="I3078" t="str">
        <f>INDEX(Products!$C$2:$C$37, MATCH(D3078, Products!$A$2:$A$37, 0))</f>
        <v>Beauty</v>
      </c>
      <c r="J3078">
        <f>INDEX(Products!$E$2:$E$37, MATCH(D3078, Products!$A$2:$A$37, 0))</f>
        <v>90</v>
      </c>
      <c r="K3078" s="9">
        <f t="shared" si="192"/>
        <v>199</v>
      </c>
      <c r="L3078">
        <f t="shared" si="193"/>
        <v>90</v>
      </c>
      <c r="M3078" s="9">
        <f t="shared" si="194"/>
        <v>109</v>
      </c>
      <c r="N3078" t="str">
        <f t="shared" si="195"/>
        <v>Sep</v>
      </c>
    </row>
    <row r="3079" spans="1:14" x14ac:dyDescent="0.3">
      <c r="A3079" s="2" t="s">
        <v>3145</v>
      </c>
      <c r="B3079" s="6">
        <v>45924</v>
      </c>
      <c r="C3079" s="2" t="s">
        <v>48</v>
      </c>
      <c r="D3079" s="2" t="s">
        <v>65</v>
      </c>
      <c r="E3079" s="2">
        <v>2</v>
      </c>
      <c r="F3079" s="7">
        <v>129</v>
      </c>
      <c r="G3079" s="8">
        <v>0.15</v>
      </c>
      <c r="H3079" s="9" t="str">
        <f>INDEX(Products!$B$2:$B$37, MATCH(D3079, Products!$A$2:$A$37, 0))</f>
        <v>Yoga Mat Premium</v>
      </c>
      <c r="I3079" t="str">
        <f>INDEX(Products!$C$2:$C$37, MATCH(D3079, Products!$A$2:$A$37, 0))</f>
        <v>Sports</v>
      </c>
      <c r="J3079">
        <f>INDEX(Products!$E$2:$E$37, MATCH(D3079, Products!$A$2:$A$37, 0))</f>
        <v>60</v>
      </c>
      <c r="K3079" s="9">
        <f t="shared" si="192"/>
        <v>219.29999999999998</v>
      </c>
      <c r="L3079">
        <f t="shared" si="193"/>
        <v>120</v>
      </c>
      <c r="M3079" s="9">
        <f t="shared" si="194"/>
        <v>99.299999999999983</v>
      </c>
      <c r="N3079" t="str">
        <f t="shared" si="195"/>
        <v>Sep</v>
      </c>
    </row>
    <row r="3080" spans="1:14" x14ac:dyDescent="0.3">
      <c r="A3080" s="2" t="s">
        <v>3146</v>
      </c>
      <c r="B3080" s="6">
        <v>45924</v>
      </c>
      <c r="C3080" s="2" t="s">
        <v>41</v>
      </c>
      <c r="D3080" s="2" t="s">
        <v>65</v>
      </c>
      <c r="E3080" s="2">
        <v>2</v>
      </c>
      <c r="F3080" s="7">
        <v>129</v>
      </c>
      <c r="G3080" s="8">
        <v>0.05</v>
      </c>
      <c r="H3080" s="9" t="str">
        <f>INDEX(Products!$B$2:$B$37, MATCH(D3080, Products!$A$2:$A$37, 0))</f>
        <v>Yoga Mat Premium</v>
      </c>
      <c r="I3080" t="str">
        <f>INDEX(Products!$C$2:$C$37, MATCH(D3080, Products!$A$2:$A$37, 0))</f>
        <v>Sports</v>
      </c>
      <c r="J3080">
        <f>INDEX(Products!$E$2:$E$37, MATCH(D3080, Products!$A$2:$A$37, 0))</f>
        <v>60</v>
      </c>
      <c r="K3080" s="9">
        <f t="shared" si="192"/>
        <v>245.1</v>
      </c>
      <c r="L3080">
        <f t="shared" si="193"/>
        <v>120</v>
      </c>
      <c r="M3080" s="9">
        <f t="shared" si="194"/>
        <v>125.1</v>
      </c>
      <c r="N3080" t="str">
        <f t="shared" si="195"/>
        <v>Sep</v>
      </c>
    </row>
    <row r="3081" spans="1:14" x14ac:dyDescent="0.3">
      <c r="A3081" s="2" t="s">
        <v>3147</v>
      </c>
      <c r="B3081" s="6">
        <v>45924</v>
      </c>
      <c r="C3081" s="2" t="s">
        <v>41</v>
      </c>
      <c r="D3081" s="2" t="s">
        <v>33</v>
      </c>
      <c r="E3081" s="2">
        <v>1</v>
      </c>
      <c r="F3081" s="7">
        <v>199</v>
      </c>
      <c r="G3081" s="8">
        <v>0.25</v>
      </c>
      <c r="H3081" s="9" t="str">
        <f>INDEX(Products!$B$2:$B$37, MATCH(D3081, Products!$A$2:$A$37, 0))</f>
        <v>Fitness Band Lite</v>
      </c>
      <c r="I3081" t="str">
        <f>INDEX(Products!$C$2:$C$37, MATCH(D3081, Products!$A$2:$A$37, 0))</f>
        <v>Electronics</v>
      </c>
      <c r="J3081">
        <f>INDEX(Products!$E$2:$E$37, MATCH(D3081, Products!$A$2:$A$37, 0))</f>
        <v>175</v>
      </c>
      <c r="K3081" s="9">
        <f t="shared" si="192"/>
        <v>149.25</v>
      </c>
      <c r="L3081">
        <f t="shared" si="193"/>
        <v>175</v>
      </c>
      <c r="M3081" s="9">
        <f t="shared" si="194"/>
        <v>-25.75</v>
      </c>
      <c r="N3081" t="str">
        <f t="shared" si="195"/>
        <v>Sep</v>
      </c>
    </row>
    <row r="3082" spans="1:14" x14ac:dyDescent="0.3">
      <c r="A3082" s="2" t="s">
        <v>3148</v>
      </c>
      <c r="B3082" s="6">
        <v>45924</v>
      </c>
      <c r="C3082" s="2" t="s">
        <v>41</v>
      </c>
      <c r="D3082" s="2" t="s">
        <v>68</v>
      </c>
      <c r="E3082" s="2">
        <v>2</v>
      </c>
      <c r="F3082" s="7">
        <v>249</v>
      </c>
      <c r="G3082" s="8">
        <v>0</v>
      </c>
      <c r="H3082" s="9" t="str">
        <f>INDEX(Products!$B$2:$B$37, MATCH(D3082, Products!$A$2:$A$37, 0))</f>
        <v>Bluetooth Speaker Mini</v>
      </c>
      <c r="I3082" t="str">
        <f>INDEX(Products!$C$2:$C$37, MATCH(D3082, Products!$A$2:$A$37, 0))</f>
        <v>Electronics</v>
      </c>
      <c r="J3082">
        <f>INDEX(Products!$E$2:$E$37, MATCH(D3082, Products!$A$2:$A$37, 0))</f>
        <v>150</v>
      </c>
      <c r="K3082" s="9">
        <f t="shared" si="192"/>
        <v>498</v>
      </c>
      <c r="L3082">
        <f t="shared" si="193"/>
        <v>300</v>
      </c>
      <c r="M3082" s="9">
        <f t="shared" si="194"/>
        <v>198</v>
      </c>
      <c r="N3082" t="str">
        <f t="shared" si="195"/>
        <v>Sep</v>
      </c>
    </row>
    <row r="3083" spans="1:14" x14ac:dyDescent="0.3">
      <c r="A3083" s="2" t="s">
        <v>3149</v>
      </c>
      <c r="B3083" s="6">
        <v>45924</v>
      </c>
      <c r="C3083" s="2" t="s">
        <v>48</v>
      </c>
      <c r="D3083" s="2" t="s">
        <v>46</v>
      </c>
      <c r="E3083" s="2">
        <v>2</v>
      </c>
      <c r="F3083" s="7">
        <v>189</v>
      </c>
      <c r="G3083" s="8">
        <v>0</v>
      </c>
      <c r="H3083" s="9" t="str">
        <f>INDEX(Products!$B$2:$B$37, MATCH(D3083, Products!$A$2:$A$37, 0))</f>
        <v>Makeup Palette</v>
      </c>
      <c r="I3083" t="str">
        <f>INDEX(Products!$C$2:$C$37, MATCH(D3083, Products!$A$2:$A$37, 0))</f>
        <v>Beauty</v>
      </c>
      <c r="J3083">
        <f>INDEX(Products!$E$2:$E$37, MATCH(D3083, Products!$A$2:$A$37, 0))</f>
        <v>85</v>
      </c>
      <c r="K3083" s="9">
        <f t="shared" si="192"/>
        <v>378</v>
      </c>
      <c r="L3083">
        <f t="shared" si="193"/>
        <v>170</v>
      </c>
      <c r="M3083" s="9">
        <f t="shared" si="194"/>
        <v>208</v>
      </c>
      <c r="N3083" t="str">
        <f t="shared" si="195"/>
        <v>Sep</v>
      </c>
    </row>
    <row r="3084" spans="1:14" x14ac:dyDescent="0.3">
      <c r="A3084" s="2" t="s">
        <v>3150</v>
      </c>
      <c r="B3084" s="6">
        <v>45924</v>
      </c>
      <c r="C3084" s="2" t="s">
        <v>28</v>
      </c>
      <c r="D3084" s="2" t="s">
        <v>68</v>
      </c>
      <c r="E3084" s="2">
        <v>1</v>
      </c>
      <c r="F3084" s="7">
        <v>249</v>
      </c>
      <c r="G3084" s="8">
        <v>0</v>
      </c>
      <c r="H3084" s="9" t="str">
        <f>INDEX(Products!$B$2:$B$37, MATCH(D3084, Products!$A$2:$A$37, 0))</f>
        <v>Bluetooth Speaker Mini</v>
      </c>
      <c r="I3084" t="str">
        <f>INDEX(Products!$C$2:$C$37, MATCH(D3084, Products!$A$2:$A$37, 0))</f>
        <v>Electronics</v>
      </c>
      <c r="J3084">
        <f>INDEX(Products!$E$2:$E$37, MATCH(D3084, Products!$A$2:$A$37, 0))</f>
        <v>150</v>
      </c>
      <c r="K3084" s="9">
        <f t="shared" si="192"/>
        <v>249</v>
      </c>
      <c r="L3084">
        <f t="shared" si="193"/>
        <v>150</v>
      </c>
      <c r="M3084" s="9">
        <f t="shared" si="194"/>
        <v>99</v>
      </c>
      <c r="N3084" t="str">
        <f t="shared" si="195"/>
        <v>Sep</v>
      </c>
    </row>
    <row r="3085" spans="1:14" x14ac:dyDescent="0.3">
      <c r="A3085" s="2" t="s">
        <v>3151</v>
      </c>
      <c r="B3085" s="6">
        <v>45924</v>
      </c>
      <c r="C3085" s="2" t="s">
        <v>28</v>
      </c>
      <c r="D3085" s="2" t="s">
        <v>149</v>
      </c>
      <c r="E3085" s="2">
        <v>1</v>
      </c>
      <c r="F3085" s="7">
        <v>399</v>
      </c>
      <c r="G3085" s="8">
        <v>0.1</v>
      </c>
      <c r="H3085" s="9" t="str">
        <f>INDEX(Products!$B$2:$B$37, MATCH(D3085, Products!$A$2:$A$37, 0))</f>
        <v>Blender Pro 1200W</v>
      </c>
      <c r="I3085" t="str">
        <f>INDEX(Products!$C$2:$C$37, MATCH(D3085, Products!$A$2:$A$37, 0))</f>
        <v>Home &amp; Kitchen</v>
      </c>
      <c r="J3085">
        <f>INDEX(Products!$E$2:$E$37, MATCH(D3085, Products!$A$2:$A$37, 0))</f>
        <v>250</v>
      </c>
      <c r="K3085" s="9">
        <f t="shared" si="192"/>
        <v>359.1</v>
      </c>
      <c r="L3085">
        <f t="shared" si="193"/>
        <v>250</v>
      </c>
      <c r="M3085" s="9">
        <f t="shared" si="194"/>
        <v>109.10000000000002</v>
      </c>
      <c r="N3085" t="str">
        <f t="shared" si="195"/>
        <v>Sep</v>
      </c>
    </row>
    <row r="3086" spans="1:14" x14ac:dyDescent="0.3">
      <c r="A3086" s="2" t="s">
        <v>3152</v>
      </c>
      <c r="B3086" s="6">
        <v>45924</v>
      </c>
      <c r="C3086" s="2" t="s">
        <v>31</v>
      </c>
      <c r="D3086" s="2" t="s">
        <v>37</v>
      </c>
      <c r="E3086" s="2">
        <v>2</v>
      </c>
      <c r="F3086" s="7">
        <v>249</v>
      </c>
      <c r="G3086" s="8">
        <v>0.05</v>
      </c>
      <c r="H3086" s="9" t="str">
        <f>INDEX(Products!$B$2:$B$37, MATCH(D3086, Products!$A$2:$A$37, 0))</f>
        <v>Sunglasses Polarised</v>
      </c>
      <c r="I3086" t="str">
        <f>INDEX(Products!$C$2:$C$37, MATCH(D3086, Products!$A$2:$A$37, 0))</f>
        <v>Fashion</v>
      </c>
      <c r="J3086">
        <f>INDEX(Products!$E$2:$E$37, MATCH(D3086, Products!$A$2:$A$37, 0))</f>
        <v>95</v>
      </c>
      <c r="K3086" s="9">
        <f t="shared" si="192"/>
        <v>473.09999999999997</v>
      </c>
      <c r="L3086">
        <f t="shared" si="193"/>
        <v>190</v>
      </c>
      <c r="M3086" s="9">
        <f t="shared" si="194"/>
        <v>283.09999999999997</v>
      </c>
      <c r="N3086" t="str">
        <f t="shared" si="195"/>
        <v>Sep</v>
      </c>
    </row>
    <row r="3087" spans="1:14" x14ac:dyDescent="0.3">
      <c r="A3087" s="2" t="s">
        <v>3153</v>
      </c>
      <c r="B3087" s="6">
        <v>45925</v>
      </c>
      <c r="C3087" s="2" t="s">
        <v>44</v>
      </c>
      <c r="D3087" s="2" t="s">
        <v>70</v>
      </c>
      <c r="E3087" s="2">
        <v>1</v>
      </c>
      <c r="F3087" s="7">
        <v>429</v>
      </c>
      <c r="G3087" s="8">
        <v>0</v>
      </c>
      <c r="H3087" s="9" t="str">
        <f>INDEX(Products!$B$2:$B$37, MATCH(D3087, Products!$A$2:$A$37, 0))</f>
        <v>Running Shoes Elite</v>
      </c>
      <c r="I3087" t="str">
        <f>INDEX(Products!$C$2:$C$37, MATCH(D3087, Products!$A$2:$A$37, 0))</f>
        <v>Fashion</v>
      </c>
      <c r="J3087">
        <f>INDEX(Products!$E$2:$E$37, MATCH(D3087, Products!$A$2:$A$37, 0))</f>
        <v>300</v>
      </c>
      <c r="K3087" s="9">
        <f t="shared" si="192"/>
        <v>429</v>
      </c>
      <c r="L3087">
        <f t="shared" si="193"/>
        <v>300</v>
      </c>
      <c r="M3087" s="9">
        <f t="shared" si="194"/>
        <v>129</v>
      </c>
      <c r="N3087" t="str">
        <f t="shared" si="195"/>
        <v>Sep</v>
      </c>
    </row>
    <row r="3088" spans="1:14" x14ac:dyDescent="0.3">
      <c r="A3088" s="2" t="s">
        <v>3154</v>
      </c>
      <c r="B3088" s="6">
        <v>45925</v>
      </c>
      <c r="C3088" s="2" t="s">
        <v>41</v>
      </c>
      <c r="D3088" s="2" t="s">
        <v>33</v>
      </c>
      <c r="E3088" s="2">
        <v>3</v>
      </c>
      <c r="F3088" s="7">
        <v>199</v>
      </c>
      <c r="G3088" s="8">
        <v>0.25</v>
      </c>
      <c r="H3088" s="9" t="str">
        <f>INDEX(Products!$B$2:$B$37, MATCH(D3088, Products!$A$2:$A$37, 0))</f>
        <v>Fitness Band Lite</v>
      </c>
      <c r="I3088" t="str">
        <f>INDEX(Products!$C$2:$C$37, MATCH(D3088, Products!$A$2:$A$37, 0))</f>
        <v>Electronics</v>
      </c>
      <c r="J3088">
        <f>INDEX(Products!$E$2:$E$37, MATCH(D3088, Products!$A$2:$A$37, 0))</f>
        <v>175</v>
      </c>
      <c r="K3088" s="9">
        <f t="shared" si="192"/>
        <v>447.75</v>
      </c>
      <c r="L3088">
        <f t="shared" si="193"/>
        <v>525</v>
      </c>
      <c r="M3088" s="9">
        <f t="shared" si="194"/>
        <v>-77.25</v>
      </c>
      <c r="N3088" t="str">
        <f t="shared" si="195"/>
        <v>Sep</v>
      </c>
    </row>
    <row r="3089" spans="1:14" x14ac:dyDescent="0.3">
      <c r="A3089" s="2" t="s">
        <v>3155</v>
      </c>
      <c r="B3089" s="6">
        <v>45925</v>
      </c>
      <c r="C3089" s="2" t="s">
        <v>28</v>
      </c>
      <c r="D3089" s="2" t="s">
        <v>56</v>
      </c>
      <c r="E3089" s="2">
        <v>1</v>
      </c>
      <c r="F3089" s="7">
        <v>289</v>
      </c>
      <c r="G3089" s="8">
        <v>0.15</v>
      </c>
      <c r="H3089" s="9" t="str">
        <f>INDEX(Products!$B$2:$B$37, MATCH(D3089, Products!$A$2:$A$37, 0))</f>
        <v>Ceramic Dinner Set</v>
      </c>
      <c r="I3089" t="str">
        <f>INDEX(Products!$C$2:$C$37, MATCH(D3089, Products!$A$2:$A$37, 0))</f>
        <v>Home &amp; Kitchen</v>
      </c>
      <c r="J3089">
        <f>INDEX(Products!$E$2:$E$37, MATCH(D3089, Products!$A$2:$A$37, 0))</f>
        <v>140</v>
      </c>
      <c r="K3089" s="9">
        <f t="shared" si="192"/>
        <v>245.65</v>
      </c>
      <c r="L3089">
        <f t="shared" si="193"/>
        <v>140</v>
      </c>
      <c r="M3089" s="9">
        <f t="shared" si="194"/>
        <v>105.65</v>
      </c>
      <c r="N3089" t="str">
        <f t="shared" si="195"/>
        <v>Sep</v>
      </c>
    </row>
    <row r="3090" spans="1:14" x14ac:dyDescent="0.3">
      <c r="A3090" s="2" t="s">
        <v>3156</v>
      </c>
      <c r="B3090" s="6">
        <v>45925</v>
      </c>
      <c r="C3090" s="2" t="s">
        <v>31</v>
      </c>
      <c r="D3090" s="2" t="s">
        <v>33</v>
      </c>
      <c r="E3090" s="2">
        <v>1</v>
      </c>
      <c r="F3090" s="7">
        <v>199</v>
      </c>
      <c r="G3090" s="8">
        <v>0.2</v>
      </c>
      <c r="H3090" s="9" t="str">
        <f>INDEX(Products!$B$2:$B$37, MATCH(D3090, Products!$A$2:$A$37, 0))</f>
        <v>Fitness Band Lite</v>
      </c>
      <c r="I3090" t="str">
        <f>INDEX(Products!$C$2:$C$37, MATCH(D3090, Products!$A$2:$A$37, 0))</f>
        <v>Electronics</v>
      </c>
      <c r="J3090">
        <f>INDEX(Products!$E$2:$E$37, MATCH(D3090, Products!$A$2:$A$37, 0))</f>
        <v>175</v>
      </c>
      <c r="K3090" s="9">
        <f t="shared" si="192"/>
        <v>159.20000000000002</v>
      </c>
      <c r="L3090">
        <f t="shared" si="193"/>
        <v>175</v>
      </c>
      <c r="M3090" s="9">
        <f t="shared" si="194"/>
        <v>-15.799999999999983</v>
      </c>
      <c r="N3090" t="str">
        <f t="shared" si="195"/>
        <v>Sep</v>
      </c>
    </row>
    <row r="3091" spans="1:14" x14ac:dyDescent="0.3">
      <c r="A3091" s="2" t="s">
        <v>3157</v>
      </c>
      <c r="B3091" s="6">
        <v>45925</v>
      </c>
      <c r="C3091" s="2" t="s">
        <v>44</v>
      </c>
      <c r="D3091" s="2" t="s">
        <v>33</v>
      </c>
      <c r="E3091" s="2">
        <v>1</v>
      </c>
      <c r="F3091" s="7">
        <v>199</v>
      </c>
      <c r="G3091" s="8">
        <v>0.15</v>
      </c>
      <c r="H3091" s="9" t="str">
        <f>INDEX(Products!$B$2:$B$37, MATCH(D3091, Products!$A$2:$A$37, 0))</f>
        <v>Fitness Band Lite</v>
      </c>
      <c r="I3091" t="str">
        <f>INDEX(Products!$C$2:$C$37, MATCH(D3091, Products!$A$2:$A$37, 0))</f>
        <v>Electronics</v>
      </c>
      <c r="J3091">
        <f>INDEX(Products!$E$2:$E$37, MATCH(D3091, Products!$A$2:$A$37, 0))</f>
        <v>175</v>
      </c>
      <c r="K3091" s="9">
        <f t="shared" si="192"/>
        <v>169.15</v>
      </c>
      <c r="L3091">
        <f t="shared" si="193"/>
        <v>175</v>
      </c>
      <c r="M3091" s="9">
        <f t="shared" si="194"/>
        <v>-5.8499999999999943</v>
      </c>
      <c r="N3091" t="str">
        <f t="shared" si="195"/>
        <v>Sep</v>
      </c>
    </row>
    <row r="3092" spans="1:14" x14ac:dyDescent="0.3">
      <c r="A3092" s="2" t="s">
        <v>3158</v>
      </c>
      <c r="B3092" s="6">
        <v>45925</v>
      </c>
      <c r="C3092" s="2" t="s">
        <v>31</v>
      </c>
      <c r="D3092" s="2" t="s">
        <v>33</v>
      </c>
      <c r="E3092" s="2">
        <v>2</v>
      </c>
      <c r="F3092" s="7">
        <v>199</v>
      </c>
      <c r="G3092" s="8">
        <v>0.2</v>
      </c>
      <c r="H3092" s="9" t="str">
        <f>INDEX(Products!$B$2:$B$37, MATCH(D3092, Products!$A$2:$A$37, 0))</f>
        <v>Fitness Band Lite</v>
      </c>
      <c r="I3092" t="str">
        <f>INDEX(Products!$C$2:$C$37, MATCH(D3092, Products!$A$2:$A$37, 0))</f>
        <v>Electronics</v>
      </c>
      <c r="J3092">
        <f>INDEX(Products!$E$2:$E$37, MATCH(D3092, Products!$A$2:$A$37, 0))</f>
        <v>175</v>
      </c>
      <c r="K3092" s="9">
        <f t="shared" si="192"/>
        <v>318.40000000000003</v>
      </c>
      <c r="L3092">
        <f t="shared" si="193"/>
        <v>350</v>
      </c>
      <c r="M3092" s="9">
        <f t="shared" si="194"/>
        <v>-31.599999999999966</v>
      </c>
      <c r="N3092" t="str">
        <f t="shared" si="195"/>
        <v>Sep</v>
      </c>
    </row>
    <row r="3093" spans="1:14" x14ac:dyDescent="0.3">
      <c r="A3093" s="2" t="s">
        <v>3159</v>
      </c>
      <c r="B3093" s="6">
        <v>45925</v>
      </c>
      <c r="C3093" s="2" t="s">
        <v>44</v>
      </c>
      <c r="D3093" s="2" t="s">
        <v>29</v>
      </c>
      <c r="E3093" s="2">
        <v>1</v>
      </c>
      <c r="F3093" s="7">
        <v>229</v>
      </c>
      <c r="G3093" s="8">
        <v>0</v>
      </c>
      <c r="H3093" s="9" t="str">
        <f>INDEX(Products!$B$2:$B$37, MATCH(D3093, Products!$A$2:$A$37, 0))</f>
        <v>Women's Summer Dress</v>
      </c>
      <c r="I3093" t="str">
        <f>INDEX(Products!$C$2:$C$37, MATCH(D3093, Products!$A$2:$A$37, 0))</f>
        <v>Fashion</v>
      </c>
      <c r="J3093">
        <f>INDEX(Products!$E$2:$E$37, MATCH(D3093, Products!$A$2:$A$37, 0))</f>
        <v>120</v>
      </c>
      <c r="K3093" s="9">
        <f t="shared" si="192"/>
        <v>229</v>
      </c>
      <c r="L3093">
        <f t="shared" si="193"/>
        <v>120</v>
      </c>
      <c r="M3093" s="9">
        <f t="shared" si="194"/>
        <v>109</v>
      </c>
      <c r="N3093" t="str">
        <f t="shared" si="195"/>
        <v>Sep</v>
      </c>
    </row>
    <row r="3094" spans="1:14" x14ac:dyDescent="0.3">
      <c r="A3094" s="2" t="s">
        <v>3160</v>
      </c>
      <c r="B3094" s="6">
        <v>45925</v>
      </c>
      <c r="C3094" s="2" t="s">
        <v>31</v>
      </c>
      <c r="D3094" s="2" t="s">
        <v>165</v>
      </c>
      <c r="E3094" s="2">
        <v>1</v>
      </c>
      <c r="F3094" s="7">
        <v>69</v>
      </c>
      <c r="G3094" s="8">
        <v>0.15</v>
      </c>
      <c r="H3094" s="9" t="str">
        <f>INDEX(Products!$B$2:$B$37, MATCH(D3094, Products!$A$2:$A$37, 0))</f>
        <v>Swim Goggles</v>
      </c>
      <c r="I3094" t="str">
        <f>INDEX(Products!$C$2:$C$37, MATCH(D3094, Products!$A$2:$A$37, 0))</f>
        <v>Sports</v>
      </c>
      <c r="J3094">
        <f>INDEX(Products!$E$2:$E$37, MATCH(D3094, Products!$A$2:$A$37, 0))</f>
        <v>25</v>
      </c>
      <c r="K3094" s="9">
        <f t="shared" si="192"/>
        <v>58.65</v>
      </c>
      <c r="L3094">
        <f t="shared" si="193"/>
        <v>25</v>
      </c>
      <c r="M3094" s="9">
        <f t="shared" si="194"/>
        <v>33.65</v>
      </c>
      <c r="N3094" t="str">
        <f t="shared" si="195"/>
        <v>Sep</v>
      </c>
    </row>
    <row r="3095" spans="1:14" x14ac:dyDescent="0.3">
      <c r="A3095" s="2" t="s">
        <v>3161</v>
      </c>
      <c r="B3095" s="6">
        <v>45925</v>
      </c>
      <c r="C3095" s="2" t="s">
        <v>44</v>
      </c>
      <c r="D3095" s="2" t="s">
        <v>37</v>
      </c>
      <c r="E3095" s="2">
        <v>3</v>
      </c>
      <c r="F3095" s="7">
        <v>249</v>
      </c>
      <c r="G3095" s="8">
        <v>0.2</v>
      </c>
      <c r="H3095" s="9" t="str">
        <f>INDEX(Products!$B$2:$B$37, MATCH(D3095, Products!$A$2:$A$37, 0))</f>
        <v>Sunglasses Polarised</v>
      </c>
      <c r="I3095" t="str">
        <f>INDEX(Products!$C$2:$C$37, MATCH(D3095, Products!$A$2:$A$37, 0))</f>
        <v>Fashion</v>
      </c>
      <c r="J3095">
        <f>INDEX(Products!$E$2:$E$37, MATCH(D3095, Products!$A$2:$A$37, 0))</f>
        <v>95</v>
      </c>
      <c r="K3095" s="9">
        <f t="shared" si="192"/>
        <v>597.6</v>
      </c>
      <c r="L3095">
        <f t="shared" si="193"/>
        <v>285</v>
      </c>
      <c r="M3095" s="9">
        <f t="shared" si="194"/>
        <v>312.60000000000002</v>
      </c>
      <c r="N3095" t="str">
        <f t="shared" si="195"/>
        <v>Sep</v>
      </c>
    </row>
    <row r="3096" spans="1:14" x14ac:dyDescent="0.3">
      <c r="A3096" s="2" t="s">
        <v>3162</v>
      </c>
      <c r="B3096" s="6">
        <v>45925</v>
      </c>
      <c r="C3096" s="2" t="s">
        <v>41</v>
      </c>
      <c r="D3096" s="2" t="s">
        <v>89</v>
      </c>
      <c r="E3096" s="2">
        <v>1</v>
      </c>
      <c r="F3096" s="7">
        <v>399</v>
      </c>
      <c r="G3096" s="8">
        <v>0.2</v>
      </c>
      <c r="H3096" s="9" t="str">
        <f>INDEX(Products!$B$2:$B$37, MATCH(D3096, Products!$A$2:$A$37, 0))</f>
        <v>Men's Kandura Premium</v>
      </c>
      <c r="I3096" t="str">
        <f>INDEX(Products!$C$2:$C$37, MATCH(D3096, Products!$A$2:$A$37, 0))</f>
        <v>Fashion</v>
      </c>
      <c r="J3096">
        <f>INDEX(Products!$E$2:$E$37, MATCH(D3096, Products!$A$2:$A$37, 0))</f>
        <v>210</v>
      </c>
      <c r="K3096" s="9">
        <f t="shared" si="192"/>
        <v>319.20000000000005</v>
      </c>
      <c r="L3096">
        <f t="shared" si="193"/>
        <v>210</v>
      </c>
      <c r="M3096" s="9">
        <f t="shared" si="194"/>
        <v>109.20000000000005</v>
      </c>
      <c r="N3096" t="str">
        <f t="shared" si="195"/>
        <v>Sep</v>
      </c>
    </row>
    <row r="3097" spans="1:14" x14ac:dyDescent="0.3">
      <c r="A3097" s="2" t="s">
        <v>3163</v>
      </c>
      <c r="B3097" s="6">
        <v>45925</v>
      </c>
      <c r="C3097" s="2" t="s">
        <v>44</v>
      </c>
      <c r="D3097" s="2" t="s">
        <v>83</v>
      </c>
      <c r="E3097" s="2">
        <v>4</v>
      </c>
      <c r="F3097" s="7">
        <v>229</v>
      </c>
      <c r="G3097" s="8">
        <v>0.15</v>
      </c>
      <c r="H3097" s="9" t="str">
        <f>INDEX(Products!$B$2:$B$37, MATCH(D3097, Products!$A$2:$A$37, 0))</f>
        <v>Cycling Helmet</v>
      </c>
      <c r="I3097" t="str">
        <f>INDEX(Products!$C$2:$C$37, MATCH(D3097, Products!$A$2:$A$37, 0))</f>
        <v>Sports</v>
      </c>
      <c r="J3097">
        <f>INDEX(Products!$E$2:$E$37, MATCH(D3097, Products!$A$2:$A$37, 0))</f>
        <v>120</v>
      </c>
      <c r="K3097" s="9">
        <f t="shared" si="192"/>
        <v>778.6</v>
      </c>
      <c r="L3097">
        <f t="shared" si="193"/>
        <v>480</v>
      </c>
      <c r="M3097" s="9">
        <f t="shared" si="194"/>
        <v>298.60000000000002</v>
      </c>
      <c r="N3097" t="str">
        <f t="shared" si="195"/>
        <v>Sep</v>
      </c>
    </row>
    <row r="3098" spans="1:14" x14ac:dyDescent="0.3">
      <c r="A3098" s="2" t="s">
        <v>3164</v>
      </c>
      <c r="B3098" s="6">
        <v>45925</v>
      </c>
      <c r="C3098" s="2" t="s">
        <v>48</v>
      </c>
      <c r="D3098" s="2" t="s">
        <v>103</v>
      </c>
      <c r="E3098" s="2">
        <v>4</v>
      </c>
      <c r="F3098" s="7">
        <v>89</v>
      </c>
      <c r="G3098" s="8">
        <v>0</v>
      </c>
      <c r="H3098" s="9" t="str">
        <f>INDEX(Products!$B$2:$B$37, MATCH(D3098, Products!$A$2:$A$37, 0))</f>
        <v>Sunscreen SPF50</v>
      </c>
      <c r="I3098" t="str">
        <f>INDEX(Products!$C$2:$C$37, MATCH(D3098, Products!$A$2:$A$37, 0))</f>
        <v>Beauty</v>
      </c>
      <c r="J3098">
        <f>INDEX(Products!$E$2:$E$37, MATCH(D3098, Products!$A$2:$A$37, 0))</f>
        <v>40</v>
      </c>
      <c r="K3098" s="9">
        <f t="shared" si="192"/>
        <v>356</v>
      </c>
      <c r="L3098">
        <f t="shared" si="193"/>
        <v>160</v>
      </c>
      <c r="M3098" s="9">
        <f t="shared" si="194"/>
        <v>196</v>
      </c>
      <c r="N3098" t="str">
        <f t="shared" si="195"/>
        <v>Sep</v>
      </c>
    </row>
    <row r="3099" spans="1:14" x14ac:dyDescent="0.3">
      <c r="A3099" s="2" t="s">
        <v>3165</v>
      </c>
      <c r="B3099" s="6">
        <v>45925</v>
      </c>
      <c r="C3099" s="2" t="s">
        <v>31</v>
      </c>
      <c r="D3099" s="2" t="s">
        <v>56</v>
      </c>
      <c r="E3099" s="2">
        <v>1</v>
      </c>
      <c r="F3099" s="7">
        <v>289</v>
      </c>
      <c r="G3099" s="8">
        <v>0.15</v>
      </c>
      <c r="H3099" s="9" t="str">
        <f>INDEX(Products!$B$2:$B$37, MATCH(D3099, Products!$A$2:$A$37, 0))</f>
        <v>Ceramic Dinner Set</v>
      </c>
      <c r="I3099" t="str">
        <f>INDEX(Products!$C$2:$C$37, MATCH(D3099, Products!$A$2:$A$37, 0))</f>
        <v>Home &amp; Kitchen</v>
      </c>
      <c r="J3099">
        <f>INDEX(Products!$E$2:$E$37, MATCH(D3099, Products!$A$2:$A$37, 0))</f>
        <v>140</v>
      </c>
      <c r="K3099" s="9">
        <f t="shared" si="192"/>
        <v>245.65</v>
      </c>
      <c r="L3099">
        <f t="shared" si="193"/>
        <v>140</v>
      </c>
      <c r="M3099" s="9">
        <f t="shared" si="194"/>
        <v>105.65</v>
      </c>
      <c r="N3099" t="str">
        <f t="shared" si="195"/>
        <v>Sep</v>
      </c>
    </row>
    <row r="3100" spans="1:14" x14ac:dyDescent="0.3">
      <c r="A3100" s="2" t="s">
        <v>3166</v>
      </c>
      <c r="B3100" s="6">
        <v>45925</v>
      </c>
      <c r="C3100" s="2" t="s">
        <v>44</v>
      </c>
      <c r="D3100" s="2" t="s">
        <v>78</v>
      </c>
      <c r="E3100" s="2">
        <v>3</v>
      </c>
      <c r="F3100" s="7">
        <v>499</v>
      </c>
      <c r="G3100" s="8">
        <v>0.3</v>
      </c>
      <c r="H3100" s="9" t="str">
        <f>INDEX(Products!$B$2:$B$37, MATCH(D3100, Products!$A$2:$A$37, 0))</f>
        <v>Air Fryer 5L</v>
      </c>
      <c r="I3100" t="str">
        <f>INDEX(Products!$C$2:$C$37, MATCH(D3100, Products!$A$2:$A$37, 0))</f>
        <v>Home &amp; Kitchen</v>
      </c>
      <c r="J3100">
        <f>INDEX(Products!$E$2:$E$37, MATCH(D3100, Products!$A$2:$A$37, 0))</f>
        <v>290</v>
      </c>
      <c r="K3100" s="9">
        <f t="shared" si="192"/>
        <v>1047.8999999999999</v>
      </c>
      <c r="L3100">
        <f t="shared" si="193"/>
        <v>870</v>
      </c>
      <c r="M3100" s="9">
        <f t="shared" si="194"/>
        <v>177.89999999999986</v>
      </c>
      <c r="N3100" t="str">
        <f t="shared" si="195"/>
        <v>Sep</v>
      </c>
    </row>
    <row r="3101" spans="1:14" x14ac:dyDescent="0.3">
      <c r="A3101" s="2" t="s">
        <v>3167</v>
      </c>
      <c r="B3101" s="6">
        <v>45925</v>
      </c>
      <c r="C3101" s="2" t="s">
        <v>28</v>
      </c>
      <c r="D3101" s="2" t="s">
        <v>95</v>
      </c>
      <c r="E3101" s="2">
        <v>1</v>
      </c>
      <c r="F3101" s="7">
        <v>259</v>
      </c>
      <c r="G3101" s="8">
        <v>0.3</v>
      </c>
      <c r="H3101" s="9" t="str">
        <f>INDEX(Products!$B$2:$B$37, MATCH(D3101, Products!$A$2:$A$37, 0))</f>
        <v>Bed Linen Set (King)</v>
      </c>
      <c r="I3101" t="str">
        <f>INDEX(Products!$C$2:$C$37, MATCH(D3101, Products!$A$2:$A$37, 0))</f>
        <v>Home &amp; Kitchen</v>
      </c>
      <c r="J3101">
        <f>INDEX(Products!$E$2:$E$37, MATCH(D3101, Products!$A$2:$A$37, 0))</f>
        <v>115</v>
      </c>
      <c r="K3101" s="9">
        <f t="shared" si="192"/>
        <v>181.29999999999998</v>
      </c>
      <c r="L3101">
        <f t="shared" si="193"/>
        <v>115</v>
      </c>
      <c r="M3101" s="9">
        <f t="shared" si="194"/>
        <v>66.299999999999983</v>
      </c>
      <c r="N3101" t="str">
        <f t="shared" si="195"/>
        <v>Sep</v>
      </c>
    </row>
    <row r="3102" spans="1:14" x14ac:dyDescent="0.3">
      <c r="A3102" s="2" t="s">
        <v>3168</v>
      </c>
      <c r="B3102" s="6">
        <v>45926</v>
      </c>
      <c r="C3102" s="2" t="s">
        <v>48</v>
      </c>
      <c r="D3102" s="2" t="s">
        <v>39</v>
      </c>
      <c r="E3102" s="2">
        <v>1</v>
      </c>
      <c r="F3102" s="7">
        <v>199</v>
      </c>
      <c r="G3102" s="8">
        <v>0</v>
      </c>
      <c r="H3102" s="9" t="str">
        <f>INDEX(Products!$B$2:$B$37, MATCH(D3102, Products!$A$2:$A$37, 0))</f>
        <v>Bakhoor Gift Set</v>
      </c>
      <c r="I3102" t="str">
        <f>INDEX(Products!$C$2:$C$37, MATCH(D3102, Products!$A$2:$A$37, 0))</f>
        <v>Beauty</v>
      </c>
      <c r="J3102">
        <f>INDEX(Products!$E$2:$E$37, MATCH(D3102, Products!$A$2:$A$37, 0))</f>
        <v>90</v>
      </c>
      <c r="K3102" s="9">
        <f t="shared" si="192"/>
        <v>199</v>
      </c>
      <c r="L3102">
        <f t="shared" si="193"/>
        <v>90</v>
      </c>
      <c r="M3102" s="9">
        <f t="shared" si="194"/>
        <v>109</v>
      </c>
      <c r="N3102" t="str">
        <f t="shared" si="195"/>
        <v>Sep</v>
      </c>
    </row>
    <row r="3103" spans="1:14" x14ac:dyDescent="0.3">
      <c r="A3103" s="2" t="s">
        <v>3169</v>
      </c>
      <c r="B3103" s="6">
        <v>45926</v>
      </c>
      <c r="C3103" s="2" t="s">
        <v>41</v>
      </c>
      <c r="D3103" s="2" t="s">
        <v>49</v>
      </c>
      <c r="E3103" s="2">
        <v>3</v>
      </c>
      <c r="F3103" s="7">
        <v>149</v>
      </c>
      <c r="G3103" s="8">
        <v>0.15</v>
      </c>
      <c r="H3103" s="9" t="str">
        <f>INDEX(Products!$B$2:$B$37, MATCH(D3103, Products!$A$2:$A$37, 0))</f>
        <v>Kids' Sneakers</v>
      </c>
      <c r="I3103" t="str">
        <f>INDEX(Products!$C$2:$C$37, MATCH(D3103, Products!$A$2:$A$37, 0))</f>
        <v>Fashion</v>
      </c>
      <c r="J3103">
        <f>INDEX(Products!$E$2:$E$37, MATCH(D3103, Products!$A$2:$A$37, 0))</f>
        <v>80</v>
      </c>
      <c r="K3103" s="9">
        <f t="shared" si="192"/>
        <v>379.95</v>
      </c>
      <c r="L3103">
        <f t="shared" si="193"/>
        <v>240</v>
      </c>
      <c r="M3103" s="9">
        <f t="shared" si="194"/>
        <v>139.94999999999999</v>
      </c>
      <c r="N3103" t="str">
        <f t="shared" si="195"/>
        <v>Sep</v>
      </c>
    </row>
    <row r="3104" spans="1:14" x14ac:dyDescent="0.3">
      <c r="A3104" s="2" t="s">
        <v>3170</v>
      </c>
      <c r="B3104" s="6">
        <v>45926</v>
      </c>
      <c r="C3104" s="2" t="s">
        <v>31</v>
      </c>
      <c r="D3104" s="2" t="s">
        <v>37</v>
      </c>
      <c r="E3104" s="2">
        <v>2</v>
      </c>
      <c r="F3104" s="7">
        <v>249</v>
      </c>
      <c r="G3104" s="8">
        <v>0</v>
      </c>
      <c r="H3104" s="9" t="str">
        <f>INDEX(Products!$B$2:$B$37, MATCH(D3104, Products!$A$2:$A$37, 0))</f>
        <v>Sunglasses Polarised</v>
      </c>
      <c r="I3104" t="str">
        <f>INDEX(Products!$C$2:$C$37, MATCH(D3104, Products!$A$2:$A$37, 0))</f>
        <v>Fashion</v>
      </c>
      <c r="J3104">
        <f>INDEX(Products!$E$2:$E$37, MATCH(D3104, Products!$A$2:$A$37, 0))</f>
        <v>95</v>
      </c>
      <c r="K3104" s="9">
        <f t="shared" si="192"/>
        <v>498</v>
      </c>
      <c r="L3104">
        <f t="shared" si="193"/>
        <v>190</v>
      </c>
      <c r="M3104" s="9">
        <f t="shared" si="194"/>
        <v>308</v>
      </c>
      <c r="N3104" t="str">
        <f t="shared" si="195"/>
        <v>Sep</v>
      </c>
    </row>
    <row r="3105" spans="1:14" x14ac:dyDescent="0.3">
      <c r="A3105" s="2" t="s">
        <v>3171</v>
      </c>
      <c r="B3105" s="6">
        <v>45926</v>
      </c>
      <c r="C3105" s="2" t="s">
        <v>48</v>
      </c>
      <c r="D3105" s="2" t="s">
        <v>75</v>
      </c>
      <c r="E3105" s="2">
        <v>2</v>
      </c>
      <c r="F3105" s="7">
        <v>549</v>
      </c>
      <c r="G3105" s="8">
        <v>0.15</v>
      </c>
      <c r="H3105" s="9" t="str">
        <f>INDEX(Products!$B$2:$B$37, MATCH(D3105, Products!$A$2:$A$37, 0))</f>
        <v>Oud Perfume 100ml</v>
      </c>
      <c r="I3105" t="str">
        <f>INDEX(Products!$C$2:$C$37, MATCH(D3105, Products!$A$2:$A$37, 0))</f>
        <v>Beauty</v>
      </c>
      <c r="J3105">
        <f>INDEX(Products!$E$2:$E$37, MATCH(D3105, Products!$A$2:$A$37, 0))</f>
        <v>250</v>
      </c>
      <c r="K3105" s="9">
        <f t="shared" si="192"/>
        <v>933.3</v>
      </c>
      <c r="L3105">
        <f t="shared" si="193"/>
        <v>500</v>
      </c>
      <c r="M3105" s="9">
        <f t="shared" si="194"/>
        <v>433.29999999999995</v>
      </c>
      <c r="N3105" t="str">
        <f t="shared" si="195"/>
        <v>Sep</v>
      </c>
    </row>
    <row r="3106" spans="1:14" x14ac:dyDescent="0.3">
      <c r="A3106" s="2" t="s">
        <v>3172</v>
      </c>
      <c r="B3106" s="6">
        <v>45926</v>
      </c>
      <c r="C3106" s="2" t="s">
        <v>31</v>
      </c>
      <c r="D3106" s="2" t="s">
        <v>83</v>
      </c>
      <c r="E3106" s="2">
        <v>2</v>
      </c>
      <c r="F3106" s="7">
        <v>229</v>
      </c>
      <c r="G3106" s="8">
        <v>0.05</v>
      </c>
      <c r="H3106" s="9" t="str">
        <f>INDEX(Products!$B$2:$B$37, MATCH(D3106, Products!$A$2:$A$37, 0))</f>
        <v>Cycling Helmet</v>
      </c>
      <c r="I3106" t="str">
        <f>INDEX(Products!$C$2:$C$37, MATCH(D3106, Products!$A$2:$A$37, 0))</f>
        <v>Sports</v>
      </c>
      <c r="J3106">
        <f>INDEX(Products!$E$2:$E$37, MATCH(D3106, Products!$A$2:$A$37, 0))</f>
        <v>120</v>
      </c>
      <c r="K3106" s="9">
        <f t="shared" si="192"/>
        <v>435.09999999999997</v>
      </c>
      <c r="L3106">
        <f t="shared" si="193"/>
        <v>240</v>
      </c>
      <c r="M3106" s="9">
        <f t="shared" si="194"/>
        <v>195.09999999999997</v>
      </c>
      <c r="N3106" t="str">
        <f t="shared" si="195"/>
        <v>Sep</v>
      </c>
    </row>
    <row r="3107" spans="1:14" x14ac:dyDescent="0.3">
      <c r="A3107" s="2" t="s">
        <v>3173</v>
      </c>
      <c r="B3107" s="6">
        <v>45926</v>
      </c>
      <c r="C3107" s="2" t="s">
        <v>28</v>
      </c>
      <c r="D3107" s="2" t="s">
        <v>65</v>
      </c>
      <c r="E3107" s="2">
        <v>3</v>
      </c>
      <c r="F3107" s="7">
        <v>129</v>
      </c>
      <c r="G3107" s="8">
        <v>0.1</v>
      </c>
      <c r="H3107" s="9" t="str">
        <f>INDEX(Products!$B$2:$B$37, MATCH(D3107, Products!$A$2:$A$37, 0))</f>
        <v>Yoga Mat Premium</v>
      </c>
      <c r="I3107" t="str">
        <f>INDEX(Products!$C$2:$C$37, MATCH(D3107, Products!$A$2:$A$37, 0))</f>
        <v>Sports</v>
      </c>
      <c r="J3107">
        <f>INDEX(Products!$E$2:$E$37, MATCH(D3107, Products!$A$2:$A$37, 0))</f>
        <v>60</v>
      </c>
      <c r="K3107" s="9">
        <f t="shared" si="192"/>
        <v>348.3</v>
      </c>
      <c r="L3107">
        <f t="shared" si="193"/>
        <v>180</v>
      </c>
      <c r="M3107" s="9">
        <f t="shared" si="194"/>
        <v>168.3</v>
      </c>
      <c r="N3107" t="str">
        <f t="shared" si="195"/>
        <v>Sep</v>
      </c>
    </row>
    <row r="3108" spans="1:14" x14ac:dyDescent="0.3">
      <c r="A3108" s="2" t="s">
        <v>3174</v>
      </c>
      <c r="B3108" s="6">
        <v>45926</v>
      </c>
      <c r="C3108" s="2" t="s">
        <v>41</v>
      </c>
      <c r="D3108" s="2" t="s">
        <v>92</v>
      </c>
      <c r="E3108" s="2">
        <v>1</v>
      </c>
      <c r="F3108" s="7">
        <v>349</v>
      </c>
      <c r="G3108" s="8">
        <v>0.2</v>
      </c>
      <c r="H3108" s="9" t="str">
        <f>INDEX(Products!$B$2:$B$37, MATCH(D3108, Products!$A$2:$A$37, 0))</f>
        <v>Non-stick Cookware Set</v>
      </c>
      <c r="I3108" t="str">
        <f>INDEX(Products!$C$2:$C$37, MATCH(D3108, Products!$A$2:$A$37, 0))</f>
        <v>Home &amp; Kitchen</v>
      </c>
      <c r="J3108">
        <f>INDEX(Products!$E$2:$E$37, MATCH(D3108, Products!$A$2:$A$37, 0))</f>
        <v>170</v>
      </c>
      <c r="K3108" s="9">
        <f t="shared" si="192"/>
        <v>279.2</v>
      </c>
      <c r="L3108">
        <f t="shared" si="193"/>
        <v>170</v>
      </c>
      <c r="M3108" s="9">
        <f t="shared" si="194"/>
        <v>109.19999999999999</v>
      </c>
      <c r="N3108" t="str">
        <f t="shared" si="195"/>
        <v>Sep</v>
      </c>
    </row>
    <row r="3109" spans="1:14" x14ac:dyDescent="0.3">
      <c r="A3109" s="2" t="s">
        <v>3175</v>
      </c>
      <c r="B3109" s="6">
        <v>45926</v>
      </c>
      <c r="C3109" s="2" t="s">
        <v>41</v>
      </c>
      <c r="D3109" s="2" t="s">
        <v>33</v>
      </c>
      <c r="E3109" s="2">
        <v>1</v>
      </c>
      <c r="F3109" s="7">
        <v>199</v>
      </c>
      <c r="G3109" s="8">
        <v>0.25</v>
      </c>
      <c r="H3109" s="9" t="str">
        <f>INDEX(Products!$B$2:$B$37, MATCH(D3109, Products!$A$2:$A$37, 0))</f>
        <v>Fitness Band Lite</v>
      </c>
      <c r="I3109" t="str">
        <f>INDEX(Products!$C$2:$C$37, MATCH(D3109, Products!$A$2:$A$37, 0))</f>
        <v>Electronics</v>
      </c>
      <c r="J3109">
        <f>INDEX(Products!$E$2:$E$37, MATCH(D3109, Products!$A$2:$A$37, 0))</f>
        <v>175</v>
      </c>
      <c r="K3109" s="9">
        <f t="shared" si="192"/>
        <v>149.25</v>
      </c>
      <c r="L3109">
        <f t="shared" si="193"/>
        <v>175</v>
      </c>
      <c r="M3109" s="9">
        <f t="shared" si="194"/>
        <v>-25.75</v>
      </c>
      <c r="N3109" t="str">
        <f t="shared" si="195"/>
        <v>Sep</v>
      </c>
    </row>
    <row r="3110" spans="1:14" x14ac:dyDescent="0.3">
      <c r="A3110" s="2" t="s">
        <v>3176</v>
      </c>
      <c r="B3110" s="6">
        <v>45926</v>
      </c>
      <c r="C3110" s="2" t="s">
        <v>28</v>
      </c>
      <c r="D3110" s="2" t="s">
        <v>58</v>
      </c>
      <c r="E3110" s="2">
        <v>2</v>
      </c>
      <c r="F3110" s="7">
        <v>459</v>
      </c>
      <c r="G3110" s="8">
        <v>0.15</v>
      </c>
      <c r="H3110" s="9" t="str">
        <f>INDEX(Products!$B$2:$B$37, MATCH(D3110, Products!$A$2:$A$37, 0))</f>
        <v>Women's Abaya Classic</v>
      </c>
      <c r="I3110" t="str">
        <f>INDEX(Products!$C$2:$C$37, MATCH(D3110, Products!$A$2:$A$37, 0))</f>
        <v>Fashion</v>
      </c>
      <c r="J3110">
        <f>INDEX(Products!$E$2:$E$37, MATCH(D3110, Products!$A$2:$A$37, 0))</f>
        <v>190</v>
      </c>
      <c r="K3110" s="9">
        <f t="shared" si="192"/>
        <v>780.3</v>
      </c>
      <c r="L3110">
        <f t="shared" si="193"/>
        <v>380</v>
      </c>
      <c r="M3110" s="9">
        <f t="shared" si="194"/>
        <v>400.29999999999995</v>
      </c>
      <c r="N3110" t="str">
        <f t="shared" si="195"/>
        <v>Sep</v>
      </c>
    </row>
    <row r="3111" spans="1:14" x14ac:dyDescent="0.3">
      <c r="A3111" s="2" t="s">
        <v>3177</v>
      </c>
      <c r="B3111" s="6">
        <v>45926</v>
      </c>
      <c r="C3111" s="2" t="s">
        <v>44</v>
      </c>
      <c r="D3111" s="2" t="s">
        <v>68</v>
      </c>
      <c r="E3111" s="2">
        <v>3</v>
      </c>
      <c r="F3111" s="7">
        <v>249</v>
      </c>
      <c r="G3111" s="8">
        <v>0.1</v>
      </c>
      <c r="H3111" s="9" t="str">
        <f>INDEX(Products!$B$2:$B$37, MATCH(D3111, Products!$A$2:$A$37, 0))</f>
        <v>Bluetooth Speaker Mini</v>
      </c>
      <c r="I3111" t="str">
        <f>INDEX(Products!$C$2:$C$37, MATCH(D3111, Products!$A$2:$A$37, 0))</f>
        <v>Electronics</v>
      </c>
      <c r="J3111">
        <f>INDEX(Products!$E$2:$E$37, MATCH(D3111, Products!$A$2:$A$37, 0))</f>
        <v>150</v>
      </c>
      <c r="K3111" s="9">
        <f t="shared" si="192"/>
        <v>672.30000000000007</v>
      </c>
      <c r="L3111">
        <f t="shared" si="193"/>
        <v>450</v>
      </c>
      <c r="M3111" s="9">
        <f t="shared" si="194"/>
        <v>222.30000000000007</v>
      </c>
      <c r="N3111" t="str">
        <f t="shared" si="195"/>
        <v>Sep</v>
      </c>
    </row>
    <row r="3112" spans="1:14" x14ac:dyDescent="0.3">
      <c r="A3112" s="2" t="s">
        <v>3178</v>
      </c>
      <c r="B3112" s="6">
        <v>45927</v>
      </c>
      <c r="C3112" s="2" t="s">
        <v>41</v>
      </c>
      <c r="D3112" s="2" t="s">
        <v>52</v>
      </c>
      <c r="E3112" s="2">
        <v>1</v>
      </c>
      <c r="F3112" s="7">
        <v>299</v>
      </c>
      <c r="G3112" s="8">
        <v>0.2</v>
      </c>
      <c r="H3112" s="9" t="str">
        <f>INDEX(Products!$B$2:$B$37, MATCH(D3112, Products!$A$2:$A$37, 0))</f>
        <v>Hair Dryer Ionic</v>
      </c>
      <c r="I3112" t="str">
        <f>INDEX(Products!$C$2:$C$37, MATCH(D3112, Products!$A$2:$A$37, 0))</f>
        <v>Beauty</v>
      </c>
      <c r="J3112">
        <f>INDEX(Products!$E$2:$E$37, MATCH(D3112, Products!$A$2:$A$37, 0))</f>
        <v>240</v>
      </c>
      <c r="K3112" s="9">
        <f t="shared" si="192"/>
        <v>239.20000000000002</v>
      </c>
      <c r="L3112">
        <f t="shared" si="193"/>
        <v>240</v>
      </c>
      <c r="M3112" s="9">
        <f t="shared" si="194"/>
        <v>-0.79999999999998295</v>
      </c>
      <c r="N3112" t="str">
        <f t="shared" si="195"/>
        <v>Sep</v>
      </c>
    </row>
    <row r="3113" spans="1:14" x14ac:dyDescent="0.3">
      <c r="A3113" s="2" t="s">
        <v>3179</v>
      </c>
      <c r="B3113" s="6">
        <v>45927</v>
      </c>
      <c r="C3113" s="2" t="s">
        <v>28</v>
      </c>
      <c r="D3113" s="2" t="s">
        <v>131</v>
      </c>
      <c r="E3113" s="2">
        <v>1</v>
      </c>
      <c r="F3113" s="7">
        <v>899</v>
      </c>
      <c r="G3113" s="8">
        <v>0</v>
      </c>
      <c r="H3113" s="9" t="str">
        <f>INDEX(Products!$B$2:$B$37, MATCH(D3113, Products!$A$2:$A$37, 0))</f>
        <v>4K Action Camera</v>
      </c>
      <c r="I3113" t="str">
        <f>INDEX(Products!$C$2:$C$37, MATCH(D3113, Products!$A$2:$A$37, 0))</f>
        <v>Electronics</v>
      </c>
      <c r="J3113">
        <f>INDEX(Products!$E$2:$E$37, MATCH(D3113, Products!$A$2:$A$37, 0))</f>
        <v>610</v>
      </c>
      <c r="K3113" s="9">
        <f t="shared" si="192"/>
        <v>899</v>
      </c>
      <c r="L3113">
        <f t="shared" si="193"/>
        <v>610</v>
      </c>
      <c r="M3113" s="9">
        <f t="shared" si="194"/>
        <v>289</v>
      </c>
      <c r="N3113" t="str">
        <f t="shared" si="195"/>
        <v>Sep</v>
      </c>
    </row>
    <row r="3114" spans="1:14" x14ac:dyDescent="0.3">
      <c r="A3114" s="2" t="s">
        <v>3180</v>
      </c>
      <c r="B3114" s="6">
        <v>45927</v>
      </c>
      <c r="C3114" s="2" t="s">
        <v>44</v>
      </c>
      <c r="D3114" s="2" t="s">
        <v>78</v>
      </c>
      <c r="E3114" s="2">
        <v>3</v>
      </c>
      <c r="F3114" s="7">
        <v>499</v>
      </c>
      <c r="G3114" s="8">
        <v>0.05</v>
      </c>
      <c r="H3114" s="9" t="str">
        <f>INDEX(Products!$B$2:$B$37, MATCH(D3114, Products!$A$2:$A$37, 0))</f>
        <v>Air Fryer 5L</v>
      </c>
      <c r="I3114" t="str">
        <f>INDEX(Products!$C$2:$C$37, MATCH(D3114, Products!$A$2:$A$37, 0))</f>
        <v>Home &amp; Kitchen</v>
      </c>
      <c r="J3114">
        <f>INDEX(Products!$E$2:$E$37, MATCH(D3114, Products!$A$2:$A$37, 0))</f>
        <v>290</v>
      </c>
      <c r="K3114" s="9">
        <f t="shared" si="192"/>
        <v>1422.1499999999999</v>
      </c>
      <c r="L3114">
        <f t="shared" si="193"/>
        <v>870</v>
      </c>
      <c r="M3114" s="9">
        <f t="shared" si="194"/>
        <v>552.14999999999986</v>
      </c>
      <c r="N3114" t="str">
        <f t="shared" si="195"/>
        <v>Sep</v>
      </c>
    </row>
    <row r="3115" spans="1:14" x14ac:dyDescent="0.3">
      <c r="A3115" s="2" t="s">
        <v>3181</v>
      </c>
      <c r="B3115" s="6">
        <v>45927</v>
      </c>
      <c r="C3115" s="2" t="s">
        <v>31</v>
      </c>
      <c r="D3115" s="2" t="s">
        <v>126</v>
      </c>
      <c r="E3115" s="2">
        <v>1</v>
      </c>
      <c r="F3115" s="7">
        <v>89</v>
      </c>
      <c r="G3115" s="8">
        <v>0.3</v>
      </c>
      <c r="H3115" s="9" t="str">
        <f>INDEX(Products!$B$2:$B$37, MATCH(D3115, Products!$A$2:$A$37, 0))</f>
        <v>USB-C Fast Charger</v>
      </c>
      <c r="I3115" t="str">
        <f>INDEX(Products!$C$2:$C$37, MATCH(D3115, Products!$A$2:$A$37, 0))</f>
        <v>Electronics</v>
      </c>
      <c r="J3115">
        <f>INDEX(Products!$E$2:$E$37, MATCH(D3115, Products!$A$2:$A$37, 0))</f>
        <v>35</v>
      </c>
      <c r="K3115" s="9">
        <f t="shared" si="192"/>
        <v>62.3</v>
      </c>
      <c r="L3115">
        <f t="shared" si="193"/>
        <v>35</v>
      </c>
      <c r="M3115" s="9">
        <f t="shared" si="194"/>
        <v>27.299999999999997</v>
      </c>
      <c r="N3115" t="str">
        <f t="shared" si="195"/>
        <v>Sep</v>
      </c>
    </row>
    <row r="3116" spans="1:14" x14ac:dyDescent="0.3">
      <c r="A3116" s="2" t="s">
        <v>3182</v>
      </c>
      <c r="B3116" s="6">
        <v>45927</v>
      </c>
      <c r="C3116" s="2" t="s">
        <v>44</v>
      </c>
      <c r="D3116" s="2" t="s">
        <v>33</v>
      </c>
      <c r="E3116" s="2">
        <v>1</v>
      </c>
      <c r="F3116" s="7">
        <v>199</v>
      </c>
      <c r="G3116" s="8">
        <v>0.25</v>
      </c>
      <c r="H3116" s="9" t="str">
        <f>INDEX(Products!$B$2:$B$37, MATCH(D3116, Products!$A$2:$A$37, 0))</f>
        <v>Fitness Band Lite</v>
      </c>
      <c r="I3116" t="str">
        <f>INDEX(Products!$C$2:$C$37, MATCH(D3116, Products!$A$2:$A$37, 0))</f>
        <v>Electronics</v>
      </c>
      <c r="J3116">
        <f>INDEX(Products!$E$2:$E$37, MATCH(D3116, Products!$A$2:$A$37, 0))</f>
        <v>175</v>
      </c>
      <c r="K3116" s="9">
        <f t="shared" si="192"/>
        <v>149.25</v>
      </c>
      <c r="L3116">
        <f t="shared" si="193"/>
        <v>175</v>
      </c>
      <c r="M3116" s="9">
        <f t="shared" si="194"/>
        <v>-25.75</v>
      </c>
      <c r="N3116" t="str">
        <f t="shared" si="195"/>
        <v>Sep</v>
      </c>
    </row>
    <row r="3117" spans="1:14" x14ac:dyDescent="0.3">
      <c r="A3117" s="2" t="s">
        <v>3183</v>
      </c>
      <c r="B3117" s="6">
        <v>45927</v>
      </c>
      <c r="C3117" s="2" t="s">
        <v>41</v>
      </c>
      <c r="D3117" s="2" t="s">
        <v>99</v>
      </c>
      <c r="E3117" s="2">
        <v>1</v>
      </c>
      <c r="F3117" s="7">
        <v>459</v>
      </c>
      <c r="G3117" s="8">
        <v>0.05</v>
      </c>
      <c r="H3117" s="9" t="str">
        <f>INDEX(Products!$B$2:$B$37, MATCH(D3117, Products!$A$2:$A$37, 0))</f>
        <v>Gaming Headset X</v>
      </c>
      <c r="I3117" t="str">
        <f>INDEX(Products!$C$2:$C$37, MATCH(D3117, Products!$A$2:$A$37, 0))</f>
        <v>Electronics</v>
      </c>
      <c r="J3117">
        <f>INDEX(Products!$E$2:$E$37, MATCH(D3117, Products!$A$2:$A$37, 0))</f>
        <v>300</v>
      </c>
      <c r="K3117" s="9">
        <f t="shared" si="192"/>
        <v>436.04999999999995</v>
      </c>
      <c r="L3117">
        <f t="shared" si="193"/>
        <v>300</v>
      </c>
      <c r="M3117" s="9">
        <f t="shared" si="194"/>
        <v>136.04999999999995</v>
      </c>
      <c r="N3117" t="str">
        <f t="shared" si="195"/>
        <v>Sep</v>
      </c>
    </row>
    <row r="3118" spans="1:14" x14ac:dyDescent="0.3">
      <c r="A3118" s="2" t="s">
        <v>3184</v>
      </c>
      <c r="B3118" s="6">
        <v>45927</v>
      </c>
      <c r="C3118" s="2" t="s">
        <v>41</v>
      </c>
      <c r="D3118" s="2" t="s">
        <v>70</v>
      </c>
      <c r="E3118" s="2">
        <v>3</v>
      </c>
      <c r="F3118" s="7">
        <v>429</v>
      </c>
      <c r="G3118" s="8">
        <v>0.05</v>
      </c>
      <c r="H3118" s="9" t="str">
        <f>INDEX(Products!$B$2:$B$37, MATCH(D3118, Products!$A$2:$A$37, 0))</f>
        <v>Running Shoes Elite</v>
      </c>
      <c r="I3118" t="str">
        <f>INDEX(Products!$C$2:$C$37, MATCH(D3118, Products!$A$2:$A$37, 0))</f>
        <v>Fashion</v>
      </c>
      <c r="J3118">
        <f>INDEX(Products!$E$2:$E$37, MATCH(D3118, Products!$A$2:$A$37, 0))</f>
        <v>300</v>
      </c>
      <c r="K3118" s="9">
        <f t="shared" si="192"/>
        <v>1222.6499999999999</v>
      </c>
      <c r="L3118">
        <f t="shared" si="193"/>
        <v>900</v>
      </c>
      <c r="M3118" s="9">
        <f t="shared" si="194"/>
        <v>322.64999999999986</v>
      </c>
      <c r="N3118" t="str">
        <f t="shared" si="195"/>
        <v>Sep</v>
      </c>
    </row>
    <row r="3119" spans="1:14" x14ac:dyDescent="0.3">
      <c r="A3119" s="2" t="s">
        <v>3185</v>
      </c>
      <c r="B3119" s="6">
        <v>45927</v>
      </c>
      <c r="C3119" s="2" t="s">
        <v>44</v>
      </c>
      <c r="D3119" s="2" t="s">
        <v>52</v>
      </c>
      <c r="E3119" s="2">
        <v>1</v>
      </c>
      <c r="F3119" s="7">
        <v>299</v>
      </c>
      <c r="G3119" s="8">
        <v>0.1</v>
      </c>
      <c r="H3119" s="9" t="str">
        <f>INDEX(Products!$B$2:$B$37, MATCH(D3119, Products!$A$2:$A$37, 0))</f>
        <v>Hair Dryer Ionic</v>
      </c>
      <c r="I3119" t="str">
        <f>INDEX(Products!$C$2:$C$37, MATCH(D3119, Products!$A$2:$A$37, 0))</f>
        <v>Beauty</v>
      </c>
      <c r="J3119">
        <f>INDEX(Products!$E$2:$E$37, MATCH(D3119, Products!$A$2:$A$37, 0))</f>
        <v>240</v>
      </c>
      <c r="K3119" s="9">
        <f t="shared" si="192"/>
        <v>269.10000000000002</v>
      </c>
      <c r="L3119">
        <f t="shared" si="193"/>
        <v>240</v>
      </c>
      <c r="M3119" s="9">
        <f t="shared" si="194"/>
        <v>29.100000000000023</v>
      </c>
      <c r="N3119" t="str">
        <f t="shared" si="195"/>
        <v>Sep</v>
      </c>
    </row>
    <row r="3120" spans="1:14" x14ac:dyDescent="0.3">
      <c r="A3120" s="2" t="s">
        <v>3186</v>
      </c>
      <c r="B3120" s="6">
        <v>45927</v>
      </c>
      <c r="C3120" s="2" t="s">
        <v>41</v>
      </c>
      <c r="D3120" s="2" t="s">
        <v>115</v>
      </c>
      <c r="E3120" s="2">
        <v>1</v>
      </c>
      <c r="F3120" s="7">
        <v>129</v>
      </c>
      <c r="G3120" s="8">
        <v>0</v>
      </c>
      <c r="H3120" s="9" t="str">
        <f>INDEX(Products!$B$2:$B$37, MATCH(D3120, Products!$A$2:$A$37, 0))</f>
        <v>Electric Kettle</v>
      </c>
      <c r="I3120" t="str">
        <f>INDEX(Products!$C$2:$C$37, MATCH(D3120, Products!$A$2:$A$37, 0))</f>
        <v>Home &amp; Kitchen</v>
      </c>
      <c r="J3120">
        <f>INDEX(Products!$E$2:$E$37, MATCH(D3120, Products!$A$2:$A$37, 0))</f>
        <v>60</v>
      </c>
      <c r="K3120" s="9">
        <f t="shared" si="192"/>
        <v>129</v>
      </c>
      <c r="L3120">
        <f t="shared" si="193"/>
        <v>60</v>
      </c>
      <c r="M3120" s="9">
        <f t="shared" si="194"/>
        <v>69</v>
      </c>
      <c r="N3120" t="str">
        <f t="shared" si="195"/>
        <v>Sep</v>
      </c>
    </row>
    <row r="3121" spans="1:14" x14ac:dyDescent="0.3">
      <c r="A3121" s="2" t="s">
        <v>3187</v>
      </c>
      <c r="B3121" s="6">
        <v>45927</v>
      </c>
      <c r="C3121" s="2" t="s">
        <v>44</v>
      </c>
      <c r="D3121" s="2" t="s">
        <v>80</v>
      </c>
      <c r="E3121" s="2">
        <v>1</v>
      </c>
      <c r="F3121" s="7">
        <v>149</v>
      </c>
      <c r="G3121" s="8">
        <v>0.15</v>
      </c>
      <c r="H3121" s="9" t="str">
        <f>INDEX(Products!$B$2:$B$37, MATCH(D3121, Products!$A$2:$A$37, 0))</f>
        <v>Vitamin C Serum</v>
      </c>
      <c r="I3121" t="str">
        <f>INDEX(Products!$C$2:$C$37, MATCH(D3121, Products!$A$2:$A$37, 0))</f>
        <v>Beauty</v>
      </c>
      <c r="J3121">
        <f>INDEX(Products!$E$2:$E$37, MATCH(D3121, Products!$A$2:$A$37, 0))</f>
        <v>55</v>
      </c>
      <c r="K3121" s="9">
        <f t="shared" si="192"/>
        <v>126.64999999999999</v>
      </c>
      <c r="L3121">
        <f t="shared" si="193"/>
        <v>55</v>
      </c>
      <c r="M3121" s="9">
        <f t="shared" si="194"/>
        <v>71.649999999999991</v>
      </c>
      <c r="N3121" t="str">
        <f t="shared" si="195"/>
        <v>Sep</v>
      </c>
    </row>
    <row r="3122" spans="1:14" x14ac:dyDescent="0.3">
      <c r="A3122" s="2" t="s">
        <v>3188</v>
      </c>
      <c r="B3122" s="6">
        <v>45927</v>
      </c>
      <c r="C3122" s="2" t="s">
        <v>41</v>
      </c>
      <c r="D3122" s="2" t="s">
        <v>29</v>
      </c>
      <c r="E3122" s="2">
        <v>1</v>
      </c>
      <c r="F3122" s="7">
        <v>229</v>
      </c>
      <c r="G3122" s="8">
        <v>0.2</v>
      </c>
      <c r="H3122" s="9" t="str">
        <f>INDEX(Products!$B$2:$B$37, MATCH(D3122, Products!$A$2:$A$37, 0))</f>
        <v>Women's Summer Dress</v>
      </c>
      <c r="I3122" t="str">
        <f>INDEX(Products!$C$2:$C$37, MATCH(D3122, Products!$A$2:$A$37, 0))</f>
        <v>Fashion</v>
      </c>
      <c r="J3122">
        <f>INDEX(Products!$E$2:$E$37, MATCH(D3122, Products!$A$2:$A$37, 0))</f>
        <v>120</v>
      </c>
      <c r="K3122" s="9">
        <f t="shared" si="192"/>
        <v>183.20000000000002</v>
      </c>
      <c r="L3122">
        <f t="shared" si="193"/>
        <v>120</v>
      </c>
      <c r="M3122" s="9">
        <f t="shared" si="194"/>
        <v>63.200000000000017</v>
      </c>
      <c r="N3122" t="str">
        <f t="shared" si="195"/>
        <v>Sep</v>
      </c>
    </row>
    <row r="3123" spans="1:14" x14ac:dyDescent="0.3">
      <c r="A3123" s="2" t="s">
        <v>3189</v>
      </c>
      <c r="B3123" s="6">
        <v>45927</v>
      </c>
      <c r="C3123" s="2" t="s">
        <v>41</v>
      </c>
      <c r="D3123" s="2" t="s">
        <v>39</v>
      </c>
      <c r="E3123" s="2">
        <v>1</v>
      </c>
      <c r="F3123" s="7">
        <v>199</v>
      </c>
      <c r="G3123" s="8">
        <v>0.1</v>
      </c>
      <c r="H3123" s="9" t="str">
        <f>INDEX(Products!$B$2:$B$37, MATCH(D3123, Products!$A$2:$A$37, 0))</f>
        <v>Bakhoor Gift Set</v>
      </c>
      <c r="I3123" t="str">
        <f>INDEX(Products!$C$2:$C$37, MATCH(D3123, Products!$A$2:$A$37, 0))</f>
        <v>Beauty</v>
      </c>
      <c r="J3123">
        <f>INDEX(Products!$E$2:$E$37, MATCH(D3123, Products!$A$2:$A$37, 0))</f>
        <v>90</v>
      </c>
      <c r="K3123" s="9">
        <f t="shared" si="192"/>
        <v>179.1</v>
      </c>
      <c r="L3123">
        <f t="shared" si="193"/>
        <v>90</v>
      </c>
      <c r="M3123" s="9">
        <f t="shared" si="194"/>
        <v>89.1</v>
      </c>
      <c r="N3123" t="str">
        <f t="shared" si="195"/>
        <v>Sep</v>
      </c>
    </row>
    <row r="3124" spans="1:14" x14ac:dyDescent="0.3">
      <c r="A3124" s="2" t="s">
        <v>3190</v>
      </c>
      <c r="B3124" s="6">
        <v>45927</v>
      </c>
      <c r="C3124" s="2" t="s">
        <v>44</v>
      </c>
      <c r="D3124" s="2" t="s">
        <v>129</v>
      </c>
      <c r="E3124" s="2">
        <v>2</v>
      </c>
      <c r="F3124" s="7">
        <v>149</v>
      </c>
      <c r="G3124" s="8">
        <v>0.1</v>
      </c>
      <c r="H3124" s="9" t="str">
        <f>INDEX(Products!$B$2:$B$37, MATCH(D3124, Products!$A$2:$A$37, 0))</f>
        <v>Power Bank 20000mAh</v>
      </c>
      <c r="I3124" t="str">
        <f>INDEX(Products!$C$2:$C$37, MATCH(D3124, Products!$A$2:$A$37, 0))</f>
        <v>Electronics</v>
      </c>
      <c r="J3124">
        <f>INDEX(Products!$E$2:$E$37, MATCH(D3124, Products!$A$2:$A$37, 0))</f>
        <v>70</v>
      </c>
      <c r="K3124" s="9">
        <f t="shared" si="192"/>
        <v>268.2</v>
      </c>
      <c r="L3124">
        <f t="shared" si="193"/>
        <v>140</v>
      </c>
      <c r="M3124" s="9">
        <f t="shared" si="194"/>
        <v>128.19999999999999</v>
      </c>
      <c r="N3124" t="str">
        <f t="shared" si="195"/>
        <v>Sep</v>
      </c>
    </row>
    <row r="3125" spans="1:14" x14ac:dyDescent="0.3">
      <c r="A3125" s="2" t="s">
        <v>3191</v>
      </c>
      <c r="B3125" s="6">
        <v>45927</v>
      </c>
      <c r="C3125" s="2" t="s">
        <v>44</v>
      </c>
      <c r="D3125" s="2" t="s">
        <v>126</v>
      </c>
      <c r="E3125" s="2">
        <v>1</v>
      </c>
      <c r="F3125" s="7">
        <v>89</v>
      </c>
      <c r="G3125" s="8">
        <v>0.05</v>
      </c>
      <c r="H3125" s="9" t="str">
        <f>INDEX(Products!$B$2:$B$37, MATCH(D3125, Products!$A$2:$A$37, 0))</f>
        <v>USB-C Fast Charger</v>
      </c>
      <c r="I3125" t="str">
        <f>INDEX(Products!$C$2:$C$37, MATCH(D3125, Products!$A$2:$A$37, 0))</f>
        <v>Electronics</v>
      </c>
      <c r="J3125">
        <f>INDEX(Products!$E$2:$E$37, MATCH(D3125, Products!$A$2:$A$37, 0))</f>
        <v>35</v>
      </c>
      <c r="K3125" s="9">
        <f t="shared" si="192"/>
        <v>84.55</v>
      </c>
      <c r="L3125">
        <f t="shared" si="193"/>
        <v>35</v>
      </c>
      <c r="M3125" s="9">
        <f t="shared" si="194"/>
        <v>49.55</v>
      </c>
      <c r="N3125" t="str">
        <f t="shared" si="195"/>
        <v>Sep</v>
      </c>
    </row>
    <row r="3126" spans="1:14" x14ac:dyDescent="0.3">
      <c r="A3126" s="2" t="s">
        <v>3192</v>
      </c>
      <c r="B3126" s="6">
        <v>45927</v>
      </c>
      <c r="C3126" s="2" t="s">
        <v>28</v>
      </c>
      <c r="D3126" s="2" t="s">
        <v>29</v>
      </c>
      <c r="E3126" s="2">
        <v>1</v>
      </c>
      <c r="F3126" s="7">
        <v>229</v>
      </c>
      <c r="G3126" s="8">
        <v>0</v>
      </c>
      <c r="H3126" s="9" t="str">
        <f>INDEX(Products!$B$2:$B$37, MATCH(D3126, Products!$A$2:$A$37, 0))</f>
        <v>Women's Summer Dress</v>
      </c>
      <c r="I3126" t="str">
        <f>INDEX(Products!$C$2:$C$37, MATCH(D3126, Products!$A$2:$A$37, 0))</f>
        <v>Fashion</v>
      </c>
      <c r="J3126">
        <f>INDEX(Products!$E$2:$E$37, MATCH(D3126, Products!$A$2:$A$37, 0))</f>
        <v>120</v>
      </c>
      <c r="K3126" s="9">
        <f t="shared" si="192"/>
        <v>229</v>
      </c>
      <c r="L3126">
        <f t="shared" si="193"/>
        <v>120</v>
      </c>
      <c r="M3126" s="9">
        <f t="shared" si="194"/>
        <v>109</v>
      </c>
      <c r="N3126" t="str">
        <f t="shared" si="195"/>
        <v>Sep</v>
      </c>
    </row>
    <row r="3127" spans="1:14" x14ac:dyDescent="0.3">
      <c r="A3127" s="2" t="s">
        <v>3193</v>
      </c>
      <c r="B3127" s="6">
        <v>45927</v>
      </c>
      <c r="C3127" s="2" t="s">
        <v>41</v>
      </c>
      <c r="D3127" s="2" t="s">
        <v>58</v>
      </c>
      <c r="E3127" s="2">
        <v>1</v>
      </c>
      <c r="F3127" s="7">
        <v>459</v>
      </c>
      <c r="G3127" s="8">
        <v>0.1</v>
      </c>
      <c r="H3127" s="9" t="str">
        <f>INDEX(Products!$B$2:$B$37, MATCH(D3127, Products!$A$2:$A$37, 0))</f>
        <v>Women's Abaya Classic</v>
      </c>
      <c r="I3127" t="str">
        <f>INDEX(Products!$C$2:$C$37, MATCH(D3127, Products!$A$2:$A$37, 0))</f>
        <v>Fashion</v>
      </c>
      <c r="J3127">
        <f>INDEX(Products!$E$2:$E$37, MATCH(D3127, Products!$A$2:$A$37, 0))</f>
        <v>190</v>
      </c>
      <c r="K3127" s="9">
        <f t="shared" si="192"/>
        <v>413.1</v>
      </c>
      <c r="L3127">
        <f t="shared" si="193"/>
        <v>190</v>
      </c>
      <c r="M3127" s="9">
        <f t="shared" si="194"/>
        <v>223.10000000000002</v>
      </c>
      <c r="N3127" t="str">
        <f t="shared" si="195"/>
        <v>Sep</v>
      </c>
    </row>
    <row r="3128" spans="1:14" x14ac:dyDescent="0.3">
      <c r="A3128" s="2" t="s">
        <v>3194</v>
      </c>
      <c r="B3128" s="6">
        <v>45927</v>
      </c>
      <c r="C3128" s="2" t="s">
        <v>41</v>
      </c>
      <c r="D3128" s="2" t="s">
        <v>80</v>
      </c>
      <c r="E3128" s="2">
        <v>1</v>
      </c>
      <c r="F3128" s="7">
        <v>149</v>
      </c>
      <c r="G3128" s="8">
        <v>0.1</v>
      </c>
      <c r="H3128" s="9" t="str">
        <f>INDEX(Products!$B$2:$B$37, MATCH(D3128, Products!$A$2:$A$37, 0))</f>
        <v>Vitamin C Serum</v>
      </c>
      <c r="I3128" t="str">
        <f>INDEX(Products!$C$2:$C$37, MATCH(D3128, Products!$A$2:$A$37, 0))</f>
        <v>Beauty</v>
      </c>
      <c r="J3128">
        <f>INDEX(Products!$E$2:$E$37, MATCH(D3128, Products!$A$2:$A$37, 0))</f>
        <v>55</v>
      </c>
      <c r="K3128" s="9">
        <f t="shared" si="192"/>
        <v>134.1</v>
      </c>
      <c r="L3128">
        <f t="shared" si="193"/>
        <v>55</v>
      </c>
      <c r="M3128" s="9">
        <f t="shared" si="194"/>
        <v>79.099999999999994</v>
      </c>
      <c r="N3128" t="str">
        <f t="shared" si="195"/>
        <v>Sep</v>
      </c>
    </row>
    <row r="3129" spans="1:14" x14ac:dyDescent="0.3">
      <c r="A3129" s="2" t="s">
        <v>3195</v>
      </c>
      <c r="B3129" s="6">
        <v>45927</v>
      </c>
      <c r="C3129" s="2" t="s">
        <v>31</v>
      </c>
      <c r="D3129" s="2" t="s">
        <v>89</v>
      </c>
      <c r="E3129" s="2">
        <v>1</v>
      </c>
      <c r="F3129" s="7">
        <v>399</v>
      </c>
      <c r="G3129" s="8">
        <v>0.15</v>
      </c>
      <c r="H3129" s="9" t="str">
        <f>INDEX(Products!$B$2:$B$37, MATCH(D3129, Products!$A$2:$A$37, 0))</f>
        <v>Men's Kandura Premium</v>
      </c>
      <c r="I3129" t="str">
        <f>INDEX(Products!$C$2:$C$37, MATCH(D3129, Products!$A$2:$A$37, 0))</f>
        <v>Fashion</v>
      </c>
      <c r="J3129">
        <f>INDEX(Products!$E$2:$E$37, MATCH(D3129, Products!$A$2:$A$37, 0))</f>
        <v>210</v>
      </c>
      <c r="K3129" s="9">
        <f t="shared" si="192"/>
        <v>339.15</v>
      </c>
      <c r="L3129">
        <f t="shared" si="193"/>
        <v>210</v>
      </c>
      <c r="M3129" s="9">
        <f t="shared" si="194"/>
        <v>129.14999999999998</v>
      </c>
      <c r="N3129" t="str">
        <f t="shared" si="195"/>
        <v>Sep</v>
      </c>
    </row>
    <row r="3130" spans="1:14" x14ac:dyDescent="0.3">
      <c r="A3130" s="2" t="s">
        <v>3196</v>
      </c>
      <c r="B3130" s="6">
        <v>45927</v>
      </c>
      <c r="C3130" s="2" t="s">
        <v>48</v>
      </c>
      <c r="D3130" s="2" t="s">
        <v>126</v>
      </c>
      <c r="E3130" s="2">
        <v>1</v>
      </c>
      <c r="F3130" s="7">
        <v>89</v>
      </c>
      <c r="G3130" s="8">
        <v>0.1</v>
      </c>
      <c r="H3130" s="9" t="str">
        <f>INDEX(Products!$B$2:$B$37, MATCH(D3130, Products!$A$2:$A$37, 0))</f>
        <v>USB-C Fast Charger</v>
      </c>
      <c r="I3130" t="str">
        <f>INDEX(Products!$C$2:$C$37, MATCH(D3130, Products!$A$2:$A$37, 0))</f>
        <v>Electronics</v>
      </c>
      <c r="J3130">
        <f>INDEX(Products!$E$2:$E$37, MATCH(D3130, Products!$A$2:$A$37, 0))</f>
        <v>35</v>
      </c>
      <c r="K3130" s="9">
        <f t="shared" si="192"/>
        <v>80.100000000000009</v>
      </c>
      <c r="L3130">
        <f t="shared" si="193"/>
        <v>35</v>
      </c>
      <c r="M3130" s="9">
        <f t="shared" si="194"/>
        <v>45.100000000000009</v>
      </c>
      <c r="N3130" t="str">
        <f t="shared" si="195"/>
        <v>Sep</v>
      </c>
    </row>
    <row r="3131" spans="1:14" x14ac:dyDescent="0.3">
      <c r="A3131" s="2" t="s">
        <v>3197</v>
      </c>
      <c r="B3131" s="6">
        <v>45928</v>
      </c>
      <c r="C3131" s="2" t="s">
        <v>41</v>
      </c>
      <c r="D3131" s="2" t="s">
        <v>46</v>
      </c>
      <c r="E3131" s="2">
        <v>2</v>
      </c>
      <c r="F3131" s="7">
        <v>189</v>
      </c>
      <c r="G3131" s="8">
        <v>0</v>
      </c>
      <c r="H3131" s="9" t="str">
        <f>INDEX(Products!$B$2:$B$37, MATCH(D3131, Products!$A$2:$A$37, 0))</f>
        <v>Makeup Palette</v>
      </c>
      <c r="I3131" t="str">
        <f>INDEX(Products!$C$2:$C$37, MATCH(D3131, Products!$A$2:$A$37, 0))</f>
        <v>Beauty</v>
      </c>
      <c r="J3131">
        <f>INDEX(Products!$E$2:$E$37, MATCH(D3131, Products!$A$2:$A$37, 0))</f>
        <v>85</v>
      </c>
      <c r="K3131" s="9">
        <f t="shared" si="192"/>
        <v>378</v>
      </c>
      <c r="L3131">
        <f t="shared" si="193"/>
        <v>170</v>
      </c>
      <c r="M3131" s="9">
        <f t="shared" si="194"/>
        <v>208</v>
      </c>
      <c r="N3131" t="str">
        <f t="shared" si="195"/>
        <v>Sep</v>
      </c>
    </row>
    <row r="3132" spans="1:14" x14ac:dyDescent="0.3">
      <c r="A3132" s="2" t="s">
        <v>3198</v>
      </c>
      <c r="B3132" s="6">
        <v>45928</v>
      </c>
      <c r="C3132" s="2" t="s">
        <v>44</v>
      </c>
      <c r="D3132" s="2" t="s">
        <v>37</v>
      </c>
      <c r="E3132" s="2">
        <v>1</v>
      </c>
      <c r="F3132" s="7">
        <v>249</v>
      </c>
      <c r="G3132" s="8">
        <v>0.1</v>
      </c>
      <c r="H3132" s="9" t="str">
        <f>INDEX(Products!$B$2:$B$37, MATCH(D3132, Products!$A$2:$A$37, 0))</f>
        <v>Sunglasses Polarised</v>
      </c>
      <c r="I3132" t="str">
        <f>INDEX(Products!$C$2:$C$37, MATCH(D3132, Products!$A$2:$A$37, 0))</f>
        <v>Fashion</v>
      </c>
      <c r="J3132">
        <f>INDEX(Products!$E$2:$E$37, MATCH(D3132, Products!$A$2:$A$37, 0))</f>
        <v>95</v>
      </c>
      <c r="K3132" s="9">
        <f t="shared" si="192"/>
        <v>224.1</v>
      </c>
      <c r="L3132">
        <f t="shared" si="193"/>
        <v>95</v>
      </c>
      <c r="M3132" s="9">
        <f t="shared" si="194"/>
        <v>129.1</v>
      </c>
      <c r="N3132" t="str">
        <f t="shared" si="195"/>
        <v>Sep</v>
      </c>
    </row>
    <row r="3133" spans="1:14" x14ac:dyDescent="0.3">
      <c r="A3133" s="2" t="s">
        <v>3199</v>
      </c>
      <c r="B3133" s="6">
        <v>45928</v>
      </c>
      <c r="C3133" s="2" t="s">
        <v>48</v>
      </c>
      <c r="D3133" s="2" t="s">
        <v>165</v>
      </c>
      <c r="E3133" s="2">
        <v>4</v>
      </c>
      <c r="F3133" s="7">
        <v>69</v>
      </c>
      <c r="G3133" s="8">
        <v>0</v>
      </c>
      <c r="H3133" s="9" t="str">
        <f>INDEX(Products!$B$2:$B$37, MATCH(D3133, Products!$A$2:$A$37, 0))</f>
        <v>Swim Goggles</v>
      </c>
      <c r="I3133" t="str">
        <f>INDEX(Products!$C$2:$C$37, MATCH(D3133, Products!$A$2:$A$37, 0))</f>
        <v>Sports</v>
      </c>
      <c r="J3133">
        <f>INDEX(Products!$E$2:$E$37, MATCH(D3133, Products!$A$2:$A$37, 0))</f>
        <v>25</v>
      </c>
      <c r="K3133" s="9">
        <f t="shared" si="192"/>
        <v>276</v>
      </c>
      <c r="L3133">
        <f t="shared" si="193"/>
        <v>100</v>
      </c>
      <c r="M3133" s="9">
        <f t="shared" si="194"/>
        <v>176</v>
      </c>
      <c r="N3133" t="str">
        <f t="shared" si="195"/>
        <v>Sep</v>
      </c>
    </row>
    <row r="3134" spans="1:14" x14ac:dyDescent="0.3">
      <c r="A3134" s="2" t="s">
        <v>3200</v>
      </c>
      <c r="B3134" s="6">
        <v>45928</v>
      </c>
      <c r="C3134" s="2" t="s">
        <v>31</v>
      </c>
      <c r="D3134" s="2" t="s">
        <v>33</v>
      </c>
      <c r="E3134" s="2">
        <v>1</v>
      </c>
      <c r="F3134" s="7">
        <v>199</v>
      </c>
      <c r="G3134" s="8">
        <v>0.15</v>
      </c>
      <c r="H3134" s="9" t="str">
        <f>INDEX(Products!$B$2:$B$37, MATCH(D3134, Products!$A$2:$A$37, 0))</f>
        <v>Fitness Band Lite</v>
      </c>
      <c r="I3134" t="str">
        <f>INDEX(Products!$C$2:$C$37, MATCH(D3134, Products!$A$2:$A$37, 0))</f>
        <v>Electronics</v>
      </c>
      <c r="J3134">
        <f>INDEX(Products!$E$2:$E$37, MATCH(D3134, Products!$A$2:$A$37, 0))</f>
        <v>175</v>
      </c>
      <c r="K3134" s="9">
        <f t="shared" si="192"/>
        <v>169.15</v>
      </c>
      <c r="L3134">
        <f t="shared" si="193"/>
        <v>175</v>
      </c>
      <c r="M3134" s="9">
        <f t="shared" si="194"/>
        <v>-5.8499999999999943</v>
      </c>
      <c r="N3134" t="str">
        <f t="shared" si="195"/>
        <v>Sep</v>
      </c>
    </row>
    <row r="3135" spans="1:14" x14ac:dyDescent="0.3">
      <c r="A3135" s="2" t="s">
        <v>3201</v>
      </c>
      <c r="B3135" s="6">
        <v>45929</v>
      </c>
      <c r="C3135" s="2" t="s">
        <v>48</v>
      </c>
      <c r="D3135" s="2" t="s">
        <v>37</v>
      </c>
      <c r="E3135" s="2">
        <v>3</v>
      </c>
      <c r="F3135" s="7">
        <v>249</v>
      </c>
      <c r="G3135" s="8">
        <v>0.05</v>
      </c>
      <c r="H3135" s="9" t="str">
        <f>INDEX(Products!$B$2:$B$37, MATCH(D3135, Products!$A$2:$A$37, 0))</f>
        <v>Sunglasses Polarised</v>
      </c>
      <c r="I3135" t="str">
        <f>INDEX(Products!$C$2:$C$37, MATCH(D3135, Products!$A$2:$A$37, 0))</f>
        <v>Fashion</v>
      </c>
      <c r="J3135">
        <f>INDEX(Products!$E$2:$E$37, MATCH(D3135, Products!$A$2:$A$37, 0))</f>
        <v>95</v>
      </c>
      <c r="K3135" s="9">
        <f t="shared" si="192"/>
        <v>709.65</v>
      </c>
      <c r="L3135">
        <f t="shared" si="193"/>
        <v>285</v>
      </c>
      <c r="M3135" s="9">
        <f t="shared" si="194"/>
        <v>424.65</v>
      </c>
      <c r="N3135" t="str">
        <f t="shared" si="195"/>
        <v>Sep</v>
      </c>
    </row>
    <row r="3136" spans="1:14" x14ac:dyDescent="0.3">
      <c r="A3136" s="2" t="s">
        <v>3202</v>
      </c>
      <c r="B3136" s="6">
        <v>45929</v>
      </c>
      <c r="C3136" s="2" t="s">
        <v>28</v>
      </c>
      <c r="D3136" s="2" t="s">
        <v>46</v>
      </c>
      <c r="E3136" s="2">
        <v>1</v>
      </c>
      <c r="F3136" s="7">
        <v>189</v>
      </c>
      <c r="G3136" s="8">
        <v>0</v>
      </c>
      <c r="H3136" s="9" t="str">
        <f>INDEX(Products!$B$2:$B$37, MATCH(D3136, Products!$A$2:$A$37, 0))</f>
        <v>Makeup Palette</v>
      </c>
      <c r="I3136" t="str">
        <f>INDEX(Products!$C$2:$C$37, MATCH(D3136, Products!$A$2:$A$37, 0))</f>
        <v>Beauty</v>
      </c>
      <c r="J3136">
        <f>INDEX(Products!$E$2:$E$37, MATCH(D3136, Products!$A$2:$A$37, 0))</f>
        <v>85</v>
      </c>
      <c r="K3136" s="9">
        <f t="shared" si="192"/>
        <v>189</v>
      </c>
      <c r="L3136">
        <f t="shared" si="193"/>
        <v>85</v>
      </c>
      <c r="M3136" s="9">
        <f t="shared" si="194"/>
        <v>104</v>
      </c>
      <c r="N3136" t="str">
        <f t="shared" si="195"/>
        <v>Sep</v>
      </c>
    </row>
    <row r="3137" spans="1:14" x14ac:dyDescent="0.3">
      <c r="A3137" s="2" t="s">
        <v>3203</v>
      </c>
      <c r="B3137" s="6">
        <v>45929</v>
      </c>
      <c r="C3137" s="2" t="s">
        <v>28</v>
      </c>
      <c r="D3137" s="2" t="s">
        <v>95</v>
      </c>
      <c r="E3137" s="2">
        <v>1</v>
      </c>
      <c r="F3137" s="7">
        <v>259</v>
      </c>
      <c r="G3137" s="8">
        <v>0</v>
      </c>
      <c r="H3137" s="9" t="str">
        <f>INDEX(Products!$B$2:$B$37, MATCH(D3137, Products!$A$2:$A$37, 0))</f>
        <v>Bed Linen Set (King)</v>
      </c>
      <c r="I3137" t="str">
        <f>INDEX(Products!$C$2:$C$37, MATCH(D3137, Products!$A$2:$A$37, 0))</f>
        <v>Home &amp; Kitchen</v>
      </c>
      <c r="J3137">
        <f>INDEX(Products!$E$2:$E$37, MATCH(D3137, Products!$A$2:$A$37, 0))</f>
        <v>115</v>
      </c>
      <c r="K3137" s="9">
        <f t="shared" si="192"/>
        <v>259</v>
      </c>
      <c r="L3137">
        <f t="shared" si="193"/>
        <v>115</v>
      </c>
      <c r="M3137" s="9">
        <f t="shared" si="194"/>
        <v>144</v>
      </c>
      <c r="N3137" t="str">
        <f t="shared" si="195"/>
        <v>Sep</v>
      </c>
    </row>
    <row r="3138" spans="1:14" x14ac:dyDescent="0.3">
      <c r="A3138" s="2" t="s">
        <v>3204</v>
      </c>
      <c r="B3138" s="6">
        <v>45929</v>
      </c>
      <c r="C3138" s="2" t="s">
        <v>44</v>
      </c>
      <c r="D3138" s="2" t="s">
        <v>39</v>
      </c>
      <c r="E3138" s="2">
        <v>1</v>
      </c>
      <c r="F3138" s="7">
        <v>199</v>
      </c>
      <c r="G3138" s="8">
        <v>0.15</v>
      </c>
      <c r="H3138" s="9" t="str">
        <f>INDEX(Products!$B$2:$B$37, MATCH(D3138, Products!$A$2:$A$37, 0))</f>
        <v>Bakhoor Gift Set</v>
      </c>
      <c r="I3138" t="str">
        <f>INDEX(Products!$C$2:$C$37, MATCH(D3138, Products!$A$2:$A$37, 0))</f>
        <v>Beauty</v>
      </c>
      <c r="J3138">
        <f>INDEX(Products!$E$2:$E$37, MATCH(D3138, Products!$A$2:$A$37, 0))</f>
        <v>90</v>
      </c>
      <c r="K3138" s="9">
        <f t="shared" ref="K3138:K3201" si="196">E3138*F3138*(1-G3138)</f>
        <v>169.15</v>
      </c>
      <c r="L3138">
        <f t="shared" ref="L3138:L3201" si="197">E3138*J3138</f>
        <v>90</v>
      </c>
      <c r="M3138" s="9">
        <f t="shared" ref="M3138:M3201" si="198">K3138-L3138</f>
        <v>79.150000000000006</v>
      </c>
      <c r="N3138" t="str">
        <f t="shared" ref="N3138:N3201" si="199">TEXT(B3138,"mmm")</f>
        <v>Sep</v>
      </c>
    </row>
    <row r="3139" spans="1:14" x14ac:dyDescent="0.3">
      <c r="A3139" s="2" t="s">
        <v>3205</v>
      </c>
      <c r="B3139" s="6">
        <v>45929</v>
      </c>
      <c r="C3139" s="2" t="s">
        <v>44</v>
      </c>
      <c r="D3139" s="2" t="s">
        <v>83</v>
      </c>
      <c r="E3139" s="2">
        <v>4</v>
      </c>
      <c r="F3139" s="7">
        <v>229</v>
      </c>
      <c r="G3139" s="8">
        <v>0</v>
      </c>
      <c r="H3139" s="9" t="str">
        <f>INDEX(Products!$B$2:$B$37, MATCH(D3139, Products!$A$2:$A$37, 0))</f>
        <v>Cycling Helmet</v>
      </c>
      <c r="I3139" t="str">
        <f>INDEX(Products!$C$2:$C$37, MATCH(D3139, Products!$A$2:$A$37, 0))</f>
        <v>Sports</v>
      </c>
      <c r="J3139">
        <f>INDEX(Products!$E$2:$E$37, MATCH(D3139, Products!$A$2:$A$37, 0))</f>
        <v>120</v>
      </c>
      <c r="K3139" s="9">
        <f t="shared" si="196"/>
        <v>916</v>
      </c>
      <c r="L3139">
        <f t="shared" si="197"/>
        <v>480</v>
      </c>
      <c r="M3139" s="9">
        <f t="shared" si="198"/>
        <v>436</v>
      </c>
      <c r="N3139" t="str">
        <f t="shared" si="199"/>
        <v>Sep</v>
      </c>
    </row>
    <row r="3140" spans="1:14" x14ac:dyDescent="0.3">
      <c r="A3140" s="2" t="s">
        <v>3206</v>
      </c>
      <c r="B3140" s="6">
        <v>45929</v>
      </c>
      <c r="C3140" s="2" t="s">
        <v>44</v>
      </c>
      <c r="D3140" s="2" t="s">
        <v>99</v>
      </c>
      <c r="E3140" s="2">
        <v>1</v>
      </c>
      <c r="F3140" s="7">
        <v>459</v>
      </c>
      <c r="G3140" s="8">
        <v>0.1</v>
      </c>
      <c r="H3140" s="9" t="str">
        <f>INDEX(Products!$B$2:$B$37, MATCH(D3140, Products!$A$2:$A$37, 0))</f>
        <v>Gaming Headset X</v>
      </c>
      <c r="I3140" t="str">
        <f>INDEX(Products!$C$2:$C$37, MATCH(D3140, Products!$A$2:$A$37, 0))</f>
        <v>Electronics</v>
      </c>
      <c r="J3140">
        <f>INDEX(Products!$E$2:$E$37, MATCH(D3140, Products!$A$2:$A$37, 0))</f>
        <v>300</v>
      </c>
      <c r="K3140" s="9">
        <f t="shared" si="196"/>
        <v>413.1</v>
      </c>
      <c r="L3140">
        <f t="shared" si="197"/>
        <v>300</v>
      </c>
      <c r="M3140" s="9">
        <f t="shared" si="198"/>
        <v>113.10000000000002</v>
      </c>
      <c r="N3140" t="str">
        <f t="shared" si="199"/>
        <v>Sep</v>
      </c>
    </row>
    <row r="3141" spans="1:14" x14ac:dyDescent="0.3">
      <c r="A3141" s="2" t="s">
        <v>3207</v>
      </c>
      <c r="B3141" s="6">
        <v>45929</v>
      </c>
      <c r="C3141" s="2" t="s">
        <v>41</v>
      </c>
      <c r="D3141" s="2" t="s">
        <v>126</v>
      </c>
      <c r="E3141" s="2">
        <v>1</v>
      </c>
      <c r="F3141" s="7">
        <v>89</v>
      </c>
      <c r="G3141" s="8">
        <v>0.05</v>
      </c>
      <c r="H3141" s="9" t="str">
        <f>INDEX(Products!$B$2:$B$37, MATCH(D3141, Products!$A$2:$A$37, 0))</f>
        <v>USB-C Fast Charger</v>
      </c>
      <c r="I3141" t="str">
        <f>INDEX(Products!$C$2:$C$37, MATCH(D3141, Products!$A$2:$A$37, 0))</f>
        <v>Electronics</v>
      </c>
      <c r="J3141">
        <f>INDEX(Products!$E$2:$E$37, MATCH(D3141, Products!$A$2:$A$37, 0))</f>
        <v>35</v>
      </c>
      <c r="K3141" s="9">
        <f t="shared" si="196"/>
        <v>84.55</v>
      </c>
      <c r="L3141">
        <f t="shared" si="197"/>
        <v>35</v>
      </c>
      <c r="M3141" s="9">
        <f t="shared" si="198"/>
        <v>49.55</v>
      </c>
      <c r="N3141" t="str">
        <f t="shared" si="199"/>
        <v>Sep</v>
      </c>
    </row>
    <row r="3142" spans="1:14" x14ac:dyDescent="0.3">
      <c r="A3142" s="2" t="s">
        <v>3208</v>
      </c>
      <c r="B3142" s="6">
        <v>45929</v>
      </c>
      <c r="C3142" s="2" t="s">
        <v>41</v>
      </c>
      <c r="D3142" s="2" t="s">
        <v>49</v>
      </c>
      <c r="E3142" s="2">
        <v>1</v>
      </c>
      <c r="F3142" s="7">
        <v>149</v>
      </c>
      <c r="G3142" s="8">
        <v>0.05</v>
      </c>
      <c r="H3142" s="9" t="str">
        <f>INDEX(Products!$B$2:$B$37, MATCH(D3142, Products!$A$2:$A$37, 0))</f>
        <v>Kids' Sneakers</v>
      </c>
      <c r="I3142" t="str">
        <f>INDEX(Products!$C$2:$C$37, MATCH(D3142, Products!$A$2:$A$37, 0))</f>
        <v>Fashion</v>
      </c>
      <c r="J3142">
        <f>INDEX(Products!$E$2:$E$37, MATCH(D3142, Products!$A$2:$A$37, 0))</f>
        <v>80</v>
      </c>
      <c r="K3142" s="9">
        <f t="shared" si="196"/>
        <v>141.54999999999998</v>
      </c>
      <c r="L3142">
        <f t="shared" si="197"/>
        <v>80</v>
      </c>
      <c r="M3142" s="9">
        <f t="shared" si="198"/>
        <v>61.549999999999983</v>
      </c>
      <c r="N3142" t="str">
        <f t="shared" si="199"/>
        <v>Sep</v>
      </c>
    </row>
    <row r="3143" spans="1:14" x14ac:dyDescent="0.3">
      <c r="A3143" s="2" t="s">
        <v>3209</v>
      </c>
      <c r="B3143" s="6">
        <v>45929</v>
      </c>
      <c r="C3143" s="2" t="s">
        <v>28</v>
      </c>
      <c r="D3143" s="2" t="s">
        <v>95</v>
      </c>
      <c r="E3143" s="2">
        <v>1</v>
      </c>
      <c r="F3143" s="7">
        <v>259</v>
      </c>
      <c r="G3143" s="8">
        <v>0.05</v>
      </c>
      <c r="H3143" s="9" t="str">
        <f>INDEX(Products!$B$2:$B$37, MATCH(D3143, Products!$A$2:$A$37, 0))</f>
        <v>Bed Linen Set (King)</v>
      </c>
      <c r="I3143" t="str">
        <f>INDEX(Products!$C$2:$C$37, MATCH(D3143, Products!$A$2:$A$37, 0))</f>
        <v>Home &amp; Kitchen</v>
      </c>
      <c r="J3143">
        <f>INDEX(Products!$E$2:$E$37, MATCH(D3143, Products!$A$2:$A$37, 0))</f>
        <v>115</v>
      </c>
      <c r="K3143" s="9">
        <f t="shared" si="196"/>
        <v>246.04999999999998</v>
      </c>
      <c r="L3143">
        <f t="shared" si="197"/>
        <v>115</v>
      </c>
      <c r="M3143" s="9">
        <f t="shared" si="198"/>
        <v>131.04999999999998</v>
      </c>
      <c r="N3143" t="str">
        <f t="shared" si="199"/>
        <v>Sep</v>
      </c>
    </row>
    <row r="3144" spans="1:14" x14ac:dyDescent="0.3">
      <c r="A3144" s="2" t="s">
        <v>3210</v>
      </c>
      <c r="B3144" s="6">
        <v>45929</v>
      </c>
      <c r="C3144" s="2" t="s">
        <v>48</v>
      </c>
      <c r="D3144" s="2" t="s">
        <v>103</v>
      </c>
      <c r="E3144" s="2">
        <v>4</v>
      </c>
      <c r="F3144" s="7">
        <v>89</v>
      </c>
      <c r="G3144" s="8">
        <v>0</v>
      </c>
      <c r="H3144" s="9" t="str">
        <f>INDEX(Products!$B$2:$B$37, MATCH(D3144, Products!$A$2:$A$37, 0))</f>
        <v>Sunscreen SPF50</v>
      </c>
      <c r="I3144" t="str">
        <f>INDEX(Products!$C$2:$C$37, MATCH(D3144, Products!$A$2:$A$37, 0))</f>
        <v>Beauty</v>
      </c>
      <c r="J3144">
        <f>INDEX(Products!$E$2:$E$37, MATCH(D3144, Products!$A$2:$A$37, 0))</f>
        <v>40</v>
      </c>
      <c r="K3144" s="9">
        <f t="shared" si="196"/>
        <v>356</v>
      </c>
      <c r="L3144">
        <f t="shared" si="197"/>
        <v>160</v>
      </c>
      <c r="M3144" s="9">
        <f t="shared" si="198"/>
        <v>196</v>
      </c>
      <c r="N3144" t="str">
        <f t="shared" si="199"/>
        <v>Sep</v>
      </c>
    </row>
    <row r="3145" spans="1:14" x14ac:dyDescent="0.3">
      <c r="A3145" s="2" t="s">
        <v>3211</v>
      </c>
      <c r="B3145" s="6">
        <v>45929</v>
      </c>
      <c r="C3145" s="2" t="s">
        <v>41</v>
      </c>
      <c r="D3145" s="2" t="s">
        <v>126</v>
      </c>
      <c r="E3145" s="2">
        <v>1</v>
      </c>
      <c r="F3145" s="7">
        <v>89</v>
      </c>
      <c r="G3145" s="8">
        <v>0.1</v>
      </c>
      <c r="H3145" s="9" t="str">
        <f>INDEX(Products!$B$2:$B$37, MATCH(D3145, Products!$A$2:$A$37, 0))</f>
        <v>USB-C Fast Charger</v>
      </c>
      <c r="I3145" t="str">
        <f>INDEX(Products!$C$2:$C$37, MATCH(D3145, Products!$A$2:$A$37, 0))</f>
        <v>Electronics</v>
      </c>
      <c r="J3145">
        <f>INDEX(Products!$E$2:$E$37, MATCH(D3145, Products!$A$2:$A$37, 0))</f>
        <v>35</v>
      </c>
      <c r="K3145" s="9">
        <f t="shared" si="196"/>
        <v>80.100000000000009</v>
      </c>
      <c r="L3145">
        <f t="shared" si="197"/>
        <v>35</v>
      </c>
      <c r="M3145" s="9">
        <f t="shared" si="198"/>
        <v>45.100000000000009</v>
      </c>
      <c r="N3145" t="str">
        <f t="shared" si="199"/>
        <v>Sep</v>
      </c>
    </row>
    <row r="3146" spans="1:14" x14ac:dyDescent="0.3">
      <c r="A3146" s="2" t="s">
        <v>3212</v>
      </c>
      <c r="B3146" s="6">
        <v>45929</v>
      </c>
      <c r="C3146" s="2" t="s">
        <v>31</v>
      </c>
      <c r="D3146" s="2" t="s">
        <v>149</v>
      </c>
      <c r="E3146" s="2">
        <v>1</v>
      </c>
      <c r="F3146" s="7">
        <v>399</v>
      </c>
      <c r="G3146" s="8">
        <v>0.05</v>
      </c>
      <c r="H3146" s="9" t="str">
        <f>INDEX(Products!$B$2:$B$37, MATCH(D3146, Products!$A$2:$A$37, 0))</f>
        <v>Blender Pro 1200W</v>
      </c>
      <c r="I3146" t="str">
        <f>INDEX(Products!$C$2:$C$37, MATCH(D3146, Products!$A$2:$A$37, 0))</f>
        <v>Home &amp; Kitchen</v>
      </c>
      <c r="J3146">
        <f>INDEX(Products!$E$2:$E$37, MATCH(D3146, Products!$A$2:$A$37, 0))</f>
        <v>250</v>
      </c>
      <c r="K3146" s="9">
        <f t="shared" si="196"/>
        <v>379.04999999999995</v>
      </c>
      <c r="L3146">
        <f t="shared" si="197"/>
        <v>250</v>
      </c>
      <c r="M3146" s="9">
        <f t="shared" si="198"/>
        <v>129.04999999999995</v>
      </c>
      <c r="N3146" t="str">
        <f t="shared" si="199"/>
        <v>Sep</v>
      </c>
    </row>
    <row r="3147" spans="1:14" x14ac:dyDescent="0.3">
      <c r="A3147" s="2" t="s">
        <v>3213</v>
      </c>
      <c r="B3147" s="6">
        <v>45929</v>
      </c>
      <c r="C3147" s="2" t="s">
        <v>48</v>
      </c>
      <c r="D3147" s="2" t="s">
        <v>89</v>
      </c>
      <c r="E3147" s="2">
        <v>3</v>
      </c>
      <c r="F3147" s="7">
        <v>399</v>
      </c>
      <c r="G3147" s="8">
        <v>0.1</v>
      </c>
      <c r="H3147" s="9" t="str">
        <f>INDEX(Products!$B$2:$B$37, MATCH(D3147, Products!$A$2:$A$37, 0))</f>
        <v>Men's Kandura Premium</v>
      </c>
      <c r="I3147" t="str">
        <f>INDEX(Products!$C$2:$C$37, MATCH(D3147, Products!$A$2:$A$37, 0))</f>
        <v>Fashion</v>
      </c>
      <c r="J3147">
        <f>INDEX(Products!$E$2:$E$37, MATCH(D3147, Products!$A$2:$A$37, 0))</f>
        <v>210</v>
      </c>
      <c r="K3147" s="9">
        <f t="shared" si="196"/>
        <v>1077.3</v>
      </c>
      <c r="L3147">
        <f t="shared" si="197"/>
        <v>630</v>
      </c>
      <c r="M3147" s="9">
        <f t="shared" si="198"/>
        <v>447.29999999999995</v>
      </c>
      <c r="N3147" t="str">
        <f t="shared" si="199"/>
        <v>Sep</v>
      </c>
    </row>
    <row r="3148" spans="1:14" x14ac:dyDescent="0.3">
      <c r="A3148" s="2" t="s">
        <v>3214</v>
      </c>
      <c r="B3148" s="6">
        <v>45930</v>
      </c>
      <c r="C3148" s="2" t="s">
        <v>41</v>
      </c>
      <c r="D3148" s="2" t="s">
        <v>56</v>
      </c>
      <c r="E3148" s="2">
        <v>1</v>
      </c>
      <c r="F3148" s="7">
        <v>289</v>
      </c>
      <c r="G3148" s="8">
        <v>0</v>
      </c>
      <c r="H3148" s="9" t="str">
        <f>INDEX(Products!$B$2:$B$37, MATCH(D3148, Products!$A$2:$A$37, 0))</f>
        <v>Ceramic Dinner Set</v>
      </c>
      <c r="I3148" t="str">
        <f>INDEX(Products!$C$2:$C$37, MATCH(D3148, Products!$A$2:$A$37, 0))</f>
        <v>Home &amp; Kitchen</v>
      </c>
      <c r="J3148">
        <f>INDEX(Products!$E$2:$E$37, MATCH(D3148, Products!$A$2:$A$37, 0))</f>
        <v>140</v>
      </c>
      <c r="K3148" s="9">
        <f t="shared" si="196"/>
        <v>289</v>
      </c>
      <c r="L3148">
        <f t="shared" si="197"/>
        <v>140</v>
      </c>
      <c r="M3148" s="9">
        <f t="shared" si="198"/>
        <v>149</v>
      </c>
      <c r="N3148" t="str">
        <f t="shared" si="199"/>
        <v>Sep</v>
      </c>
    </row>
    <row r="3149" spans="1:14" x14ac:dyDescent="0.3">
      <c r="A3149" s="2" t="s">
        <v>3215</v>
      </c>
      <c r="B3149" s="6">
        <v>45930</v>
      </c>
      <c r="C3149" s="2" t="s">
        <v>44</v>
      </c>
      <c r="D3149" s="2" t="s">
        <v>115</v>
      </c>
      <c r="E3149" s="2">
        <v>2</v>
      </c>
      <c r="F3149" s="7">
        <v>129</v>
      </c>
      <c r="G3149" s="8">
        <v>0.2</v>
      </c>
      <c r="H3149" s="9" t="str">
        <f>INDEX(Products!$B$2:$B$37, MATCH(D3149, Products!$A$2:$A$37, 0))</f>
        <v>Electric Kettle</v>
      </c>
      <c r="I3149" t="str">
        <f>INDEX(Products!$C$2:$C$37, MATCH(D3149, Products!$A$2:$A$37, 0))</f>
        <v>Home &amp; Kitchen</v>
      </c>
      <c r="J3149">
        <f>INDEX(Products!$E$2:$E$37, MATCH(D3149, Products!$A$2:$A$37, 0))</f>
        <v>60</v>
      </c>
      <c r="K3149" s="9">
        <f t="shared" si="196"/>
        <v>206.4</v>
      </c>
      <c r="L3149">
        <f t="shared" si="197"/>
        <v>120</v>
      </c>
      <c r="M3149" s="9">
        <f t="shared" si="198"/>
        <v>86.4</v>
      </c>
      <c r="N3149" t="str">
        <f t="shared" si="199"/>
        <v>Sep</v>
      </c>
    </row>
    <row r="3150" spans="1:14" x14ac:dyDescent="0.3">
      <c r="A3150" s="2" t="s">
        <v>3216</v>
      </c>
      <c r="B3150" s="6">
        <v>45930</v>
      </c>
      <c r="C3150" s="2" t="s">
        <v>48</v>
      </c>
      <c r="D3150" s="2" t="s">
        <v>194</v>
      </c>
      <c r="E3150" s="2">
        <v>4</v>
      </c>
      <c r="F3150" s="7">
        <v>699</v>
      </c>
      <c r="G3150" s="8">
        <v>0</v>
      </c>
      <c r="H3150" s="9" t="str">
        <f>INDEX(Products!$B$2:$B$37, MATCH(D3150, Products!$A$2:$A$37, 0))</f>
        <v>Leather Handbag</v>
      </c>
      <c r="I3150" t="str">
        <f>INDEX(Products!$C$2:$C$37, MATCH(D3150, Products!$A$2:$A$37, 0))</f>
        <v>Fashion</v>
      </c>
      <c r="J3150">
        <f>INDEX(Products!$E$2:$E$37, MATCH(D3150, Products!$A$2:$A$37, 0))</f>
        <v>380</v>
      </c>
      <c r="K3150" s="9">
        <f t="shared" si="196"/>
        <v>2796</v>
      </c>
      <c r="L3150">
        <f t="shared" si="197"/>
        <v>1520</v>
      </c>
      <c r="M3150" s="9">
        <f t="shared" si="198"/>
        <v>1276</v>
      </c>
      <c r="N3150" t="str">
        <f t="shared" si="199"/>
        <v>Sep</v>
      </c>
    </row>
    <row r="3151" spans="1:14" x14ac:dyDescent="0.3">
      <c r="A3151" s="2" t="s">
        <v>3217</v>
      </c>
      <c r="B3151" s="6">
        <v>45930</v>
      </c>
      <c r="C3151" s="2" t="s">
        <v>28</v>
      </c>
      <c r="D3151" s="2" t="s">
        <v>35</v>
      </c>
      <c r="E3151" s="2">
        <v>1</v>
      </c>
      <c r="F3151" s="7">
        <v>179</v>
      </c>
      <c r="G3151" s="8">
        <v>0.1</v>
      </c>
      <c r="H3151" s="9" t="str">
        <f>INDEX(Products!$B$2:$B$37, MATCH(D3151, Products!$A$2:$A$37, 0))</f>
        <v>Men's Linen Shirt</v>
      </c>
      <c r="I3151" t="str">
        <f>INDEX(Products!$C$2:$C$37, MATCH(D3151, Products!$A$2:$A$37, 0))</f>
        <v>Fashion</v>
      </c>
      <c r="J3151">
        <f>INDEX(Products!$E$2:$E$37, MATCH(D3151, Products!$A$2:$A$37, 0))</f>
        <v>70</v>
      </c>
      <c r="K3151" s="9">
        <f t="shared" si="196"/>
        <v>161.1</v>
      </c>
      <c r="L3151">
        <f t="shared" si="197"/>
        <v>70</v>
      </c>
      <c r="M3151" s="9">
        <f t="shared" si="198"/>
        <v>91.1</v>
      </c>
      <c r="N3151" t="str">
        <f t="shared" si="199"/>
        <v>Sep</v>
      </c>
    </row>
    <row r="3152" spans="1:14" x14ac:dyDescent="0.3">
      <c r="A3152" s="2" t="s">
        <v>3218</v>
      </c>
      <c r="B3152" s="6">
        <v>45930</v>
      </c>
      <c r="C3152" s="2" t="s">
        <v>28</v>
      </c>
      <c r="D3152" s="2" t="s">
        <v>58</v>
      </c>
      <c r="E3152" s="2">
        <v>4</v>
      </c>
      <c r="F3152" s="7">
        <v>459</v>
      </c>
      <c r="G3152" s="8">
        <v>0</v>
      </c>
      <c r="H3152" s="9" t="str">
        <f>INDEX(Products!$B$2:$B$37, MATCH(D3152, Products!$A$2:$A$37, 0))</f>
        <v>Women's Abaya Classic</v>
      </c>
      <c r="I3152" t="str">
        <f>INDEX(Products!$C$2:$C$37, MATCH(D3152, Products!$A$2:$A$37, 0))</f>
        <v>Fashion</v>
      </c>
      <c r="J3152">
        <f>INDEX(Products!$E$2:$E$37, MATCH(D3152, Products!$A$2:$A$37, 0))</f>
        <v>190</v>
      </c>
      <c r="K3152" s="9">
        <f t="shared" si="196"/>
        <v>1836</v>
      </c>
      <c r="L3152">
        <f t="shared" si="197"/>
        <v>760</v>
      </c>
      <c r="M3152" s="9">
        <f t="shared" si="198"/>
        <v>1076</v>
      </c>
      <c r="N3152" t="str">
        <f t="shared" si="199"/>
        <v>Sep</v>
      </c>
    </row>
    <row r="3153" spans="1:14" x14ac:dyDescent="0.3">
      <c r="A3153" s="2" t="s">
        <v>3219</v>
      </c>
      <c r="B3153" s="6">
        <v>45930</v>
      </c>
      <c r="C3153" s="2" t="s">
        <v>48</v>
      </c>
      <c r="D3153" s="2" t="s">
        <v>87</v>
      </c>
      <c r="E3153" s="2">
        <v>3</v>
      </c>
      <c r="F3153" s="7">
        <v>799</v>
      </c>
      <c r="G3153" s="8">
        <v>0.1</v>
      </c>
      <c r="H3153" s="9" t="str">
        <f>INDEX(Products!$B$2:$B$37, MATCH(D3153, Products!$A$2:$A$37, 0))</f>
        <v>Adjustable Dumbbells</v>
      </c>
      <c r="I3153" t="str">
        <f>INDEX(Products!$C$2:$C$37, MATCH(D3153, Products!$A$2:$A$37, 0))</f>
        <v>Sports</v>
      </c>
      <c r="J3153">
        <f>INDEX(Products!$E$2:$E$37, MATCH(D3153, Products!$A$2:$A$37, 0))</f>
        <v>700</v>
      </c>
      <c r="K3153" s="9">
        <f t="shared" si="196"/>
        <v>2157.3000000000002</v>
      </c>
      <c r="L3153">
        <f t="shared" si="197"/>
        <v>2100</v>
      </c>
      <c r="M3153" s="9">
        <f t="shared" si="198"/>
        <v>57.300000000000182</v>
      </c>
      <c r="N3153" t="str">
        <f t="shared" si="199"/>
        <v>Sep</v>
      </c>
    </row>
    <row r="3154" spans="1:14" x14ac:dyDescent="0.3">
      <c r="A3154" s="2" t="s">
        <v>3220</v>
      </c>
      <c r="B3154" s="6">
        <v>45930</v>
      </c>
      <c r="C3154" s="2" t="s">
        <v>44</v>
      </c>
      <c r="D3154" s="2" t="s">
        <v>194</v>
      </c>
      <c r="E3154" s="2">
        <v>2</v>
      </c>
      <c r="F3154" s="7">
        <v>699</v>
      </c>
      <c r="G3154" s="8">
        <v>0</v>
      </c>
      <c r="H3154" s="9" t="str">
        <f>INDEX(Products!$B$2:$B$37, MATCH(D3154, Products!$A$2:$A$37, 0))</f>
        <v>Leather Handbag</v>
      </c>
      <c r="I3154" t="str">
        <f>INDEX(Products!$C$2:$C$37, MATCH(D3154, Products!$A$2:$A$37, 0))</f>
        <v>Fashion</v>
      </c>
      <c r="J3154">
        <f>INDEX(Products!$E$2:$E$37, MATCH(D3154, Products!$A$2:$A$37, 0))</f>
        <v>380</v>
      </c>
      <c r="K3154" s="9">
        <f t="shared" si="196"/>
        <v>1398</v>
      </c>
      <c r="L3154">
        <f t="shared" si="197"/>
        <v>760</v>
      </c>
      <c r="M3154" s="9">
        <f t="shared" si="198"/>
        <v>638</v>
      </c>
      <c r="N3154" t="str">
        <f t="shared" si="199"/>
        <v>Sep</v>
      </c>
    </row>
    <row r="3155" spans="1:14" x14ac:dyDescent="0.3">
      <c r="A3155" s="2" t="s">
        <v>3221</v>
      </c>
      <c r="B3155" s="6">
        <v>45930</v>
      </c>
      <c r="C3155" s="2" t="s">
        <v>31</v>
      </c>
      <c r="D3155" s="2" t="s">
        <v>126</v>
      </c>
      <c r="E3155" s="2">
        <v>2</v>
      </c>
      <c r="F3155" s="7">
        <v>89</v>
      </c>
      <c r="G3155" s="8">
        <v>0.15</v>
      </c>
      <c r="H3155" s="9" t="str">
        <f>INDEX(Products!$B$2:$B$37, MATCH(D3155, Products!$A$2:$A$37, 0))</f>
        <v>USB-C Fast Charger</v>
      </c>
      <c r="I3155" t="str">
        <f>INDEX(Products!$C$2:$C$37, MATCH(D3155, Products!$A$2:$A$37, 0))</f>
        <v>Electronics</v>
      </c>
      <c r="J3155">
        <f>INDEX(Products!$E$2:$E$37, MATCH(D3155, Products!$A$2:$A$37, 0))</f>
        <v>35</v>
      </c>
      <c r="K3155" s="9">
        <f t="shared" si="196"/>
        <v>151.29999999999998</v>
      </c>
      <c r="L3155">
        <f t="shared" si="197"/>
        <v>70</v>
      </c>
      <c r="M3155" s="9">
        <f t="shared" si="198"/>
        <v>81.299999999999983</v>
      </c>
      <c r="N3155" t="str">
        <f t="shared" si="199"/>
        <v>Sep</v>
      </c>
    </row>
    <row r="3156" spans="1:14" x14ac:dyDescent="0.3">
      <c r="A3156" s="2" t="s">
        <v>3222</v>
      </c>
      <c r="B3156" s="6">
        <v>45931</v>
      </c>
      <c r="C3156" s="2" t="s">
        <v>44</v>
      </c>
      <c r="D3156" s="2" t="s">
        <v>75</v>
      </c>
      <c r="E3156" s="2">
        <v>1</v>
      </c>
      <c r="F3156" s="7">
        <v>549</v>
      </c>
      <c r="G3156" s="8">
        <v>0</v>
      </c>
      <c r="H3156" s="9" t="str">
        <f>INDEX(Products!$B$2:$B$37, MATCH(D3156, Products!$A$2:$A$37, 0))</f>
        <v>Oud Perfume 100ml</v>
      </c>
      <c r="I3156" t="str">
        <f>INDEX(Products!$C$2:$C$37, MATCH(D3156, Products!$A$2:$A$37, 0))</f>
        <v>Beauty</v>
      </c>
      <c r="J3156">
        <f>INDEX(Products!$E$2:$E$37, MATCH(D3156, Products!$A$2:$A$37, 0))</f>
        <v>250</v>
      </c>
      <c r="K3156" s="9">
        <f t="shared" si="196"/>
        <v>549</v>
      </c>
      <c r="L3156">
        <f t="shared" si="197"/>
        <v>250</v>
      </c>
      <c r="M3156" s="9">
        <f t="shared" si="198"/>
        <v>299</v>
      </c>
      <c r="N3156" t="str">
        <f t="shared" si="199"/>
        <v>Oct</v>
      </c>
    </row>
    <row r="3157" spans="1:14" x14ac:dyDescent="0.3">
      <c r="A3157" s="2" t="s">
        <v>3223</v>
      </c>
      <c r="B3157" s="6">
        <v>45931</v>
      </c>
      <c r="C3157" s="2" t="s">
        <v>31</v>
      </c>
      <c r="D3157" s="2" t="s">
        <v>80</v>
      </c>
      <c r="E3157" s="2">
        <v>1</v>
      </c>
      <c r="F3157" s="7">
        <v>149</v>
      </c>
      <c r="G3157" s="8">
        <v>0.1</v>
      </c>
      <c r="H3157" s="9" t="str">
        <f>INDEX(Products!$B$2:$B$37, MATCH(D3157, Products!$A$2:$A$37, 0))</f>
        <v>Vitamin C Serum</v>
      </c>
      <c r="I3157" t="str">
        <f>INDEX(Products!$C$2:$C$37, MATCH(D3157, Products!$A$2:$A$37, 0))</f>
        <v>Beauty</v>
      </c>
      <c r="J3157">
        <f>INDEX(Products!$E$2:$E$37, MATCH(D3157, Products!$A$2:$A$37, 0))</f>
        <v>55</v>
      </c>
      <c r="K3157" s="9">
        <f t="shared" si="196"/>
        <v>134.1</v>
      </c>
      <c r="L3157">
        <f t="shared" si="197"/>
        <v>55</v>
      </c>
      <c r="M3157" s="9">
        <f t="shared" si="198"/>
        <v>79.099999999999994</v>
      </c>
      <c r="N3157" t="str">
        <f t="shared" si="199"/>
        <v>Oct</v>
      </c>
    </row>
    <row r="3158" spans="1:14" x14ac:dyDescent="0.3">
      <c r="A3158" s="2" t="s">
        <v>3224</v>
      </c>
      <c r="B3158" s="6">
        <v>45931</v>
      </c>
      <c r="C3158" s="2" t="s">
        <v>28</v>
      </c>
      <c r="D3158" s="2" t="s">
        <v>49</v>
      </c>
      <c r="E3158" s="2">
        <v>1</v>
      </c>
      <c r="F3158" s="7">
        <v>149</v>
      </c>
      <c r="G3158" s="8">
        <v>0.15</v>
      </c>
      <c r="H3158" s="9" t="str">
        <f>INDEX(Products!$B$2:$B$37, MATCH(D3158, Products!$A$2:$A$37, 0))</f>
        <v>Kids' Sneakers</v>
      </c>
      <c r="I3158" t="str">
        <f>INDEX(Products!$C$2:$C$37, MATCH(D3158, Products!$A$2:$A$37, 0))</f>
        <v>Fashion</v>
      </c>
      <c r="J3158">
        <f>INDEX(Products!$E$2:$E$37, MATCH(D3158, Products!$A$2:$A$37, 0))</f>
        <v>80</v>
      </c>
      <c r="K3158" s="9">
        <f t="shared" si="196"/>
        <v>126.64999999999999</v>
      </c>
      <c r="L3158">
        <f t="shared" si="197"/>
        <v>80</v>
      </c>
      <c r="M3158" s="9">
        <f t="shared" si="198"/>
        <v>46.649999999999991</v>
      </c>
      <c r="N3158" t="str">
        <f t="shared" si="199"/>
        <v>Oct</v>
      </c>
    </row>
    <row r="3159" spans="1:14" x14ac:dyDescent="0.3">
      <c r="A3159" s="2" t="s">
        <v>3225</v>
      </c>
      <c r="B3159" s="6">
        <v>45931</v>
      </c>
      <c r="C3159" s="2" t="s">
        <v>44</v>
      </c>
      <c r="D3159" s="2" t="s">
        <v>78</v>
      </c>
      <c r="E3159" s="2">
        <v>1</v>
      </c>
      <c r="F3159" s="7">
        <v>499</v>
      </c>
      <c r="G3159" s="8">
        <v>0.1</v>
      </c>
      <c r="H3159" s="9" t="str">
        <f>INDEX(Products!$B$2:$B$37, MATCH(D3159, Products!$A$2:$A$37, 0))</f>
        <v>Air Fryer 5L</v>
      </c>
      <c r="I3159" t="str">
        <f>INDEX(Products!$C$2:$C$37, MATCH(D3159, Products!$A$2:$A$37, 0))</f>
        <v>Home &amp; Kitchen</v>
      </c>
      <c r="J3159">
        <f>INDEX(Products!$E$2:$E$37, MATCH(D3159, Products!$A$2:$A$37, 0))</f>
        <v>290</v>
      </c>
      <c r="K3159" s="9">
        <f t="shared" si="196"/>
        <v>449.1</v>
      </c>
      <c r="L3159">
        <f t="shared" si="197"/>
        <v>290</v>
      </c>
      <c r="M3159" s="9">
        <f t="shared" si="198"/>
        <v>159.10000000000002</v>
      </c>
      <c r="N3159" t="str">
        <f t="shared" si="199"/>
        <v>Oct</v>
      </c>
    </row>
    <row r="3160" spans="1:14" x14ac:dyDescent="0.3">
      <c r="A3160" s="2" t="s">
        <v>3226</v>
      </c>
      <c r="B3160" s="6">
        <v>45931</v>
      </c>
      <c r="C3160" s="2" t="s">
        <v>48</v>
      </c>
      <c r="D3160" s="2" t="s">
        <v>35</v>
      </c>
      <c r="E3160" s="2">
        <v>1</v>
      </c>
      <c r="F3160" s="7">
        <v>179</v>
      </c>
      <c r="G3160" s="8">
        <v>0.05</v>
      </c>
      <c r="H3160" s="9" t="str">
        <f>INDEX(Products!$B$2:$B$37, MATCH(D3160, Products!$A$2:$A$37, 0))</f>
        <v>Men's Linen Shirt</v>
      </c>
      <c r="I3160" t="str">
        <f>INDEX(Products!$C$2:$C$37, MATCH(D3160, Products!$A$2:$A$37, 0))</f>
        <v>Fashion</v>
      </c>
      <c r="J3160">
        <f>INDEX(Products!$E$2:$E$37, MATCH(D3160, Products!$A$2:$A$37, 0))</f>
        <v>70</v>
      </c>
      <c r="K3160" s="9">
        <f t="shared" si="196"/>
        <v>170.04999999999998</v>
      </c>
      <c r="L3160">
        <f t="shared" si="197"/>
        <v>70</v>
      </c>
      <c r="M3160" s="9">
        <f t="shared" si="198"/>
        <v>100.04999999999998</v>
      </c>
      <c r="N3160" t="str">
        <f t="shared" si="199"/>
        <v>Oct</v>
      </c>
    </row>
    <row r="3161" spans="1:14" x14ac:dyDescent="0.3">
      <c r="A3161" s="2" t="s">
        <v>3227</v>
      </c>
      <c r="B3161" s="6">
        <v>45931</v>
      </c>
      <c r="C3161" s="2" t="s">
        <v>28</v>
      </c>
      <c r="D3161" s="2" t="s">
        <v>33</v>
      </c>
      <c r="E3161" s="2">
        <v>1</v>
      </c>
      <c r="F3161" s="7">
        <v>199</v>
      </c>
      <c r="G3161" s="8">
        <v>0.15</v>
      </c>
      <c r="H3161" s="9" t="str">
        <f>INDEX(Products!$B$2:$B$37, MATCH(D3161, Products!$A$2:$A$37, 0))</f>
        <v>Fitness Band Lite</v>
      </c>
      <c r="I3161" t="str">
        <f>INDEX(Products!$C$2:$C$37, MATCH(D3161, Products!$A$2:$A$37, 0))</f>
        <v>Electronics</v>
      </c>
      <c r="J3161">
        <f>INDEX(Products!$E$2:$E$37, MATCH(D3161, Products!$A$2:$A$37, 0))</f>
        <v>175</v>
      </c>
      <c r="K3161" s="9">
        <f t="shared" si="196"/>
        <v>169.15</v>
      </c>
      <c r="L3161">
        <f t="shared" si="197"/>
        <v>175</v>
      </c>
      <c r="M3161" s="9">
        <f t="shared" si="198"/>
        <v>-5.8499999999999943</v>
      </c>
      <c r="N3161" t="str">
        <f t="shared" si="199"/>
        <v>Oct</v>
      </c>
    </row>
    <row r="3162" spans="1:14" x14ac:dyDescent="0.3">
      <c r="A3162" s="2" t="s">
        <v>3228</v>
      </c>
      <c r="B3162" s="6">
        <v>45931</v>
      </c>
      <c r="C3162" s="2" t="s">
        <v>31</v>
      </c>
      <c r="D3162" s="2" t="s">
        <v>46</v>
      </c>
      <c r="E3162" s="2">
        <v>1</v>
      </c>
      <c r="F3162" s="7">
        <v>189</v>
      </c>
      <c r="G3162" s="8">
        <v>0</v>
      </c>
      <c r="H3162" s="9" t="str">
        <f>INDEX(Products!$B$2:$B$37, MATCH(D3162, Products!$A$2:$A$37, 0))</f>
        <v>Makeup Palette</v>
      </c>
      <c r="I3162" t="str">
        <f>INDEX(Products!$C$2:$C$37, MATCH(D3162, Products!$A$2:$A$37, 0))</f>
        <v>Beauty</v>
      </c>
      <c r="J3162">
        <f>INDEX(Products!$E$2:$E$37, MATCH(D3162, Products!$A$2:$A$37, 0))</f>
        <v>85</v>
      </c>
      <c r="K3162" s="9">
        <f t="shared" si="196"/>
        <v>189</v>
      </c>
      <c r="L3162">
        <f t="shared" si="197"/>
        <v>85</v>
      </c>
      <c r="M3162" s="9">
        <f t="shared" si="198"/>
        <v>104</v>
      </c>
      <c r="N3162" t="str">
        <f t="shared" si="199"/>
        <v>Oct</v>
      </c>
    </row>
    <row r="3163" spans="1:14" x14ac:dyDescent="0.3">
      <c r="A3163" s="2" t="s">
        <v>3229</v>
      </c>
      <c r="B3163" s="6">
        <v>45931</v>
      </c>
      <c r="C3163" s="2" t="s">
        <v>41</v>
      </c>
      <c r="D3163" s="2" t="s">
        <v>131</v>
      </c>
      <c r="E3163" s="2">
        <v>1</v>
      </c>
      <c r="F3163" s="7">
        <v>899</v>
      </c>
      <c r="G3163" s="8">
        <v>0</v>
      </c>
      <c r="H3163" s="9" t="str">
        <f>INDEX(Products!$B$2:$B$37, MATCH(D3163, Products!$A$2:$A$37, 0))</f>
        <v>4K Action Camera</v>
      </c>
      <c r="I3163" t="str">
        <f>INDEX(Products!$C$2:$C$37, MATCH(D3163, Products!$A$2:$A$37, 0))</f>
        <v>Electronics</v>
      </c>
      <c r="J3163">
        <f>INDEX(Products!$E$2:$E$37, MATCH(D3163, Products!$A$2:$A$37, 0))</f>
        <v>610</v>
      </c>
      <c r="K3163" s="9">
        <f t="shared" si="196"/>
        <v>899</v>
      </c>
      <c r="L3163">
        <f t="shared" si="197"/>
        <v>610</v>
      </c>
      <c r="M3163" s="9">
        <f t="shared" si="198"/>
        <v>289</v>
      </c>
      <c r="N3163" t="str">
        <f t="shared" si="199"/>
        <v>Oct</v>
      </c>
    </row>
    <row r="3164" spans="1:14" x14ac:dyDescent="0.3">
      <c r="A3164" s="2" t="s">
        <v>3230</v>
      </c>
      <c r="B3164" s="6">
        <v>45931</v>
      </c>
      <c r="C3164" s="2" t="s">
        <v>44</v>
      </c>
      <c r="D3164" s="2" t="s">
        <v>37</v>
      </c>
      <c r="E3164" s="2">
        <v>1</v>
      </c>
      <c r="F3164" s="7">
        <v>249</v>
      </c>
      <c r="G3164" s="8">
        <v>0</v>
      </c>
      <c r="H3164" s="9" t="str">
        <f>INDEX(Products!$B$2:$B$37, MATCH(D3164, Products!$A$2:$A$37, 0))</f>
        <v>Sunglasses Polarised</v>
      </c>
      <c r="I3164" t="str">
        <f>INDEX(Products!$C$2:$C$37, MATCH(D3164, Products!$A$2:$A$37, 0))</f>
        <v>Fashion</v>
      </c>
      <c r="J3164">
        <f>INDEX(Products!$E$2:$E$37, MATCH(D3164, Products!$A$2:$A$37, 0))</f>
        <v>95</v>
      </c>
      <c r="K3164" s="9">
        <f t="shared" si="196"/>
        <v>249</v>
      </c>
      <c r="L3164">
        <f t="shared" si="197"/>
        <v>95</v>
      </c>
      <c r="M3164" s="9">
        <f t="shared" si="198"/>
        <v>154</v>
      </c>
      <c r="N3164" t="str">
        <f t="shared" si="199"/>
        <v>Oct</v>
      </c>
    </row>
    <row r="3165" spans="1:14" x14ac:dyDescent="0.3">
      <c r="A3165" s="2" t="s">
        <v>3231</v>
      </c>
      <c r="B3165" s="6">
        <v>45932</v>
      </c>
      <c r="C3165" s="2" t="s">
        <v>41</v>
      </c>
      <c r="D3165" s="2" t="s">
        <v>89</v>
      </c>
      <c r="E3165" s="2">
        <v>4</v>
      </c>
      <c r="F3165" s="7">
        <v>399</v>
      </c>
      <c r="G3165" s="8">
        <v>0.1</v>
      </c>
      <c r="H3165" s="9" t="str">
        <f>INDEX(Products!$B$2:$B$37, MATCH(D3165, Products!$A$2:$A$37, 0))</f>
        <v>Men's Kandura Premium</v>
      </c>
      <c r="I3165" t="str">
        <f>INDEX(Products!$C$2:$C$37, MATCH(D3165, Products!$A$2:$A$37, 0))</f>
        <v>Fashion</v>
      </c>
      <c r="J3165">
        <f>INDEX(Products!$E$2:$E$37, MATCH(D3165, Products!$A$2:$A$37, 0))</f>
        <v>210</v>
      </c>
      <c r="K3165" s="9">
        <f t="shared" si="196"/>
        <v>1436.4</v>
      </c>
      <c r="L3165">
        <f t="shared" si="197"/>
        <v>840</v>
      </c>
      <c r="M3165" s="9">
        <f t="shared" si="198"/>
        <v>596.40000000000009</v>
      </c>
      <c r="N3165" t="str">
        <f t="shared" si="199"/>
        <v>Oct</v>
      </c>
    </row>
    <row r="3166" spans="1:14" x14ac:dyDescent="0.3">
      <c r="A3166" s="2" t="s">
        <v>3232</v>
      </c>
      <c r="B3166" s="6">
        <v>45932</v>
      </c>
      <c r="C3166" s="2" t="s">
        <v>41</v>
      </c>
      <c r="D3166" s="2" t="s">
        <v>58</v>
      </c>
      <c r="E3166" s="2">
        <v>2</v>
      </c>
      <c r="F3166" s="7">
        <v>459</v>
      </c>
      <c r="G3166" s="8">
        <v>0</v>
      </c>
      <c r="H3166" s="9" t="str">
        <f>INDEX(Products!$B$2:$B$37, MATCH(D3166, Products!$A$2:$A$37, 0))</f>
        <v>Women's Abaya Classic</v>
      </c>
      <c r="I3166" t="str">
        <f>INDEX(Products!$C$2:$C$37, MATCH(D3166, Products!$A$2:$A$37, 0))</f>
        <v>Fashion</v>
      </c>
      <c r="J3166">
        <f>INDEX(Products!$E$2:$E$37, MATCH(D3166, Products!$A$2:$A$37, 0))</f>
        <v>190</v>
      </c>
      <c r="K3166" s="9">
        <f t="shared" si="196"/>
        <v>918</v>
      </c>
      <c r="L3166">
        <f t="shared" si="197"/>
        <v>380</v>
      </c>
      <c r="M3166" s="9">
        <f t="shared" si="198"/>
        <v>538</v>
      </c>
      <c r="N3166" t="str">
        <f t="shared" si="199"/>
        <v>Oct</v>
      </c>
    </row>
    <row r="3167" spans="1:14" x14ac:dyDescent="0.3">
      <c r="A3167" s="2" t="s">
        <v>3233</v>
      </c>
      <c r="B3167" s="6">
        <v>45932</v>
      </c>
      <c r="C3167" s="2" t="s">
        <v>28</v>
      </c>
      <c r="D3167" s="2" t="s">
        <v>42</v>
      </c>
      <c r="E3167" s="2">
        <v>1</v>
      </c>
      <c r="F3167" s="7">
        <v>399</v>
      </c>
      <c r="G3167" s="8">
        <v>0.3</v>
      </c>
      <c r="H3167" s="9" t="str">
        <f>INDEX(Products!$B$2:$B$37, MATCH(D3167, Products!$A$2:$A$37, 0))</f>
        <v>Wireless Earbuds Pro</v>
      </c>
      <c r="I3167" t="str">
        <f>INDEX(Products!$C$2:$C$37, MATCH(D3167, Products!$A$2:$A$37, 0))</f>
        <v>Electronics</v>
      </c>
      <c r="J3167">
        <f>INDEX(Products!$E$2:$E$37, MATCH(D3167, Products!$A$2:$A$37, 0))</f>
        <v>230</v>
      </c>
      <c r="K3167" s="9">
        <f t="shared" si="196"/>
        <v>279.29999999999995</v>
      </c>
      <c r="L3167">
        <f t="shared" si="197"/>
        <v>230</v>
      </c>
      <c r="M3167" s="9">
        <f t="shared" si="198"/>
        <v>49.299999999999955</v>
      </c>
      <c r="N3167" t="str">
        <f t="shared" si="199"/>
        <v>Oct</v>
      </c>
    </row>
    <row r="3168" spans="1:14" x14ac:dyDescent="0.3">
      <c r="A3168" s="2" t="s">
        <v>3234</v>
      </c>
      <c r="B3168" s="6">
        <v>45932</v>
      </c>
      <c r="C3168" s="2" t="s">
        <v>28</v>
      </c>
      <c r="D3168" s="2" t="s">
        <v>52</v>
      </c>
      <c r="E3168" s="2">
        <v>1</v>
      </c>
      <c r="F3168" s="7">
        <v>299</v>
      </c>
      <c r="G3168" s="8">
        <v>0.1</v>
      </c>
      <c r="H3168" s="9" t="str">
        <f>INDEX(Products!$B$2:$B$37, MATCH(D3168, Products!$A$2:$A$37, 0))</f>
        <v>Hair Dryer Ionic</v>
      </c>
      <c r="I3168" t="str">
        <f>INDEX(Products!$C$2:$C$37, MATCH(D3168, Products!$A$2:$A$37, 0))</f>
        <v>Beauty</v>
      </c>
      <c r="J3168">
        <f>INDEX(Products!$E$2:$E$37, MATCH(D3168, Products!$A$2:$A$37, 0))</f>
        <v>240</v>
      </c>
      <c r="K3168" s="9">
        <f t="shared" si="196"/>
        <v>269.10000000000002</v>
      </c>
      <c r="L3168">
        <f t="shared" si="197"/>
        <v>240</v>
      </c>
      <c r="M3168" s="9">
        <f t="shared" si="198"/>
        <v>29.100000000000023</v>
      </c>
      <c r="N3168" t="str">
        <f t="shared" si="199"/>
        <v>Oct</v>
      </c>
    </row>
    <row r="3169" spans="1:14" x14ac:dyDescent="0.3">
      <c r="A3169" s="2" t="s">
        <v>3235</v>
      </c>
      <c r="B3169" s="6">
        <v>45932</v>
      </c>
      <c r="C3169" s="2" t="s">
        <v>44</v>
      </c>
      <c r="D3169" s="2" t="s">
        <v>163</v>
      </c>
      <c r="E3169" s="2">
        <v>1</v>
      </c>
      <c r="F3169" s="7">
        <v>2499</v>
      </c>
      <c r="G3169" s="8">
        <v>0.15</v>
      </c>
      <c r="H3169" s="9" t="str">
        <f>INDEX(Products!$B$2:$B$37, MATCH(D3169, Products!$A$2:$A$37, 0))</f>
        <v>Treadmill Compact</v>
      </c>
      <c r="I3169" t="str">
        <f>INDEX(Products!$C$2:$C$37, MATCH(D3169, Products!$A$2:$A$37, 0))</f>
        <v>Sports</v>
      </c>
      <c r="J3169">
        <f>INDEX(Products!$E$2:$E$37, MATCH(D3169, Products!$A$2:$A$37, 0))</f>
        <v>2150</v>
      </c>
      <c r="K3169" s="9">
        <f t="shared" si="196"/>
        <v>2124.15</v>
      </c>
      <c r="L3169">
        <f t="shared" si="197"/>
        <v>2150</v>
      </c>
      <c r="M3169" s="9">
        <f t="shared" si="198"/>
        <v>-25.849999999999909</v>
      </c>
      <c r="N3169" t="str">
        <f t="shared" si="199"/>
        <v>Oct</v>
      </c>
    </row>
    <row r="3170" spans="1:14" x14ac:dyDescent="0.3">
      <c r="A3170" s="2" t="s">
        <v>3236</v>
      </c>
      <c r="B3170" s="6">
        <v>45932</v>
      </c>
      <c r="C3170" s="2" t="s">
        <v>44</v>
      </c>
      <c r="D3170" s="2" t="s">
        <v>75</v>
      </c>
      <c r="E3170" s="2">
        <v>1</v>
      </c>
      <c r="F3170" s="7">
        <v>549</v>
      </c>
      <c r="G3170" s="8">
        <v>0</v>
      </c>
      <c r="H3170" s="9" t="str">
        <f>INDEX(Products!$B$2:$B$37, MATCH(D3170, Products!$A$2:$A$37, 0))</f>
        <v>Oud Perfume 100ml</v>
      </c>
      <c r="I3170" t="str">
        <f>INDEX(Products!$C$2:$C$37, MATCH(D3170, Products!$A$2:$A$37, 0))</f>
        <v>Beauty</v>
      </c>
      <c r="J3170">
        <f>INDEX(Products!$E$2:$E$37, MATCH(D3170, Products!$A$2:$A$37, 0))</f>
        <v>250</v>
      </c>
      <c r="K3170" s="9">
        <f t="shared" si="196"/>
        <v>549</v>
      </c>
      <c r="L3170">
        <f t="shared" si="197"/>
        <v>250</v>
      </c>
      <c r="M3170" s="9">
        <f t="shared" si="198"/>
        <v>299</v>
      </c>
      <c r="N3170" t="str">
        <f t="shared" si="199"/>
        <v>Oct</v>
      </c>
    </row>
    <row r="3171" spans="1:14" x14ac:dyDescent="0.3">
      <c r="A3171" s="2" t="s">
        <v>3237</v>
      </c>
      <c r="B3171" s="6">
        <v>45932</v>
      </c>
      <c r="C3171" s="2" t="s">
        <v>28</v>
      </c>
      <c r="D3171" s="2" t="s">
        <v>58</v>
      </c>
      <c r="E3171" s="2">
        <v>3</v>
      </c>
      <c r="F3171" s="7">
        <v>459</v>
      </c>
      <c r="G3171" s="8">
        <v>0</v>
      </c>
      <c r="H3171" s="9" t="str">
        <f>INDEX(Products!$B$2:$B$37, MATCH(D3171, Products!$A$2:$A$37, 0))</f>
        <v>Women's Abaya Classic</v>
      </c>
      <c r="I3171" t="str">
        <f>INDEX(Products!$C$2:$C$37, MATCH(D3171, Products!$A$2:$A$37, 0))</f>
        <v>Fashion</v>
      </c>
      <c r="J3171">
        <f>INDEX(Products!$E$2:$E$37, MATCH(D3171, Products!$A$2:$A$37, 0))</f>
        <v>190</v>
      </c>
      <c r="K3171" s="9">
        <f t="shared" si="196"/>
        <v>1377</v>
      </c>
      <c r="L3171">
        <f t="shared" si="197"/>
        <v>570</v>
      </c>
      <c r="M3171" s="9">
        <f t="shared" si="198"/>
        <v>807</v>
      </c>
      <c r="N3171" t="str">
        <f t="shared" si="199"/>
        <v>Oct</v>
      </c>
    </row>
    <row r="3172" spans="1:14" x14ac:dyDescent="0.3">
      <c r="A3172" s="2" t="s">
        <v>3238</v>
      </c>
      <c r="B3172" s="6">
        <v>45932</v>
      </c>
      <c r="C3172" s="2" t="s">
        <v>44</v>
      </c>
      <c r="D3172" s="2" t="s">
        <v>29</v>
      </c>
      <c r="E3172" s="2">
        <v>4</v>
      </c>
      <c r="F3172" s="7">
        <v>229</v>
      </c>
      <c r="G3172" s="8">
        <v>0.05</v>
      </c>
      <c r="H3172" s="9" t="str">
        <f>INDEX(Products!$B$2:$B$37, MATCH(D3172, Products!$A$2:$A$37, 0))</f>
        <v>Women's Summer Dress</v>
      </c>
      <c r="I3172" t="str">
        <f>INDEX(Products!$C$2:$C$37, MATCH(D3172, Products!$A$2:$A$37, 0))</f>
        <v>Fashion</v>
      </c>
      <c r="J3172">
        <f>INDEX(Products!$E$2:$E$37, MATCH(D3172, Products!$A$2:$A$37, 0))</f>
        <v>120</v>
      </c>
      <c r="K3172" s="9">
        <f t="shared" si="196"/>
        <v>870.19999999999993</v>
      </c>
      <c r="L3172">
        <f t="shared" si="197"/>
        <v>480</v>
      </c>
      <c r="M3172" s="9">
        <f t="shared" si="198"/>
        <v>390.19999999999993</v>
      </c>
      <c r="N3172" t="str">
        <f t="shared" si="199"/>
        <v>Oct</v>
      </c>
    </row>
    <row r="3173" spans="1:14" x14ac:dyDescent="0.3">
      <c r="A3173" s="2" t="s">
        <v>3239</v>
      </c>
      <c r="B3173" s="6">
        <v>45932</v>
      </c>
      <c r="C3173" s="2" t="s">
        <v>44</v>
      </c>
      <c r="D3173" s="2" t="s">
        <v>52</v>
      </c>
      <c r="E3173" s="2">
        <v>2</v>
      </c>
      <c r="F3173" s="7">
        <v>299</v>
      </c>
      <c r="G3173" s="8">
        <v>0.1</v>
      </c>
      <c r="H3173" s="9" t="str">
        <f>INDEX(Products!$B$2:$B$37, MATCH(D3173, Products!$A$2:$A$37, 0))</f>
        <v>Hair Dryer Ionic</v>
      </c>
      <c r="I3173" t="str">
        <f>INDEX(Products!$C$2:$C$37, MATCH(D3173, Products!$A$2:$A$37, 0))</f>
        <v>Beauty</v>
      </c>
      <c r="J3173">
        <f>INDEX(Products!$E$2:$E$37, MATCH(D3173, Products!$A$2:$A$37, 0))</f>
        <v>240</v>
      </c>
      <c r="K3173" s="9">
        <f t="shared" si="196"/>
        <v>538.20000000000005</v>
      </c>
      <c r="L3173">
        <f t="shared" si="197"/>
        <v>480</v>
      </c>
      <c r="M3173" s="9">
        <f t="shared" si="198"/>
        <v>58.200000000000045</v>
      </c>
      <c r="N3173" t="str">
        <f t="shared" si="199"/>
        <v>Oct</v>
      </c>
    </row>
    <row r="3174" spans="1:14" x14ac:dyDescent="0.3">
      <c r="A3174" s="2" t="s">
        <v>3240</v>
      </c>
      <c r="B3174" s="6">
        <v>45932</v>
      </c>
      <c r="C3174" s="2" t="s">
        <v>28</v>
      </c>
      <c r="D3174" s="2" t="s">
        <v>95</v>
      </c>
      <c r="E3174" s="2">
        <v>1</v>
      </c>
      <c r="F3174" s="7">
        <v>259</v>
      </c>
      <c r="G3174" s="8">
        <v>0</v>
      </c>
      <c r="H3174" s="9" t="str">
        <f>INDEX(Products!$B$2:$B$37, MATCH(D3174, Products!$A$2:$A$37, 0))</f>
        <v>Bed Linen Set (King)</v>
      </c>
      <c r="I3174" t="str">
        <f>INDEX(Products!$C$2:$C$37, MATCH(D3174, Products!$A$2:$A$37, 0))</f>
        <v>Home &amp; Kitchen</v>
      </c>
      <c r="J3174">
        <f>INDEX(Products!$E$2:$E$37, MATCH(D3174, Products!$A$2:$A$37, 0))</f>
        <v>115</v>
      </c>
      <c r="K3174" s="9">
        <f t="shared" si="196"/>
        <v>259</v>
      </c>
      <c r="L3174">
        <f t="shared" si="197"/>
        <v>115</v>
      </c>
      <c r="M3174" s="9">
        <f t="shared" si="198"/>
        <v>144</v>
      </c>
      <c r="N3174" t="str">
        <f t="shared" si="199"/>
        <v>Oct</v>
      </c>
    </row>
    <row r="3175" spans="1:14" x14ac:dyDescent="0.3">
      <c r="A3175" s="2" t="s">
        <v>3241</v>
      </c>
      <c r="B3175" s="6">
        <v>45933</v>
      </c>
      <c r="C3175" s="2" t="s">
        <v>48</v>
      </c>
      <c r="D3175" s="2" t="s">
        <v>60</v>
      </c>
      <c r="E3175" s="2">
        <v>1</v>
      </c>
      <c r="F3175" s="7">
        <v>99</v>
      </c>
      <c r="G3175" s="8">
        <v>0.15</v>
      </c>
      <c r="H3175" s="9" t="str">
        <f>INDEX(Products!$B$2:$B$37, MATCH(D3175, Products!$A$2:$A$37, 0))</f>
        <v>Football Size 5</v>
      </c>
      <c r="I3175" t="str">
        <f>INDEX(Products!$C$2:$C$37, MATCH(D3175, Products!$A$2:$A$37, 0))</f>
        <v>Sports</v>
      </c>
      <c r="J3175">
        <f>INDEX(Products!$E$2:$E$37, MATCH(D3175, Products!$A$2:$A$37, 0))</f>
        <v>45</v>
      </c>
      <c r="K3175" s="9">
        <f t="shared" si="196"/>
        <v>84.149999999999991</v>
      </c>
      <c r="L3175">
        <f t="shared" si="197"/>
        <v>45</v>
      </c>
      <c r="M3175" s="9">
        <f t="shared" si="198"/>
        <v>39.149999999999991</v>
      </c>
      <c r="N3175" t="str">
        <f t="shared" si="199"/>
        <v>Oct</v>
      </c>
    </row>
    <row r="3176" spans="1:14" x14ac:dyDescent="0.3">
      <c r="A3176" s="2" t="s">
        <v>3242</v>
      </c>
      <c r="B3176" s="6">
        <v>45933</v>
      </c>
      <c r="C3176" s="2" t="s">
        <v>41</v>
      </c>
      <c r="D3176" s="2" t="s">
        <v>103</v>
      </c>
      <c r="E3176" s="2">
        <v>1</v>
      </c>
      <c r="F3176" s="7">
        <v>89</v>
      </c>
      <c r="G3176" s="8">
        <v>0</v>
      </c>
      <c r="H3176" s="9" t="str">
        <f>INDEX(Products!$B$2:$B$37, MATCH(D3176, Products!$A$2:$A$37, 0))</f>
        <v>Sunscreen SPF50</v>
      </c>
      <c r="I3176" t="str">
        <f>INDEX(Products!$C$2:$C$37, MATCH(D3176, Products!$A$2:$A$37, 0))</f>
        <v>Beauty</v>
      </c>
      <c r="J3176">
        <f>INDEX(Products!$E$2:$E$37, MATCH(D3176, Products!$A$2:$A$37, 0))</f>
        <v>40</v>
      </c>
      <c r="K3176" s="9">
        <f t="shared" si="196"/>
        <v>89</v>
      </c>
      <c r="L3176">
        <f t="shared" si="197"/>
        <v>40</v>
      </c>
      <c r="M3176" s="9">
        <f t="shared" si="198"/>
        <v>49</v>
      </c>
      <c r="N3176" t="str">
        <f t="shared" si="199"/>
        <v>Oct</v>
      </c>
    </row>
    <row r="3177" spans="1:14" x14ac:dyDescent="0.3">
      <c r="A3177" s="2" t="s">
        <v>3243</v>
      </c>
      <c r="B3177" s="6">
        <v>45933</v>
      </c>
      <c r="C3177" s="2" t="s">
        <v>31</v>
      </c>
      <c r="D3177" s="2" t="s">
        <v>131</v>
      </c>
      <c r="E3177" s="2">
        <v>2</v>
      </c>
      <c r="F3177" s="7">
        <v>899</v>
      </c>
      <c r="G3177" s="8">
        <v>0.3</v>
      </c>
      <c r="H3177" s="9" t="str">
        <f>INDEX(Products!$B$2:$B$37, MATCH(D3177, Products!$A$2:$A$37, 0))</f>
        <v>4K Action Camera</v>
      </c>
      <c r="I3177" t="str">
        <f>INDEX(Products!$C$2:$C$37, MATCH(D3177, Products!$A$2:$A$37, 0))</f>
        <v>Electronics</v>
      </c>
      <c r="J3177">
        <f>INDEX(Products!$E$2:$E$37, MATCH(D3177, Products!$A$2:$A$37, 0))</f>
        <v>610</v>
      </c>
      <c r="K3177" s="9">
        <f t="shared" si="196"/>
        <v>1258.5999999999999</v>
      </c>
      <c r="L3177">
        <f t="shared" si="197"/>
        <v>1220</v>
      </c>
      <c r="M3177" s="9">
        <f t="shared" si="198"/>
        <v>38.599999999999909</v>
      </c>
      <c r="N3177" t="str">
        <f t="shared" si="199"/>
        <v>Oct</v>
      </c>
    </row>
    <row r="3178" spans="1:14" x14ac:dyDescent="0.3">
      <c r="A3178" s="2" t="s">
        <v>3244</v>
      </c>
      <c r="B3178" s="6">
        <v>45933</v>
      </c>
      <c r="C3178" s="2" t="s">
        <v>44</v>
      </c>
      <c r="D3178" s="2" t="s">
        <v>83</v>
      </c>
      <c r="E3178" s="2">
        <v>2</v>
      </c>
      <c r="F3178" s="7">
        <v>229</v>
      </c>
      <c r="G3178" s="8">
        <v>0.1</v>
      </c>
      <c r="H3178" s="9" t="str">
        <f>INDEX(Products!$B$2:$B$37, MATCH(D3178, Products!$A$2:$A$37, 0))</f>
        <v>Cycling Helmet</v>
      </c>
      <c r="I3178" t="str">
        <f>INDEX(Products!$C$2:$C$37, MATCH(D3178, Products!$A$2:$A$37, 0))</f>
        <v>Sports</v>
      </c>
      <c r="J3178">
        <f>INDEX(Products!$E$2:$E$37, MATCH(D3178, Products!$A$2:$A$37, 0))</f>
        <v>120</v>
      </c>
      <c r="K3178" s="9">
        <f t="shared" si="196"/>
        <v>412.2</v>
      </c>
      <c r="L3178">
        <f t="shared" si="197"/>
        <v>240</v>
      </c>
      <c r="M3178" s="9">
        <f t="shared" si="198"/>
        <v>172.2</v>
      </c>
      <c r="N3178" t="str">
        <f t="shared" si="199"/>
        <v>Oct</v>
      </c>
    </row>
    <row r="3179" spans="1:14" x14ac:dyDescent="0.3">
      <c r="A3179" s="2" t="s">
        <v>3245</v>
      </c>
      <c r="B3179" s="6">
        <v>45933</v>
      </c>
      <c r="C3179" s="2" t="s">
        <v>44</v>
      </c>
      <c r="D3179" s="2" t="s">
        <v>37</v>
      </c>
      <c r="E3179" s="2">
        <v>1</v>
      </c>
      <c r="F3179" s="7">
        <v>249</v>
      </c>
      <c r="G3179" s="8">
        <v>0</v>
      </c>
      <c r="H3179" s="9" t="str">
        <f>INDEX(Products!$B$2:$B$37, MATCH(D3179, Products!$A$2:$A$37, 0))</f>
        <v>Sunglasses Polarised</v>
      </c>
      <c r="I3179" t="str">
        <f>INDEX(Products!$C$2:$C$37, MATCH(D3179, Products!$A$2:$A$37, 0))</f>
        <v>Fashion</v>
      </c>
      <c r="J3179">
        <f>INDEX(Products!$E$2:$E$37, MATCH(D3179, Products!$A$2:$A$37, 0))</f>
        <v>95</v>
      </c>
      <c r="K3179" s="9">
        <f t="shared" si="196"/>
        <v>249</v>
      </c>
      <c r="L3179">
        <f t="shared" si="197"/>
        <v>95</v>
      </c>
      <c r="M3179" s="9">
        <f t="shared" si="198"/>
        <v>154</v>
      </c>
      <c r="N3179" t="str">
        <f t="shared" si="199"/>
        <v>Oct</v>
      </c>
    </row>
    <row r="3180" spans="1:14" x14ac:dyDescent="0.3">
      <c r="A3180" s="2" t="s">
        <v>3246</v>
      </c>
      <c r="B3180" s="6">
        <v>45933</v>
      </c>
      <c r="C3180" s="2" t="s">
        <v>44</v>
      </c>
      <c r="D3180" s="2" t="s">
        <v>92</v>
      </c>
      <c r="E3180" s="2">
        <v>4</v>
      </c>
      <c r="F3180" s="7">
        <v>349</v>
      </c>
      <c r="G3180" s="8">
        <v>0</v>
      </c>
      <c r="H3180" s="9" t="str">
        <f>INDEX(Products!$B$2:$B$37, MATCH(D3180, Products!$A$2:$A$37, 0))</f>
        <v>Non-stick Cookware Set</v>
      </c>
      <c r="I3180" t="str">
        <f>INDEX(Products!$C$2:$C$37, MATCH(D3180, Products!$A$2:$A$37, 0))</f>
        <v>Home &amp; Kitchen</v>
      </c>
      <c r="J3180">
        <f>INDEX(Products!$E$2:$E$37, MATCH(D3180, Products!$A$2:$A$37, 0))</f>
        <v>170</v>
      </c>
      <c r="K3180" s="9">
        <f t="shared" si="196"/>
        <v>1396</v>
      </c>
      <c r="L3180">
        <f t="shared" si="197"/>
        <v>680</v>
      </c>
      <c r="M3180" s="9">
        <f t="shared" si="198"/>
        <v>716</v>
      </c>
      <c r="N3180" t="str">
        <f t="shared" si="199"/>
        <v>Oct</v>
      </c>
    </row>
    <row r="3181" spans="1:14" x14ac:dyDescent="0.3">
      <c r="A3181" s="2" t="s">
        <v>3247</v>
      </c>
      <c r="B3181" s="6">
        <v>45933</v>
      </c>
      <c r="C3181" s="2" t="s">
        <v>48</v>
      </c>
      <c r="D3181" s="2" t="s">
        <v>87</v>
      </c>
      <c r="E3181" s="2">
        <v>1</v>
      </c>
      <c r="F3181" s="7">
        <v>799</v>
      </c>
      <c r="G3181" s="8">
        <v>0.15</v>
      </c>
      <c r="H3181" s="9" t="str">
        <f>INDEX(Products!$B$2:$B$37, MATCH(D3181, Products!$A$2:$A$37, 0))</f>
        <v>Adjustable Dumbbells</v>
      </c>
      <c r="I3181" t="str">
        <f>INDEX(Products!$C$2:$C$37, MATCH(D3181, Products!$A$2:$A$37, 0))</f>
        <v>Sports</v>
      </c>
      <c r="J3181">
        <f>INDEX(Products!$E$2:$E$37, MATCH(D3181, Products!$A$2:$A$37, 0))</f>
        <v>700</v>
      </c>
      <c r="K3181" s="9">
        <f t="shared" si="196"/>
        <v>679.15</v>
      </c>
      <c r="L3181">
        <f t="shared" si="197"/>
        <v>700</v>
      </c>
      <c r="M3181" s="9">
        <f t="shared" si="198"/>
        <v>-20.850000000000023</v>
      </c>
      <c r="N3181" t="str">
        <f t="shared" si="199"/>
        <v>Oct</v>
      </c>
    </row>
    <row r="3182" spans="1:14" x14ac:dyDescent="0.3">
      <c r="A3182" s="2" t="s">
        <v>3248</v>
      </c>
      <c r="B3182" s="6">
        <v>45933</v>
      </c>
      <c r="C3182" s="2" t="s">
        <v>48</v>
      </c>
      <c r="D3182" s="2" t="s">
        <v>33</v>
      </c>
      <c r="E3182" s="2">
        <v>1</v>
      </c>
      <c r="F3182" s="7">
        <v>199</v>
      </c>
      <c r="G3182" s="8">
        <v>0.1</v>
      </c>
      <c r="H3182" s="9" t="str">
        <f>INDEX(Products!$B$2:$B$37, MATCH(D3182, Products!$A$2:$A$37, 0))</f>
        <v>Fitness Band Lite</v>
      </c>
      <c r="I3182" t="str">
        <f>INDEX(Products!$C$2:$C$37, MATCH(D3182, Products!$A$2:$A$37, 0))</f>
        <v>Electronics</v>
      </c>
      <c r="J3182">
        <f>INDEX(Products!$E$2:$E$37, MATCH(D3182, Products!$A$2:$A$37, 0))</f>
        <v>175</v>
      </c>
      <c r="K3182" s="9">
        <f t="shared" si="196"/>
        <v>179.1</v>
      </c>
      <c r="L3182">
        <f t="shared" si="197"/>
        <v>175</v>
      </c>
      <c r="M3182" s="9">
        <f t="shared" si="198"/>
        <v>4.0999999999999943</v>
      </c>
      <c r="N3182" t="str">
        <f t="shared" si="199"/>
        <v>Oct</v>
      </c>
    </row>
    <row r="3183" spans="1:14" x14ac:dyDescent="0.3">
      <c r="A3183" s="2" t="s">
        <v>3249</v>
      </c>
      <c r="B3183" s="6">
        <v>45933</v>
      </c>
      <c r="C3183" s="2" t="s">
        <v>41</v>
      </c>
      <c r="D3183" s="2" t="s">
        <v>68</v>
      </c>
      <c r="E3183" s="2">
        <v>1</v>
      </c>
      <c r="F3183" s="7">
        <v>249</v>
      </c>
      <c r="G3183" s="8">
        <v>0.05</v>
      </c>
      <c r="H3183" s="9" t="str">
        <f>INDEX(Products!$B$2:$B$37, MATCH(D3183, Products!$A$2:$A$37, 0))</f>
        <v>Bluetooth Speaker Mini</v>
      </c>
      <c r="I3183" t="str">
        <f>INDEX(Products!$C$2:$C$37, MATCH(D3183, Products!$A$2:$A$37, 0))</f>
        <v>Electronics</v>
      </c>
      <c r="J3183">
        <f>INDEX(Products!$E$2:$E$37, MATCH(D3183, Products!$A$2:$A$37, 0))</f>
        <v>150</v>
      </c>
      <c r="K3183" s="9">
        <f t="shared" si="196"/>
        <v>236.54999999999998</v>
      </c>
      <c r="L3183">
        <f t="shared" si="197"/>
        <v>150</v>
      </c>
      <c r="M3183" s="9">
        <f t="shared" si="198"/>
        <v>86.549999999999983</v>
      </c>
      <c r="N3183" t="str">
        <f t="shared" si="199"/>
        <v>Oct</v>
      </c>
    </row>
    <row r="3184" spans="1:14" x14ac:dyDescent="0.3">
      <c r="A3184" s="2" t="s">
        <v>3250</v>
      </c>
      <c r="B3184" s="6">
        <v>45933</v>
      </c>
      <c r="C3184" s="2" t="s">
        <v>28</v>
      </c>
      <c r="D3184" s="2" t="s">
        <v>39</v>
      </c>
      <c r="E3184" s="2">
        <v>2</v>
      </c>
      <c r="F3184" s="7">
        <v>199</v>
      </c>
      <c r="G3184" s="8">
        <v>0.1</v>
      </c>
      <c r="H3184" s="9" t="str">
        <f>INDEX(Products!$B$2:$B$37, MATCH(D3184, Products!$A$2:$A$37, 0))</f>
        <v>Bakhoor Gift Set</v>
      </c>
      <c r="I3184" t="str">
        <f>INDEX(Products!$C$2:$C$37, MATCH(D3184, Products!$A$2:$A$37, 0))</f>
        <v>Beauty</v>
      </c>
      <c r="J3184">
        <f>INDEX(Products!$E$2:$E$37, MATCH(D3184, Products!$A$2:$A$37, 0))</f>
        <v>90</v>
      </c>
      <c r="K3184" s="9">
        <f t="shared" si="196"/>
        <v>358.2</v>
      </c>
      <c r="L3184">
        <f t="shared" si="197"/>
        <v>180</v>
      </c>
      <c r="M3184" s="9">
        <f t="shared" si="198"/>
        <v>178.2</v>
      </c>
      <c r="N3184" t="str">
        <f t="shared" si="199"/>
        <v>Oct</v>
      </c>
    </row>
    <row r="3185" spans="1:14" x14ac:dyDescent="0.3">
      <c r="A3185" s="2" t="s">
        <v>3251</v>
      </c>
      <c r="B3185" s="6">
        <v>45934</v>
      </c>
      <c r="C3185" s="2" t="s">
        <v>41</v>
      </c>
      <c r="D3185" s="2" t="s">
        <v>46</v>
      </c>
      <c r="E3185" s="2">
        <v>1</v>
      </c>
      <c r="F3185" s="7">
        <v>189</v>
      </c>
      <c r="G3185" s="8">
        <v>0.15</v>
      </c>
      <c r="H3185" s="9" t="str">
        <f>INDEX(Products!$B$2:$B$37, MATCH(D3185, Products!$A$2:$A$37, 0))</f>
        <v>Makeup Palette</v>
      </c>
      <c r="I3185" t="str">
        <f>INDEX(Products!$C$2:$C$37, MATCH(D3185, Products!$A$2:$A$37, 0))</f>
        <v>Beauty</v>
      </c>
      <c r="J3185">
        <f>INDEX(Products!$E$2:$E$37, MATCH(D3185, Products!$A$2:$A$37, 0))</f>
        <v>85</v>
      </c>
      <c r="K3185" s="9">
        <f t="shared" si="196"/>
        <v>160.65</v>
      </c>
      <c r="L3185">
        <f t="shared" si="197"/>
        <v>85</v>
      </c>
      <c r="M3185" s="9">
        <f t="shared" si="198"/>
        <v>75.650000000000006</v>
      </c>
      <c r="N3185" t="str">
        <f t="shared" si="199"/>
        <v>Oct</v>
      </c>
    </row>
    <row r="3186" spans="1:14" x14ac:dyDescent="0.3">
      <c r="A3186" s="2" t="s">
        <v>3252</v>
      </c>
      <c r="B3186" s="6">
        <v>45934</v>
      </c>
      <c r="C3186" s="2" t="s">
        <v>41</v>
      </c>
      <c r="D3186" s="2" t="s">
        <v>60</v>
      </c>
      <c r="E3186" s="2">
        <v>1</v>
      </c>
      <c r="F3186" s="7">
        <v>99</v>
      </c>
      <c r="G3186" s="8">
        <v>0.15</v>
      </c>
      <c r="H3186" s="9" t="str">
        <f>INDEX(Products!$B$2:$B$37, MATCH(D3186, Products!$A$2:$A$37, 0))</f>
        <v>Football Size 5</v>
      </c>
      <c r="I3186" t="str">
        <f>INDEX(Products!$C$2:$C$37, MATCH(D3186, Products!$A$2:$A$37, 0))</f>
        <v>Sports</v>
      </c>
      <c r="J3186">
        <f>INDEX(Products!$E$2:$E$37, MATCH(D3186, Products!$A$2:$A$37, 0))</f>
        <v>45</v>
      </c>
      <c r="K3186" s="9">
        <f t="shared" si="196"/>
        <v>84.149999999999991</v>
      </c>
      <c r="L3186">
        <f t="shared" si="197"/>
        <v>45</v>
      </c>
      <c r="M3186" s="9">
        <f t="shared" si="198"/>
        <v>39.149999999999991</v>
      </c>
      <c r="N3186" t="str">
        <f t="shared" si="199"/>
        <v>Oct</v>
      </c>
    </row>
    <row r="3187" spans="1:14" x14ac:dyDescent="0.3">
      <c r="A3187" s="2" t="s">
        <v>3253</v>
      </c>
      <c r="B3187" s="6">
        <v>45934</v>
      </c>
      <c r="C3187" s="2" t="s">
        <v>41</v>
      </c>
      <c r="D3187" s="2" t="s">
        <v>52</v>
      </c>
      <c r="E3187" s="2">
        <v>1</v>
      </c>
      <c r="F3187" s="7">
        <v>299</v>
      </c>
      <c r="G3187" s="8">
        <v>0.25</v>
      </c>
      <c r="H3187" s="9" t="str">
        <f>INDEX(Products!$B$2:$B$37, MATCH(D3187, Products!$A$2:$A$37, 0))</f>
        <v>Hair Dryer Ionic</v>
      </c>
      <c r="I3187" t="str">
        <f>INDEX(Products!$C$2:$C$37, MATCH(D3187, Products!$A$2:$A$37, 0))</f>
        <v>Beauty</v>
      </c>
      <c r="J3187">
        <f>INDEX(Products!$E$2:$E$37, MATCH(D3187, Products!$A$2:$A$37, 0))</f>
        <v>240</v>
      </c>
      <c r="K3187" s="9">
        <f t="shared" si="196"/>
        <v>224.25</v>
      </c>
      <c r="L3187">
        <f t="shared" si="197"/>
        <v>240</v>
      </c>
      <c r="M3187" s="9">
        <f t="shared" si="198"/>
        <v>-15.75</v>
      </c>
      <c r="N3187" t="str">
        <f t="shared" si="199"/>
        <v>Oct</v>
      </c>
    </row>
    <row r="3188" spans="1:14" x14ac:dyDescent="0.3">
      <c r="A3188" s="2" t="s">
        <v>3254</v>
      </c>
      <c r="B3188" s="6">
        <v>45934</v>
      </c>
      <c r="C3188" s="2" t="s">
        <v>41</v>
      </c>
      <c r="D3188" s="2" t="s">
        <v>65</v>
      </c>
      <c r="E3188" s="2">
        <v>1</v>
      </c>
      <c r="F3188" s="7">
        <v>129</v>
      </c>
      <c r="G3188" s="8">
        <v>0</v>
      </c>
      <c r="H3188" s="9" t="str">
        <f>INDEX(Products!$B$2:$B$37, MATCH(D3188, Products!$A$2:$A$37, 0))</f>
        <v>Yoga Mat Premium</v>
      </c>
      <c r="I3188" t="str">
        <f>INDEX(Products!$C$2:$C$37, MATCH(D3188, Products!$A$2:$A$37, 0))</f>
        <v>Sports</v>
      </c>
      <c r="J3188">
        <f>INDEX(Products!$E$2:$E$37, MATCH(D3188, Products!$A$2:$A$37, 0))</f>
        <v>60</v>
      </c>
      <c r="K3188" s="9">
        <f t="shared" si="196"/>
        <v>129</v>
      </c>
      <c r="L3188">
        <f t="shared" si="197"/>
        <v>60</v>
      </c>
      <c r="M3188" s="9">
        <f t="shared" si="198"/>
        <v>69</v>
      </c>
      <c r="N3188" t="str">
        <f t="shared" si="199"/>
        <v>Oct</v>
      </c>
    </row>
    <row r="3189" spans="1:14" x14ac:dyDescent="0.3">
      <c r="A3189" s="2" t="s">
        <v>3255</v>
      </c>
      <c r="B3189" s="6">
        <v>45934</v>
      </c>
      <c r="C3189" s="2" t="s">
        <v>41</v>
      </c>
      <c r="D3189" s="2" t="s">
        <v>65</v>
      </c>
      <c r="E3189" s="2">
        <v>1</v>
      </c>
      <c r="F3189" s="7">
        <v>129</v>
      </c>
      <c r="G3189" s="8">
        <v>0</v>
      </c>
      <c r="H3189" s="9" t="str">
        <f>INDEX(Products!$B$2:$B$37, MATCH(D3189, Products!$A$2:$A$37, 0))</f>
        <v>Yoga Mat Premium</v>
      </c>
      <c r="I3189" t="str">
        <f>INDEX(Products!$C$2:$C$37, MATCH(D3189, Products!$A$2:$A$37, 0))</f>
        <v>Sports</v>
      </c>
      <c r="J3189">
        <f>INDEX(Products!$E$2:$E$37, MATCH(D3189, Products!$A$2:$A$37, 0))</f>
        <v>60</v>
      </c>
      <c r="K3189" s="9">
        <f t="shared" si="196"/>
        <v>129</v>
      </c>
      <c r="L3189">
        <f t="shared" si="197"/>
        <v>60</v>
      </c>
      <c r="M3189" s="9">
        <f t="shared" si="198"/>
        <v>69</v>
      </c>
      <c r="N3189" t="str">
        <f t="shared" si="199"/>
        <v>Oct</v>
      </c>
    </row>
    <row r="3190" spans="1:14" x14ac:dyDescent="0.3">
      <c r="A3190" s="2" t="s">
        <v>3256</v>
      </c>
      <c r="B3190" s="6">
        <v>45934</v>
      </c>
      <c r="C3190" s="2" t="s">
        <v>31</v>
      </c>
      <c r="D3190" s="2" t="s">
        <v>149</v>
      </c>
      <c r="E3190" s="2">
        <v>1</v>
      </c>
      <c r="F3190" s="7">
        <v>399</v>
      </c>
      <c r="G3190" s="8">
        <v>0</v>
      </c>
      <c r="H3190" s="9" t="str">
        <f>INDEX(Products!$B$2:$B$37, MATCH(D3190, Products!$A$2:$A$37, 0))</f>
        <v>Blender Pro 1200W</v>
      </c>
      <c r="I3190" t="str">
        <f>INDEX(Products!$C$2:$C$37, MATCH(D3190, Products!$A$2:$A$37, 0))</f>
        <v>Home &amp; Kitchen</v>
      </c>
      <c r="J3190">
        <f>INDEX(Products!$E$2:$E$37, MATCH(D3190, Products!$A$2:$A$37, 0))</f>
        <v>250</v>
      </c>
      <c r="K3190" s="9">
        <f t="shared" si="196"/>
        <v>399</v>
      </c>
      <c r="L3190">
        <f t="shared" si="197"/>
        <v>250</v>
      </c>
      <c r="M3190" s="9">
        <f t="shared" si="198"/>
        <v>149</v>
      </c>
      <c r="N3190" t="str">
        <f t="shared" si="199"/>
        <v>Oct</v>
      </c>
    </row>
    <row r="3191" spans="1:14" x14ac:dyDescent="0.3">
      <c r="A3191" s="2" t="s">
        <v>3257</v>
      </c>
      <c r="B3191" s="6">
        <v>45935</v>
      </c>
      <c r="C3191" s="2" t="s">
        <v>41</v>
      </c>
      <c r="D3191" s="2" t="s">
        <v>33</v>
      </c>
      <c r="E3191" s="2">
        <v>1</v>
      </c>
      <c r="F3191" s="7">
        <v>199</v>
      </c>
      <c r="G3191" s="8">
        <v>0.15</v>
      </c>
      <c r="H3191" s="9" t="str">
        <f>INDEX(Products!$B$2:$B$37, MATCH(D3191, Products!$A$2:$A$37, 0))</f>
        <v>Fitness Band Lite</v>
      </c>
      <c r="I3191" t="str">
        <f>INDEX(Products!$C$2:$C$37, MATCH(D3191, Products!$A$2:$A$37, 0))</f>
        <v>Electronics</v>
      </c>
      <c r="J3191">
        <f>INDEX(Products!$E$2:$E$37, MATCH(D3191, Products!$A$2:$A$37, 0))</f>
        <v>175</v>
      </c>
      <c r="K3191" s="9">
        <f t="shared" si="196"/>
        <v>169.15</v>
      </c>
      <c r="L3191">
        <f t="shared" si="197"/>
        <v>175</v>
      </c>
      <c r="M3191" s="9">
        <f t="shared" si="198"/>
        <v>-5.8499999999999943</v>
      </c>
      <c r="N3191" t="str">
        <f t="shared" si="199"/>
        <v>Oct</v>
      </c>
    </row>
    <row r="3192" spans="1:14" x14ac:dyDescent="0.3">
      <c r="A3192" s="2" t="s">
        <v>3258</v>
      </c>
      <c r="B3192" s="6">
        <v>45935</v>
      </c>
      <c r="C3192" s="2" t="s">
        <v>41</v>
      </c>
      <c r="D3192" s="2" t="s">
        <v>109</v>
      </c>
      <c r="E3192" s="2">
        <v>3</v>
      </c>
      <c r="F3192" s="7">
        <v>1499</v>
      </c>
      <c r="G3192" s="8">
        <v>0</v>
      </c>
      <c r="H3192" s="9" t="str">
        <f>INDEX(Products!$B$2:$B$37, MATCH(D3192, Products!$A$2:$A$37, 0))</f>
        <v>Espresso Machine</v>
      </c>
      <c r="I3192" t="str">
        <f>INDEX(Products!$C$2:$C$37, MATCH(D3192, Products!$A$2:$A$37, 0))</f>
        <v>Home &amp; Kitchen</v>
      </c>
      <c r="J3192">
        <f>INDEX(Products!$E$2:$E$37, MATCH(D3192, Products!$A$2:$A$37, 0))</f>
        <v>1050</v>
      </c>
      <c r="K3192" s="9">
        <f t="shared" si="196"/>
        <v>4497</v>
      </c>
      <c r="L3192">
        <f t="shared" si="197"/>
        <v>3150</v>
      </c>
      <c r="M3192" s="9">
        <f t="shared" si="198"/>
        <v>1347</v>
      </c>
      <c r="N3192" t="str">
        <f t="shared" si="199"/>
        <v>Oct</v>
      </c>
    </row>
    <row r="3193" spans="1:14" x14ac:dyDescent="0.3">
      <c r="A3193" s="2" t="s">
        <v>3259</v>
      </c>
      <c r="B3193" s="6">
        <v>45935</v>
      </c>
      <c r="C3193" s="2" t="s">
        <v>31</v>
      </c>
      <c r="D3193" s="2" t="s">
        <v>37</v>
      </c>
      <c r="E3193" s="2">
        <v>2</v>
      </c>
      <c r="F3193" s="7">
        <v>249</v>
      </c>
      <c r="G3193" s="8">
        <v>0.05</v>
      </c>
      <c r="H3193" s="9" t="str">
        <f>INDEX(Products!$B$2:$B$37, MATCH(D3193, Products!$A$2:$A$37, 0))</f>
        <v>Sunglasses Polarised</v>
      </c>
      <c r="I3193" t="str">
        <f>INDEX(Products!$C$2:$C$37, MATCH(D3193, Products!$A$2:$A$37, 0))</f>
        <v>Fashion</v>
      </c>
      <c r="J3193">
        <f>INDEX(Products!$E$2:$E$37, MATCH(D3193, Products!$A$2:$A$37, 0))</f>
        <v>95</v>
      </c>
      <c r="K3193" s="9">
        <f t="shared" si="196"/>
        <v>473.09999999999997</v>
      </c>
      <c r="L3193">
        <f t="shared" si="197"/>
        <v>190</v>
      </c>
      <c r="M3193" s="9">
        <f t="shared" si="198"/>
        <v>283.09999999999997</v>
      </c>
      <c r="N3193" t="str">
        <f t="shared" si="199"/>
        <v>Oct</v>
      </c>
    </row>
    <row r="3194" spans="1:14" x14ac:dyDescent="0.3">
      <c r="A3194" s="2" t="s">
        <v>3260</v>
      </c>
      <c r="B3194" s="6">
        <v>45935</v>
      </c>
      <c r="C3194" s="2" t="s">
        <v>31</v>
      </c>
      <c r="D3194" s="2" t="s">
        <v>68</v>
      </c>
      <c r="E3194" s="2">
        <v>4</v>
      </c>
      <c r="F3194" s="7">
        <v>249</v>
      </c>
      <c r="G3194" s="8">
        <v>0.05</v>
      </c>
      <c r="H3194" s="9" t="str">
        <f>INDEX(Products!$B$2:$B$37, MATCH(D3194, Products!$A$2:$A$37, 0))</f>
        <v>Bluetooth Speaker Mini</v>
      </c>
      <c r="I3194" t="str">
        <f>INDEX(Products!$C$2:$C$37, MATCH(D3194, Products!$A$2:$A$37, 0))</f>
        <v>Electronics</v>
      </c>
      <c r="J3194">
        <f>INDEX(Products!$E$2:$E$37, MATCH(D3194, Products!$A$2:$A$37, 0))</f>
        <v>150</v>
      </c>
      <c r="K3194" s="9">
        <f t="shared" si="196"/>
        <v>946.19999999999993</v>
      </c>
      <c r="L3194">
        <f t="shared" si="197"/>
        <v>600</v>
      </c>
      <c r="M3194" s="9">
        <f t="shared" si="198"/>
        <v>346.19999999999993</v>
      </c>
      <c r="N3194" t="str">
        <f t="shared" si="199"/>
        <v>Oct</v>
      </c>
    </row>
    <row r="3195" spans="1:14" x14ac:dyDescent="0.3">
      <c r="A3195" s="2" t="s">
        <v>3261</v>
      </c>
      <c r="B3195" s="6">
        <v>45935</v>
      </c>
      <c r="C3195" s="2" t="s">
        <v>28</v>
      </c>
      <c r="D3195" s="2" t="s">
        <v>58</v>
      </c>
      <c r="E3195" s="2">
        <v>3</v>
      </c>
      <c r="F3195" s="7">
        <v>459</v>
      </c>
      <c r="G3195" s="8">
        <v>0.3</v>
      </c>
      <c r="H3195" s="9" t="str">
        <f>INDEX(Products!$B$2:$B$37, MATCH(D3195, Products!$A$2:$A$37, 0))</f>
        <v>Women's Abaya Classic</v>
      </c>
      <c r="I3195" t="str">
        <f>INDEX(Products!$C$2:$C$37, MATCH(D3195, Products!$A$2:$A$37, 0))</f>
        <v>Fashion</v>
      </c>
      <c r="J3195">
        <f>INDEX(Products!$E$2:$E$37, MATCH(D3195, Products!$A$2:$A$37, 0))</f>
        <v>190</v>
      </c>
      <c r="K3195" s="9">
        <f t="shared" si="196"/>
        <v>963.9</v>
      </c>
      <c r="L3195">
        <f t="shared" si="197"/>
        <v>570</v>
      </c>
      <c r="M3195" s="9">
        <f t="shared" si="198"/>
        <v>393.9</v>
      </c>
      <c r="N3195" t="str">
        <f t="shared" si="199"/>
        <v>Oct</v>
      </c>
    </row>
    <row r="3196" spans="1:14" x14ac:dyDescent="0.3">
      <c r="A3196" s="2" t="s">
        <v>3262</v>
      </c>
      <c r="B3196" s="6">
        <v>45935</v>
      </c>
      <c r="C3196" s="2" t="s">
        <v>28</v>
      </c>
      <c r="D3196" s="2" t="s">
        <v>29</v>
      </c>
      <c r="E3196" s="2">
        <v>2</v>
      </c>
      <c r="F3196" s="7">
        <v>229</v>
      </c>
      <c r="G3196" s="8">
        <v>0</v>
      </c>
      <c r="H3196" s="9" t="str">
        <f>INDEX(Products!$B$2:$B$37, MATCH(D3196, Products!$A$2:$A$37, 0))</f>
        <v>Women's Summer Dress</v>
      </c>
      <c r="I3196" t="str">
        <f>INDEX(Products!$C$2:$C$37, MATCH(D3196, Products!$A$2:$A$37, 0))</f>
        <v>Fashion</v>
      </c>
      <c r="J3196">
        <f>INDEX(Products!$E$2:$E$37, MATCH(D3196, Products!$A$2:$A$37, 0))</f>
        <v>120</v>
      </c>
      <c r="K3196" s="9">
        <f t="shared" si="196"/>
        <v>458</v>
      </c>
      <c r="L3196">
        <f t="shared" si="197"/>
        <v>240</v>
      </c>
      <c r="M3196" s="9">
        <f t="shared" si="198"/>
        <v>218</v>
      </c>
      <c r="N3196" t="str">
        <f t="shared" si="199"/>
        <v>Oct</v>
      </c>
    </row>
    <row r="3197" spans="1:14" x14ac:dyDescent="0.3">
      <c r="A3197" s="2" t="s">
        <v>3263</v>
      </c>
      <c r="B3197" s="6">
        <v>45935</v>
      </c>
      <c r="C3197" s="2" t="s">
        <v>31</v>
      </c>
      <c r="D3197" s="2" t="s">
        <v>68</v>
      </c>
      <c r="E3197" s="2">
        <v>1</v>
      </c>
      <c r="F3197" s="7">
        <v>249</v>
      </c>
      <c r="G3197" s="8">
        <v>0</v>
      </c>
      <c r="H3197" s="9" t="str">
        <f>INDEX(Products!$B$2:$B$37, MATCH(D3197, Products!$A$2:$A$37, 0))</f>
        <v>Bluetooth Speaker Mini</v>
      </c>
      <c r="I3197" t="str">
        <f>INDEX(Products!$C$2:$C$37, MATCH(D3197, Products!$A$2:$A$37, 0))</f>
        <v>Electronics</v>
      </c>
      <c r="J3197">
        <f>INDEX(Products!$E$2:$E$37, MATCH(D3197, Products!$A$2:$A$37, 0))</f>
        <v>150</v>
      </c>
      <c r="K3197" s="9">
        <f t="shared" si="196"/>
        <v>249</v>
      </c>
      <c r="L3197">
        <f t="shared" si="197"/>
        <v>150</v>
      </c>
      <c r="M3197" s="9">
        <f t="shared" si="198"/>
        <v>99</v>
      </c>
      <c r="N3197" t="str">
        <f t="shared" si="199"/>
        <v>Oct</v>
      </c>
    </row>
    <row r="3198" spans="1:14" x14ac:dyDescent="0.3">
      <c r="A3198" s="2" t="s">
        <v>3264</v>
      </c>
      <c r="B3198" s="6">
        <v>45935</v>
      </c>
      <c r="C3198" s="2" t="s">
        <v>28</v>
      </c>
      <c r="D3198" s="2" t="s">
        <v>129</v>
      </c>
      <c r="E3198" s="2">
        <v>1</v>
      </c>
      <c r="F3198" s="7">
        <v>149</v>
      </c>
      <c r="G3198" s="8">
        <v>0</v>
      </c>
      <c r="H3198" s="9" t="str">
        <f>INDEX(Products!$B$2:$B$37, MATCH(D3198, Products!$A$2:$A$37, 0))</f>
        <v>Power Bank 20000mAh</v>
      </c>
      <c r="I3198" t="str">
        <f>INDEX(Products!$C$2:$C$37, MATCH(D3198, Products!$A$2:$A$37, 0))</f>
        <v>Electronics</v>
      </c>
      <c r="J3198">
        <f>INDEX(Products!$E$2:$E$37, MATCH(D3198, Products!$A$2:$A$37, 0))</f>
        <v>70</v>
      </c>
      <c r="K3198" s="9">
        <f t="shared" si="196"/>
        <v>149</v>
      </c>
      <c r="L3198">
        <f t="shared" si="197"/>
        <v>70</v>
      </c>
      <c r="M3198" s="9">
        <f t="shared" si="198"/>
        <v>79</v>
      </c>
      <c r="N3198" t="str">
        <f t="shared" si="199"/>
        <v>Oct</v>
      </c>
    </row>
    <row r="3199" spans="1:14" x14ac:dyDescent="0.3">
      <c r="A3199" s="2" t="s">
        <v>3265</v>
      </c>
      <c r="B3199" s="6">
        <v>45935</v>
      </c>
      <c r="C3199" s="2" t="s">
        <v>44</v>
      </c>
      <c r="D3199" s="2" t="s">
        <v>92</v>
      </c>
      <c r="E3199" s="2">
        <v>2</v>
      </c>
      <c r="F3199" s="7">
        <v>349</v>
      </c>
      <c r="G3199" s="8">
        <v>0.05</v>
      </c>
      <c r="H3199" s="9" t="str">
        <f>INDEX(Products!$B$2:$B$37, MATCH(D3199, Products!$A$2:$A$37, 0))</f>
        <v>Non-stick Cookware Set</v>
      </c>
      <c r="I3199" t="str">
        <f>INDEX(Products!$C$2:$C$37, MATCH(D3199, Products!$A$2:$A$37, 0))</f>
        <v>Home &amp; Kitchen</v>
      </c>
      <c r="J3199">
        <f>INDEX(Products!$E$2:$E$37, MATCH(D3199, Products!$A$2:$A$37, 0))</f>
        <v>170</v>
      </c>
      <c r="K3199" s="9">
        <f t="shared" si="196"/>
        <v>663.1</v>
      </c>
      <c r="L3199">
        <f t="shared" si="197"/>
        <v>340</v>
      </c>
      <c r="M3199" s="9">
        <f t="shared" si="198"/>
        <v>323.10000000000002</v>
      </c>
      <c r="N3199" t="str">
        <f t="shared" si="199"/>
        <v>Oct</v>
      </c>
    </row>
    <row r="3200" spans="1:14" x14ac:dyDescent="0.3">
      <c r="A3200" s="2" t="s">
        <v>3266</v>
      </c>
      <c r="B3200" s="6">
        <v>45935</v>
      </c>
      <c r="C3200" s="2" t="s">
        <v>28</v>
      </c>
      <c r="D3200" s="2" t="s">
        <v>33</v>
      </c>
      <c r="E3200" s="2">
        <v>4</v>
      </c>
      <c r="F3200" s="7">
        <v>199</v>
      </c>
      <c r="G3200" s="8">
        <v>0.2</v>
      </c>
      <c r="H3200" s="9" t="str">
        <f>INDEX(Products!$B$2:$B$37, MATCH(D3200, Products!$A$2:$A$37, 0))</f>
        <v>Fitness Band Lite</v>
      </c>
      <c r="I3200" t="str">
        <f>INDEX(Products!$C$2:$C$37, MATCH(D3200, Products!$A$2:$A$37, 0))</f>
        <v>Electronics</v>
      </c>
      <c r="J3200">
        <f>INDEX(Products!$E$2:$E$37, MATCH(D3200, Products!$A$2:$A$37, 0))</f>
        <v>175</v>
      </c>
      <c r="K3200" s="9">
        <f t="shared" si="196"/>
        <v>636.80000000000007</v>
      </c>
      <c r="L3200">
        <f t="shared" si="197"/>
        <v>700</v>
      </c>
      <c r="M3200" s="9">
        <f t="shared" si="198"/>
        <v>-63.199999999999932</v>
      </c>
      <c r="N3200" t="str">
        <f t="shared" si="199"/>
        <v>Oct</v>
      </c>
    </row>
    <row r="3201" spans="1:14" x14ac:dyDescent="0.3">
      <c r="A3201" s="2" t="s">
        <v>3267</v>
      </c>
      <c r="B3201" s="6">
        <v>45935</v>
      </c>
      <c r="C3201" s="2" t="s">
        <v>31</v>
      </c>
      <c r="D3201" s="2" t="s">
        <v>33</v>
      </c>
      <c r="E3201" s="2">
        <v>1</v>
      </c>
      <c r="F3201" s="7">
        <v>199</v>
      </c>
      <c r="G3201" s="8">
        <v>0.25</v>
      </c>
      <c r="H3201" s="9" t="str">
        <f>INDEX(Products!$B$2:$B$37, MATCH(D3201, Products!$A$2:$A$37, 0))</f>
        <v>Fitness Band Lite</v>
      </c>
      <c r="I3201" t="str">
        <f>INDEX(Products!$C$2:$C$37, MATCH(D3201, Products!$A$2:$A$37, 0))</f>
        <v>Electronics</v>
      </c>
      <c r="J3201">
        <f>INDEX(Products!$E$2:$E$37, MATCH(D3201, Products!$A$2:$A$37, 0))</f>
        <v>175</v>
      </c>
      <c r="K3201" s="9">
        <f t="shared" si="196"/>
        <v>149.25</v>
      </c>
      <c r="L3201">
        <f t="shared" si="197"/>
        <v>175</v>
      </c>
      <c r="M3201" s="9">
        <f t="shared" si="198"/>
        <v>-25.75</v>
      </c>
      <c r="N3201" t="str">
        <f t="shared" si="199"/>
        <v>Oct</v>
      </c>
    </row>
    <row r="3202" spans="1:14" x14ac:dyDescent="0.3">
      <c r="A3202" s="2" t="s">
        <v>3268</v>
      </c>
      <c r="B3202" s="6">
        <v>45936</v>
      </c>
      <c r="C3202" s="2" t="s">
        <v>28</v>
      </c>
      <c r="D3202" s="2" t="s">
        <v>129</v>
      </c>
      <c r="E3202" s="2">
        <v>1</v>
      </c>
      <c r="F3202" s="7">
        <v>149</v>
      </c>
      <c r="G3202" s="8">
        <v>0.15</v>
      </c>
      <c r="H3202" s="9" t="str">
        <f>INDEX(Products!$B$2:$B$37, MATCH(D3202, Products!$A$2:$A$37, 0))</f>
        <v>Power Bank 20000mAh</v>
      </c>
      <c r="I3202" t="str">
        <f>INDEX(Products!$C$2:$C$37, MATCH(D3202, Products!$A$2:$A$37, 0))</f>
        <v>Electronics</v>
      </c>
      <c r="J3202">
        <f>INDEX(Products!$E$2:$E$37, MATCH(D3202, Products!$A$2:$A$37, 0))</f>
        <v>70</v>
      </c>
      <c r="K3202" s="9">
        <f t="shared" ref="K3202:K3265" si="200">E3202*F3202*(1-G3202)</f>
        <v>126.64999999999999</v>
      </c>
      <c r="L3202">
        <f t="shared" ref="L3202:L3265" si="201">E3202*J3202</f>
        <v>70</v>
      </c>
      <c r="M3202" s="9">
        <f t="shared" ref="M3202:M3265" si="202">K3202-L3202</f>
        <v>56.649999999999991</v>
      </c>
      <c r="N3202" t="str">
        <f t="shared" ref="N3202:N3265" si="203">TEXT(B3202,"mmm")</f>
        <v>Oct</v>
      </c>
    </row>
    <row r="3203" spans="1:14" x14ac:dyDescent="0.3">
      <c r="A3203" s="2" t="s">
        <v>3269</v>
      </c>
      <c r="B3203" s="6">
        <v>45936</v>
      </c>
      <c r="C3203" s="2" t="s">
        <v>28</v>
      </c>
      <c r="D3203" s="2" t="s">
        <v>103</v>
      </c>
      <c r="E3203" s="2">
        <v>2</v>
      </c>
      <c r="F3203" s="7">
        <v>89</v>
      </c>
      <c r="G3203" s="8">
        <v>0</v>
      </c>
      <c r="H3203" s="9" t="str">
        <f>INDEX(Products!$B$2:$B$37, MATCH(D3203, Products!$A$2:$A$37, 0))</f>
        <v>Sunscreen SPF50</v>
      </c>
      <c r="I3203" t="str">
        <f>INDEX(Products!$C$2:$C$37, MATCH(D3203, Products!$A$2:$A$37, 0))</f>
        <v>Beauty</v>
      </c>
      <c r="J3203">
        <f>INDEX(Products!$E$2:$E$37, MATCH(D3203, Products!$A$2:$A$37, 0))</f>
        <v>40</v>
      </c>
      <c r="K3203" s="9">
        <f t="shared" si="200"/>
        <v>178</v>
      </c>
      <c r="L3203">
        <f t="shared" si="201"/>
        <v>80</v>
      </c>
      <c r="M3203" s="9">
        <f t="shared" si="202"/>
        <v>98</v>
      </c>
      <c r="N3203" t="str">
        <f t="shared" si="203"/>
        <v>Oct</v>
      </c>
    </row>
    <row r="3204" spans="1:14" x14ac:dyDescent="0.3">
      <c r="A3204" s="2" t="s">
        <v>3270</v>
      </c>
      <c r="B3204" s="6">
        <v>45936</v>
      </c>
      <c r="C3204" s="2" t="s">
        <v>41</v>
      </c>
      <c r="D3204" s="2" t="s">
        <v>89</v>
      </c>
      <c r="E3204" s="2">
        <v>1</v>
      </c>
      <c r="F3204" s="7">
        <v>399</v>
      </c>
      <c r="G3204" s="8">
        <v>0</v>
      </c>
      <c r="H3204" s="9" t="str">
        <f>INDEX(Products!$B$2:$B$37, MATCH(D3204, Products!$A$2:$A$37, 0))</f>
        <v>Men's Kandura Premium</v>
      </c>
      <c r="I3204" t="str">
        <f>INDEX(Products!$C$2:$C$37, MATCH(D3204, Products!$A$2:$A$37, 0))</f>
        <v>Fashion</v>
      </c>
      <c r="J3204">
        <f>INDEX(Products!$E$2:$E$37, MATCH(D3204, Products!$A$2:$A$37, 0))</f>
        <v>210</v>
      </c>
      <c r="K3204" s="9">
        <f t="shared" si="200"/>
        <v>399</v>
      </c>
      <c r="L3204">
        <f t="shared" si="201"/>
        <v>210</v>
      </c>
      <c r="M3204" s="9">
        <f t="shared" si="202"/>
        <v>189</v>
      </c>
      <c r="N3204" t="str">
        <f t="shared" si="203"/>
        <v>Oct</v>
      </c>
    </row>
    <row r="3205" spans="1:14" x14ac:dyDescent="0.3">
      <c r="A3205" s="2" t="s">
        <v>3271</v>
      </c>
      <c r="B3205" s="6">
        <v>45936</v>
      </c>
      <c r="C3205" s="2" t="s">
        <v>31</v>
      </c>
      <c r="D3205" s="2" t="s">
        <v>103</v>
      </c>
      <c r="E3205" s="2">
        <v>1</v>
      </c>
      <c r="F3205" s="7">
        <v>89</v>
      </c>
      <c r="G3205" s="8">
        <v>0.1</v>
      </c>
      <c r="H3205" s="9" t="str">
        <f>INDEX(Products!$B$2:$B$37, MATCH(D3205, Products!$A$2:$A$37, 0))</f>
        <v>Sunscreen SPF50</v>
      </c>
      <c r="I3205" t="str">
        <f>INDEX(Products!$C$2:$C$37, MATCH(D3205, Products!$A$2:$A$37, 0))</f>
        <v>Beauty</v>
      </c>
      <c r="J3205">
        <f>INDEX(Products!$E$2:$E$37, MATCH(D3205, Products!$A$2:$A$37, 0))</f>
        <v>40</v>
      </c>
      <c r="K3205" s="9">
        <f t="shared" si="200"/>
        <v>80.100000000000009</v>
      </c>
      <c r="L3205">
        <f t="shared" si="201"/>
        <v>40</v>
      </c>
      <c r="M3205" s="9">
        <f t="shared" si="202"/>
        <v>40.100000000000009</v>
      </c>
      <c r="N3205" t="str">
        <f t="shared" si="203"/>
        <v>Oct</v>
      </c>
    </row>
    <row r="3206" spans="1:14" x14ac:dyDescent="0.3">
      <c r="A3206" s="2" t="s">
        <v>3272</v>
      </c>
      <c r="B3206" s="6">
        <v>45936</v>
      </c>
      <c r="C3206" s="2" t="s">
        <v>48</v>
      </c>
      <c r="D3206" s="2" t="s">
        <v>56</v>
      </c>
      <c r="E3206" s="2">
        <v>1</v>
      </c>
      <c r="F3206" s="7">
        <v>289</v>
      </c>
      <c r="G3206" s="8">
        <v>0.15</v>
      </c>
      <c r="H3206" s="9" t="str">
        <f>INDEX(Products!$B$2:$B$37, MATCH(D3206, Products!$A$2:$A$37, 0))</f>
        <v>Ceramic Dinner Set</v>
      </c>
      <c r="I3206" t="str">
        <f>INDEX(Products!$C$2:$C$37, MATCH(D3206, Products!$A$2:$A$37, 0))</f>
        <v>Home &amp; Kitchen</v>
      </c>
      <c r="J3206">
        <f>INDEX(Products!$E$2:$E$37, MATCH(D3206, Products!$A$2:$A$37, 0))</f>
        <v>140</v>
      </c>
      <c r="K3206" s="9">
        <f t="shared" si="200"/>
        <v>245.65</v>
      </c>
      <c r="L3206">
        <f t="shared" si="201"/>
        <v>140</v>
      </c>
      <c r="M3206" s="9">
        <f t="shared" si="202"/>
        <v>105.65</v>
      </c>
      <c r="N3206" t="str">
        <f t="shared" si="203"/>
        <v>Oct</v>
      </c>
    </row>
    <row r="3207" spans="1:14" x14ac:dyDescent="0.3">
      <c r="A3207" s="2" t="s">
        <v>3273</v>
      </c>
      <c r="B3207" s="6">
        <v>45936</v>
      </c>
      <c r="C3207" s="2" t="s">
        <v>31</v>
      </c>
      <c r="D3207" s="2" t="s">
        <v>35</v>
      </c>
      <c r="E3207" s="2">
        <v>1</v>
      </c>
      <c r="F3207" s="7">
        <v>179</v>
      </c>
      <c r="G3207" s="8">
        <v>0.05</v>
      </c>
      <c r="H3207" s="9" t="str">
        <f>INDEX(Products!$B$2:$B$37, MATCH(D3207, Products!$A$2:$A$37, 0))</f>
        <v>Men's Linen Shirt</v>
      </c>
      <c r="I3207" t="str">
        <f>INDEX(Products!$C$2:$C$37, MATCH(D3207, Products!$A$2:$A$37, 0))</f>
        <v>Fashion</v>
      </c>
      <c r="J3207">
        <f>INDEX(Products!$E$2:$E$37, MATCH(D3207, Products!$A$2:$A$37, 0))</f>
        <v>70</v>
      </c>
      <c r="K3207" s="9">
        <f t="shared" si="200"/>
        <v>170.04999999999998</v>
      </c>
      <c r="L3207">
        <f t="shared" si="201"/>
        <v>70</v>
      </c>
      <c r="M3207" s="9">
        <f t="shared" si="202"/>
        <v>100.04999999999998</v>
      </c>
      <c r="N3207" t="str">
        <f t="shared" si="203"/>
        <v>Oct</v>
      </c>
    </row>
    <row r="3208" spans="1:14" x14ac:dyDescent="0.3">
      <c r="A3208" s="2" t="s">
        <v>3274</v>
      </c>
      <c r="B3208" s="6">
        <v>45936</v>
      </c>
      <c r="C3208" s="2" t="s">
        <v>41</v>
      </c>
      <c r="D3208" s="2" t="s">
        <v>80</v>
      </c>
      <c r="E3208" s="2">
        <v>1</v>
      </c>
      <c r="F3208" s="7">
        <v>149</v>
      </c>
      <c r="G3208" s="8">
        <v>0</v>
      </c>
      <c r="H3208" s="9" t="str">
        <f>INDEX(Products!$B$2:$B$37, MATCH(D3208, Products!$A$2:$A$37, 0))</f>
        <v>Vitamin C Serum</v>
      </c>
      <c r="I3208" t="str">
        <f>INDEX(Products!$C$2:$C$37, MATCH(D3208, Products!$A$2:$A$37, 0))</f>
        <v>Beauty</v>
      </c>
      <c r="J3208">
        <f>INDEX(Products!$E$2:$E$37, MATCH(D3208, Products!$A$2:$A$37, 0))</f>
        <v>55</v>
      </c>
      <c r="K3208" s="9">
        <f t="shared" si="200"/>
        <v>149</v>
      </c>
      <c r="L3208">
        <f t="shared" si="201"/>
        <v>55</v>
      </c>
      <c r="M3208" s="9">
        <f t="shared" si="202"/>
        <v>94</v>
      </c>
      <c r="N3208" t="str">
        <f t="shared" si="203"/>
        <v>Oct</v>
      </c>
    </row>
    <row r="3209" spans="1:14" x14ac:dyDescent="0.3">
      <c r="A3209" s="2" t="s">
        <v>3275</v>
      </c>
      <c r="B3209" s="6">
        <v>45936</v>
      </c>
      <c r="C3209" s="2" t="s">
        <v>44</v>
      </c>
      <c r="D3209" s="2" t="s">
        <v>29</v>
      </c>
      <c r="E3209" s="2">
        <v>1</v>
      </c>
      <c r="F3209" s="7">
        <v>229</v>
      </c>
      <c r="G3209" s="8">
        <v>0</v>
      </c>
      <c r="H3209" s="9" t="str">
        <f>INDEX(Products!$B$2:$B$37, MATCH(D3209, Products!$A$2:$A$37, 0))</f>
        <v>Women's Summer Dress</v>
      </c>
      <c r="I3209" t="str">
        <f>INDEX(Products!$C$2:$C$37, MATCH(D3209, Products!$A$2:$A$37, 0))</f>
        <v>Fashion</v>
      </c>
      <c r="J3209">
        <f>INDEX(Products!$E$2:$E$37, MATCH(D3209, Products!$A$2:$A$37, 0))</f>
        <v>120</v>
      </c>
      <c r="K3209" s="9">
        <f t="shared" si="200"/>
        <v>229</v>
      </c>
      <c r="L3209">
        <f t="shared" si="201"/>
        <v>120</v>
      </c>
      <c r="M3209" s="9">
        <f t="shared" si="202"/>
        <v>109</v>
      </c>
      <c r="N3209" t="str">
        <f t="shared" si="203"/>
        <v>Oct</v>
      </c>
    </row>
    <row r="3210" spans="1:14" x14ac:dyDescent="0.3">
      <c r="A3210" s="2" t="s">
        <v>3276</v>
      </c>
      <c r="B3210" s="6">
        <v>45936</v>
      </c>
      <c r="C3210" s="2" t="s">
        <v>41</v>
      </c>
      <c r="D3210" s="2" t="s">
        <v>126</v>
      </c>
      <c r="E3210" s="2">
        <v>1</v>
      </c>
      <c r="F3210" s="7">
        <v>89</v>
      </c>
      <c r="G3210" s="8">
        <v>0.05</v>
      </c>
      <c r="H3210" s="9" t="str">
        <f>INDEX(Products!$B$2:$B$37, MATCH(D3210, Products!$A$2:$A$37, 0))</f>
        <v>USB-C Fast Charger</v>
      </c>
      <c r="I3210" t="str">
        <f>INDEX(Products!$C$2:$C$37, MATCH(D3210, Products!$A$2:$A$37, 0))</f>
        <v>Electronics</v>
      </c>
      <c r="J3210">
        <f>INDEX(Products!$E$2:$E$37, MATCH(D3210, Products!$A$2:$A$37, 0))</f>
        <v>35</v>
      </c>
      <c r="K3210" s="9">
        <f t="shared" si="200"/>
        <v>84.55</v>
      </c>
      <c r="L3210">
        <f t="shared" si="201"/>
        <v>35</v>
      </c>
      <c r="M3210" s="9">
        <f t="shared" si="202"/>
        <v>49.55</v>
      </c>
      <c r="N3210" t="str">
        <f t="shared" si="203"/>
        <v>Oct</v>
      </c>
    </row>
    <row r="3211" spans="1:14" x14ac:dyDescent="0.3">
      <c r="A3211" s="2" t="s">
        <v>3277</v>
      </c>
      <c r="B3211" s="6">
        <v>45936</v>
      </c>
      <c r="C3211" s="2" t="s">
        <v>44</v>
      </c>
      <c r="D3211" s="2" t="s">
        <v>80</v>
      </c>
      <c r="E3211" s="2">
        <v>2</v>
      </c>
      <c r="F3211" s="7">
        <v>149</v>
      </c>
      <c r="G3211" s="8">
        <v>0.1</v>
      </c>
      <c r="H3211" s="9" t="str">
        <f>INDEX(Products!$B$2:$B$37, MATCH(D3211, Products!$A$2:$A$37, 0))</f>
        <v>Vitamin C Serum</v>
      </c>
      <c r="I3211" t="str">
        <f>INDEX(Products!$C$2:$C$37, MATCH(D3211, Products!$A$2:$A$37, 0))</f>
        <v>Beauty</v>
      </c>
      <c r="J3211">
        <f>INDEX(Products!$E$2:$E$37, MATCH(D3211, Products!$A$2:$A$37, 0))</f>
        <v>55</v>
      </c>
      <c r="K3211" s="9">
        <f t="shared" si="200"/>
        <v>268.2</v>
      </c>
      <c r="L3211">
        <f t="shared" si="201"/>
        <v>110</v>
      </c>
      <c r="M3211" s="9">
        <f t="shared" si="202"/>
        <v>158.19999999999999</v>
      </c>
      <c r="N3211" t="str">
        <f t="shared" si="203"/>
        <v>Oct</v>
      </c>
    </row>
    <row r="3212" spans="1:14" x14ac:dyDescent="0.3">
      <c r="A3212" s="2" t="s">
        <v>3278</v>
      </c>
      <c r="B3212" s="6">
        <v>45936</v>
      </c>
      <c r="C3212" s="2" t="s">
        <v>48</v>
      </c>
      <c r="D3212" s="2" t="s">
        <v>70</v>
      </c>
      <c r="E3212" s="2">
        <v>3</v>
      </c>
      <c r="F3212" s="7">
        <v>429</v>
      </c>
      <c r="G3212" s="8">
        <v>0.05</v>
      </c>
      <c r="H3212" s="9" t="str">
        <f>INDEX(Products!$B$2:$B$37, MATCH(D3212, Products!$A$2:$A$37, 0))</f>
        <v>Running Shoes Elite</v>
      </c>
      <c r="I3212" t="str">
        <f>INDEX(Products!$C$2:$C$37, MATCH(D3212, Products!$A$2:$A$37, 0))</f>
        <v>Fashion</v>
      </c>
      <c r="J3212">
        <f>INDEX(Products!$E$2:$E$37, MATCH(D3212, Products!$A$2:$A$37, 0))</f>
        <v>300</v>
      </c>
      <c r="K3212" s="9">
        <f t="shared" si="200"/>
        <v>1222.6499999999999</v>
      </c>
      <c r="L3212">
        <f t="shared" si="201"/>
        <v>900</v>
      </c>
      <c r="M3212" s="9">
        <f t="shared" si="202"/>
        <v>322.64999999999986</v>
      </c>
      <c r="N3212" t="str">
        <f t="shared" si="203"/>
        <v>Oct</v>
      </c>
    </row>
    <row r="3213" spans="1:14" x14ac:dyDescent="0.3">
      <c r="A3213" s="2" t="s">
        <v>3279</v>
      </c>
      <c r="B3213" s="6">
        <v>45937</v>
      </c>
      <c r="C3213" s="2" t="s">
        <v>48</v>
      </c>
      <c r="D3213" s="2" t="s">
        <v>37</v>
      </c>
      <c r="E3213" s="2">
        <v>1</v>
      </c>
      <c r="F3213" s="7">
        <v>249</v>
      </c>
      <c r="G3213" s="8">
        <v>0.05</v>
      </c>
      <c r="H3213" s="9" t="str">
        <f>INDEX(Products!$B$2:$B$37, MATCH(D3213, Products!$A$2:$A$37, 0))</f>
        <v>Sunglasses Polarised</v>
      </c>
      <c r="I3213" t="str">
        <f>INDEX(Products!$C$2:$C$37, MATCH(D3213, Products!$A$2:$A$37, 0))</f>
        <v>Fashion</v>
      </c>
      <c r="J3213">
        <f>INDEX(Products!$E$2:$E$37, MATCH(D3213, Products!$A$2:$A$37, 0))</f>
        <v>95</v>
      </c>
      <c r="K3213" s="9">
        <f t="shared" si="200"/>
        <v>236.54999999999998</v>
      </c>
      <c r="L3213">
        <f t="shared" si="201"/>
        <v>95</v>
      </c>
      <c r="M3213" s="9">
        <f t="shared" si="202"/>
        <v>141.54999999999998</v>
      </c>
      <c r="N3213" t="str">
        <f t="shared" si="203"/>
        <v>Oct</v>
      </c>
    </row>
    <row r="3214" spans="1:14" x14ac:dyDescent="0.3">
      <c r="A3214" s="2" t="s">
        <v>3280</v>
      </c>
      <c r="B3214" s="6">
        <v>45937</v>
      </c>
      <c r="C3214" s="2" t="s">
        <v>44</v>
      </c>
      <c r="D3214" s="2" t="s">
        <v>39</v>
      </c>
      <c r="E3214" s="2">
        <v>1</v>
      </c>
      <c r="F3214" s="7">
        <v>199</v>
      </c>
      <c r="G3214" s="8">
        <v>0</v>
      </c>
      <c r="H3214" s="9" t="str">
        <f>INDEX(Products!$B$2:$B$37, MATCH(D3214, Products!$A$2:$A$37, 0))</f>
        <v>Bakhoor Gift Set</v>
      </c>
      <c r="I3214" t="str">
        <f>INDEX(Products!$C$2:$C$37, MATCH(D3214, Products!$A$2:$A$37, 0))</f>
        <v>Beauty</v>
      </c>
      <c r="J3214">
        <f>INDEX(Products!$E$2:$E$37, MATCH(D3214, Products!$A$2:$A$37, 0))</f>
        <v>90</v>
      </c>
      <c r="K3214" s="9">
        <f t="shared" si="200"/>
        <v>199</v>
      </c>
      <c r="L3214">
        <f t="shared" si="201"/>
        <v>90</v>
      </c>
      <c r="M3214" s="9">
        <f t="shared" si="202"/>
        <v>109</v>
      </c>
      <c r="N3214" t="str">
        <f t="shared" si="203"/>
        <v>Oct</v>
      </c>
    </row>
    <row r="3215" spans="1:14" x14ac:dyDescent="0.3">
      <c r="A3215" s="2" t="s">
        <v>3281</v>
      </c>
      <c r="B3215" s="6">
        <v>45937</v>
      </c>
      <c r="C3215" s="2" t="s">
        <v>41</v>
      </c>
      <c r="D3215" s="2" t="s">
        <v>92</v>
      </c>
      <c r="E3215" s="2">
        <v>1</v>
      </c>
      <c r="F3215" s="7">
        <v>349</v>
      </c>
      <c r="G3215" s="8">
        <v>0</v>
      </c>
      <c r="H3215" s="9" t="str">
        <f>INDEX(Products!$B$2:$B$37, MATCH(D3215, Products!$A$2:$A$37, 0))</f>
        <v>Non-stick Cookware Set</v>
      </c>
      <c r="I3215" t="str">
        <f>INDEX(Products!$C$2:$C$37, MATCH(D3215, Products!$A$2:$A$37, 0))</f>
        <v>Home &amp; Kitchen</v>
      </c>
      <c r="J3215">
        <f>INDEX(Products!$E$2:$E$37, MATCH(D3215, Products!$A$2:$A$37, 0))</f>
        <v>170</v>
      </c>
      <c r="K3215" s="9">
        <f t="shared" si="200"/>
        <v>349</v>
      </c>
      <c r="L3215">
        <f t="shared" si="201"/>
        <v>170</v>
      </c>
      <c r="M3215" s="9">
        <f t="shared" si="202"/>
        <v>179</v>
      </c>
      <c r="N3215" t="str">
        <f t="shared" si="203"/>
        <v>Oct</v>
      </c>
    </row>
    <row r="3216" spans="1:14" x14ac:dyDescent="0.3">
      <c r="A3216" s="2" t="s">
        <v>3282</v>
      </c>
      <c r="B3216" s="6">
        <v>45937</v>
      </c>
      <c r="C3216" s="2" t="s">
        <v>28</v>
      </c>
      <c r="D3216" s="2" t="s">
        <v>39</v>
      </c>
      <c r="E3216" s="2">
        <v>1</v>
      </c>
      <c r="F3216" s="7">
        <v>199</v>
      </c>
      <c r="G3216" s="8">
        <v>0</v>
      </c>
      <c r="H3216" s="9" t="str">
        <f>INDEX(Products!$B$2:$B$37, MATCH(D3216, Products!$A$2:$A$37, 0))</f>
        <v>Bakhoor Gift Set</v>
      </c>
      <c r="I3216" t="str">
        <f>INDEX(Products!$C$2:$C$37, MATCH(D3216, Products!$A$2:$A$37, 0))</f>
        <v>Beauty</v>
      </c>
      <c r="J3216">
        <f>INDEX(Products!$E$2:$E$37, MATCH(D3216, Products!$A$2:$A$37, 0))</f>
        <v>90</v>
      </c>
      <c r="K3216" s="9">
        <f t="shared" si="200"/>
        <v>199</v>
      </c>
      <c r="L3216">
        <f t="shared" si="201"/>
        <v>90</v>
      </c>
      <c r="M3216" s="9">
        <f t="shared" si="202"/>
        <v>109</v>
      </c>
      <c r="N3216" t="str">
        <f t="shared" si="203"/>
        <v>Oct</v>
      </c>
    </row>
    <row r="3217" spans="1:14" x14ac:dyDescent="0.3">
      <c r="A3217" s="2" t="s">
        <v>3283</v>
      </c>
      <c r="B3217" s="6">
        <v>45937</v>
      </c>
      <c r="C3217" s="2" t="s">
        <v>44</v>
      </c>
      <c r="D3217" s="2" t="s">
        <v>39</v>
      </c>
      <c r="E3217" s="2">
        <v>1</v>
      </c>
      <c r="F3217" s="7">
        <v>199</v>
      </c>
      <c r="G3217" s="8">
        <v>0.2</v>
      </c>
      <c r="H3217" s="9" t="str">
        <f>INDEX(Products!$B$2:$B$37, MATCH(D3217, Products!$A$2:$A$37, 0))</f>
        <v>Bakhoor Gift Set</v>
      </c>
      <c r="I3217" t="str">
        <f>INDEX(Products!$C$2:$C$37, MATCH(D3217, Products!$A$2:$A$37, 0))</f>
        <v>Beauty</v>
      </c>
      <c r="J3217">
        <f>INDEX(Products!$E$2:$E$37, MATCH(D3217, Products!$A$2:$A$37, 0))</f>
        <v>90</v>
      </c>
      <c r="K3217" s="9">
        <f t="shared" si="200"/>
        <v>159.20000000000002</v>
      </c>
      <c r="L3217">
        <f t="shared" si="201"/>
        <v>90</v>
      </c>
      <c r="M3217" s="9">
        <f t="shared" si="202"/>
        <v>69.200000000000017</v>
      </c>
      <c r="N3217" t="str">
        <f t="shared" si="203"/>
        <v>Oct</v>
      </c>
    </row>
    <row r="3218" spans="1:14" x14ac:dyDescent="0.3">
      <c r="A3218" s="2" t="s">
        <v>3284</v>
      </c>
      <c r="B3218" s="6">
        <v>45937</v>
      </c>
      <c r="C3218" s="2" t="s">
        <v>41</v>
      </c>
      <c r="D3218" s="2" t="s">
        <v>46</v>
      </c>
      <c r="E3218" s="2">
        <v>1</v>
      </c>
      <c r="F3218" s="7">
        <v>189</v>
      </c>
      <c r="G3218" s="8">
        <v>0.1</v>
      </c>
      <c r="H3218" s="9" t="str">
        <f>INDEX(Products!$B$2:$B$37, MATCH(D3218, Products!$A$2:$A$37, 0))</f>
        <v>Makeup Palette</v>
      </c>
      <c r="I3218" t="str">
        <f>INDEX(Products!$C$2:$C$37, MATCH(D3218, Products!$A$2:$A$37, 0))</f>
        <v>Beauty</v>
      </c>
      <c r="J3218">
        <f>INDEX(Products!$E$2:$E$37, MATCH(D3218, Products!$A$2:$A$37, 0))</f>
        <v>85</v>
      </c>
      <c r="K3218" s="9">
        <f t="shared" si="200"/>
        <v>170.1</v>
      </c>
      <c r="L3218">
        <f t="shared" si="201"/>
        <v>85</v>
      </c>
      <c r="M3218" s="9">
        <f t="shared" si="202"/>
        <v>85.1</v>
      </c>
      <c r="N3218" t="str">
        <f t="shared" si="203"/>
        <v>Oct</v>
      </c>
    </row>
    <row r="3219" spans="1:14" x14ac:dyDescent="0.3">
      <c r="A3219" s="2" t="s">
        <v>3285</v>
      </c>
      <c r="B3219" s="6">
        <v>45937</v>
      </c>
      <c r="C3219" s="2" t="s">
        <v>31</v>
      </c>
      <c r="D3219" s="2" t="s">
        <v>70</v>
      </c>
      <c r="E3219" s="2">
        <v>1</v>
      </c>
      <c r="F3219" s="7">
        <v>429</v>
      </c>
      <c r="G3219" s="8">
        <v>0.15</v>
      </c>
      <c r="H3219" s="9" t="str">
        <f>INDEX(Products!$B$2:$B$37, MATCH(D3219, Products!$A$2:$A$37, 0))</f>
        <v>Running Shoes Elite</v>
      </c>
      <c r="I3219" t="str">
        <f>INDEX(Products!$C$2:$C$37, MATCH(D3219, Products!$A$2:$A$37, 0))</f>
        <v>Fashion</v>
      </c>
      <c r="J3219">
        <f>INDEX(Products!$E$2:$E$37, MATCH(D3219, Products!$A$2:$A$37, 0))</f>
        <v>300</v>
      </c>
      <c r="K3219" s="9">
        <f t="shared" si="200"/>
        <v>364.65</v>
      </c>
      <c r="L3219">
        <f t="shared" si="201"/>
        <v>300</v>
      </c>
      <c r="M3219" s="9">
        <f t="shared" si="202"/>
        <v>64.649999999999977</v>
      </c>
      <c r="N3219" t="str">
        <f t="shared" si="203"/>
        <v>Oct</v>
      </c>
    </row>
    <row r="3220" spans="1:14" x14ac:dyDescent="0.3">
      <c r="A3220" s="2" t="s">
        <v>3286</v>
      </c>
      <c r="B3220" s="6">
        <v>45937</v>
      </c>
      <c r="C3220" s="2" t="s">
        <v>41</v>
      </c>
      <c r="D3220" s="2" t="s">
        <v>68</v>
      </c>
      <c r="E3220" s="2">
        <v>1</v>
      </c>
      <c r="F3220" s="7">
        <v>249</v>
      </c>
      <c r="G3220" s="8">
        <v>0.15</v>
      </c>
      <c r="H3220" s="9" t="str">
        <f>INDEX(Products!$B$2:$B$37, MATCH(D3220, Products!$A$2:$A$37, 0))</f>
        <v>Bluetooth Speaker Mini</v>
      </c>
      <c r="I3220" t="str">
        <f>INDEX(Products!$C$2:$C$37, MATCH(D3220, Products!$A$2:$A$37, 0))</f>
        <v>Electronics</v>
      </c>
      <c r="J3220">
        <f>INDEX(Products!$E$2:$E$37, MATCH(D3220, Products!$A$2:$A$37, 0))</f>
        <v>150</v>
      </c>
      <c r="K3220" s="9">
        <f t="shared" si="200"/>
        <v>211.65</v>
      </c>
      <c r="L3220">
        <f t="shared" si="201"/>
        <v>150</v>
      </c>
      <c r="M3220" s="9">
        <f t="shared" si="202"/>
        <v>61.650000000000006</v>
      </c>
      <c r="N3220" t="str">
        <f t="shared" si="203"/>
        <v>Oct</v>
      </c>
    </row>
    <row r="3221" spans="1:14" x14ac:dyDescent="0.3">
      <c r="A3221" s="2" t="s">
        <v>3287</v>
      </c>
      <c r="B3221" s="6">
        <v>45937</v>
      </c>
      <c r="C3221" s="2" t="s">
        <v>28</v>
      </c>
      <c r="D3221" s="2" t="s">
        <v>56</v>
      </c>
      <c r="E3221" s="2">
        <v>1</v>
      </c>
      <c r="F3221" s="7">
        <v>289</v>
      </c>
      <c r="G3221" s="8">
        <v>0</v>
      </c>
      <c r="H3221" s="9" t="str">
        <f>INDEX(Products!$B$2:$B$37, MATCH(D3221, Products!$A$2:$A$37, 0))</f>
        <v>Ceramic Dinner Set</v>
      </c>
      <c r="I3221" t="str">
        <f>INDEX(Products!$C$2:$C$37, MATCH(D3221, Products!$A$2:$A$37, 0))</f>
        <v>Home &amp; Kitchen</v>
      </c>
      <c r="J3221">
        <f>INDEX(Products!$E$2:$E$37, MATCH(D3221, Products!$A$2:$A$37, 0))</f>
        <v>140</v>
      </c>
      <c r="K3221" s="9">
        <f t="shared" si="200"/>
        <v>289</v>
      </c>
      <c r="L3221">
        <f t="shared" si="201"/>
        <v>140</v>
      </c>
      <c r="M3221" s="9">
        <f t="shared" si="202"/>
        <v>149</v>
      </c>
      <c r="N3221" t="str">
        <f t="shared" si="203"/>
        <v>Oct</v>
      </c>
    </row>
    <row r="3222" spans="1:14" x14ac:dyDescent="0.3">
      <c r="A3222" s="2" t="s">
        <v>3288</v>
      </c>
      <c r="B3222" s="6">
        <v>45937</v>
      </c>
      <c r="C3222" s="2" t="s">
        <v>31</v>
      </c>
      <c r="D3222" s="2" t="s">
        <v>80</v>
      </c>
      <c r="E3222" s="2">
        <v>1</v>
      </c>
      <c r="F3222" s="7">
        <v>149</v>
      </c>
      <c r="G3222" s="8">
        <v>0.15</v>
      </c>
      <c r="H3222" s="9" t="str">
        <f>INDEX(Products!$B$2:$B$37, MATCH(D3222, Products!$A$2:$A$37, 0))</f>
        <v>Vitamin C Serum</v>
      </c>
      <c r="I3222" t="str">
        <f>INDEX(Products!$C$2:$C$37, MATCH(D3222, Products!$A$2:$A$37, 0))</f>
        <v>Beauty</v>
      </c>
      <c r="J3222">
        <f>INDEX(Products!$E$2:$E$37, MATCH(D3222, Products!$A$2:$A$37, 0))</f>
        <v>55</v>
      </c>
      <c r="K3222" s="9">
        <f t="shared" si="200"/>
        <v>126.64999999999999</v>
      </c>
      <c r="L3222">
        <f t="shared" si="201"/>
        <v>55</v>
      </c>
      <c r="M3222" s="9">
        <f t="shared" si="202"/>
        <v>71.649999999999991</v>
      </c>
      <c r="N3222" t="str">
        <f t="shared" si="203"/>
        <v>Oct</v>
      </c>
    </row>
    <row r="3223" spans="1:14" x14ac:dyDescent="0.3">
      <c r="A3223" s="2" t="s">
        <v>3289</v>
      </c>
      <c r="B3223" s="6">
        <v>45937</v>
      </c>
      <c r="C3223" s="2" t="s">
        <v>44</v>
      </c>
      <c r="D3223" s="2" t="s">
        <v>60</v>
      </c>
      <c r="E3223" s="2">
        <v>1</v>
      </c>
      <c r="F3223" s="7">
        <v>99</v>
      </c>
      <c r="G3223" s="8">
        <v>0.1</v>
      </c>
      <c r="H3223" s="9" t="str">
        <f>INDEX(Products!$B$2:$B$37, MATCH(D3223, Products!$A$2:$A$37, 0))</f>
        <v>Football Size 5</v>
      </c>
      <c r="I3223" t="str">
        <f>INDEX(Products!$C$2:$C$37, MATCH(D3223, Products!$A$2:$A$37, 0))</f>
        <v>Sports</v>
      </c>
      <c r="J3223">
        <f>INDEX(Products!$E$2:$E$37, MATCH(D3223, Products!$A$2:$A$37, 0))</f>
        <v>45</v>
      </c>
      <c r="K3223" s="9">
        <f t="shared" si="200"/>
        <v>89.100000000000009</v>
      </c>
      <c r="L3223">
        <f t="shared" si="201"/>
        <v>45</v>
      </c>
      <c r="M3223" s="9">
        <f t="shared" si="202"/>
        <v>44.100000000000009</v>
      </c>
      <c r="N3223" t="str">
        <f t="shared" si="203"/>
        <v>Oct</v>
      </c>
    </row>
    <row r="3224" spans="1:14" x14ac:dyDescent="0.3">
      <c r="A3224" s="2" t="s">
        <v>3290</v>
      </c>
      <c r="B3224" s="6">
        <v>45937</v>
      </c>
      <c r="C3224" s="2" t="s">
        <v>28</v>
      </c>
      <c r="D3224" s="2" t="s">
        <v>126</v>
      </c>
      <c r="E3224" s="2">
        <v>1</v>
      </c>
      <c r="F3224" s="7">
        <v>89</v>
      </c>
      <c r="G3224" s="8">
        <v>0.1</v>
      </c>
      <c r="H3224" s="9" t="str">
        <f>INDEX(Products!$B$2:$B$37, MATCH(D3224, Products!$A$2:$A$37, 0))</f>
        <v>USB-C Fast Charger</v>
      </c>
      <c r="I3224" t="str">
        <f>INDEX(Products!$C$2:$C$37, MATCH(D3224, Products!$A$2:$A$37, 0))</f>
        <v>Electronics</v>
      </c>
      <c r="J3224">
        <f>INDEX(Products!$E$2:$E$37, MATCH(D3224, Products!$A$2:$A$37, 0))</f>
        <v>35</v>
      </c>
      <c r="K3224" s="9">
        <f t="shared" si="200"/>
        <v>80.100000000000009</v>
      </c>
      <c r="L3224">
        <f t="shared" si="201"/>
        <v>35</v>
      </c>
      <c r="M3224" s="9">
        <f t="shared" si="202"/>
        <v>45.100000000000009</v>
      </c>
      <c r="N3224" t="str">
        <f t="shared" si="203"/>
        <v>Oct</v>
      </c>
    </row>
    <row r="3225" spans="1:14" x14ac:dyDescent="0.3">
      <c r="A3225" s="2" t="s">
        <v>3291</v>
      </c>
      <c r="B3225" s="6">
        <v>45937</v>
      </c>
      <c r="C3225" s="2" t="s">
        <v>31</v>
      </c>
      <c r="D3225" s="2" t="s">
        <v>58</v>
      </c>
      <c r="E3225" s="2">
        <v>2</v>
      </c>
      <c r="F3225" s="7">
        <v>459</v>
      </c>
      <c r="G3225" s="8">
        <v>0</v>
      </c>
      <c r="H3225" s="9" t="str">
        <f>INDEX(Products!$B$2:$B$37, MATCH(D3225, Products!$A$2:$A$37, 0))</f>
        <v>Women's Abaya Classic</v>
      </c>
      <c r="I3225" t="str">
        <f>INDEX(Products!$C$2:$C$37, MATCH(D3225, Products!$A$2:$A$37, 0))</f>
        <v>Fashion</v>
      </c>
      <c r="J3225">
        <f>INDEX(Products!$E$2:$E$37, MATCH(D3225, Products!$A$2:$A$37, 0))</f>
        <v>190</v>
      </c>
      <c r="K3225" s="9">
        <f t="shared" si="200"/>
        <v>918</v>
      </c>
      <c r="L3225">
        <f t="shared" si="201"/>
        <v>380</v>
      </c>
      <c r="M3225" s="9">
        <f t="shared" si="202"/>
        <v>538</v>
      </c>
      <c r="N3225" t="str">
        <f t="shared" si="203"/>
        <v>Oct</v>
      </c>
    </row>
    <row r="3226" spans="1:14" x14ac:dyDescent="0.3">
      <c r="A3226" s="2" t="s">
        <v>3292</v>
      </c>
      <c r="B3226" s="6">
        <v>45937</v>
      </c>
      <c r="C3226" s="2" t="s">
        <v>41</v>
      </c>
      <c r="D3226" s="2" t="s">
        <v>52</v>
      </c>
      <c r="E3226" s="2">
        <v>2</v>
      </c>
      <c r="F3226" s="7">
        <v>299</v>
      </c>
      <c r="G3226" s="8">
        <v>0.15</v>
      </c>
      <c r="H3226" s="9" t="str">
        <f>INDEX(Products!$B$2:$B$37, MATCH(D3226, Products!$A$2:$A$37, 0))</f>
        <v>Hair Dryer Ionic</v>
      </c>
      <c r="I3226" t="str">
        <f>INDEX(Products!$C$2:$C$37, MATCH(D3226, Products!$A$2:$A$37, 0))</f>
        <v>Beauty</v>
      </c>
      <c r="J3226">
        <f>INDEX(Products!$E$2:$E$37, MATCH(D3226, Products!$A$2:$A$37, 0))</f>
        <v>240</v>
      </c>
      <c r="K3226" s="9">
        <f t="shared" si="200"/>
        <v>508.3</v>
      </c>
      <c r="L3226">
        <f t="shared" si="201"/>
        <v>480</v>
      </c>
      <c r="M3226" s="9">
        <f t="shared" si="202"/>
        <v>28.300000000000011</v>
      </c>
      <c r="N3226" t="str">
        <f t="shared" si="203"/>
        <v>Oct</v>
      </c>
    </row>
    <row r="3227" spans="1:14" x14ac:dyDescent="0.3">
      <c r="A3227" s="2" t="s">
        <v>3293</v>
      </c>
      <c r="B3227" s="6">
        <v>45937</v>
      </c>
      <c r="C3227" s="2" t="s">
        <v>48</v>
      </c>
      <c r="D3227" s="2" t="s">
        <v>126</v>
      </c>
      <c r="E3227" s="2">
        <v>4</v>
      </c>
      <c r="F3227" s="7">
        <v>89</v>
      </c>
      <c r="G3227" s="8">
        <v>0.2</v>
      </c>
      <c r="H3227" s="9" t="str">
        <f>INDEX(Products!$B$2:$B$37, MATCH(D3227, Products!$A$2:$A$37, 0))</f>
        <v>USB-C Fast Charger</v>
      </c>
      <c r="I3227" t="str">
        <f>INDEX(Products!$C$2:$C$37, MATCH(D3227, Products!$A$2:$A$37, 0))</f>
        <v>Electronics</v>
      </c>
      <c r="J3227">
        <f>INDEX(Products!$E$2:$E$37, MATCH(D3227, Products!$A$2:$A$37, 0))</f>
        <v>35</v>
      </c>
      <c r="K3227" s="9">
        <f t="shared" si="200"/>
        <v>284.8</v>
      </c>
      <c r="L3227">
        <f t="shared" si="201"/>
        <v>140</v>
      </c>
      <c r="M3227" s="9">
        <f t="shared" si="202"/>
        <v>144.80000000000001</v>
      </c>
      <c r="N3227" t="str">
        <f t="shared" si="203"/>
        <v>Oct</v>
      </c>
    </row>
    <row r="3228" spans="1:14" x14ac:dyDescent="0.3">
      <c r="A3228" s="2" t="s">
        <v>3294</v>
      </c>
      <c r="B3228" s="6">
        <v>45938</v>
      </c>
      <c r="C3228" s="2" t="s">
        <v>41</v>
      </c>
      <c r="D3228" s="2" t="s">
        <v>115</v>
      </c>
      <c r="E3228" s="2">
        <v>1</v>
      </c>
      <c r="F3228" s="7">
        <v>129</v>
      </c>
      <c r="G3228" s="8">
        <v>0.2</v>
      </c>
      <c r="H3228" s="9" t="str">
        <f>INDEX(Products!$B$2:$B$37, MATCH(D3228, Products!$A$2:$A$37, 0))</f>
        <v>Electric Kettle</v>
      </c>
      <c r="I3228" t="str">
        <f>INDEX(Products!$C$2:$C$37, MATCH(D3228, Products!$A$2:$A$37, 0))</f>
        <v>Home &amp; Kitchen</v>
      </c>
      <c r="J3228">
        <f>INDEX(Products!$E$2:$E$37, MATCH(D3228, Products!$A$2:$A$37, 0))</f>
        <v>60</v>
      </c>
      <c r="K3228" s="9">
        <f t="shared" si="200"/>
        <v>103.2</v>
      </c>
      <c r="L3228">
        <f t="shared" si="201"/>
        <v>60</v>
      </c>
      <c r="M3228" s="9">
        <f t="shared" si="202"/>
        <v>43.2</v>
      </c>
      <c r="N3228" t="str">
        <f t="shared" si="203"/>
        <v>Oct</v>
      </c>
    </row>
    <row r="3229" spans="1:14" x14ac:dyDescent="0.3">
      <c r="A3229" s="2" t="s">
        <v>3295</v>
      </c>
      <c r="B3229" s="6">
        <v>45938</v>
      </c>
      <c r="C3229" s="2" t="s">
        <v>28</v>
      </c>
      <c r="D3229" s="2" t="s">
        <v>29</v>
      </c>
      <c r="E3229" s="2">
        <v>4</v>
      </c>
      <c r="F3229" s="7">
        <v>229</v>
      </c>
      <c r="G3229" s="8">
        <v>0.05</v>
      </c>
      <c r="H3229" s="9" t="str">
        <f>INDEX(Products!$B$2:$B$37, MATCH(D3229, Products!$A$2:$A$37, 0))</f>
        <v>Women's Summer Dress</v>
      </c>
      <c r="I3229" t="str">
        <f>INDEX(Products!$C$2:$C$37, MATCH(D3229, Products!$A$2:$A$37, 0))</f>
        <v>Fashion</v>
      </c>
      <c r="J3229">
        <f>INDEX(Products!$E$2:$E$37, MATCH(D3229, Products!$A$2:$A$37, 0))</f>
        <v>120</v>
      </c>
      <c r="K3229" s="9">
        <f t="shared" si="200"/>
        <v>870.19999999999993</v>
      </c>
      <c r="L3229">
        <f t="shared" si="201"/>
        <v>480</v>
      </c>
      <c r="M3229" s="9">
        <f t="shared" si="202"/>
        <v>390.19999999999993</v>
      </c>
      <c r="N3229" t="str">
        <f t="shared" si="203"/>
        <v>Oct</v>
      </c>
    </row>
    <row r="3230" spans="1:14" x14ac:dyDescent="0.3">
      <c r="A3230" s="2" t="s">
        <v>3296</v>
      </c>
      <c r="B3230" s="6">
        <v>45938</v>
      </c>
      <c r="C3230" s="2" t="s">
        <v>41</v>
      </c>
      <c r="D3230" s="2" t="s">
        <v>68</v>
      </c>
      <c r="E3230" s="2">
        <v>1</v>
      </c>
      <c r="F3230" s="7">
        <v>249</v>
      </c>
      <c r="G3230" s="8">
        <v>0.3</v>
      </c>
      <c r="H3230" s="9" t="str">
        <f>INDEX(Products!$B$2:$B$37, MATCH(D3230, Products!$A$2:$A$37, 0))</f>
        <v>Bluetooth Speaker Mini</v>
      </c>
      <c r="I3230" t="str">
        <f>INDEX(Products!$C$2:$C$37, MATCH(D3230, Products!$A$2:$A$37, 0))</f>
        <v>Electronics</v>
      </c>
      <c r="J3230">
        <f>INDEX(Products!$E$2:$E$37, MATCH(D3230, Products!$A$2:$A$37, 0))</f>
        <v>150</v>
      </c>
      <c r="K3230" s="9">
        <f t="shared" si="200"/>
        <v>174.29999999999998</v>
      </c>
      <c r="L3230">
        <f t="shared" si="201"/>
        <v>150</v>
      </c>
      <c r="M3230" s="9">
        <f t="shared" si="202"/>
        <v>24.299999999999983</v>
      </c>
      <c r="N3230" t="str">
        <f t="shared" si="203"/>
        <v>Oct</v>
      </c>
    </row>
    <row r="3231" spans="1:14" x14ac:dyDescent="0.3">
      <c r="A3231" s="2" t="s">
        <v>3297</v>
      </c>
      <c r="B3231" s="6">
        <v>45938</v>
      </c>
      <c r="C3231" s="2" t="s">
        <v>41</v>
      </c>
      <c r="D3231" s="2" t="s">
        <v>33</v>
      </c>
      <c r="E3231" s="2">
        <v>1</v>
      </c>
      <c r="F3231" s="7">
        <v>199</v>
      </c>
      <c r="G3231" s="8">
        <v>0.2</v>
      </c>
      <c r="H3231" s="9" t="str">
        <f>INDEX(Products!$B$2:$B$37, MATCH(D3231, Products!$A$2:$A$37, 0))</f>
        <v>Fitness Band Lite</v>
      </c>
      <c r="I3231" t="str">
        <f>INDEX(Products!$C$2:$C$37, MATCH(D3231, Products!$A$2:$A$37, 0))</f>
        <v>Electronics</v>
      </c>
      <c r="J3231">
        <f>INDEX(Products!$E$2:$E$37, MATCH(D3231, Products!$A$2:$A$37, 0))</f>
        <v>175</v>
      </c>
      <c r="K3231" s="9">
        <f t="shared" si="200"/>
        <v>159.20000000000002</v>
      </c>
      <c r="L3231">
        <f t="shared" si="201"/>
        <v>175</v>
      </c>
      <c r="M3231" s="9">
        <f t="shared" si="202"/>
        <v>-15.799999999999983</v>
      </c>
      <c r="N3231" t="str">
        <f t="shared" si="203"/>
        <v>Oct</v>
      </c>
    </row>
    <row r="3232" spans="1:14" x14ac:dyDescent="0.3">
      <c r="A3232" s="2" t="s">
        <v>3298</v>
      </c>
      <c r="B3232" s="6">
        <v>45938</v>
      </c>
      <c r="C3232" s="2" t="s">
        <v>48</v>
      </c>
      <c r="D3232" s="2" t="s">
        <v>95</v>
      </c>
      <c r="E3232" s="2">
        <v>1</v>
      </c>
      <c r="F3232" s="7">
        <v>259</v>
      </c>
      <c r="G3232" s="8">
        <v>0</v>
      </c>
      <c r="H3232" s="9" t="str">
        <f>INDEX(Products!$B$2:$B$37, MATCH(D3232, Products!$A$2:$A$37, 0))</f>
        <v>Bed Linen Set (King)</v>
      </c>
      <c r="I3232" t="str">
        <f>INDEX(Products!$C$2:$C$37, MATCH(D3232, Products!$A$2:$A$37, 0))</f>
        <v>Home &amp; Kitchen</v>
      </c>
      <c r="J3232">
        <f>INDEX(Products!$E$2:$E$37, MATCH(D3232, Products!$A$2:$A$37, 0))</f>
        <v>115</v>
      </c>
      <c r="K3232" s="9">
        <f t="shared" si="200"/>
        <v>259</v>
      </c>
      <c r="L3232">
        <f t="shared" si="201"/>
        <v>115</v>
      </c>
      <c r="M3232" s="9">
        <f t="shared" si="202"/>
        <v>144</v>
      </c>
      <c r="N3232" t="str">
        <f t="shared" si="203"/>
        <v>Oct</v>
      </c>
    </row>
    <row r="3233" spans="1:14" x14ac:dyDescent="0.3">
      <c r="A3233" s="2" t="s">
        <v>3299</v>
      </c>
      <c r="B3233" s="6">
        <v>45938</v>
      </c>
      <c r="C3233" s="2" t="s">
        <v>44</v>
      </c>
      <c r="D3233" s="2" t="s">
        <v>106</v>
      </c>
      <c r="E3233" s="2">
        <v>2</v>
      </c>
      <c r="F3233" s="7">
        <v>1299</v>
      </c>
      <c r="G3233" s="8">
        <v>0.05</v>
      </c>
      <c r="H3233" s="9" t="str">
        <f>INDEX(Products!$B$2:$B$37, MATCH(D3233, Products!$A$2:$A$37, 0))</f>
        <v>Smart Watch Series 5</v>
      </c>
      <c r="I3233" t="str">
        <f>INDEX(Products!$C$2:$C$37, MATCH(D3233, Products!$A$2:$A$37, 0))</f>
        <v>Electronics</v>
      </c>
      <c r="J3233">
        <f>INDEX(Products!$E$2:$E$37, MATCH(D3233, Products!$A$2:$A$37, 0))</f>
        <v>820</v>
      </c>
      <c r="K3233" s="9">
        <f t="shared" si="200"/>
        <v>2468.1</v>
      </c>
      <c r="L3233">
        <f t="shared" si="201"/>
        <v>1640</v>
      </c>
      <c r="M3233" s="9">
        <f t="shared" si="202"/>
        <v>828.09999999999991</v>
      </c>
      <c r="N3233" t="str">
        <f t="shared" si="203"/>
        <v>Oct</v>
      </c>
    </row>
    <row r="3234" spans="1:14" x14ac:dyDescent="0.3">
      <c r="A3234" s="2" t="s">
        <v>3300</v>
      </c>
      <c r="B3234" s="6">
        <v>45938</v>
      </c>
      <c r="C3234" s="2" t="s">
        <v>44</v>
      </c>
      <c r="D3234" s="2" t="s">
        <v>75</v>
      </c>
      <c r="E3234" s="2">
        <v>1</v>
      </c>
      <c r="F3234" s="7">
        <v>549</v>
      </c>
      <c r="G3234" s="8">
        <v>0</v>
      </c>
      <c r="H3234" s="9" t="str">
        <f>INDEX(Products!$B$2:$B$37, MATCH(D3234, Products!$A$2:$A$37, 0))</f>
        <v>Oud Perfume 100ml</v>
      </c>
      <c r="I3234" t="str">
        <f>INDEX(Products!$C$2:$C$37, MATCH(D3234, Products!$A$2:$A$37, 0))</f>
        <v>Beauty</v>
      </c>
      <c r="J3234">
        <f>INDEX(Products!$E$2:$E$37, MATCH(D3234, Products!$A$2:$A$37, 0))</f>
        <v>250</v>
      </c>
      <c r="K3234" s="9">
        <f t="shared" si="200"/>
        <v>549</v>
      </c>
      <c r="L3234">
        <f t="shared" si="201"/>
        <v>250</v>
      </c>
      <c r="M3234" s="9">
        <f t="shared" si="202"/>
        <v>299</v>
      </c>
      <c r="N3234" t="str">
        <f t="shared" si="203"/>
        <v>Oct</v>
      </c>
    </row>
    <row r="3235" spans="1:14" x14ac:dyDescent="0.3">
      <c r="A3235" s="2" t="s">
        <v>3301</v>
      </c>
      <c r="B3235" s="6">
        <v>45938</v>
      </c>
      <c r="C3235" s="2" t="s">
        <v>31</v>
      </c>
      <c r="D3235" s="2" t="s">
        <v>80</v>
      </c>
      <c r="E3235" s="2">
        <v>1</v>
      </c>
      <c r="F3235" s="7">
        <v>149</v>
      </c>
      <c r="G3235" s="8">
        <v>0</v>
      </c>
      <c r="H3235" s="9" t="str">
        <f>INDEX(Products!$B$2:$B$37, MATCH(D3235, Products!$A$2:$A$37, 0))</f>
        <v>Vitamin C Serum</v>
      </c>
      <c r="I3235" t="str">
        <f>INDEX(Products!$C$2:$C$37, MATCH(D3235, Products!$A$2:$A$37, 0))</f>
        <v>Beauty</v>
      </c>
      <c r="J3235">
        <f>INDEX(Products!$E$2:$E$37, MATCH(D3235, Products!$A$2:$A$37, 0))</f>
        <v>55</v>
      </c>
      <c r="K3235" s="9">
        <f t="shared" si="200"/>
        <v>149</v>
      </c>
      <c r="L3235">
        <f t="shared" si="201"/>
        <v>55</v>
      </c>
      <c r="M3235" s="9">
        <f t="shared" si="202"/>
        <v>94</v>
      </c>
      <c r="N3235" t="str">
        <f t="shared" si="203"/>
        <v>Oct</v>
      </c>
    </row>
    <row r="3236" spans="1:14" x14ac:dyDescent="0.3">
      <c r="A3236" s="2" t="s">
        <v>3302</v>
      </c>
      <c r="B3236" s="6">
        <v>45938</v>
      </c>
      <c r="C3236" s="2" t="s">
        <v>31</v>
      </c>
      <c r="D3236" s="2" t="s">
        <v>194</v>
      </c>
      <c r="E3236" s="2">
        <v>1</v>
      </c>
      <c r="F3236" s="7">
        <v>699</v>
      </c>
      <c r="G3236" s="8">
        <v>0.05</v>
      </c>
      <c r="H3236" s="9" t="str">
        <f>INDEX(Products!$B$2:$B$37, MATCH(D3236, Products!$A$2:$A$37, 0))</f>
        <v>Leather Handbag</v>
      </c>
      <c r="I3236" t="str">
        <f>INDEX(Products!$C$2:$C$37, MATCH(D3236, Products!$A$2:$A$37, 0))</f>
        <v>Fashion</v>
      </c>
      <c r="J3236">
        <f>INDEX(Products!$E$2:$E$37, MATCH(D3236, Products!$A$2:$A$37, 0))</f>
        <v>380</v>
      </c>
      <c r="K3236" s="9">
        <f t="shared" si="200"/>
        <v>664.05</v>
      </c>
      <c r="L3236">
        <f t="shared" si="201"/>
        <v>380</v>
      </c>
      <c r="M3236" s="9">
        <f t="shared" si="202"/>
        <v>284.04999999999995</v>
      </c>
      <c r="N3236" t="str">
        <f t="shared" si="203"/>
        <v>Oct</v>
      </c>
    </row>
    <row r="3237" spans="1:14" x14ac:dyDescent="0.3">
      <c r="A3237" s="2" t="s">
        <v>3303</v>
      </c>
      <c r="B3237" s="6">
        <v>45938</v>
      </c>
      <c r="C3237" s="2" t="s">
        <v>41</v>
      </c>
      <c r="D3237" s="2" t="s">
        <v>103</v>
      </c>
      <c r="E3237" s="2">
        <v>1</v>
      </c>
      <c r="F3237" s="7">
        <v>89</v>
      </c>
      <c r="G3237" s="8">
        <v>0</v>
      </c>
      <c r="H3237" s="9" t="str">
        <f>INDEX(Products!$B$2:$B$37, MATCH(D3237, Products!$A$2:$A$37, 0))</f>
        <v>Sunscreen SPF50</v>
      </c>
      <c r="I3237" t="str">
        <f>INDEX(Products!$C$2:$C$37, MATCH(D3237, Products!$A$2:$A$37, 0))</f>
        <v>Beauty</v>
      </c>
      <c r="J3237">
        <f>INDEX(Products!$E$2:$E$37, MATCH(D3237, Products!$A$2:$A$37, 0))</f>
        <v>40</v>
      </c>
      <c r="K3237" s="9">
        <f t="shared" si="200"/>
        <v>89</v>
      </c>
      <c r="L3237">
        <f t="shared" si="201"/>
        <v>40</v>
      </c>
      <c r="M3237" s="9">
        <f t="shared" si="202"/>
        <v>49</v>
      </c>
      <c r="N3237" t="str">
        <f t="shared" si="203"/>
        <v>Oct</v>
      </c>
    </row>
    <row r="3238" spans="1:14" x14ac:dyDescent="0.3">
      <c r="A3238" s="2" t="s">
        <v>3304</v>
      </c>
      <c r="B3238" s="6">
        <v>45938</v>
      </c>
      <c r="C3238" s="2" t="s">
        <v>44</v>
      </c>
      <c r="D3238" s="2" t="s">
        <v>109</v>
      </c>
      <c r="E3238" s="2">
        <v>1</v>
      </c>
      <c r="F3238" s="7">
        <v>1499</v>
      </c>
      <c r="G3238" s="8">
        <v>0.15</v>
      </c>
      <c r="H3238" s="9" t="str">
        <f>INDEX(Products!$B$2:$B$37, MATCH(D3238, Products!$A$2:$A$37, 0))</f>
        <v>Espresso Machine</v>
      </c>
      <c r="I3238" t="str">
        <f>INDEX(Products!$C$2:$C$37, MATCH(D3238, Products!$A$2:$A$37, 0))</f>
        <v>Home &amp; Kitchen</v>
      </c>
      <c r="J3238">
        <f>INDEX(Products!$E$2:$E$37, MATCH(D3238, Products!$A$2:$A$37, 0))</f>
        <v>1050</v>
      </c>
      <c r="K3238" s="9">
        <f t="shared" si="200"/>
        <v>1274.1499999999999</v>
      </c>
      <c r="L3238">
        <f t="shared" si="201"/>
        <v>1050</v>
      </c>
      <c r="M3238" s="9">
        <f t="shared" si="202"/>
        <v>224.14999999999986</v>
      </c>
      <c r="N3238" t="str">
        <f t="shared" si="203"/>
        <v>Oct</v>
      </c>
    </row>
    <row r="3239" spans="1:14" x14ac:dyDescent="0.3">
      <c r="A3239" s="2" t="s">
        <v>3305</v>
      </c>
      <c r="B3239" s="6">
        <v>45938</v>
      </c>
      <c r="C3239" s="2" t="s">
        <v>41</v>
      </c>
      <c r="D3239" s="2" t="s">
        <v>56</v>
      </c>
      <c r="E3239" s="2">
        <v>1</v>
      </c>
      <c r="F3239" s="7">
        <v>289</v>
      </c>
      <c r="G3239" s="8">
        <v>0</v>
      </c>
      <c r="H3239" s="9" t="str">
        <f>INDEX(Products!$B$2:$B$37, MATCH(D3239, Products!$A$2:$A$37, 0))</f>
        <v>Ceramic Dinner Set</v>
      </c>
      <c r="I3239" t="str">
        <f>INDEX(Products!$C$2:$C$37, MATCH(D3239, Products!$A$2:$A$37, 0))</f>
        <v>Home &amp; Kitchen</v>
      </c>
      <c r="J3239">
        <f>INDEX(Products!$E$2:$E$37, MATCH(D3239, Products!$A$2:$A$37, 0))</f>
        <v>140</v>
      </c>
      <c r="K3239" s="9">
        <f t="shared" si="200"/>
        <v>289</v>
      </c>
      <c r="L3239">
        <f t="shared" si="201"/>
        <v>140</v>
      </c>
      <c r="M3239" s="9">
        <f t="shared" si="202"/>
        <v>149</v>
      </c>
      <c r="N3239" t="str">
        <f t="shared" si="203"/>
        <v>Oct</v>
      </c>
    </row>
    <row r="3240" spans="1:14" x14ac:dyDescent="0.3">
      <c r="A3240" s="2" t="s">
        <v>3306</v>
      </c>
      <c r="B3240" s="6">
        <v>45939</v>
      </c>
      <c r="C3240" s="2" t="s">
        <v>28</v>
      </c>
      <c r="D3240" s="2" t="s">
        <v>58</v>
      </c>
      <c r="E3240" s="2">
        <v>3</v>
      </c>
      <c r="F3240" s="7">
        <v>459</v>
      </c>
      <c r="G3240" s="8">
        <v>0.2</v>
      </c>
      <c r="H3240" s="9" t="str">
        <f>INDEX(Products!$B$2:$B$37, MATCH(D3240, Products!$A$2:$A$37, 0))</f>
        <v>Women's Abaya Classic</v>
      </c>
      <c r="I3240" t="str">
        <f>INDEX(Products!$C$2:$C$37, MATCH(D3240, Products!$A$2:$A$37, 0))</f>
        <v>Fashion</v>
      </c>
      <c r="J3240">
        <f>INDEX(Products!$E$2:$E$37, MATCH(D3240, Products!$A$2:$A$37, 0))</f>
        <v>190</v>
      </c>
      <c r="K3240" s="9">
        <f t="shared" si="200"/>
        <v>1101.6000000000001</v>
      </c>
      <c r="L3240">
        <f t="shared" si="201"/>
        <v>570</v>
      </c>
      <c r="M3240" s="9">
        <f t="shared" si="202"/>
        <v>531.60000000000014</v>
      </c>
      <c r="N3240" t="str">
        <f t="shared" si="203"/>
        <v>Oct</v>
      </c>
    </row>
    <row r="3241" spans="1:14" x14ac:dyDescent="0.3">
      <c r="A3241" s="2" t="s">
        <v>3307</v>
      </c>
      <c r="B3241" s="6">
        <v>45939</v>
      </c>
      <c r="C3241" s="2" t="s">
        <v>41</v>
      </c>
      <c r="D3241" s="2" t="s">
        <v>37</v>
      </c>
      <c r="E3241" s="2">
        <v>1</v>
      </c>
      <c r="F3241" s="7">
        <v>249</v>
      </c>
      <c r="G3241" s="8">
        <v>0</v>
      </c>
      <c r="H3241" s="9" t="str">
        <f>INDEX(Products!$B$2:$B$37, MATCH(D3241, Products!$A$2:$A$37, 0))</f>
        <v>Sunglasses Polarised</v>
      </c>
      <c r="I3241" t="str">
        <f>INDEX(Products!$C$2:$C$37, MATCH(D3241, Products!$A$2:$A$37, 0))</f>
        <v>Fashion</v>
      </c>
      <c r="J3241">
        <f>INDEX(Products!$E$2:$E$37, MATCH(D3241, Products!$A$2:$A$37, 0))</f>
        <v>95</v>
      </c>
      <c r="K3241" s="9">
        <f t="shared" si="200"/>
        <v>249</v>
      </c>
      <c r="L3241">
        <f t="shared" si="201"/>
        <v>95</v>
      </c>
      <c r="M3241" s="9">
        <f t="shared" si="202"/>
        <v>154</v>
      </c>
      <c r="N3241" t="str">
        <f t="shared" si="203"/>
        <v>Oct</v>
      </c>
    </row>
    <row r="3242" spans="1:14" x14ac:dyDescent="0.3">
      <c r="A3242" s="2" t="s">
        <v>3308</v>
      </c>
      <c r="B3242" s="6">
        <v>45939</v>
      </c>
      <c r="C3242" s="2" t="s">
        <v>41</v>
      </c>
      <c r="D3242" s="2" t="s">
        <v>115</v>
      </c>
      <c r="E3242" s="2">
        <v>1</v>
      </c>
      <c r="F3242" s="7">
        <v>129</v>
      </c>
      <c r="G3242" s="8">
        <v>0</v>
      </c>
      <c r="H3242" s="9" t="str">
        <f>INDEX(Products!$B$2:$B$37, MATCH(D3242, Products!$A$2:$A$37, 0))</f>
        <v>Electric Kettle</v>
      </c>
      <c r="I3242" t="str">
        <f>INDEX(Products!$C$2:$C$37, MATCH(D3242, Products!$A$2:$A$37, 0))</f>
        <v>Home &amp; Kitchen</v>
      </c>
      <c r="J3242">
        <f>INDEX(Products!$E$2:$E$37, MATCH(D3242, Products!$A$2:$A$37, 0))</f>
        <v>60</v>
      </c>
      <c r="K3242" s="9">
        <f t="shared" si="200"/>
        <v>129</v>
      </c>
      <c r="L3242">
        <f t="shared" si="201"/>
        <v>60</v>
      </c>
      <c r="M3242" s="9">
        <f t="shared" si="202"/>
        <v>69</v>
      </c>
      <c r="N3242" t="str">
        <f t="shared" si="203"/>
        <v>Oct</v>
      </c>
    </row>
    <row r="3243" spans="1:14" x14ac:dyDescent="0.3">
      <c r="A3243" s="2" t="s">
        <v>3309</v>
      </c>
      <c r="B3243" s="6">
        <v>45939</v>
      </c>
      <c r="C3243" s="2" t="s">
        <v>28</v>
      </c>
      <c r="D3243" s="2" t="s">
        <v>35</v>
      </c>
      <c r="E3243" s="2">
        <v>1</v>
      </c>
      <c r="F3243" s="7">
        <v>179</v>
      </c>
      <c r="G3243" s="8">
        <v>0</v>
      </c>
      <c r="H3243" s="9" t="str">
        <f>INDEX(Products!$B$2:$B$37, MATCH(D3243, Products!$A$2:$A$37, 0))</f>
        <v>Men's Linen Shirt</v>
      </c>
      <c r="I3243" t="str">
        <f>INDEX(Products!$C$2:$C$37, MATCH(D3243, Products!$A$2:$A$37, 0))</f>
        <v>Fashion</v>
      </c>
      <c r="J3243">
        <f>INDEX(Products!$E$2:$E$37, MATCH(D3243, Products!$A$2:$A$37, 0))</f>
        <v>70</v>
      </c>
      <c r="K3243" s="9">
        <f t="shared" si="200"/>
        <v>179</v>
      </c>
      <c r="L3243">
        <f t="shared" si="201"/>
        <v>70</v>
      </c>
      <c r="M3243" s="9">
        <f t="shared" si="202"/>
        <v>109</v>
      </c>
      <c r="N3243" t="str">
        <f t="shared" si="203"/>
        <v>Oct</v>
      </c>
    </row>
    <row r="3244" spans="1:14" x14ac:dyDescent="0.3">
      <c r="A3244" s="2" t="s">
        <v>3310</v>
      </c>
      <c r="B3244" s="6">
        <v>45939</v>
      </c>
      <c r="C3244" s="2" t="s">
        <v>41</v>
      </c>
      <c r="D3244" s="2" t="s">
        <v>131</v>
      </c>
      <c r="E3244" s="2">
        <v>1</v>
      </c>
      <c r="F3244" s="7">
        <v>899</v>
      </c>
      <c r="G3244" s="8">
        <v>0</v>
      </c>
      <c r="H3244" s="9" t="str">
        <f>INDEX(Products!$B$2:$B$37, MATCH(D3244, Products!$A$2:$A$37, 0))</f>
        <v>4K Action Camera</v>
      </c>
      <c r="I3244" t="str">
        <f>INDEX(Products!$C$2:$C$37, MATCH(D3244, Products!$A$2:$A$37, 0))</f>
        <v>Electronics</v>
      </c>
      <c r="J3244">
        <f>INDEX(Products!$E$2:$E$37, MATCH(D3244, Products!$A$2:$A$37, 0))</f>
        <v>610</v>
      </c>
      <c r="K3244" s="9">
        <f t="shared" si="200"/>
        <v>899</v>
      </c>
      <c r="L3244">
        <f t="shared" si="201"/>
        <v>610</v>
      </c>
      <c r="M3244" s="9">
        <f t="shared" si="202"/>
        <v>289</v>
      </c>
      <c r="N3244" t="str">
        <f t="shared" si="203"/>
        <v>Oct</v>
      </c>
    </row>
    <row r="3245" spans="1:14" x14ac:dyDescent="0.3">
      <c r="A3245" s="2" t="s">
        <v>3311</v>
      </c>
      <c r="B3245" s="6">
        <v>45939</v>
      </c>
      <c r="C3245" s="2" t="s">
        <v>41</v>
      </c>
      <c r="D3245" s="2" t="s">
        <v>42</v>
      </c>
      <c r="E3245" s="2">
        <v>1</v>
      </c>
      <c r="F3245" s="7">
        <v>399</v>
      </c>
      <c r="G3245" s="8">
        <v>0</v>
      </c>
      <c r="H3245" s="9" t="str">
        <f>INDEX(Products!$B$2:$B$37, MATCH(D3245, Products!$A$2:$A$37, 0))</f>
        <v>Wireless Earbuds Pro</v>
      </c>
      <c r="I3245" t="str">
        <f>INDEX(Products!$C$2:$C$37, MATCH(D3245, Products!$A$2:$A$37, 0))</f>
        <v>Electronics</v>
      </c>
      <c r="J3245">
        <f>INDEX(Products!$E$2:$E$37, MATCH(D3245, Products!$A$2:$A$37, 0))</f>
        <v>230</v>
      </c>
      <c r="K3245" s="9">
        <f t="shared" si="200"/>
        <v>399</v>
      </c>
      <c r="L3245">
        <f t="shared" si="201"/>
        <v>230</v>
      </c>
      <c r="M3245" s="9">
        <f t="shared" si="202"/>
        <v>169</v>
      </c>
      <c r="N3245" t="str">
        <f t="shared" si="203"/>
        <v>Oct</v>
      </c>
    </row>
    <row r="3246" spans="1:14" x14ac:dyDescent="0.3">
      <c r="A3246" s="2" t="s">
        <v>3312</v>
      </c>
      <c r="B3246" s="6">
        <v>45939</v>
      </c>
      <c r="C3246" s="2" t="s">
        <v>44</v>
      </c>
      <c r="D3246" s="2" t="s">
        <v>37</v>
      </c>
      <c r="E3246" s="2">
        <v>2</v>
      </c>
      <c r="F3246" s="7">
        <v>249</v>
      </c>
      <c r="G3246" s="8">
        <v>0.3</v>
      </c>
      <c r="H3246" s="9" t="str">
        <f>INDEX(Products!$B$2:$B$37, MATCH(D3246, Products!$A$2:$A$37, 0))</f>
        <v>Sunglasses Polarised</v>
      </c>
      <c r="I3246" t="str">
        <f>INDEX(Products!$C$2:$C$37, MATCH(D3246, Products!$A$2:$A$37, 0))</f>
        <v>Fashion</v>
      </c>
      <c r="J3246">
        <f>INDEX(Products!$E$2:$E$37, MATCH(D3246, Products!$A$2:$A$37, 0))</f>
        <v>95</v>
      </c>
      <c r="K3246" s="9">
        <f t="shared" si="200"/>
        <v>348.59999999999997</v>
      </c>
      <c r="L3246">
        <f t="shared" si="201"/>
        <v>190</v>
      </c>
      <c r="M3246" s="9">
        <f t="shared" si="202"/>
        <v>158.59999999999997</v>
      </c>
      <c r="N3246" t="str">
        <f t="shared" si="203"/>
        <v>Oct</v>
      </c>
    </row>
    <row r="3247" spans="1:14" x14ac:dyDescent="0.3">
      <c r="A3247" s="2" t="s">
        <v>3313</v>
      </c>
      <c r="B3247" s="6">
        <v>45939</v>
      </c>
      <c r="C3247" s="2" t="s">
        <v>28</v>
      </c>
      <c r="D3247" s="2" t="s">
        <v>37</v>
      </c>
      <c r="E3247" s="2">
        <v>1</v>
      </c>
      <c r="F3247" s="7">
        <v>249</v>
      </c>
      <c r="G3247" s="8">
        <v>0.05</v>
      </c>
      <c r="H3247" s="9" t="str">
        <f>INDEX(Products!$B$2:$B$37, MATCH(D3247, Products!$A$2:$A$37, 0))</f>
        <v>Sunglasses Polarised</v>
      </c>
      <c r="I3247" t="str">
        <f>INDEX(Products!$C$2:$C$37, MATCH(D3247, Products!$A$2:$A$37, 0))</f>
        <v>Fashion</v>
      </c>
      <c r="J3247">
        <f>INDEX(Products!$E$2:$E$37, MATCH(D3247, Products!$A$2:$A$37, 0))</f>
        <v>95</v>
      </c>
      <c r="K3247" s="9">
        <f t="shared" si="200"/>
        <v>236.54999999999998</v>
      </c>
      <c r="L3247">
        <f t="shared" si="201"/>
        <v>95</v>
      </c>
      <c r="M3247" s="9">
        <f t="shared" si="202"/>
        <v>141.54999999999998</v>
      </c>
      <c r="N3247" t="str">
        <f t="shared" si="203"/>
        <v>Oct</v>
      </c>
    </row>
    <row r="3248" spans="1:14" x14ac:dyDescent="0.3">
      <c r="A3248" s="2" t="s">
        <v>3314</v>
      </c>
      <c r="B3248" s="6">
        <v>45939</v>
      </c>
      <c r="C3248" s="2" t="s">
        <v>44</v>
      </c>
      <c r="D3248" s="2" t="s">
        <v>35</v>
      </c>
      <c r="E3248" s="2">
        <v>4</v>
      </c>
      <c r="F3248" s="7">
        <v>179</v>
      </c>
      <c r="G3248" s="8">
        <v>0.1</v>
      </c>
      <c r="H3248" s="9" t="str">
        <f>INDEX(Products!$B$2:$B$37, MATCH(D3248, Products!$A$2:$A$37, 0))</f>
        <v>Men's Linen Shirt</v>
      </c>
      <c r="I3248" t="str">
        <f>INDEX(Products!$C$2:$C$37, MATCH(D3248, Products!$A$2:$A$37, 0))</f>
        <v>Fashion</v>
      </c>
      <c r="J3248">
        <f>INDEX(Products!$E$2:$E$37, MATCH(D3248, Products!$A$2:$A$37, 0))</f>
        <v>70</v>
      </c>
      <c r="K3248" s="9">
        <f t="shared" si="200"/>
        <v>644.4</v>
      </c>
      <c r="L3248">
        <f t="shared" si="201"/>
        <v>280</v>
      </c>
      <c r="M3248" s="9">
        <f t="shared" si="202"/>
        <v>364.4</v>
      </c>
      <c r="N3248" t="str">
        <f t="shared" si="203"/>
        <v>Oct</v>
      </c>
    </row>
    <row r="3249" spans="1:14" x14ac:dyDescent="0.3">
      <c r="A3249" s="2" t="s">
        <v>3315</v>
      </c>
      <c r="B3249" s="6">
        <v>45940</v>
      </c>
      <c r="C3249" s="2" t="s">
        <v>48</v>
      </c>
      <c r="D3249" s="2" t="s">
        <v>49</v>
      </c>
      <c r="E3249" s="2">
        <v>1</v>
      </c>
      <c r="F3249" s="7">
        <v>149</v>
      </c>
      <c r="G3249" s="8">
        <v>0</v>
      </c>
      <c r="H3249" s="9" t="str">
        <f>INDEX(Products!$B$2:$B$37, MATCH(D3249, Products!$A$2:$A$37, 0))</f>
        <v>Kids' Sneakers</v>
      </c>
      <c r="I3249" t="str">
        <f>INDEX(Products!$C$2:$C$37, MATCH(D3249, Products!$A$2:$A$37, 0))</f>
        <v>Fashion</v>
      </c>
      <c r="J3249">
        <f>INDEX(Products!$E$2:$E$37, MATCH(D3249, Products!$A$2:$A$37, 0))</f>
        <v>80</v>
      </c>
      <c r="K3249" s="9">
        <f t="shared" si="200"/>
        <v>149</v>
      </c>
      <c r="L3249">
        <f t="shared" si="201"/>
        <v>80</v>
      </c>
      <c r="M3249" s="9">
        <f t="shared" si="202"/>
        <v>69</v>
      </c>
      <c r="N3249" t="str">
        <f t="shared" si="203"/>
        <v>Oct</v>
      </c>
    </row>
    <row r="3250" spans="1:14" x14ac:dyDescent="0.3">
      <c r="A3250" s="2" t="s">
        <v>3316</v>
      </c>
      <c r="B3250" s="6">
        <v>45940</v>
      </c>
      <c r="C3250" s="2" t="s">
        <v>41</v>
      </c>
      <c r="D3250" s="2" t="s">
        <v>33</v>
      </c>
      <c r="E3250" s="2">
        <v>3</v>
      </c>
      <c r="F3250" s="7">
        <v>199</v>
      </c>
      <c r="G3250" s="8">
        <v>0.25</v>
      </c>
      <c r="H3250" s="9" t="str">
        <f>INDEX(Products!$B$2:$B$37, MATCH(D3250, Products!$A$2:$A$37, 0))</f>
        <v>Fitness Band Lite</v>
      </c>
      <c r="I3250" t="str">
        <f>INDEX(Products!$C$2:$C$37, MATCH(D3250, Products!$A$2:$A$37, 0))</f>
        <v>Electronics</v>
      </c>
      <c r="J3250">
        <f>INDEX(Products!$E$2:$E$37, MATCH(D3250, Products!$A$2:$A$37, 0))</f>
        <v>175</v>
      </c>
      <c r="K3250" s="9">
        <f t="shared" si="200"/>
        <v>447.75</v>
      </c>
      <c r="L3250">
        <f t="shared" si="201"/>
        <v>525</v>
      </c>
      <c r="M3250" s="9">
        <f t="shared" si="202"/>
        <v>-77.25</v>
      </c>
      <c r="N3250" t="str">
        <f t="shared" si="203"/>
        <v>Oct</v>
      </c>
    </row>
    <row r="3251" spans="1:14" x14ac:dyDescent="0.3">
      <c r="A3251" s="2" t="s">
        <v>3317</v>
      </c>
      <c r="B3251" s="6">
        <v>45940</v>
      </c>
      <c r="C3251" s="2" t="s">
        <v>44</v>
      </c>
      <c r="D3251" s="2" t="s">
        <v>92</v>
      </c>
      <c r="E3251" s="2">
        <v>1</v>
      </c>
      <c r="F3251" s="7">
        <v>349</v>
      </c>
      <c r="G3251" s="8">
        <v>0.05</v>
      </c>
      <c r="H3251" s="9" t="str">
        <f>INDEX(Products!$B$2:$B$37, MATCH(D3251, Products!$A$2:$A$37, 0))</f>
        <v>Non-stick Cookware Set</v>
      </c>
      <c r="I3251" t="str">
        <f>INDEX(Products!$C$2:$C$37, MATCH(D3251, Products!$A$2:$A$37, 0))</f>
        <v>Home &amp; Kitchen</v>
      </c>
      <c r="J3251">
        <f>INDEX(Products!$E$2:$E$37, MATCH(D3251, Products!$A$2:$A$37, 0))</f>
        <v>170</v>
      </c>
      <c r="K3251" s="9">
        <f t="shared" si="200"/>
        <v>331.55</v>
      </c>
      <c r="L3251">
        <f t="shared" si="201"/>
        <v>170</v>
      </c>
      <c r="M3251" s="9">
        <f t="shared" si="202"/>
        <v>161.55000000000001</v>
      </c>
      <c r="N3251" t="str">
        <f t="shared" si="203"/>
        <v>Oct</v>
      </c>
    </row>
    <row r="3252" spans="1:14" x14ac:dyDescent="0.3">
      <c r="A3252" s="2" t="s">
        <v>3318</v>
      </c>
      <c r="B3252" s="6">
        <v>45940</v>
      </c>
      <c r="C3252" s="2" t="s">
        <v>44</v>
      </c>
      <c r="D3252" s="2" t="s">
        <v>56</v>
      </c>
      <c r="E3252" s="2">
        <v>3</v>
      </c>
      <c r="F3252" s="7">
        <v>289</v>
      </c>
      <c r="G3252" s="8">
        <v>0</v>
      </c>
      <c r="H3252" s="9" t="str">
        <f>INDEX(Products!$B$2:$B$37, MATCH(D3252, Products!$A$2:$A$37, 0))</f>
        <v>Ceramic Dinner Set</v>
      </c>
      <c r="I3252" t="str">
        <f>INDEX(Products!$C$2:$C$37, MATCH(D3252, Products!$A$2:$A$37, 0))</f>
        <v>Home &amp; Kitchen</v>
      </c>
      <c r="J3252">
        <f>INDEX(Products!$E$2:$E$37, MATCH(D3252, Products!$A$2:$A$37, 0))</f>
        <v>140</v>
      </c>
      <c r="K3252" s="9">
        <f t="shared" si="200"/>
        <v>867</v>
      </c>
      <c r="L3252">
        <f t="shared" si="201"/>
        <v>420</v>
      </c>
      <c r="M3252" s="9">
        <f t="shared" si="202"/>
        <v>447</v>
      </c>
      <c r="N3252" t="str">
        <f t="shared" si="203"/>
        <v>Oct</v>
      </c>
    </row>
    <row r="3253" spans="1:14" x14ac:dyDescent="0.3">
      <c r="A3253" s="2" t="s">
        <v>3319</v>
      </c>
      <c r="B3253" s="6">
        <v>45940</v>
      </c>
      <c r="C3253" s="2" t="s">
        <v>41</v>
      </c>
      <c r="D3253" s="2" t="s">
        <v>35</v>
      </c>
      <c r="E3253" s="2">
        <v>1</v>
      </c>
      <c r="F3253" s="7">
        <v>179</v>
      </c>
      <c r="G3253" s="8">
        <v>0</v>
      </c>
      <c r="H3253" s="9" t="str">
        <f>INDEX(Products!$B$2:$B$37, MATCH(D3253, Products!$A$2:$A$37, 0))</f>
        <v>Men's Linen Shirt</v>
      </c>
      <c r="I3253" t="str">
        <f>INDEX(Products!$C$2:$C$37, MATCH(D3253, Products!$A$2:$A$37, 0))</f>
        <v>Fashion</v>
      </c>
      <c r="J3253">
        <f>INDEX(Products!$E$2:$E$37, MATCH(D3253, Products!$A$2:$A$37, 0))</f>
        <v>70</v>
      </c>
      <c r="K3253" s="9">
        <f t="shared" si="200"/>
        <v>179</v>
      </c>
      <c r="L3253">
        <f t="shared" si="201"/>
        <v>70</v>
      </c>
      <c r="M3253" s="9">
        <f t="shared" si="202"/>
        <v>109</v>
      </c>
      <c r="N3253" t="str">
        <f t="shared" si="203"/>
        <v>Oct</v>
      </c>
    </row>
    <row r="3254" spans="1:14" x14ac:dyDescent="0.3">
      <c r="A3254" s="2" t="s">
        <v>3320</v>
      </c>
      <c r="B3254" s="6">
        <v>45940</v>
      </c>
      <c r="C3254" s="2" t="s">
        <v>48</v>
      </c>
      <c r="D3254" s="2" t="s">
        <v>33</v>
      </c>
      <c r="E3254" s="2">
        <v>2</v>
      </c>
      <c r="F3254" s="7">
        <v>199</v>
      </c>
      <c r="G3254" s="8">
        <v>0.15</v>
      </c>
      <c r="H3254" s="9" t="str">
        <f>INDEX(Products!$B$2:$B$37, MATCH(D3254, Products!$A$2:$A$37, 0))</f>
        <v>Fitness Band Lite</v>
      </c>
      <c r="I3254" t="str">
        <f>INDEX(Products!$C$2:$C$37, MATCH(D3254, Products!$A$2:$A$37, 0))</f>
        <v>Electronics</v>
      </c>
      <c r="J3254">
        <f>INDEX(Products!$E$2:$E$37, MATCH(D3254, Products!$A$2:$A$37, 0))</f>
        <v>175</v>
      </c>
      <c r="K3254" s="9">
        <f t="shared" si="200"/>
        <v>338.3</v>
      </c>
      <c r="L3254">
        <f t="shared" si="201"/>
        <v>350</v>
      </c>
      <c r="M3254" s="9">
        <f t="shared" si="202"/>
        <v>-11.699999999999989</v>
      </c>
      <c r="N3254" t="str">
        <f t="shared" si="203"/>
        <v>Oct</v>
      </c>
    </row>
    <row r="3255" spans="1:14" x14ac:dyDescent="0.3">
      <c r="A3255" s="2" t="s">
        <v>3321</v>
      </c>
      <c r="B3255" s="6">
        <v>45940</v>
      </c>
      <c r="C3255" s="2" t="s">
        <v>41</v>
      </c>
      <c r="D3255" s="2" t="s">
        <v>68</v>
      </c>
      <c r="E3255" s="2">
        <v>1</v>
      </c>
      <c r="F3255" s="7">
        <v>249</v>
      </c>
      <c r="G3255" s="8">
        <v>0.2</v>
      </c>
      <c r="H3255" s="9" t="str">
        <f>INDEX(Products!$B$2:$B$37, MATCH(D3255, Products!$A$2:$A$37, 0))</f>
        <v>Bluetooth Speaker Mini</v>
      </c>
      <c r="I3255" t="str">
        <f>INDEX(Products!$C$2:$C$37, MATCH(D3255, Products!$A$2:$A$37, 0))</f>
        <v>Electronics</v>
      </c>
      <c r="J3255">
        <f>INDEX(Products!$E$2:$E$37, MATCH(D3255, Products!$A$2:$A$37, 0))</f>
        <v>150</v>
      </c>
      <c r="K3255" s="9">
        <f t="shared" si="200"/>
        <v>199.20000000000002</v>
      </c>
      <c r="L3255">
        <f t="shared" si="201"/>
        <v>150</v>
      </c>
      <c r="M3255" s="9">
        <f t="shared" si="202"/>
        <v>49.200000000000017</v>
      </c>
      <c r="N3255" t="str">
        <f t="shared" si="203"/>
        <v>Oct</v>
      </c>
    </row>
    <row r="3256" spans="1:14" x14ac:dyDescent="0.3">
      <c r="A3256" s="2" t="s">
        <v>3322</v>
      </c>
      <c r="B3256" s="6">
        <v>45940</v>
      </c>
      <c r="C3256" s="2" t="s">
        <v>41</v>
      </c>
      <c r="D3256" s="2" t="s">
        <v>46</v>
      </c>
      <c r="E3256" s="2">
        <v>3</v>
      </c>
      <c r="F3256" s="7">
        <v>189</v>
      </c>
      <c r="G3256" s="8">
        <v>0</v>
      </c>
      <c r="H3256" s="9" t="str">
        <f>INDEX(Products!$B$2:$B$37, MATCH(D3256, Products!$A$2:$A$37, 0))</f>
        <v>Makeup Palette</v>
      </c>
      <c r="I3256" t="str">
        <f>INDEX(Products!$C$2:$C$37, MATCH(D3256, Products!$A$2:$A$37, 0))</f>
        <v>Beauty</v>
      </c>
      <c r="J3256">
        <f>INDEX(Products!$E$2:$E$37, MATCH(D3256, Products!$A$2:$A$37, 0))</f>
        <v>85</v>
      </c>
      <c r="K3256" s="9">
        <f t="shared" si="200"/>
        <v>567</v>
      </c>
      <c r="L3256">
        <f t="shared" si="201"/>
        <v>255</v>
      </c>
      <c r="M3256" s="9">
        <f t="shared" si="202"/>
        <v>312</v>
      </c>
      <c r="N3256" t="str">
        <f t="shared" si="203"/>
        <v>Oct</v>
      </c>
    </row>
    <row r="3257" spans="1:14" x14ac:dyDescent="0.3">
      <c r="A3257" s="2" t="s">
        <v>3323</v>
      </c>
      <c r="B3257" s="6">
        <v>45940</v>
      </c>
      <c r="C3257" s="2" t="s">
        <v>28</v>
      </c>
      <c r="D3257" s="2" t="s">
        <v>129</v>
      </c>
      <c r="E3257" s="2">
        <v>1</v>
      </c>
      <c r="F3257" s="7">
        <v>149</v>
      </c>
      <c r="G3257" s="8">
        <v>0.05</v>
      </c>
      <c r="H3257" s="9" t="str">
        <f>INDEX(Products!$B$2:$B$37, MATCH(D3257, Products!$A$2:$A$37, 0))</f>
        <v>Power Bank 20000mAh</v>
      </c>
      <c r="I3257" t="str">
        <f>INDEX(Products!$C$2:$C$37, MATCH(D3257, Products!$A$2:$A$37, 0))</f>
        <v>Electronics</v>
      </c>
      <c r="J3257">
        <f>INDEX(Products!$E$2:$E$37, MATCH(D3257, Products!$A$2:$A$37, 0))</f>
        <v>70</v>
      </c>
      <c r="K3257" s="9">
        <f t="shared" si="200"/>
        <v>141.54999999999998</v>
      </c>
      <c r="L3257">
        <f t="shared" si="201"/>
        <v>70</v>
      </c>
      <c r="M3257" s="9">
        <f t="shared" si="202"/>
        <v>71.549999999999983</v>
      </c>
      <c r="N3257" t="str">
        <f t="shared" si="203"/>
        <v>Oct</v>
      </c>
    </row>
    <row r="3258" spans="1:14" x14ac:dyDescent="0.3">
      <c r="A3258" s="2" t="s">
        <v>3324</v>
      </c>
      <c r="B3258" s="6">
        <v>45940</v>
      </c>
      <c r="C3258" s="2" t="s">
        <v>44</v>
      </c>
      <c r="D3258" s="2" t="s">
        <v>129</v>
      </c>
      <c r="E3258" s="2">
        <v>1</v>
      </c>
      <c r="F3258" s="7">
        <v>149</v>
      </c>
      <c r="G3258" s="8">
        <v>0</v>
      </c>
      <c r="H3258" s="9" t="str">
        <f>INDEX(Products!$B$2:$B$37, MATCH(D3258, Products!$A$2:$A$37, 0))</f>
        <v>Power Bank 20000mAh</v>
      </c>
      <c r="I3258" t="str">
        <f>INDEX(Products!$C$2:$C$37, MATCH(D3258, Products!$A$2:$A$37, 0))</f>
        <v>Electronics</v>
      </c>
      <c r="J3258">
        <f>INDEX(Products!$E$2:$E$37, MATCH(D3258, Products!$A$2:$A$37, 0))</f>
        <v>70</v>
      </c>
      <c r="K3258" s="9">
        <f t="shared" si="200"/>
        <v>149</v>
      </c>
      <c r="L3258">
        <f t="shared" si="201"/>
        <v>70</v>
      </c>
      <c r="M3258" s="9">
        <f t="shared" si="202"/>
        <v>79</v>
      </c>
      <c r="N3258" t="str">
        <f t="shared" si="203"/>
        <v>Oct</v>
      </c>
    </row>
    <row r="3259" spans="1:14" x14ac:dyDescent="0.3">
      <c r="A3259" s="2" t="s">
        <v>3325</v>
      </c>
      <c r="B3259" s="6">
        <v>45940</v>
      </c>
      <c r="C3259" s="2" t="s">
        <v>41</v>
      </c>
      <c r="D3259" s="2" t="s">
        <v>95</v>
      </c>
      <c r="E3259" s="2">
        <v>1</v>
      </c>
      <c r="F3259" s="7">
        <v>259</v>
      </c>
      <c r="G3259" s="8">
        <v>0</v>
      </c>
      <c r="H3259" s="9" t="str">
        <f>INDEX(Products!$B$2:$B$37, MATCH(D3259, Products!$A$2:$A$37, 0))</f>
        <v>Bed Linen Set (King)</v>
      </c>
      <c r="I3259" t="str">
        <f>INDEX(Products!$C$2:$C$37, MATCH(D3259, Products!$A$2:$A$37, 0))</f>
        <v>Home &amp; Kitchen</v>
      </c>
      <c r="J3259">
        <f>INDEX(Products!$E$2:$E$37, MATCH(D3259, Products!$A$2:$A$37, 0))</f>
        <v>115</v>
      </c>
      <c r="K3259" s="9">
        <f t="shared" si="200"/>
        <v>259</v>
      </c>
      <c r="L3259">
        <f t="shared" si="201"/>
        <v>115</v>
      </c>
      <c r="M3259" s="9">
        <f t="shared" si="202"/>
        <v>144</v>
      </c>
      <c r="N3259" t="str">
        <f t="shared" si="203"/>
        <v>Oct</v>
      </c>
    </row>
    <row r="3260" spans="1:14" x14ac:dyDescent="0.3">
      <c r="A3260" s="2" t="s">
        <v>3326</v>
      </c>
      <c r="B3260" s="6">
        <v>45940</v>
      </c>
      <c r="C3260" s="2" t="s">
        <v>41</v>
      </c>
      <c r="D3260" s="2" t="s">
        <v>35</v>
      </c>
      <c r="E3260" s="2">
        <v>1</v>
      </c>
      <c r="F3260" s="7">
        <v>179</v>
      </c>
      <c r="G3260" s="8">
        <v>0.05</v>
      </c>
      <c r="H3260" s="9" t="str">
        <f>INDEX(Products!$B$2:$B$37, MATCH(D3260, Products!$A$2:$A$37, 0))</f>
        <v>Men's Linen Shirt</v>
      </c>
      <c r="I3260" t="str">
        <f>INDEX(Products!$C$2:$C$37, MATCH(D3260, Products!$A$2:$A$37, 0))</f>
        <v>Fashion</v>
      </c>
      <c r="J3260">
        <f>INDEX(Products!$E$2:$E$37, MATCH(D3260, Products!$A$2:$A$37, 0))</f>
        <v>70</v>
      </c>
      <c r="K3260" s="9">
        <f t="shared" si="200"/>
        <v>170.04999999999998</v>
      </c>
      <c r="L3260">
        <f t="shared" si="201"/>
        <v>70</v>
      </c>
      <c r="M3260" s="9">
        <f t="shared" si="202"/>
        <v>100.04999999999998</v>
      </c>
      <c r="N3260" t="str">
        <f t="shared" si="203"/>
        <v>Oct</v>
      </c>
    </row>
    <row r="3261" spans="1:14" x14ac:dyDescent="0.3">
      <c r="A3261" s="2" t="s">
        <v>3327</v>
      </c>
      <c r="B3261" s="6">
        <v>45940</v>
      </c>
      <c r="C3261" s="2" t="s">
        <v>28</v>
      </c>
      <c r="D3261" s="2" t="s">
        <v>165</v>
      </c>
      <c r="E3261" s="2">
        <v>1</v>
      </c>
      <c r="F3261" s="7">
        <v>69</v>
      </c>
      <c r="G3261" s="8">
        <v>0.3</v>
      </c>
      <c r="H3261" s="9" t="str">
        <f>INDEX(Products!$B$2:$B$37, MATCH(D3261, Products!$A$2:$A$37, 0))</f>
        <v>Swim Goggles</v>
      </c>
      <c r="I3261" t="str">
        <f>INDEX(Products!$C$2:$C$37, MATCH(D3261, Products!$A$2:$A$37, 0))</f>
        <v>Sports</v>
      </c>
      <c r="J3261">
        <f>INDEX(Products!$E$2:$E$37, MATCH(D3261, Products!$A$2:$A$37, 0))</f>
        <v>25</v>
      </c>
      <c r="K3261" s="9">
        <f t="shared" si="200"/>
        <v>48.3</v>
      </c>
      <c r="L3261">
        <f t="shared" si="201"/>
        <v>25</v>
      </c>
      <c r="M3261" s="9">
        <f t="shared" si="202"/>
        <v>23.299999999999997</v>
      </c>
      <c r="N3261" t="str">
        <f t="shared" si="203"/>
        <v>Oct</v>
      </c>
    </row>
    <row r="3262" spans="1:14" x14ac:dyDescent="0.3">
      <c r="A3262" s="2" t="s">
        <v>3328</v>
      </c>
      <c r="B3262" s="6">
        <v>45940</v>
      </c>
      <c r="C3262" s="2" t="s">
        <v>44</v>
      </c>
      <c r="D3262" s="2" t="s">
        <v>46</v>
      </c>
      <c r="E3262" s="2">
        <v>3</v>
      </c>
      <c r="F3262" s="7">
        <v>189</v>
      </c>
      <c r="G3262" s="8">
        <v>0</v>
      </c>
      <c r="H3262" s="9" t="str">
        <f>INDEX(Products!$B$2:$B$37, MATCH(D3262, Products!$A$2:$A$37, 0))</f>
        <v>Makeup Palette</v>
      </c>
      <c r="I3262" t="str">
        <f>INDEX(Products!$C$2:$C$37, MATCH(D3262, Products!$A$2:$A$37, 0))</f>
        <v>Beauty</v>
      </c>
      <c r="J3262">
        <f>INDEX(Products!$E$2:$E$37, MATCH(D3262, Products!$A$2:$A$37, 0))</f>
        <v>85</v>
      </c>
      <c r="K3262" s="9">
        <f t="shared" si="200"/>
        <v>567</v>
      </c>
      <c r="L3262">
        <f t="shared" si="201"/>
        <v>255</v>
      </c>
      <c r="M3262" s="9">
        <f t="shared" si="202"/>
        <v>312</v>
      </c>
      <c r="N3262" t="str">
        <f t="shared" si="203"/>
        <v>Oct</v>
      </c>
    </row>
    <row r="3263" spans="1:14" x14ac:dyDescent="0.3">
      <c r="A3263" s="2" t="s">
        <v>3329</v>
      </c>
      <c r="B3263" s="6">
        <v>45941</v>
      </c>
      <c r="C3263" s="2" t="s">
        <v>44</v>
      </c>
      <c r="D3263" s="2" t="s">
        <v>68</v>
      </c>
      <c r="E3263" s="2">
        <v>2</v>
      </c>
      <c r="F3263" s="7">
        <v>249</v>
      </c>
      <c r="G3263" s="8">
        <v>0.05</v>
      </c>
      <c r="H3263" s="9" t="str">
        <f>INDEX(Products!$B$2:$B$37, MATCH(D3263, Products!$A$2:$A$37, 0))</f>
        <v>Bluetooth Speaker Mini</v>
      </c>
      <c r="I3263" t="str">
        <f>INDEX(Products!$C$2:$C$37, MATCH(D3263, Products!$A$2:$A$37, 0))</f>
        <v>Electronics</v>
      </c>
      <c r="J3263">
        <f>INDEX(Products!$E$2:$E$37, MATCH(D3263, Products!$A$2:$A$37, 0))</f>
        <v>150</v>
      </c>
      <c r="K3263" s="9">
        <f t="shared" si="200"/>
        <v>473.09999999999997</v>
      </c>
      <c r="L3263">
        <f t="shared" si="201"/>
        <v>300</v>
      </c>
      <c r="M3263" s="9">
        <f t="shared" si="202"/>
        <v>173.09999999999997</v>
      </c>
      <c r="N3263" t="str">
        <f t="shared" si="203"/>
        <v>Oct</v>
      </c>
    </row>
    <row r="3264" spans="1:14" x14ac:dyDescent="0.3">
      <c r="A3264" s="2" t="s">
        <v>3330</v>
      </c>
      <c r="B3264" s="6">
        <v>45941</v>
      </c>
      <c r="C3264" s="2" t="s">
        <v>28</v>
      </c>
      <c r="D3264" s="2" t="s">
        <v>37</v>
      </c>
      <c r="E3264" s="2">
        <v>1</v>
      </c>
      <c r="F3264" s="7">
        <v>249</v>
      </c>
      <c r="G3264" s="8">
        <v>0.1</v>
      </c>
      <c r="H3264" s="9" t="str">
        <f>INDEX(Products!$B$2:$B$37, MATCH(D3264, Products!$A$2:$A$37, 0))</f>
        <v>Sunglasses Polarised</v>
      </c>
      <c r="I3264" t="str">
        <f>INDEX(Products!$C$2:$C$37, MATCH(D3264, Products!$A$2:$A$37, 0))</f>
        <v>Fashion</v>
      </c>
      <c r="J3264">
        <f>INDEX(Products!$E$2:$E$37, MATCH(D3264, Products!$A$2:$A$37, 0))</f>
        <v>95</v>
      </c>
      <c r="K3264" s="9">
        <f t="shared" si="200"/>
        <v>224.1</v>
      </c>
      <c r="L3264">
        <f t="shared" si="201"/>
        <v>95</v>
      </c>
      <c r="M3264" s="9">
        <f t="shared" si="202"/>
        <v>129.1</v>
      </c>
      <c r="N3264" t="str">
        <f t="shared" si="203"/>
        <v>Oct</v>
      </c>
    </row>
    <row r="3265" spans="1:14" x14ac:dyDescent="0.3">
      <c r="A3265" s="2" t="s">
        <v>3331</v>
      </c>
      <c r="B3265" s="6">
        <v>45941</v>
      </c>
      <c r="C3265" s="2" t="s">
        <v>31</v>
      </c>
      <c r="D3265" s="2" t="s">
        <v>46</v>
      </c>
      <c r="E3265" s="2">
        <v>4</v>
      </c>
      <c r="F3265" s="7">
        <v>189</v>
      </c>
      <c r="G3265" s="8">
        <v>0</v>
      </c>
      <c r="H3265" s="9" t="str">
        <f>INDEX(Products!$B$2:$B$37, MATCH(D3265, Products!$A$2:$A$37, 0))</f>
        <v>Makeup Palette</v>
      </c>
      <c r="I3265" t="str">
        <f>INDEX(Products!$C$2:$C$37, MATCH(D3265, Products!$A$2:$A$37, 0))</f>
        <v>Beauty</v>
      </c>
      <c r="J3265">
        <f>INDEX(Products!$E$2:$E$37, MATCH(D3265, Products!$A$2:$A$37, 0))</f>
        <v>85</v>
      </c>
      <c r="K3265" s="9">
        <f t="shared" si="200"/>
        <v>756</v>
      </c>
      <c r="L3265">
        <f t="shared" si="201"/>
        <v>340</v>
      </c>
      <c r="M3265" s="9">
        <f t="shared" si="202"/>
        <v>416</v>
      </c>
      <c r="N3265" t="str">
        <f t="shared" si="203"/>
        <v>Oct</v>
      </c>
    </row>
    <row r="3266" spans="1:14" x14ac:dyDescent="0.3">
      <c r="A3266" s="2" t="s">
        <v>3332</v>
      </c>
      <c r="B3266" s="6">
        <v>45941</v>
      </c>
      <c r="C3266" s="2" t="s">
        <v>44</v>
      </c>
      <c r="D3266" s="2" t="s">
        <v>37</v>
      </c>
      <c r="E3266" s="2">
        <v>1</v>
      </c>
      <c r="F3266" s="7">
        <v>249</v>
      </c>
      <c r="G3266" s="8">
        <v>0</v>
      </c>
      <c r="H3266" s="9" t="str">
        <f>INDEX(Products!$B$2:$B$37, MATCH(D3266, Products!$A$2:$A$37, 0))</f>
        <v>Sunglasses Polarised</v>
      </c>
      <c r="I3266" t="str">
        <f>INDEX(Products!$C$2:$C$37, MATCH(D3266, Products!$A$2:$A$37, 0))</f>
        <v>Fashion</v>
      </c>
      <c r="J3266">
        <f>INDEX(Products!$E$2:$E$37, MATCH(D3266, Products!$A$2:$A$37, 0))</f>
        <v>95</v>
      </c>
      <c r="K3266" s="9">
        <f t="shared" ref="K3266:K3329" si="204">E3266*F3266*(1-G3266)</f>
        <v>249</v>
      </c>
      <c r="L3266">
        <f t="shared" ref="L3266:L3329" si="205">E3266*J3266</f>
        <v>95</v>
      </c>
      <c r="M3266" s="9">
        <f t="shared" ref="M3266:M3329" si="206">K3266-L3266</f>
        <v>154</v>
      </c>
      <c r="N3266" t="str">
        <f t="shared" ref="N3266:N3329" si="207">TEXT(B3266,"mmm")</f>
        <v>Oct</v>
      </c>
    </row>
    <row r="3267" spans="1:14" x14ac:dyDescent="0.3">
      <c r="A3267" s="2" t="s">
        <v>3333</v>
      </c>
      <c r="B3267" s="6">
        <v>45941</v>
      </c>
      <c r="C3267" s="2" t="s">
        <v>44</v>
      </c>
      <c r="D3267" s="2" t="s">
        <v>60</v>
      </c>
      <c r="E3267" s="2">
        <v>1</v>
      </c>
      <c r="F3267" s="7">
        <v>99</v>
      </c>
      <c r="G3267" s="8">
        <v>0</v>
      </c>
      <c r="H3267" s="9" t="str">
        <f>INDEX(Products!$B$2:$B$37, MATCH(D3267, Products!$A$2:$A$37, 0))</f>
        <v>Football Size 5</v>
      </c>
      <c r="I3267" t="str">
        <f>INDEX(Products!$C$2:$C$37, MATCH(D3267, Products!$A$2:$A$37, 0))</f>
        <v>Sports</v>
      </c>
      <c r="J3267">
        <f>INDEX(Products!$E$2:$E$37, MATCH(D3267, Products!$A$2:$A$37, 0))</f>
        <v>45</v>
      </c>
      <c r="K3267" s="9">
        <f t="shared" si="204"/>
        <v>99</v>
      </c>
      <c r="L3267">
        <f t="shared" si="205"/>
        <v>45</v>
      </c>
      <c r="M3267" s="9">
        <f t="shared" si="206"/>
        <v>54</v>
      </c>
      <c r="N3267" t="str">
        <f t="shared" si="207"/>
        <v>Oct</v>
      </c>
    </row>
    <row r="3268" spans="1:14" x14ac:dyDescent="0.3">
      <c r="A3268" s="2" t="s">
        <v>3334</v>
      </c>
      <c r="B3268" s="6">
        <v>45941</v>
      </c>
      <c r="C3268" s="2" t="s">
        <v>48</v>
      </c>
      <c r="D3268" s="2" t="s">
        <v>131</v>
      </c>
      <c r="E3268" s="2">
        <v>1</v>
      </c>
      <c r="F3268" s="7">
        <v>899</v>
      </c>
      <c r="G3268" s="8">
        <v>0.2</v>
      </c>
      <c r="H3268" s="9" t="str">
        <f>INDEX(Products!$B$2:$B$37, MATCH(D3268, Products!$A$2:$A$37, 0))</f>
        <v>4K Action Camera</v>
      </c>
      <c r="I3268" t="str">
        <f>INDEX(Products!$C$2:$C$37, MATCH(D3268, Products!$A$2:$A$37, 0))</f>
        <v>Electronics</v>
      </c>
      <c r="J3268">
        <f>INDEX(Products!$E$2:$E$37, MATCH(D3268, Products!$A$2:$A$37, 0))</f>
        <v>610</v>
      </c>
      <c r="K3268" s="9">
        <f t="shared" si="204"/>
        <v>719.2</v>
      </c>
      <c r="L3268">
        <f t="shared" si="205"/>
        <v>610</v>
      </c>
      <c r="M3268" s="9">
        <f t="shared" si="206"/>
        <v>109.20000000000005</v>
      </c>
      <c r="N3268" t="str">
        <f t="shared" si="207"/>
        <v>Oct</v>
      </c>
    </row>
    <row r="3269" spans="1:14" x14ac:dyDescent="0.3">
      <c r="A3269" s="2" t="s">
        <v>3335</v>
      </c>
      <c r="B3269" s="6">
        <v>45941</v>
      </c>
      <c r="C3269" s="2" t="s">
        <v>41</v>
      </c>
      <c r="D3269" s="2" t="s">
        <v>149</v>
      </c>
      <c r="E3269" s="2">
        <v>2</v>
      </c>
      <c r="F3269" s="7">
        <v>399</v>
      </c>
      <c r="G3269" s="8">
        <v>0.2</v>
      </c>
      <c r="H3269" s="9" t="str">
        <f>INDEX(Products!$B$2:$B$37, MATCH(D3269, Products!$A$2:$A$37, 0))</f>
        <v>Blender Pro 1200W</v>
      </c>
      <c r="I3269" t="str">
        <f>INDEX(Products!$C$2:$C$37, MATCH(D3269, Products!$A$2:$A$37, 0))</f>
        <v>Home &amp; Kitchen</v>
      </c>
      <c r="J3269">
        <f>INDEX(Products!$E$2:$E$37, MATCH(D3269, Products!$A$2:$A$37, 0))</f>
        <v>250</v>
      </c>
      <c r="K3269" s="9">
        <f t="shared" si="204"/>
        <v>638.40000000000009</v>
      </c>
      <c r="L3269">
        <f t="shared" si="205"/>
        <v>500</v>
      </c>
      <c r="M3269" s="9">
        <f t="shared" si="206"/>
        <v>138.40000000000009</v>
      </c>
      <c r="N3269" t="str">
        <f t="shared" si="207"/>
        <v>Oct</v>
      </c>
    </row>
    <row r="3270" spans="1:14" x14ac:dyDescent="0.3">
      <c r="A3270" s="2" t="s">
        <v>3336</v>
      </c>
      <c r="B3270" s="6">
        <v>45941</v>
      </c>
      <c r="C3270" s="2" t="s">
        <v>28</v>
      </c>
      <c r="D3270" s="2" t="s">
        <v>70</v>
      </c>
      <c r="E3270" s="2">
        <v>1</v>
      </c>
      <c r="F3270" s="7">
        <v>429</v>
      </c>
      <c r="G3270" s="8">
        <v>0.1</v>
      </c>
      <c r="H3270" s="9" t="str">
        <f>INDEX(Products!$B$2:$B$37, MATCH(D3270, Products!$A$2:$A$37, 0))</f>
        <v>Running Shoes Elite</v>
      </c>
      <c r="I3270" t="str">
        <f>INDEX(Products!$C$2:$C$37, MATCH(D3270, Products!$A$2:$A$37, 0))</f>
        <v>Fashion</v>
      </c>
      <c r="J3270">
        <f>INDEX(Products!$E$2:$E$37, MATCH(D3270, Products!$A$2:$A$37, 0))</f>
        <v>300</v>
      </c>
      <c r="K3270" s="9">
        <f t="shared" si="204"/>
        <v>386.1</v>
      </c>
      <c r="L3270">
        <f t="shared" si="205"/>
        <v>300</v>
      </c>
      <c r="M3270" s="9">
        <f t="shared" si="206"/>
        <v>86.100000000000023</v>
      </c>
      <c r="N3270" t="str">
        <f t="shared" si="207"/>
        <v>Oct</v>
      </c>
    </row>
    <row r="3271" spans="1:14" x14ac:dyDescent="0.3">
      <c r="A3271" s="2" t="s">
        <v>3337</v>
      </c>
      <c r="B3271" s="6">
        <v>45941</v>
      </c>
      <c r="C3271" s="2" t="s">
        <v>28</v>
      </c>
      <c r="D3271" s="2" t="s">
        <v>83</v>
      </c>
      <c r="E3271" s="2">
        <v>1</v>
      </c>
      <c r="F3271" s="7">
        <v>229</v>
      </c>
      <c r="G3271" s="8">
        <v>0.1</v>
      </c>
      <c r="H3271" s="9" t="str">
        <f>INDEX(Products!$B$2:$B$37, MATCH(D3271, Products!$A$2:$A$37, 0))</f>
        <v>Cycling Helmet</v>
      </c>
      <c r="I3271" t="str">
        <f>INDEX(Products!$C$2:$C$37, MATCH(D3271, Products!$A$2:$A$37, 0))</f>
        <v>Sports</v>
      </c>
      <c r="J3271">
        <f>INDEX(Products!$E$2:$E$37, MATCH(D3271, Products!$A$2:$A$37, 0))</f>
        <v>120</v>
      </c>
      <c r="K3271" s="9">
        <f t="shared" si="204"/>
        <v>206.1</v>
      </c>
      <c r="L3271">
        <f t="shared" si="205"/>
        <v>120</v>
      </c>
      <c r="M3271" s="9">
        <f t="shared" si="206"/>
        <v>86.1</v>
      </c>
      <c r="N3271" t="str">
        <f t="shared" si="207"/>
        <v>Oct</v>
      </c>
    </row>
    <row r="3272" spans="1:14" x14ac:dyDescent="0.3">
      <c r="A3272" s="2" t="s">
        <v>3338</v>
      </c>
      <c r="B3272" s="6">
        <v>45941</v>
      </c>
      <c r="C3272" s="2" t="s">
        <v>41</v>
      </c>
      <c r="D3272" s="2" t="s">
        <v>99</v>
      </c>
      <c r="E3272" s="2">
        <v>1</v>
      </c>
      <c r="F3272" s="7">
        <v>459</v>
      </c>
      <c r="G3272" s="8">
        <v>0.05</v>
      </c>
      <c r="H3272" s="9" t="str">
        <f>INDEX(Products!$B$2:$B$37, MATCH(D3272, Products!$A$2:$A$37, 0))</f>
        <v>Gaming Headset X</v>
      </c>
      <c r="I3272" t="str">
        <f>INDEX(Products!$C$2:$C$37, MATCH(D3272, Products!$A$2:$A$37, 0))</f>
        <v>Electronics</v>
      </c>
      <c r="J3272">
        <f>INDEX(Products!$E$2:$E$37, MATCH(D3272, Products!$A$2:$A$37, 0))</f>
        <v>300</v>
      </c>
      <c r="K3272" s="9">
        <f t="shared" si="204"/>
        <v>436.04999999999995</v>
      </c>
      <c r="L3272">
        <f t="shared" si="205"/>
        <v>300</v>
      </c>
      <c r="M3272" s="9">
        <f t="shared" si="206"/>
        <v>136.04999999999995</v>
      </c>
      <c r="N3272" t="str">
        <f t="shared" si="207"/>
        <v>Oct</v>
      </c>
    </row>
    <row r="3273" spans="1:14" x14ac:dyDescent="0.3">
      <c r="A3273" s="2" t="s">
        <v>3339</v>
      </c>
      <c r="B3273" s="6">
        <v>45941</v>
      </c>
      <c r="C3273" s="2" t="s">
        <v>44</v>
      </c>
      <c r="D3273" s="2" t="s">
        <v>52</v>
      </c>
      <c r="E3273" s="2">
        <v>1</v>
      </c>
      <c r="F3273" s="7">
        <v>299</v>
      </c>
      <c r="G3273" s="8">
        <v>0.2</v>
      </c>
      <c r="H3273" s="9" t="str">
        <f>INDEX(Products!$B$2:$B$37, MATCH(D3273, Products!$A$2:$A$37, 0))</f>
        <v>Hair Dryer Ionic</v>
      </c>
      <c r="I3273" t="str">
        <f>INDEX(Products!$C$2:$C$37, MATCH(D3273, Products!$A$2:$A$37, 0))</f>
        <v>Beauty</v>
      </c>
      <c r="J3273">
        <f>INDEX(Products!$E$2:$E$37, MATCH(D3273, Products!$A$2:$A$37, 0))</f>
        <v>240</v>
      </c>
      <c r="K3273" s="9">
        <f t="shared" si="204"/>
        <v>239.20000000000002</v>
      </c>
      <c r="L3273">
        <f t="shared" si="205"/>
        <v>240</v>
      </c>
      <c r="M3273" s="9">
        <f t="shared" si="206"/>
        <v>-0.79999999999998295</v>
      </c>
      <c r="N3273" t="str">
        <f t="shared" si="207"/>
        <v>Oct</v>
      </c>
    </row>
    <row r="3274" spans="1:14" x14ac:dyDescent="0.3">
      <c r="A3274" s="2" t="s">
        <v>3340</v>
      </c>
      <c r="B3274" s="6">
        <v>45941</v>
      </c>
      <c r="C3274" s="2" t="s">
        <v>44</v>
      </c>
      <c r="D3274" s="2" t="s">
        <v>80</v>
      </c>
      <c r="E3274" s="2">
        <v>2</v>
      </c>
      <c r="F3274" s="7">
        <v>149</v>
      </c>
      <c r="G3274" s="8">
        <v>0.05</v>
      </c>
      <c r="H3274" s="9" t="str">
        <f>INDEX(Products!$B$2:$B$37, MATCH(D3274, Products!$A$2:$A$37, 0))</f>
        <v>Vitamin C Serum</v>
      </c>
      <c r="I3274" t="str">
        <f>INDEX(Products!$C$2:$C$37, MATCH(D3274, Products!$A$2:$A$37, 0))</f>
        <v>Beauty</v>
      </c>
      <c r="J3274">
        <f>INDEX(Products!$E$2:$E$37, MATCH(D3274, Products!$A$2:$A$37, 0))</f>
        <v>55</v>
      </c>
      <c r="K3274" s="9">
        <f t="shared" si="204"/>
        <v>283.09999999999997</v>
      </c>
      <c r="L3274">
        <f t="shared" si="205"/>
        <v>110</v>
      </c>
      <c r="M3274" s="9">
        <f t="shared" si="206"/>
        <v>173.09999999999997</v>
      </c>
      <c r="N3274" t="str">
        <f t="shared" si="207"/>
        <v>Oct</v>
      </c>
    </row>
    <row r="3275" spans="1:14" x14ac:dyDescent="0.3">
      <c r="A3275" s="2" t="s">
        <v>3341</v>
      </c>
      <c r="B3275" s="6">
        <v>45941</v>
      </c>
      <c r="C3275" s="2" t="s">
        <v>31</v>
      </c>
      <c r="D3275" s="2" t="s">
        <v>165</v>
      </c>
      <c r="E3275" s="2">
        <v>1</v>
      </c>
      <c r="F3275" s="7">
        <v>69</v>
      </c>
      <c r="G3275" s="8">
        <v>0</v>
      </c>
      <c r="H3275" s="9" t="str">
        <f>INDEX(Products!$B$2:$B$37, MATCH(D3275, Products!$A$2:$A$37, 0))</f>
        <v>Swim Goggles</v>
      </c>
      <c r="I3275" t="str">
        <f>INDEX(Products!$C$2:$C$37, MATCH(D3275, Products!$A$2:$A$37, 0))</f>
        <v>Sports</v>
      </c>
      <c r="J3275">
        <f>INDEX(Products!$E$2:$E$37, MATCH(D3275, Products!$A$2:$A$37, 0))</f>
        <v>25</v>
      </c>
      <c r="K3275" s="9">
        <f t="shared" si="204"/>
        <v>69</v>
      </c>
      <c r="L3275">
        <f t="shared" si="205"/>
        <v>25</v>
      </c>
      <c r="M3275" s="9">
        <f t="shared" si="206"/>
        <v>44</v>
      </c>
      <c r="N3275" t="str">
        <f t="shared" si="207"/>
        <v>Oct</v>
      </c>
    </row>
    <row r="3276" spans="1:14" x14ac:dyDescent="0.3">
      <c r="A3276" s="2" t="s">
        <v>3342</v>
      </c>
      <c r="B3276" s="6">
        <v>45941</v>
      </c>
      <c r="C3276" s="2" t="s">
        <v>44</v>
      </c>
      <c r="D3276" s="2" t="s">
        <v>46</v>
      </c>
      <c r="E3276" s="2">
        <v>1</v>
      </c>
      <c r="F3276" s="7">
        <v>189</v>
      </c>
      <c r="G3276" s="8">
        <v>0</v>
      </c>
      <c r="H3276" s="9" t="str">
        <f>INDEX(Products!$B$2:$B$37, MATCH(D3276, Products!$A$2:$A$37, 0))</f>
        <v>Makeup Palette</v>
      </c>
      <c r="I3276" t="str">
        <f>INDEX(Products!$C$2:$C$37, MATCH(D3276, Products!$A$2:$A$37, 0))</f>
        <v>Beauty</v>
      </c>
      <c r="J3276">
        <f>INDEX(Products!$E$2:$E$37, MATCH(D3276, Products!$A$2:$A$37, 0))</f>
        <v>85</v>
      </c>
      <c r="K3276" s="9">
        <f t="shared" si="204"/>
        <v>189</v>
      </c>
      <c r="L3276">
        <f t="shared" si="205"/>
        <v>85</v>
      </c>
      <c r="M3276" s="9">
        <f t="shared" si="206"/>
        <v>104</v>
      </c>
      <c r="N3276" t="str">
        <f t="shared" si="207"/>
        <v>Oct</v>
      </c>
    </row>
    <row r="3277" spans="1:14" x14ac:dyDescent="0.3">
      <c r="A3277" s="2" t="s">
        <v>3343</v>
      </c>
      <c r="B3277" s="6">
        <v>45941</v>
      </c>
      <c r="C3277" s="2" t="s">
        <v>41</v>
      </c>
      <c r="D3277" s="2" t="s">
        <v>46</v>
      </c>
      <c r="E3277" s="2">
        <v>1</v>
      </c>
      <c r="F3277" s="7">
        <v>189</v>
      </c>
      <c r="G3277" s="8">
        <v>0.15</v>
      </c>
      <c r="H3277" s="9" t="str">
        <f>INDEX(Products!$B$2:$B$37, MATCH(D3277, Products!$A$2:$A$37, 0))</f>
        <v>Makeup Palette</v>
      </c>
      <c r="I3277" t="str">
        <f>INDEX(Products!$C$2:$C$37, MATCH(D3277, Products!$A$2:$A$37, 0))</f>
        <v>Beauty</v>
      </c>
      <c r="J3277">
        <f>INDEX(Products!$E$2:$E$37, MATCH(D3277, Products!$A$2:$A$37, 0))</f>
        <v>85</v>
      </c>
      <c r="K3277" s="9">
        <f t="shared" si="204"/>
        <v>160.65</v>
      </c>
      <c r="L3277">
        <f t="shared" si="205"/>
        <v>85</v>
      </c>
      <c r="M3277" s="9">
        <f t="shared" si="206"/>
        <v>75.650000000000006</v>
      </c>
      <c r="N3277" t="str">
        <f t="shared" si="207"/>
        <v>Oct</v>
      </c>
    </row>
    <row r="3278" spans="1:14" x14ac:dyDescent="0.3">
      <c r="A3278" s="2" t="s">
        <v>3344</v>
      </c>
      <c r="B3278" s="6">
        <v>45942</v>
      </c>
      <c r="C3278" s="2" t="s">
        <v>41</v>
      </c>
      <c r="D3278" s="2" t="s">
        <v>46</v>
      </c>
      <c r="E3278" s="2">
        <v>1</v>
      </c>
      <c r="F3278" s="7">
        <v>189</v>
      </c>
      <c r="G3278" s="8">
        <v>0.2</v>
      </c>
      <c r="H3278" s="9" t="str">
        <f>INDEX(Products!$B$2:$B$37, MATCH(D3278, Products!$A$2:$A$37, 0))</f>
        <v>Makeup Palette</v>
      </c>
      <c r="I3278" t="str">
        <f>INDEX(Products!$C$2:$C$37, MATCH(D3278, Products!$A$2:$A$37, 0))</f>
        <v>Beauty</v>
      </c>
      <c r="J3278">
        <f>INDEX(Products!$E$2:$E$37, MATCH(D3278, Products!$A$2:$A$37, 0))</f>
        <v>85</v>
      </c>
      <c r="K3278" s="9">
        <f t="shared" si="204"/>
        <v>151.20000000000002</v>
      </c>
      <c r="L3278">
        <f t="shared" si="205"/>
        <v>85</v>
      </c>
      <c r="M3278" s="9">
        <f t="shared" si="206"/>
        <v>66.200000000000017</v>
      </c>
      <c r="N3278" t="str">
        <f t="shared" si="207"/>
        <v>Oct</v>
      </c>
    </row>
    <row r="3279" spans="1:14" x14ac:dyDescent="0.3">
      <c r="A3279" s="2" t="s">
        <v>3345</v>
      </c>
      <c r="B3279" s="6">
        <v>45942</v>
      </c>
      <c r="C3279" s="2" t="s">
        <v>41</v>
      </c>
      <c r="D3279" s="2" t="s">
        <v>56</v>
      </c>
      <c r="E3279" s="2">
        <v>1</v>
      </c>
      <c r="F3279" s="7">
        <v>289</v>
      </c>
      <c r="G3279" s="8">
        <v>0.2</v>
      </c>
      <c r="H3279" s="9" t="str">
        <f>INDEX(Products!$B$2:$B$37, MATCH(D3279, Products!$A$2:$A$37, 0))</f>
        <v>Ceramic Dinner Set</v>
      </c>
      <c r="I3279" t="str">
        <f>INDEX(Products!$C$2:$C$37, MATCH(D3279, Products!$A$2:$A$37, 0))</f>
        <v>Home &amp; Kitchen</v>
      </c>
      <c r="J3279">
        <f>INDEX(Products!$E$2:$E$37, MATCH(D3279, Products!$A$2:$A$37, 0))</f>
        <v>140</v>
      </c>
      <c r="K3279" s="9">
        <f t="shared" si="204"/>
        <v>231.20000000000002</v>
      </c>
      <c r="L3279">
        <f t="shared" si="205"/>
        <v>140</v>
      </c>
      <c r="M3279" s="9">
        <f t="shared" si="206"/>
        <v>91.200000000000017</v>
      </c>
      <c r="N3279" t="str">
        <f t="shared" si="207"/>
        <v>Oct</v>
      </c>
    </row>
    <row r="3280" spans="1:14" x14ac:dyDescent="0.3">
      <c r="A3280" s="2" t="s">
        <v>3346</v>
      </c>
      <c r="B3280" s="6">
        <v>45942</v>
      </c>
      <c r="C3280" s="2" t="s">
        <v>31</v>
      </c>
      <c r="D3280" s="2" t="s">
        <v>129</v>
      </c>
      <c r="E3280" s="2">
        <v>4</v>
      </c>
      <c r="F3280" s="7">
        <v>149</v>
      </c>
      <c r="G3280" s="8">
        <v>0</v>
      </c>
      <c r="H3280" s="9" t="str">
        <f>INDEX(Products!$B$2:$B$37, MATCH(D3280, Products!$A$2:$A$37, 0))</f>
        <v>Power Bank 20000mAh</v>
      </c>
      <c r="I3280" t="str">
        <f>INDEX(Products!$C$2:$C$37, MATCH(D3280, Products!$A$2:$A$37, 0))</f>
        <v>Electronics</v>
      </c>
      <c r="J3280">
        <f>INDEX(Products!$E$2:$E$37, MATCH(D3280, Products!$A$2:$A$37, 0))</f>
        <v>70</v>
      </c>
      <c r="K3280" s="9">
        <f t="shared" si="204"/>
        <v>596</v>
      </c>
      <c r="L3280">
        <f t="shared" si="205"/>
        <v>280</v>
      </c>
      <c r="M3280" s="9">
        <f t="shared" si="206"/>
        <v>316</v>
      </c>
      <c r="N3280" t="str">
        <f t="shared" si="207"/>
        <v>Oct</v>
      </c>
    </row>
    <row r="3281" spans="1:14" x14ac:dyDescent="0.3">
      <c r="A3281" s="2" t="s">
        <v>3347</v>
      </c>
      <c r="B3281" s="6">
        <v>45942</v>
      </c>
      <c r="C3281" s="2" t="s">
        <v>44</v>
      </c>
      <c r="D3281" s="2" t="s">
        <v>99</v>
      </c>
      <c r="E3281" s="2">
        <v>1</v>
      </c>
      <c r="F3281" s="7">
        <v>459</v>
      </c>
      <c r="G3281" s="8">
        <v>0</v>
      </c>
      <c r="H3281" s="9" t="str">
        <f>INDEX(Products!$B$2:$B$37, MATCH(D3281, Products!$A$2:$A$37, 0))</f>
        <v>Gaming Headset X</v>
      </c>
      <c r="I3281" t="str">
        <f>INDEX(Products!$C$2:$C$37, MATCH(D3281, Products!$A$2:$A$37, 0))</f>
        <v>Electronics</v>
      </c>
      <c r="J3281">
        <f>INDEX(Products!$E$2:$E$37, MATCH(D3281, Products!$A$2:$A$37, 0))</f>
        <v>300</v>
      </c>
      <c r="K3281" s="9">
        <f t="shared" si="204"/>
        <v>459</v>
      </c>
      <c r="L3281">
        <f t="shared" si="205"/>
        <v>300</v>
      </c>
      <c r="M3281" s="9">
        <f t="shared" si="206"/>
        <v>159</v>
      </c>
      <c r="N3281" t="str">
        <f t="shared" si="207"/>
        <v>Oct</v>
      </c>
    </row>
    <row r="3282" spans="1:14" x14ac:dyDescent="0.3">
      <c r="A3282" s="2" t="s">
        <v>3348</v>
      </c>
      <c r="B3282" s="6">
        <v>45942</v>
      </c>
      <c r="C3282" s="2" t="s">
        <v>44</v>
      </c>
      <c r="D3282" s="2" t="s">
        <v>115</v>
      </c>
      <c r="E3282" s="2">
        <v>1</v>
      </c>
      <c r="F3282" s="7">
        <v>129</v>
      </c>
      <c r="G3282" s="8">
        <v>0.2</v>
      </c>
      <c r="H3282" s="9" t="str">
        <f>INDEX(Products!$B$2:$B$37, MATCH(D3282, Products!$A$2:$A$37, 0))</f>
        <v>Electric Kettle</v>
      </c>
      <c r="I3282" t="str">
        <f>INDEX(Products!$C$2:$C$37, MATCH(D3282, Products!$A$2:$A$37, 0))</f>
        <v>Home &amp; Kitchen</v>
      </c>
      <c r="J3282">
        <f>INDEX(Products!$E$2:$E$37, MATCH(D3282, Products!$A$2:$A$37, 0))</f>
        <v>60</v>
      </c>
      <c r="K3282" s="9">
        <f t="shared" si="204"/>
        <v>103.2</v>
      </c>
      <c r="L3282">
        <f t="shared" si="205"/>
        <v>60</v>
      </c>
      <c r="M3282" s="9">
        <f t="shared" si="206"/>
        <v>43.2</v>
      </c>
      <c r="N3282" t="str">
        <f t="shared" si="207"/>
        <v>Oct</v>
      </c>
    </row>
    <row r="3283" spans="1:14" x14ac:dyDescent="0.3">
      <c r="A3283" s="2" t="s">
        <v>3349</v>
      </c>
      <c r="B3283" s="6">
        <v>45942</v>
      </c>
      <c r="C3283" s="2" t="s">
        <v>41</v>
      </c>
      <c r="D3283" s="2" t="s">
        <v>149</v>
      </c>
      <c r="E3283" s="2">
        <v>1</v>
      </c>
      <c r="F3283" s="7">
        <v>399</v>
      </c>
      <c r="G3283" s="8">
        <v>0</v>
      </c>
      <c r="H3283" s="9" t="str">
        <f>INDEX(Products!$B$2:$B$37, MATCH(D3283, Products!$A$2:$A$37, 0))</f>
        <v>Blender Pro 1200W</v>
      </c>
      <c r="I3283" t="str">
        <f>INDEX(Products!$C$2:$C$37, MATCH(D3283, Products!$A$2:$A$37, 0))</f>
        <v>Home &amp; Kitchen</v>
      </c>
      <c r="J3283">
        <f>INDEX(Products!$E$2:$E$37, MATCH(D3283, Products!$A$2:$A$37, 0))</f>
        <v>250</v>
      </c>
      <c r="K3283" s="9">
        <f t="shared" si="204"/>
        <v>399</v>
      </c>
      <c r="L3283">
        <f t="shared" si="205"/>
        <v>250</v>
      </c>
      <c r="M3283" s="9">
        <f t="shared" si="206"/>
        <v>149</v>
      </c>
      <c r="N3283" t="str">
        <f t="shared" si="207"/>
        <v>Oct</v>
      </c>
    </row>
    <row r="3284" spans="1:14" x14ac:dyDescent="0.3">
      <c r="A3284" s="2" t="s">
        <v>3350</v>
      </c>
      <c r="B3284" s="6">
        <v>45943</v>
      </c>
      <c r="C3284" s="2" t="s">
        <v>44</v>
      </c>
      <c r="D3284" s="2" t="s">
        <v>33</v>
      </c>
      <c r="E3284" s="2">
        <v>3</v>
      </c>
      <c r="F3284" s="7">
        <v>199</v>
      </c>
      <c r="G3284" s="8">
        <v>0.2</v>
      </c>
      <c r="H3284" s="9" t="str">
        <f>INDEX(Products!$B$2:$B$37, MATCH(D3284, Products!$A$2:$A$37, 0))</f>
        <v>Fitness Band Lite</v>
      </c>
      <c r="I3284" t="str">
        <f>INDEX(Products!$C$2:$C$37, MATCH(D3284, Products!$A$2:$A$37, 0))</f>
        <v>Electronics</v>
      </c>
      <c r="J3284">
        <f>INDEX(Products!$E$2:$E$37, MATCH(D3284, Products!$A$2:$A$37, 0))</f>
        <v>175</v>
      </c>
      <c r="K3284" s="9">
        <f t="shared" si="204"/>
        <v>477.6</v>
      </c>
      <c r="L3284">
        <f t="shared" si="205"/>
        <v>525</v>
      </c>
      <c r="M3284" s="9">
        <f t="shared" si="206"/>
        <v>-47.399999999999977</v>
      </c>
      <c r="N3284" t="str">
        <f t="shared" si="207"/>
        <v>Oct</v>
      </c>
    </row>
    <row r="3285" spans="1:14" x14ac:dyDescent="0.3">
      <c r="A3285" s="2" t="s">
        <v>3351</v>
      </c>
      <c r="B3285" s="6">
        <v>45943</v>
      </c>
      <c r="C3285" s="2" t="s">
        <v>48</v>
      </c>
      <c r="D3285" s="2" t="s">
        <v>165</v>
      </c>
      <c r="E3285" s="2">
        <v>4</v>
      </c>
      <c r="F3285" s="7">
        <v>69</v>
      </c>
      <c r="G3285" s="8">
        <v>0</v>
      </c>
      <c r="H3285" s="9" t="str">
        <f>INDEX(Products!$B$2:$B$37, MATCH(D3285, Products!$A$2:$A$37, 0))</f>
        <v>Swim Goggles</v>
      </c>
      <c r="I3285" t="str">
        <f>INDEX(Products!$C$2:$C$37, MATCH(D3285, Products!$A$2:$A$37, 0))</f>
        <v>Sports</v>
      </c>
      <c r="J3285">
        <f>INDEX(Products!$E$2:$E$37, MATCH(D3285, Products!$A$2:$A$37, 0))</f>
        <v>25</v>
      </c>
      <c r="K3285" s="9">
        <f t="shared" si="204"/>
        <v>276</v>
      </c>
      <c r="L3285">
        <f t="shared" si="205"/>
        <v>100</v>
      </c>
      <c r="M3285" s="9">
        <f t="shared" si="206"/>
        <v>176</v>
      </c>
      <c r="N3285" t="str">
        <f t="shared" si="207"/>
        <v>Oct</v>
      </c>
    </row>
    <row r="3286" spans="1:14" x14ac:dyDescent="0.3">
      <c r="A3286" s="2" t="s">
        <v>3352</v>
      </c>
      <c r="B3286" s="6">
        <v>45943</v>
      </c>
      <c r="C3286" s="2" t="s">
        <v>31</v>
      </c>
      <c r="D3286" s="2" t="s">
        <v>29</v>
      </c>
      <c r="E3286" s="2">
        <v>2</v>
      </c>
      <c r="F3286" s="7">
        <v>229</v>
      </c>
      <c r="G3286" s="8">
        <v>0.05</v>
      </c>
      <c r="H3286" s="9" t="str">
        <f>INDEX(Products!$B$2:$B$37, MATCH(D3286, Products!$A$2:$A$37, 0))</f>
        <v>Women's Summer Dress</v>
      </c>
      <c r="I3286" t="str">
        <f>INDEX(Products!$C$2:$C$37, MATCH(D3286, Products!$A$2:$A$37, 0))</f>
        <v>Fashion</v>
      </c>
      <c r="J3286">
        <f>INDEX(Products!$E$2:$E$37, MATCH(D3286, Products!$A$2:$A$37, 0))</f>
        <v>120</v>
      </c>
      <c r="K3286" s="9">
        <f t="shared" si="204"/>
        <v>435.09999999999997</v>
      </c>
      <c r="L3286">
        <f t="shared" si="205"/>
        <v>240</v>
      </c>
      <c r="M3286" s="9">
        <f t="shared" si="206"/>
        <v>195.09999999999997</v>
      </c>
      <c r="N3286" t="str">
        <f t="shared" si="207"/>
        <v>Oct</v>
      </c>
    </row>
    <row r="3287" spans="1:14" x14ac:dyDescent="0.3">
      <c r="A3287" s="2" t="s">
        <v>3353</v>
      </c>
      <c r="B3287" s="6">
        <v>45943</v>
      </c>
      <c r="C3287" s="2" t="s">
        <v>48</v>
      </c>
      <c r="D3287" s="2" t="s">
        <v>165</v>
      </c>
      <c r="E3287" s="2">
        <v>2</v>
      </c>
      <c r="F3287" s="7">
        <v>69</v>
      </c>
      <c r="G3287" s="8">
        <v>0.05</v>
      </c>
      <c r="H3287" s="9" t="str">
        <f>INDEX(Products!$B$2:$B$37, MATCH(D3287, Products!$A$2:$A$37, 0))</f>
        <v>Swim Goggles</v>
      </c>
      <c r="I3287" t="str">
        <f>INDEX(Products!$C$2:$C$37, MATCH(D3287, Products!$A$2:$A$37, 0))</f>
        <v>Sports</v>
      </c>
      <c r="J3287">
        <f>INDEX(Products!$E$2:$E$37, MATCH(D3287, Products!$A$2:$A$37, 0))</f>
        <v>25</v>
      </c>
      <c r="K3287" s="9">
        <f t="shared" si="204"/>
        <v>131.1</v>
      </c>
      <c r="L3287">
        <f t="shared" si="205"/>
        <v>50</v>
      </c>
      <c r="M3287" s="9">
        <f t="shared" si="206"/>
        <v>81.099999999999994</v>
      </c>
      <c r="N3287" t="str">
        <f t="shared" si="207"/>
        <v>Oct</v>
      </c>
    </row>
    <row r="3288" spans="1:14" x14ac:dyDescent="0.3">
      <c r="A3288" s="2" t="s">
        <v>3354</v>
      </c>
      <c r="B3288" s="6">
        <v>45943</v>
      </c>
      <c r="C3288" s="2" t="s">
        <v>48</v>
      </c>
      <c r="D3288" s="2" t="s">
        <v>60</v>
      </c>
      <c r="E3288" s="2">
        <v>2</v>
      </c>
      <c r="F3288" s="7">
        <v>99</v>
      </c>
      <c r="G3288" s="8">
        <v>0.15</v>
      </c>
      <c r="H3288" s="9" t="str">
        <f>INDEX(Products!$B$2:$B$37, MATCH(D3288, Products!$A$2:$A$37, 0))</f>
        <v>Football Size 5</v>
      </c>
      <c r="I3288" t="str">
        <f>INDEX(Products!$C$2:$C$37, MATCH(D3288, Products!$A$2:$A$37, 0))</f>
        <v>Sports</v>
      </c>
      <c r="J3288">
        <f>INDEX(Products!$E$2:$E$37, MATCH(D3288, Products!$A$2:$A$37, 0))</f>
        <v>45</v>
      </c>
      <c r="K3288" s="9">
        <f t="shared" si="204"/>
        <v>168.29999999999998</v>
      </c>
      <c r="L3288">
        <f t="shared" si="205"/>
        <v>90</v>
      </c>
      <c r="M3288" s="9">
        <f t="shared" si="206"/>
        <v>78.299999999999983</v>
      </c>
      <c r="N3288" t="str">
        <f t="shared" si="207"/>
        <v>Oct</v>
      </c>
    </row>
    <row r="3289" spans="1:14" x14ac:dyDescent="0.3">
      <c r="A3289" s="2" t="s">
        <v>3355</v>
      </c>
      <c r="B3289" s="6">
        <v>45943</v>
      </c>
      <c r="C3289" s="2" t="s">
        <v>28</v>
      </c>
      <c r="D3289" s="2" t="s">
        <v>194</v>
      </c>
      <c r="E3289" s="2">
        <v>1</v>
      </c>
      <c r="F3289" s="7">
        <v>699</v>
      </c>
      <c r="G3289" s="8">
        <v>0.2</v>
      </c>
      <c r="H3289" s="9" t="str">
        <f>INDEX(Products!$B$2:$B$37, MATCH(D3289, Products!$A$2:$A$37, 0))</f>
        <v>Leather Handbag</v>
      </c>
      <c r="I3289" t="str">
        <f>INDEX(Products!$C$2:$C$37, MATCH(D3289, Products!$A$2:$A$37, 0))</f>
        <v>Fashion</v>
      </c>
      <c r="J3289">
        <f>INDEX(Products!$E$2:$E$37, MATCH(D3289, Products!$A$2:$A$37, 0))</f>
        <v>380</v>
      </c>
      <c r="K3289" s="9">
        <f t="shared" si="204"/>
        <v>559.20000000000005</v>
      </c>
      <c r="L3289">
        <f t="shared" si="205"/>
        <v>380</v>
      </c>
      <c r="M3289" s="9">
        <f t="shared" si="206"/>
        <v>179.20000000000005</v>
      </c>
      <c r="N3289" t="str">
        <f t="shared" si="207"/>
        <v>Oct</v>
      </c>
    </row>
    <row r="3290" spans="1:14" x14ac:dyDescent="0.3">
      <c r="A3290" s="2" t="s">
        <v>3356</v>
      </c>
      <c r="B3290" s="6">
        <v>45943</v>
      </c>
      <c r="C3290" s="2" t="s">
        <v>44</v>
      </c>
      <c r="D3290" s="2" t="s">
        <v>39</v>
      </c>
      <c r="E3290" s="2">
        <v>2</v>
      </c>
      <c r="F3290" s="7">
        <v>199</v>
      </c>
      <c r="G3290" s="8">
        <v>0</v>
      </c>
      <c r="H3290" s="9" t="str">
        <f>INDEX(Products!$B$2:$B$37, MATCH(D3290, Products!$A$2:$A$37, 0))</f>
        <v>Bakhoor Gift Set</v>
      </c>
      <c r="I3290" t="str">
        <f>INDEX(Products!$C$2:$C$37, MATCH(D3290, Products!$A$2:$A$37, 0))</f>
        <v>Beauty</v>
      </c>
      <c r="J3290">
        <f>INDEX(Products!$E$2:$E$37, MATCH(D3290, Products!$A$2:$A$37, 0))</f>
        <v>90</v>
      </c>
      <c r="K3290" s="9">
        <f t="shared" si="204"/>
        <v>398</v>
      </c>
      <c r="L3290">
        <f t="shared" si="205"/>
        <v>180</v>
      </c>
      <c r="M3290" s="9">
        <f t="shared" si="206"/>
        <v>218</v>
      </c>
      <c r="N3290" t="str">
        <f t="shared" si="207"/>
        <v>Oct</v>
      </c>
    </row>
    <row r="3291" spans="1:14" x14ac:dyDescent="0.3">
      <c r="A3291" s="2" t="s">
        <v>3357</v>
      </c>
      <c r="B3291" s="6">
        <v>45943</v>
      </c>
      <c r="C3291" s="2" t="s">
        <v>44</v>
      </c>
      <c r="D3291" s="2" t="s">
        <v>103</v>
      </c>
      <c r="E3291" s="2">
        <v>1</v>
      </c>
      <c r="F3291" s="7">
        <v>89</v>
      </c>
      <c r="G3291" s="8">
        <v>0.05</v>
      </c>
      <c r="H3291" s="9" t="str">
        <f>INDEX(Products!$B$2:$B$37, MATCH(D3291, Products!$A$2:$A$37, 0))</f>
        <v>Sunscreen SPF50</v>
      </c>
      <c r="I3291" t="str">
        <f>INDEX(Products!$C$2:$C$37, MATCH(D3291, Products!$A$2:$A$37, 0))</f>
        <v>Beauty</v>
      </c>
      <c r="J3291">
        <f>INDEX(Products!$E$2:$E$37, MATCH(D3291, Products!$A$2:$A$37, 0))</f>
        <v>40</v>
      </c>
      <c r="K3291" s="9">
        <f t="shared" si="204"/>
        <v>84.55</v>
      </c>
      <c r="L3291">
        <f t="shared" si="205"/>
        <v>40</v>
      </c>
      <c r="M3291" s="9">
        <f t="shared" si="206"/>
        <v>44.55</v>
      </c>
      <c r="N3291" t="str">
        <f t="shared" si="207"/>
        <v>Oct</v>
      </c>
    </row>
    <row r="3292" spans="1:14" x14ac:dyDescent="0.3">
      <c r="A3292" s="2" t="s">
        <v>3358</v>
      </c>
      <c r="B3292" s="6">
        <v>45943</v>
      </c>
      <c r="C3292" s="2" t="s">
        <v>44</v>
      </c>
      <c r="D3292" s="2" t="s">
        <v>35</v>
      </c>
      <c r="E3292" s="2">
        <v>2</v>
      </c>
      <c r="F3292" s="7">
        <v>179</v>
      </c>
      <c r="G3292" s="8">
        <v>0.1</v>
      </c>
      <c r="H3292" s="9" t="str">
        <f>INDEX(Products!$B$2:$B$37, MATCH(D3292, Products!$A$2:$A$37, 0))</f>
        <v>Men's Linen Shirt</v>
      </c>
      <c r="I3292" t="str">
        <f>INDEX(Products!$C$2:$C$37, MATCH(D3292, Products!$A$2:$A$37, 0))</f>
        <v>Fashion</v>
      </c>
      <c r="J3292">
        <f>INDEX(Products!$E$2:$E$37, MATCH(D3292, Products!$A$2:$A$37, 0))</f>
        <v>70</v>
      </c>
      <c r="K3292" s="9">
        <f t="shared" si="204"/>
        <v>322.2</v>
      </c>
      <c r="L3292">
        <f t="shared" si="205"/>
        <v>140</v>
      </c>
      <c r="M3292" s="9">
        <f t="shared" si="206"/>
        <v>182.2</v>
      </c>
      <c r="N3292" t="str">
        <f t="shared" si="207"/>
        <v>Oct</v>
      </c>
    </row>
    <row r="3293" spans="1:14" x14ac:dyDescent="0.3">
      <c r="A3293" s="2" t="s">
        <v>3359</v>
      </c>
      <c r="B3293" s="6">
        <v>45943</v>
      </c>
      <c r="C3293" s="2" t="s">
        <v>28</v>
      </c>
      <c r="D3293" s="2" t="s">
        <v>103</v>
      </c>
      <c r="E3293" s="2">
        <v>1</v>
      </c>
      <c r="F3293" s="7">
        <v>89</v>
      </c>
      <c r="G3293" s="8">
        <v>0.15</v>
      </c>
      <c r="H3293" s="9" t="str">
        <f>INDEX(Products!$B$2:$B$37, MATCH(D3293, Products!$A$2:$A$37, 0))</f>
        <v>Sunscreen SPF50</v>
      </c>
      <c r="I3293" t="str">
        <f>INDEX(Products!$C$2:$C$37, MATCH(D3293, Products!$A$2:$A$37, 0))</f>
        <v>Beauty</v>
      </c>
      <c r="J3293">
        <f>INDEX(Products!$E$2:$E$37, MATCH(D3293, Products!$A$2:$A$37, 0))</f>
        <v>40</v>
      </c>
      <c r="K3293" s="9">
        <f t="shared" si="204"/>
        <v>75.649999999999991</v>
      </c>
      <c r="L3293">
        <f t="shared" si="205"/>
        <v>40</v>
      </c>
      <c r="M3293" s="9">
        <f t="shared" si="206"/>
        <v>35.649999999999991</v>
      </c>
      <c r="N3293" t="str">
        <f t="shared" si="207"/>
        <v>Oct</v>
      </c>
    </row>
    <row r="3294" spans="1:14" x14ac:dyDescent="0.3">
      <c r="A3294" s="2" t="s">
        <v>3360</v>
      </c>
      <c r="B3294" s="6">
        <v>45943</v>
      </c>
      <c r="C3294" s="2" t="s">
        <v>41</v>
      </c>
      <c r="D3294" s="2" t="s">
        <v>129</v>
      </c>
      <c r="E3294" s="2">
        <v>1</v>
      </c>
      <c r="F3294" s="7">
        <v>149</v>
      </c>
      <c r="G3294" s="8">
        <v>0.05</v>
      </c>
      <c r="H3294" s="9" t="str">
        <f>INDEX(Products!$B$2:$B$37, MATCH(D3294, Products!$A$2:$A$37, 0))</f>
        <v>Power Bank 20000mAh</v>
      </c>
      <c r="I3294" t="str">
        <f>INDEX(Products!$C$2:$C$37, MATCH(D3294, Products!$A$2:$A$37, 0))</f>
        <v>Electronics</v>
      </c>
      <c r="J3294">
        <f>INDEX(Products!$E$2:$E$37, MATCH(D3294, Products!$A$2:$A$37, 0))</f>
        <v>70</v>
      </c>
      <c r="K3294" s="9">
        <f t="shared" si="204"/>
        <v>141.54999999999998</v>
      </c>
      <c r="L3294">
        <f t="shared" si="205"/>
        <v>70</v>
      </c>
      <c r="M3294" s="9">
        <f t="shared" si="206"/>
        <v>71.549999999999983</v>
      </c>
      <c r="N3294" t="str">
        <f t="shared" si="207"/>
        <v>Oct</v>
      </c>
    </row>
    <row r="3295" spans="1:14" x14ac:dyDescent="0.3">
      <c r="A3295" s="2" t="s">
        <v>3361</v>
      </c>
      <c r="B3295" s="6">
        <v>45943</v>
      </c>
      <c r="C3295" s="2" t="s">
        <v>28</v>
      </c>
      <c r="D3295" s="2" t="s">
        <v>75</v>
      </c>
      <c r="E3295" s="2">
        <v>4</v>
      </c>
      <c r="F3295" s="7">
        <v>549</v>
      </c>
      <c r="G3295" s="8">
        <v>0.2</v>
      </c>
      <c r="H3295" s="9" t="str">
        <f>INDEX(Products!$B$2:$B$37, MATCH(D3295, Products!$A$2:$A$37, 0))</f>
        <v>Oud Perfume 100ml</v>
      </c>
      <c r="I3295" t="str">
        <f>INDEX(Products!$C$2:$C$37, MATCH(D3295, Products!$A$2:$A$37, 0))</f>
        <v>Beauty</v>
      </c>
      <c r="J3295">
        <f>INDEX(Products!$E$2:$E$37, MATCH(D3295, Products!$A$2:$A$37, 0))</f>
        <v>250</v>
      </c>
      <c r="K3295" s="9">
        <f t="shared" si="204"/>
        <v>1756.8000000000002</v>
      </c>
      <c r="L3295">
        <f t="shared" si="205"/>
        <v>1000</v>
      </c>
      <c r="M3295" s="9">
        <f t="shared" si="206"/>
        <v>756.80000000000018</v>
      </c>
      <c r="N3295" t="str">
        <f t="shared" si="207"/>
        <v>Oct</v>
      </c>
    </row>
    <row r="3296" spans="1:14" x14ac:dyDescent="0.3">
      <c r="A3296" s="2" t="s">
        <v>3362</v>
      </c>
      <c r="B3296" s="6">
        <v>45943</v>
      </c>
      <c r="C3296" s="2" t="s">
        <v>31</v>
      </c>
      <c r="D3296" s="2" t="s">
        <v>33</v>
      </c>
      <c r="E3296" s="2">
        <v>1</v>
      </c>
      <c r="F3296" s="7">
        <v>199</v>
      </c>
      <c r="G3296" s="8">
        <v>0.25</v>
      </c>
      <c r="H3296" s="9" t="str">
        <f>INDEX(Products!$B$2:$B$37, MATCH(D3296, Products!$A$2:$A$37, 0))</f>
        <v>Fitness Band Lite</v>
      </c>
      <c r="I3296" t="str">
        <f>INDEX(Products!$C$2:$C$37, MATCH(D3296, Products!$A$2:$A$37, 0))</f>
        <v>Electronics</v>
      </c>
      <c r="J3296">
        <f>INDEX(Products!$E$2:$E$37, MATCH(D3296, Products!$A$2:$A$37, 0))</f>
        <v>175</v>
      </c>
      <c r="K3296" s="9">
        <f t="shared" si="204"/>
        <v>149.25</v>
      </c>
      <c r="L3296">
        <f t="shared" si="205"/>
        <v>175</v>
      </c>
      <c r="M3296" s="9">
        <f t="shared" si="206"/>
        <v>-25.75</v>
      </c>
      <c r="N3296" t="str">
        <f t="shared" si="207"/>
        <v>Oct</v>
      </c>
    </row>
    <row r="3297" spans="1:14" x14ac:dyDescent="0.3">
      <c r="A3297" s="2" t="s">
        <v>3363</v>
      </c>
      <c r="B3297" s="6">
        <v>45943</v>
      </c>
      <c r="C3297" s="2" t="s">
        <v>31</v>
      </c>
      <c r="D3297" s="2" t="s">
        <v>194</v>
      </c>
      <c r="E3297" s="2">
        <v>1</v>
      </c>
      <c r="F3297" s="7">
        <v>699</v>
      </c>
      <c r="G3297" s="8">
        <v>0</v>
      </c>
      <c r="H3297" s="9" t="str">
        <f>INDEX(Products!$B$2:$B$37, MATCH(D3297, Products!$A$2:$A$37, 0))</f>
        <v>Leather Handbag</v>
      </c>
      <c r="I3297" t="str">
        <f>INDEX(Products!$C$2:$C$37, MATCH(D3297, Products!$A$2:$A$37, 0))</f>
        <v>Fashion</v>
      </c>
      <c r="J3297">
        <f>INDEX(Products!$E$2:$E$37, MATCH(D3297, Products!$A$2:$A$37, 0))</f>
        <v>380</v>
      </c>
      <c r="K3297" s="9">
        <f t="shared" si="204"/>
        <v>699</v>
      </c>
      <c r="L3297">
        <f t="shared" si="205"/>
        <v>380</v>
      </c>
      <c r="M3297" s="9">
        <f t="shared" si="206"/>
        <v>319</v>
      </c>
      <c r="N3297" t="str">
        <f t="shared" si="207"/>
        <v>Oct</v>
      </c>
    </row>
    <row r="3298" spans="1:14" x14ac:dyDescent="0.3">
      <c r="A3298" s="2" t="s">
        <v>3364</v>
      </c>
      <c r="B3298" s="6">
        <v>45944</v>
      </c>
      <c r="C3298" s="2" t="s">
        <v>31</v>
      </c>
      <c r="D3298" s="2" t="s">
        <v>92</v>
      </c>
      <c r="E3298" s="2">
        <v>2</v>
      </c>
      <c r="F3298" s="7">
        <v>349</v>
      </c>
      <c r="G3298" s="8">
        <v>0.05</v>
      </c>
      <c r="H3298" s="9" t="str">
        <f>INDEX(Products!$B$2:$B$37, MATCH(D3298, Products!$A$2:$A$37, 0))</f>
        <v>Non-stick Cookware Set</v>
      </c>
      <c r="I3298" t="str">
        <f>INDEX(Products!$C$2:$C$37, MATCH(D3298, Products!$A$2:$A$37, 0))</f>
        <v>Home &amp; Kitchen</v>
      </c>
      <c r="J3298">
        <f>INDEX(Products!$E$2:$E$37, MATCH(D3298, Products!$A$2:$A$37, 0))</f>
        <v>170</v>
      </c>
      <c r="K3298" s="9">
        <f t="shared" si="204"/>
        <v>663.1</v>
      </c>
      <c r="L3298">
        <f t="shared" si="205"/>
        <v>340</v>
      </c>
      <c r="M3298" s="9">
        <f t="shared" si="206"/>
        <v>323.10000000000002</v>
      </c>
      <c r="N3298" t="str">
        <f t="shared" si="207"/>
        <v>Oct</v>
      </c>
    </row>
    <row r="3299" spans="1:14" x14ac:dyDescent="0.3">
      <c r="A3299" s="2" t="s">
        <v>3365</v>
      </c>
      <c r="B3299" s="6">
        <v>45944</v>
      </c>
      <c r="C3299" s="2" t="s">
        <v>31</v>
      </c>
      <c r="D3299" s="2" t="s">
        <v>78</v>
      </c>
      <c r="E3299" s="2">
        <v>4</v>
      </c>
      <c r="F3299" s="7">
        <v>499</v>
      </c>
      <c r="G3299" s="8">
        <v>0.2</v>
      </c>
      <c r="H3299" s="9" t="str">
        <f>INDEX(Products!$B$2:$B$37, MATCH(D3299, Products!$A$2:$A$37, 0))</f>
        <v>Air Fryer 5L</v>
      </c>
      <c r="I3299" t="str">
        <f>INDEX(Products!$C$2:$C$37, MATCH(D3299, Products!$A$2:$A$37, 0))</f>
        <v>Home &amp; Kitchen</v>
      </c>
      <c r="J3299">
        <f>INDEX(Products!$E$2:$E$37, MATCH(D3299, Products!$A$2:$A$37, 0))</f>
        <v>290</v>
      </c>
      <c r="K3299" s="9">
        <f t="shared" si="204"/>
        <v>1596.8000000000002</v>
      </c>
      <c r="L3299">
        <f t="shared" si="205"/>
        <v>1160</v>
      </c>
      <c r="M3299" s="9">
        <f t="shared" si="206"/>
        <v>436.80000000000018</v>
      </c>
      <c r="N3299" t="str">
        <f t="shared" si="207"/>
        <v>Oct</v>
      </c>
    </row>
    <row r="3300" spans="1:14" x14ac:dyDescent="0.3">
      <c r="A3300" s="2" t="s">
        <v>3366</v>
      </c>
      <c r="B3300" s="6">
        <v>45944</v>
      </c>
      <c r="C3300" s="2" t="s">
        <v>28</v>
      </c>
      <c r="D3300" s="2" t="s">
        <v>129</v>
      </c>
      <c r="E3300" s="2">
        <v>1</v>
      </c>
      <c r="F3300" s="7">
        <v>149</v>
      </c>
      <c r="G3300" s="8">
        <v>0</v>
      </c>
      <c r="H3300" s="9" t="str">
        <f>INDEX(Products!$B$2:$B$37, MATCH(D3300, Products!$A$2:$A$37, 0))</f>
        <v>Power Bank 20000mAh</v>
      </c>
      <c r="I3300" t="str">
        <f>INDEX(Products!$C$2:$C$37, MATCH(D3300, Products!$A$2:$A$37, 0))</f>
        <v>Electronics</v>
      </c>
      <c r="J3300">
        <f>INDEX(Products!$E$2:$E$37, MATCH(D3300, Products!$A$2:$A$37, 0))</f>
        <v>70</v>
      </c>
      <c r="K3300" s="9">
        <f t="shared" si="204"/>
        <v>149</v>
      </c>
      <c r="L3300">
        <f t="shared" si="205"/>
        <v>70</v>
      </c>
      <c r="M3300" s="9">
        <f t="shared" si="206"/>
        <v>79</v>
      </c>
      <c r="N3300" t="str">
        <f t="shared" si="207"/>
        <v>Oct</v>
      </c>
    </row>
    <row r="3301" spans="1:14" x14ac:dyDescent="0.3">
      <c r="A3301" s="2" t="s">
        <v>3367</v>
      </c>
      <c r="B3301" s="6">
        <v>45944</v>
      </c>
      <c r="C3301" s="2" t="s">
        <v>41</v>
      </c>
      <c r="D3301" s="2" t="s">
        <v>60</v>
      </c>
      <c r="E3301" s="2">
        <v>2</v>
      </c>
      <c r="F3301" s="7">
        <v>99</v>
      </c>
      <c r="G3301" s="8">
        <v>0</v>
      </c>
      <c r="H3301" s="9" t="str">
        <f>INDEX(Products!$B$2:$B$37, MATCH(D3301, Products!$A$2:$A$37, 0))</f>
        <v>Football Size 5</v>
      </c>
      <c r="I3301" t="str">
        <f>INDEX(Products!$C$2:$C$37, MATCH(D3301, Products!$A$2:$A$37, 0))</f>
        <v>Sports</v>
      </c>
      <c r="J3301">
        <f>INDEX(Products!$E$2:$E$37, MATCH(D3301, Products!$A$2:$A$37, 0))</f>
        <v>45</v>
      </c>
      <c r="K3301" s="9">
        <f t="shared" si="204"/>
        <v>198</v>
      </c>
      <c r="L3301">
        <f t="shared" si="205"/>
        <v>90</v>
      </c>
      <c r="M3301" s="9">
        <f t="shared" si="206"/>
        <v>108</v>
      </c>
      <c r="N3301" t="str">
        <f t="shared" si="207"/>
        <v>Oct</v>
      </c>
    </row>
    <row r="3302" spans="1:14" x14ac:dyDescent="0.3">
      <c r="A3302" s="2" t="s">
        <v>3368</v>
      </c>
      <c r="B3302" s="6">
        <v>45944</v>
      </c>
      <c r="C3302" s="2" t="s">
        <v>28</v>
      </c>
      <c r="D3302" s="2" t="s">
        <v>37</v>
      </c>
      <c r="E3302" s="2">
        <v>1</v>
      </c>
      <c r="F3302" s="7">
        <v>249</v>
      </c>
      <c r="G3302" s="8">
        <v>0.15</v>
      </c>
      <c r="H3302" s="9" t="str">
        <f>INDEX(Products!$B$2:$B$37, MATCH(D3302, Products!$A$2:$A$37, 0))</f>
        <v>Sunglasses Polarised</v>
      </c>
      <c r="I3302" t="str">
        <f>INDEX(Products!$C$2:$C$37, MATCH(D3302, Products!$A$2:$A$37, 0))</f>
        <v>Fashion</v>
      </c>
      <c r="J3302">
        <f>INDEX(Products!$E$2:$E$37, MATCH(D3302, Products!$A$2:$A$37, 0))</f>
        <v>95</v>
      </c>
      <c r="K3302" s="9">
        <f t="shared" si="204"/>
        <v>211.65</v>
      </c>
      <c r="L3302">
        <f t="shared" si="205"/>
        <v>95</v>
      </c>
      <c r="M3302" s="9">
        <f t="shared" si="206"/>
        <v>116.65</v>
      </c>
      <c r="N3302" t="str">
        <f t="shared" si="207"/>
        <v>Oct</v>
      </c>
    </row>
    <row r="3303" spans="1:14" x14ac:dyDescent="0.3">
      <c r="A3303" s="2" t="s">
        <v>3369</v>
      </c>
      <c r="B3303" s="6">
        <v>45944</v>
      </c>
      <c r="C3303" s="2" t="s">
        <v>31</v>
      </c>
      <c r="D3303" s="2" t="s">
        <v>65</v>
      </c>
      <c r="E3303" s="2">
        <v>2</v>
      </c>
      <c r="F3303" s="7">
        <v>129</v>
      </c>
      <c r="G3303" s="8">
        <v>0</v>
      </c>
      <c r="H3303" s="9" t="str">
        <f>INDEX(Products!$B$2:$B$37, MATCH(D3303, Products!$A$2:$A$37, 0))</f>
        <v>Yoga Mat Premium</v>
      </c>
      <c r="I3303" t="str">
        <f>INDEX(Products!$C$2:$C$37, MATCH(D3303, Products!$A$2:$A$37, 0))</f>
        <v>Sports</v>
      </c>
      <c r="J3303">
        <f>INDEX(Products!$E$2:$E$37, MATCH(D3303, Products!$A$2:$A$37, 0))</f>
        <v>60</v>
      </c>
      <c r="K3303" s="9">
        <f t="shared" si="204"/>
        <v>258</v>
      </c>
      <c r="L3303">
        <f t="shared" si="205"/>
        <v>120</v>
      </c>
      <c r="M3303" s="9">
        <f t="shared" si="206"/>
        <v>138</v>
      </c>
      <c r="N3303" t="str">
        <f t="shared" si="207"/>
        <v>Oct</v>
      </c>
    </row>
    <row r="3304" spans="1:14" x14ac:dyDescent="0.3">
      <c r="A3304" s="2" t="s">
        <v>3370</v>
      </c>
      <c r="B3304" s="6">
        <v>45944</v>
      </c>
      <c r="C3304" s="2" t="s">
        <v>41</v>
      </c>
      <c r="D3304" s="2" t="s">
        <v>99</v>
      </c>
      <c r="E3304" s="2">
        <v>1</v>
      </c>
      <c r="F3304" s="7">
        <v>459</v>
      </c>
      <c r="G3304" s="8">
        <v>0.1</v>
      </c>
      <c r="H3304" s="9" t="str">
        <f>INDEX(Products!$B$2:$B$37, MATCH(D3304, Products!$A$2:$A$37, 0))</f>
        <v>Gaming Headset X</v>
      </c>
      <c r="I3304" t="str">
        <f>INDEX(Products!$C$2:$C$37, MATCH(D3304, Products!$A$2:$A$37, 0))</f>
        <v>Electronics</v>
      </c>
      <c r="J3304">
        <f>INDEX(Products!$E$2:$E$37, MATCH(D3304, Products!$A$2:$A$37, 0))</f>
        <v>300</v>
      </c>
      <c r="K3304" s="9">
        <f t="shared" si="204"/>
        <v>413.1</v>
      </c>
      <c r="L3304">
        <f t="shared" si="205"/>
        <v>300</v>
      </c>
      <c r="M3304" s="9">
        <f t="shared" si="206"/>
        <v>113.10000000000002</v>
      </c>
      <c r="N3304" t="str">
        <f t="shared" si="207"/>
        <v>Oct</v>
      </c>
    </row>
    <row r="3305" spans="1:14" x14ac:dyDescent="0.3">
      <c r="A3305" s="2" t="s">
        <v>3371</v>
      </c>
      <c r="B3305" s="6">
        <v>45944</v>
      </c>
      <c r="C3305" s="2" t="s">
        <v>44</v>
      </c>
      <c r="D3305" s="2" t="s">
        <v>33</v>
      </c>
      <c r="E3305" s="2">
        <v>1</v>
      </c>
      <c r="F3305" s="7">
        <v>199</v>
      </c>
      <c r="G3305" s="8">
        <v>0.25</v>
      </c>
      <c r="H3305" s="9" t="str">
        <f>INDEX(Products!$B$2:$B$37, MATCH(D3305, Products!$A$2:$A$37, 0))</f>
        <v>Fitness Band Lite</v>
      </c>
      <c r="I3305" t="str">
        <f>INDEX(Products!$C$2:$C$37, MATCH(D3305, Products!$A$2:$A$37, 0))</f>
        <v>Electronics</v>
      </c>
      <c r="J3305">
        <f>INDEX(Products!$E$2:$E$37, MATCH(D3305, Products!$A$2:$A$37, 0))</f>
        <v>175</v>
      </c>
      <c r="K3305" s="9">
        <f t="shared" si="204"/>
        <v>149.25</v>
      </c>
      <c r="L3305">
        <f t="shared" si="205"/>
        <v>175</v>
      </c>
      <c r="M3305" s="9">
        <f t="shared" si="206"/>
        <v>-25.75</v>
      </c>
      <c r="N3305" t="str">
        <f t="shared" si="207"/>
        <v>Oct</v>
      </c>
    </row>
    <row r="3306" spans="1:14" x14ac:dyDescent="0.3">
      <c r="A3306" s="2" t="s">
        <v>3372</v>
      </c>
      <c r="B3306" s="6">
        <v>45944</v>
      </c>
      <c r="C3306" s="2" t="s">
        <v>41</v>
      </c>
      <c r="D3306" s="2" t="s">
        <v>56</v>
      </c>
      <c r="E3306" s="2">
        <v>1</v>
      </c>
      <c r="F3306" s="7">
        <v>289</v>
      </c>
      <c r="G3306" s="8">
        <v>0.15</v>
      </c>
      <c r="H3306" s="9" t="str">
        <f>INDEX(Products!$B$2:$B$37, MATCH(D3306, Products!$A$2:$A$37, 0))</f>
        <v>Ceramic Dinner Set</v>
      </c>
      <c r="I3306" t="str">
        <f>INDEX(Products!$C$2:$C$37, MATCH(D3306, Products!$A$2:$A$37, 0))</f>
        <v>Home &amp; Kitchen</v>
      </c>
      <c r="J3306">
        <f>INDEX(Products!$E$2:$E$37, MATCH(D3306, Products!$A$2:$A$37, 0))</f>
        <v>140</v>
      </c>
      <c r="K3306" s="9">
        <f t="shared" si="204"/>
        <v>245.65</v>
      </c>
      <c r="L3306">
        <f t="shared" si="205"/>
        <v>140</v>
      </c>
      <c r="M3306" s="9">
        <f t="shared" si="206"/>
        <v>105.65</v>
      </c>
      <c r="N3306" t="str">
        <f t="shared" si="207"/>
        <v>Oct</v>
      </c>
    </row>
    <row r="3307" spans="1:14" x14ac:dyDescent="0.3">
      <c r="A3307" s="2" t="s">
        <v>3373</v>
      </c>
      <c r="B3307" s="6">
        <v>45944</v>
      </c>
      <c r="C3307" s="2" t="s">
        <v>44</v>
      </c>
      <c r="D3307" s="2" t="s">
        <v>95</v>
      </c>
      <c r="E3307" s="2">
        <v>1</v>
      </c>
      <c r="F3307" s="7">
        <v>259</v>
      </c>
      <c r="G3307" s="8">
        <v>0</v>
      </c>
      <c r="H3307" s="9" t="str">
        <f>INDEX(Products!$B$2:$B$37, MATCH(D3307, Products!$A$2:$A$37, 0))</f>
        <v>Bed Linen Set (King)</v>
      </c>
      <c r="I3307" t="str">
        <f>INDEX(Products!$C$2:$C$37, MATCH(D3307, Products!$A$2:$A$37, 0))</f>
        <v>Home &amp; Kitchen</v>
      </c>
      <c r="J3307">
        <f>INDEX(Products!$E$2:$E$37, MATCH(D3307, Products!$A$2:$A$37, 0))</f>
        <v>115</v>
      </c>
      <c r="K3307" s="9">
        <f t="shared" si="204"/>
        <v>259</v>
      </c>
      <c r="L3307">
        <f t="shared" si="205"/>
        <v>115</v>
      </c>
      <c r="M3307" s="9">
        <f t="shared" si="206"/>
        <v>144</v>
      </c>
      <c r="N3307" t="str">
        <f t="shared" si="207"/>
        <v>Oct</v>
      </c>
    </row>
    <row r="3308" spans="1:14" x14ac:dyDescent="0.3">
      <c r="A3308" s="2" t="s">
        <v>3374</v>
      </c>
      <c r="B3308" s="6">
        <v>45945</v>
      </c>
      <c r="C3308" s="2" t="s">
        <v>41</v>
      </c>
      <c r="D3308" s="2" t="s">
        <v>33</v>
      </c>
      <c r="E3308" s="2">
        <v>1</v>
      </c>
      <c r="F3308" s="7">
        <v>199</v>
      </c>
      <c r="G3308" s="8">
        <v>0.15</v>
      </c>
      <c r="H3308" s="9" t="str">
        <f>INDEX(Products!$B$2:$B$37, MATCH(D3308, Products!$A$2:$A$37, 0))</f>
        <v>Fitness Band Lite</v>
      </c>
      <c r="I3308" t="str">
        <f>INDEX(Products!$C$2:$C$37, MATCH(D3308, Products!$A$2:$A$37, 0))</f>
        <v>Electronics</v>
      </c>
      <c r="J3308">
        <f>INDEX(Products!$E$2:$E$37, MATCH(D3308, Products!$A$2:$A$37, 0))</f>
        <v>175</v>
      </c>
      <c r="K3308" s="9">
        <f t="shared" si="204"/>
        <v>169.15</v>
      </c>
      <c r="L3308">
        <f t="shared" si="205"/>
        <v>175</v>
      </c>
      <c r="M3308" s="9">
        <f t="shared" si="206"/>
        <v>-5.8499999999999943</v>
      </c>
      <c r="N3308" t="str">
        <f t="shared" si="207"/>
        <v>Oct</v>
      </c>
    </row>
    <row r="3309" spans="1:14" x14ac:dyDescent="0.3">
      <c r="A3309" s="2" t="s">
        <v>3375</v>
      </c>
      <c r="B3309" s="6">
        <v>45945</v>
      </c>
      <c r="C3309" s="2" t="s">
        <v>44</v>
      </c>
      <c r="D3309" s="2" t="s">
        <v>126</v>
      </c>
      <c r="E3309" s="2">
        <v>1</v>
      </c>
      <c r="F3309" s="7">
        <v>89</v>
      </c>
      <c r="G3309" s="8">
        <v>0</v>
      </c>
      <c r="H3309" s="9" t="str">
        <f>INDEX(Products!$B$2:$B$37, MATCH(D3309, Products!$A$2:$A$37, 0))</f>
        <v>USB-C Fast Charger</v>
      </c>
      <c r="I3309" t="str">
        <f>INDEX(Products!$C$2:$C$37, MATCH(D3309, Products!$A$2:$A$37, 0))</f>
        <v>Electronics</v>
      </c>
      <c r="J3309">
        <f>INDEX(Products!$E$2:$E$37, MATCH(D3309, Products!$A$2:$A$37, 0))</f>
        <v>35</v>
      </c>
      <c r="K3309" s="9">
        <f t="shared" si="204"/>
        <v>89</v>
      </c>
      <c r="L3309">
        <f t="shared" si="205"/>
        <v>35</v>
      </c>
      <c r="M3309" s="9">
        <f t="shared" si="206"/>
        <v>54</v>
      </c>
      <c r="N3309" t="str">
        <f t="shared" si="207"/>
        <v>Oct</v>
      </c>
    </row>
    <row r="3310" spans="1:14" x14ac:dyDescent="0.3">
      <c r="A3310" s="2" t="s">
        <v>3376</v>
      </c>
      <c r="B3310" s="6">
        <v>45945</v>
      </c>
      <c r="C3310" s="2" t="s">
        <v>44</v>
      </c>
      <c r="D3310" s="2" t="s">
        <v>99</v>
      </c>
      <c r="E3310" s="2">
        <v>1</v>
      </c>
      <c r="F3310" s="7">
        <v>459</v>
      </c>
      <c r="G3310" s="8">
        <v>0</v>
      </c>
      <c r="H3310" s="9" t="str">
        <f>INDEX(Products!$B$2:$B$37, MATCH(D3310, Products!$A$2:$A$37, 0))</f>
        <v>Gaming Headset X</v>
      </c>
      <c r="I3310" t="str">
        <f>INDEX(Products!$C$2:$C$37, MATCH(D3310, Products!$A$2:$A$37, 0))</f>
        <v>Electronics</v>
      </c>
      <c r="J3310">
        <f>INDEX(Products!$E$2:$E$37, MATCH(D3310, Products!$A$2:$A$37, 0))</f>
        <v>300</v>
      </c>
      <c r="K3310" s="9">
        <f t="shared" si="204"/>
        <v>459</v>
      </c>
      <c r="L3310">
        <f t="shared" si="205"/>
        <v>300</v>
      </c>
      <c r="M3310" s="9">
        <f t="shared" si="206"/>
        <v>159</v>
      </c>
      <c r="N3310" t="str">
        <f t="shared" si="207"/>
        <v>Oct</v>
      </c>
    </row>
    <row r="3311" spans="1:14" x14ac:dyDescent="0.3">
      <c r="A3311" s="2" t="s">
        <v>3377</v>
      </c>
      <c r="B3311" s="6">
        <v>45945</v>
      </c>
      <c r="C3311" s="2" t="s">
        <v>48</v>
      </c>
      <c r="D3311" s="2" t="s">
        <v>115</v>
      </c>
      <c r="E3311" s="2">
        <v>1</v>
      </c>
      <c r="F3311" s="7">
        <v>129</v>
      </c>
      <c r="G3311" s="8">
        <v>0</v>
      </c>
      <c r="H3311" s="9" t="str">
        <f>INDEX(Products!$B$2:$B$37, MATCH(D3311, Products!$A$2:$A$37, 0))</f>
        <v>Electric Kettle</v>
      </c>
      <c r="I3311" t="str">
        <f>INDEX(Products!$C$2:$C$37, MATCH(D3311, Products!$A$2:$A$37, 0))</f>
        <v>Home &amp; Kitchen</v>
      </c>
      <c r="J3311">
        <f>INDEX(Products!$E$2:$E$37, MATCH(D3311, Products!$A$2:$A$37, 0))</f>
        <v>60</v>
      </c>
      <c r="K3311" s="9">
        <f t="shared" si="204"/>
        <v>129</v>
      </c>
      <c r="L3311">
        <f t="shared" si="205"/>
        <v>60</v>
      </c>
      <c r="M3311" s="9">
        <f t="shared" si="206"/>
        <v>69</v>
      </c>
      <c r="N3311" t="str">
        <f t="shared" si="207"/>
        <v>Oct</v>
      </c>
    </row>
    <row r="3312" spans="1:14" x14ac:dyDescent="0.3">
      <c r="A3312" s="2" t="s">
        <v>3378</v>
      </c>
      <c r="B3312" s="6">
        <v>45945</v>
      </c>
      <c r="C3312" s="2" t="s">
        <v>44</v>
      </c>
      <c r="D3312" s="2" t="s">
        <v>89</v>
      </c>
      <c r="E3312" s="2">
        <v>2</v>
      </c>
      <c r="F3312" s="7">
        <v>399</v>
      </c>
      <c r="G3312" s="8">
        <v>0.3</v>
      </c>
      <c r="H3312" s="9" t="str">
        <f>INDEX(Products!$B$2:$B$37, MATCH(D3312, Products!$A$2:$A$37, 0))</f>
        <v>Men's Kandura Premium</v>
      </c>
      <c r="I3312" t="str">
        <f>INDEX(Products!$C$2:$C$37, MATCH(D3312, Products!$A$2:$A$37, 0))</f>
        <v>Fashion</v>
      </c>
      <c r="J3312">
        <f>INDEX(Products!$E$2:$E$37, MATCH(D3312, Products!$A$2:$A$37, 0))</f>
        <v>210</v>
      </c>
      <c r="K3312" s="9">
        <f t="shared" si="204"/>
        <v>558.59999999999991</v>
      </c>
      <c r="L3312">
        <f t="shared" si="205"/>
        <v>420</v>
      </c>
      <c r="M3312" s="9">
        <f t="shared" si="206"/>
        <v>138.59999999999991</v>
      </c>
      <c r="N3312" t="str">
        <f t="shared" si="207"/>
        <v>Oct</v>
      </c>
    </row>
    <row r="3313" spans="1:14" x14ac:dyDescent="0.3">
      <c r="A3313" s="2" t="s">
        <v>3379</v>
      </c>
      <c r="B3313" s="6">
        <v>45945</v>
      </c>
      <c r="C3313" s="2" t="s">
        <v>44</v>
      </c>
      <c r="D3313" s="2" t="s">
        <v>99</v>
      </c>
      <c r="E3313" s="2">
        <v>2</v>
      </c>
      <c r="F3313" s="7">
        <v>459</v>
      </c>
      <c r="G3313" s="8">
        <v>0.05</v>
      </c>
      <c r="H3313" s="9" t="str">
        <f>INDEX(Products!$B$2:$B$37, MATCH(D3313, Products!$A$2:$A$37, 0))</f>
        <v>Gaming Headset X</v>
      </c>
      <c r="I3313" t="str">
        <f>INDEX(Products!$C$2:$C$37, MATCH(D3313, Products!$A$2:$A$37, 0))</f>
        <v>Electronics</v>
      </c>
      <c r="J3313">
        <f>INDEX(Products!$E$2:$E$37, MATCH(D3313, Products!$A$2:$A$37, 0))</f>
        <v>300</v>
      </c>
      <c r="K3313" s="9">
        <f t="shared" si="204"/>
        <v>872.09999999999991</v>
      </c>
      <c r="L3313">
        <f t="shared" si="205"/>
        <v>600</v>
      </c>
      <c r="M3313" s="9">
        <f t="shared" si="206"/>
        <v>272.09999999999991</v>
      </c>
      <c r="N3313" t="str">
        <f t="shared" si="207"/>
        <v>Oct</v>
      </c>
    </row>
    <row r="3314" spans="1:14" x14ac:dyDescent="0.3">
      <c r="A3314" s="2" t="s">
        <v>3380</v>
      </c>
      <c r="B3314" s="6">
        <v>45945</v>
      </c>
      <c r="C3314" s="2" t="s">
        <v>44</v>
      </c>
      <c r="D3314" s="2" t="s">
        <v>68</v>
      </c>
      <c r="E3314" s="2">
        <v>3</v>
      </c>
      <c r="F3314" s="7">
        <v>249</v>
      </c>
      <c r="G3314" s="8">
        <v>0</v>
      </c>
      <c r="H3314" s="9" t="str">
        <f>INDEX(Products!$B$2:$B$37, MATCH(D3314, Products!$A$2:$A$37, 0))</f>
        <v>Bluetooth Speaker Mini</v>
      </c>
      <c r="I3314" t="str">
        <f>INDEX(Products!$C$2:$C$37, MATCH(D3314, Products!$A$2:$A$37, 0))</f>
        <v>Electronics</v>
      </c>
      <c r="J3314">
        <f>INDEX(Products!$E$2:$E$37, MATCH(D3314, Products!$A$2:$A$37, 0))</f>
        <v>150</v>
      </c>
      <c r="K3314" s="9">
        <f t="shared" si="204"/>
        <v>747</v>
      </c>
      <c r="L3314">
        <f t="shared" si="205"/>
        <v>450</v>
      </c>
      <c r="M3314" s="9">
        <f t="shared" si="206"/>
        <v>297</v>
      </c>
      <c r="N3314" t="str">
        <f t="shared" si="207"/>
        <v>Oct</v>
      </c>
    </row>
    <row r="3315" spans="1:14" x14ac:dyDescent="0.3">
      <c r="A3315" s="2" t="s">
        <v>3381</v>
      </c>
      <c r="B3315" s="6">
        <v>45945</v>
      </c>
      <c r="C3315" s="2" t="s">
        <v>48</v>
      </c>
      <c r="D3315" s="2" t="s">
        <v>33</v>
      </c>
      <c r="E3315" s="2">
        <v>1</v>
      </c>
      <c r="F3315" s="7">
        <v>199</v>
      </c>
      <c r="G3315" s="8">
        <v>0.25</v>
      </c>
      <c r="H3315" s="9" t="str">
        <f>INDEX(Products!$B$2:$B$37, MATCH(D3315, Products!$A$2:$A$37, 0))</f>
        <v>Fitness Band Lite</v>
      </c>
      <c r="I3315" t="str">
        <f>INDEX(Products!$C$2:$C$37, MATCH(D3315, Products!$A$2:$A$37, 0))</f>
        <v>Electronics</v>
      </c>
      <c r="J3315">
        <f>INDEX(Products!$E$2:$E$37, MATCH(D3315, Products!$A$2:$A$37, 0))</f>
        <v>175</v>
      </c>
      <c r="K3315" s="9">
        <f t="shared" si="204"/>
        <v>149.25</v>
      </c>
      <c r="L3315">
        <f t="shared" si="205"/>
        <v>175</v>
      </c>
      <c r="M3315" s="9">
        <f t="shared" si="206"/>
        <v>-25.75</v>
      </c>
      <c r="N3315" t="str">
        <f t="shared" si="207"/>
        <v>Oct</v>
      </c>
    </row>
    <row r="3316" spans="1:14" x14ac:dyDescent="0.3">
      <c r="A3316" s="2" t="s">
        <v>3382</v>
      </c>
      <c r="B3316" s="6">
        <v>45945</v>
      </c>
      <c r="C3316" s="2" t="s">
        <v>44</v>
      </c>
      <c r="D3316" s="2" t="s">
        <v>115</v>
      </c>
      <c r="E3316" s="2">
        <v>1</v>
      </c>
      <c r="F3316" s="7">
        <v>129</v>
      </c>
      <c r="G3316" s="8">
        <v>0.3</v>
      </c>
      <c r="H3316" s="9" t="str">
        <f>INDEX(Products!$B$2:$B$37, MATCH(D3316, Products!$A$2:$A$37, 0))</f>
        <v>Electric Kettle</v>
      </c>
      <c r="I3316" t="str">
        <f>INDEX(Products!$C$2:$C$37, MATCH(D3316, Products!$A$2:$A$37, 0))</f>
        <v>Home &amp; Kitchen</v>
      </c>
      <c r="J3316">
        <f>INDEX(Products!$E$2:$E$37, MATCH(D3316, Products!$A$2:$A$37, 0))</f>
        <v>60</v>
      </c>
      <c r="K3316" s="9">
        <f t="shared" si="204"/>
        <v>90.3</v>
      </c>
      <c r="L3316">
        <f t="shared" si="205"/>
        <v>60</v>
      </c>
      <c r="M3316" s="9">
        <f t="shared" si="206"/>
        <v>30.299999999999997</v>
      </c>
      <c r="N3316" t="str">
        <f t="shared" si="207"/>
        <v>Oct</v>
      </c>
    </row>
    <row r="3317" spans="1:14" x14ac:dyDescent="0.3">
      <c r="A3317" s="2" t="s">
        <v>3383</v>
      </c>
      <c r="B3317" s="6">
        <v>45945</v>
      </c>
      <c r="C3317" s="2" t="s">
        <v>28</v>
      </c>
      <c r="D3317" s="2" t="s">
        <v>109</v>
      </c>
      <c r="E3317" s="2">
        <v>1</v>
      </c>
      <c r="F3317" s="7">
        <v>1499</v>
      </c>
      <c r="G3317" s="8">
        <v>0.15</v>
      </c>
      <c r="H3317" s="9" t="str">
        <f>INDEX(Products!$B$2:$B$37, MATCH(D3317, Products!$A$2:$A$37, 0))</f>
        <v>Espresso Machine</v>
      </c>
      <c r="I3317" t="str">
        <f>INDEX(Products!$C$2:$C$37, MATCH(D3317, Products!$A$2:$A$37, 0))</f>
        <v>Home &amp; Kitchen</v>
      </c>
      <c r="J3317">
        <f>INDEX(Products!$E$2:$E$37, MATCH(D3317, Products!$A$2:$A$37, 0))</f>
        <v>1050</v>
      </c>
      <c r="K3317" s="9">
        <f t="shared" si="204"/>
        <v>1274.1499999999999</v>
      </c>
      <c r="L3317">
        <f t="shared" si="205"/>
        <v>1050</v>
      </c>
      <c r="M3317" s="9">
        <f t="shared" si="206"/>
        <v>224.14999999999986</v>
      </c>
      <c r="N3317" t="str">
        <f t="shared" si="207"/>
        <v>Oct</v>
      </c>
    </row>
    <row r="3318" spans="1:14" x14ac:dyDescent="0.3">
      <c r="A3318" s="2" t="s">
        <v>3384</v>
      </c>
      <c r="B3318" s="6">
        <v>45945</v>
      </c>
      <c r="C3318" s="2" t="s">
        <v>48</v>
      </c>
      <c r="D3318" s="2" t="s">
        <v>126</v>
      </c>
      <c r="E3318" s="2">
        <v>3</v>
      </c>
      <c r="F3318" s="7">
        <v>89</v>
      </c>
      <c r="G3318" s="8">
        <v>0.2</v>
      </c>
      <c r="H3318" s="9" t="str">
        <f>INDEX(Products!$B$2:$B$37, MATCH(D3318, Products!$A$2:$A$37, 0))</f>
        <v>USB-C Fast Charger</v>
      </c>
      <c r="I3318" t="str">
        <f>INDEX(Products!$C$2:$C$37, MATCH(D3318, Products!$A$2:$A$37, 0))</f>
        <v>Electronics</v>
      </c>
      <c r="J3318">
        <f>INDEX(Products!$E$2:$E$37, MATCH(D3318, Products!$A$2:$A$37, 0))</f>
        <v>35</v>
      </c>
      <c r="K3318" s="9">
        <f t="shared" si="204"/>
        <v>213.60000000000002</v>
      </c>
      <c r="L3318">
        <f t="shared" si="205"/>
        <v>105</v>
      </c>
      <c r="M3318" s="9">
        <f t="shared" si="206"/>
        <v>108.60000000000002</v>
      </c>
      <c r="N3318" t="str">
        <f t="shared" si="207"/>
        <v>Oct</v>
      </c>
    </row>
    <row r="3319" spans="1:14" x14ac:dyDescent="0.3">
      <c r="A3319" s="2" t="s">
        <v>3385</v>
      </c>
      <c r="B3319" s="6">
        <v>45946</v>
      </c>
      <c r="C3319" s="2" t="s">
        <v>44</v>
      </c>
      <c r="D3319" s="2" t="s">
        <v>131</v>
      </c>
      <c r="E3319" s="2">
        <v>1</v>
      </c>
      <c r="F3319" s="7">
        <v>899</v>
      </c>
      <c r="G3319" s="8">
        <v>0.2</v>
      </c>
      <c r="H3319" s="9" t="str">
        <f>INDEX(Products!$B$2:$B$37, MATCH(D3319, Products!$A$2:$A$37, 0))</f>
        <v>4K Action Camera</v>
      </c>
      <c r="I3319" t="str">
        <f>INDEX(Products!$C$2:$C$37, MATCH(D3319, Products!$A$2:$A$37, 0))</f>
        <v>Electronics</v>
      </c>
      <c r="J3319">
        <f>INDEX(Products!$E$2:$E$37, MATCH(D3319, Products!$A$2:$A$37, 0))</f>
        <v>610</v>
      </c>
      <c r="K3319" s="9">
        <f t="shared" si="204"/>
        <v>719.2</v>
      </c>
      <c r="L3319">
        <f t="shared" si="205"/>
        <v>610</v>
      </c>
      <c r="M3319" s="9">
        <f t="shared" si="206"/>
        <v>109.20000000000005</v>
      </c>
      <c r="N3319" t="str">
        <f t="shared" si="207"/>
        <v>Oct</v>
      </c>
    </row>
    <row r="3320" spans="1:14" x14ac:dyDescent="0.3">
      <c r="A3320" s="2" t="s">
        <v>3386</v>
      </c>
      <c r="B3320" s="6">
        <v>45946</v>
      </c>
      <c r="C3320" s="2" t="s">
        <v>41</v>
      </c>
      <c r="D3320" s="2" t="s">
        <v>33</v>
      </c>
      <c r="E3320" s="2">
        <v>2</v>
      </c>
      <c r="F3320" s="7">
        <v>199</v>
      </c>
      <c r="G3320" s="8">
        <v>0.2</v>
      </c>
      <c r="H3320" s="9" t="str">
        <f>INDEX(Products!$B$2:$B$37, MATCH(D3320, Products!$A$2:$A$37, 0))</f>
        <v>Fitness Band Lite</v>
      </c>
      <c r="I3320" t="str">
        <f>INDEX(Products!$C$2:$C$37, MATCH(D3320, Products!$A$2:$A$37, 0))</f>
        <v>Electronics</v>
      </c>
      <c r="J3320">
        <f>INDEX(Products!$E$2:$E$37, MATCH(D3320, Products!$A$2:$A$37, 0))</f>
        <v>175</v>
      </c>
      <c r="K3320" s="9">
        <f t="shared" si="204"/>
        <v>318.40000000000003</v>
      </c>
      <c r="L3320">
        <f t="shared" si="205"/>
        <v>350</v>
      </c>
      <c r="M3320" s="9">
        <f t="shared" si="206"/>
        <v>-31.599999999999966</v>
      </c>
      <c r="N3320" t="str">
        <f t="shared" si="207"/>
        <v>Oct</v>
      </c>
    </row>
    <row r="3321" spans="1:14" x14ac:dyDescent="0.3">
      <c r="A3321" s="2" t="s">
        <v>3387</v>
      </c>
      <c r="B3321" s="6">
        <v>45946</v>
      </c>
      <c r="C3321" s="2" t="s">
        <v>44</v>
      </c>
      <c r="D3321" s="2" t="s">
        <v>115</v>
      </c>
      <c r="E3321" s="2">
        <v>1</v>
      </c>
      <c r="F3321" s="7">
        <v>129</v>
      </c>
      <c r="G3321" s="8">
        <v>0</v>
      </c>
      <c r="H3321" s="9" t="str">
        <f>INDEX(Products!$B$2:$B$37, MATCH(D3321, Products!$A$2:$A$37, 0))</f>
        <v>Electric Kettle</v>
      </c>
      <c r="I3321" t="str">
        <f>INDEX(Products!$C$2:$C$37, MATCH(D3321, Products!$A$2:$A$37, 0))</f>
        <v>Home &amp; Kitchen</v>
      </c>
      <c r="J3321">
        <f>INDEX(Products!$E$2:$E$37, MATCH(D3321, Products!$A$2:$A$37, 0))</f>
        <v>60</v>
      </c>
      <c r="K3321" s="9">
        <f t="shared" si="204"/>
        <v>129</v>
      </c>
      <c r="L3321">
        <f t="shared" si="205"/>
        <v>60</v>
      </c>
      <c r="M3321" s="9">
        <f t="shared" si="206"/>
        <v>69</v>
      </c>
      <c r="N3321" t="str">
        <f t="shared" si="207"/>
        <v>Oct</v>
      </c>
    </row>
    <row r="3322" spans="1:14" x14ac:dyDescent="0.3">
      <c r="A3322" s="2" t="s">
        <v>3388</v>
      </c>
      <c r="B3322" s="6">
        <v>45946</v>
      </c>
      <c r="C3322" s="2" t="s">
        <v>41</v>
      </c>
      <c r="D3322" s="2" t="s">
        <v>109</v>
      </c>
      <c r="E3322" s="2">
        <v>2</v>
      </c>
      <c r="F3322" s="7">
        <v>1499</v>
      </c>
      <c r="G3322" s="8">
        <v>0</v>
      </c>
      <c r="H3322" s="9" t="str">
        <f>INDEX(Products!$B$2:$B$37, MATCH(D3322, Products!$A$2:$A$37, 0))</f>
        <v>Espresso Machine</v>
      </c>
      <c r="I3322" t="str">
        <f>INDEX(Products!$C$2:$C$37, MATCH(D3322, Products!$A$2:$A$37, 0))</f>
        <v>Home &amp; Kitchen</v>
      </c>
      <c r="J3322">
        <f>INDEX(Products!$E$2:$E$37, MATCH(D3322, Products!$A$2:$A$37, 0))</f>
        <v>1050</v>
      </c>
      <c r="K3322" s="9">
        <f t="shared" si="204"/>
        <v>2998</v>
      </c>
      <c r="L3322">
        <f t="shared" si="205"/>
        <v>2100</v>
      </c>
      <c r="M3322" s="9">
        <f t="shared" si="206"/>
        <v>898</v>
      </c>
      <c r="N3322" t="str">
        <f t="shared" si="207"/>
        <v>Oct</v>
      </c>
    </row>
    <row r="3323" spans="1:14" x14ac:dyDescent="0.3">
      <c r="A3323" s="2" t="s">
        <v>3389</v>
      </c>
      <c r="B3323" s="6">
        <v>45946</v>
      </c>
      <c r="C3323" s="2" t="s">
        <v>31</v>
      </c>
      <c r="D3323" s="2" t="s">
        <v>58</v>
      </c>
      <c r="E3323" s="2">
        <v>1</v>
      </c>
      <c r="F3323" s="7">
        <v>459</v>
      </c>
      <c r="G3323" s="8">
        <v>0</v>
      </c>
      <c r="H3323" s="9" t="str">
        <f>INDEX(Products!$B$2:$B$37, MATCH(D3323, Products!$A$2:$A$37, 0))</f>
        <v>Women's Abaya Classic</v>
      </c>
      <c r="I3323" t="str">
        <f>INDEX(Products!$C$2:$C$37, MATCH(D3323, Products!$A$2:$A$37, 0))</f>
        <v>Fashion</v>
      </c>
      <c r="J3323">
        <f>INDEX(Products!$E$2:$E$37, MATCH(D3323, Products!$A$2:$A$37, 0))</f>
        <v>190</v>
      </c>
      <c r="K3323" s="9">
        <f t="shared" si="204"/>
        <v>459</v>
      </c>
      <c r="L3323">
        <f t="shared" si="205"/>
        <v>190</v>
      </c>
      <c r="M3323" s="9">
        <f t="shared" si="206"/>
        <v>269</v>
      </c>
      <c r="N3323" t="str">
        <f t="shared" si="207"/>
        <v>Oct</v>
      </c>
    </row>
    <row r="3324" spans="1:14" x14ac:dyDescent="0.3">
      <c r="A3324" s="2" t="s">
        <v>3390</v>
      </c>
      <c r="B3324" s="6">
        <v>45946</v>
      </c>
      <c r="C3324" s="2" t="s">
        <v>44</v>
      </c>
      <c r="D3324" s="2" t="s">
        <v>99</v>
      </c>
      <c r="E3324" s="2">
        <v>2</v>
      </c>
      <c r="F3324" s="7">
        <v>459</v>
      </c>
      <c r="G3324" s="8">
        <v>0.3</v>
      </c>
      <c r="H3324" s="9" t="str">
        <f>INDEX(Products!$B$2:$B$37, MATCH(D3324, Products!$A$2:$A$37, 0))</f>
        <v>Gaming Headset X</v>
      </c>
      <c r="I3324" t="str">
        <f>INDEX(Products!$C$2:$C$37, MATCH(D3324, Products!$A$2:$A$37, 0))</f>
        <v>Electronics</v>
      </c>
      <c r="J3324">
        <f>INDEX(Products!$E$2:$E$37, MATCH(D3324, Products!$A$2:$A$37, 0))</f>
        <v>300</v>
      </c>
      <c r="K3324" s="9">
        <f t="shared" si="204"/>
        <v>642.59999999999991</v>
      </c>
      <c r="L3324">
        <f t="shared" si="205"/>
        <v>600</v>
      </c>
      <c r="M3324" s="9">
        <f t="shared" si="206"/>
        <v>42.599999999999909</v>
      </c>
      <c r="N3324" t="str">
        <f t="shared" si="207"/>
        <v>Oct</v>
      </c>
    </row>
    <row r="3325" spans="1:14" x14ac:dyDescent="0.3">
      <c r="A3325" s="2" t="s">
        <v>3391</v>
      </c>
      <c r="B3325" s="6">
        <v>45946</v>
      </c>
      <c r="C3325" s="2" t="s">
        <v>41</v>
      </c>
      <c r="D3325" s="2" t="s">
        <v>165</v>
      </c>
      <c r="E3325" s="2">
        <v>1</v>
      </c>
      <c r="F3325" s="7">
        <v>69</v>
      </c>
      <c r="G3325" s="8">
        <v>0.3</v>
      </c>
      <c r="H3325" s="9" t="str">
        <f>INDEX(Products!$B$2:$B$37, MATCH(D3325, Products!$A$2:$A$37, 0))</f>
        <v>Swim Goggles</v>
      </c>
      <c r="I3325" t="str">
        <f>INDEX(Products!$C$2:$C$37, MATCH(D3325, Products!$A$2:$A$37, 0))</f>
        <v>Sports</v>
      </c>
      <c r="J3325">
        <f>INDEX(Products!$E$2:$E$37, MATCH(D3325, Products!$A$2:$A$37, 0))</f>
        <v>25</v>
      </c>
      <c r="K3325" s="9">
        <f t="shared" si="204"/>
        <v>48.3</v>
      </c>
      <c r="L3325">
        <f t="shared" si="205"/>
        <v>25</v>
      </c>
      <c r="M3325" s="9">
        <f t="shared" si="206"/>
        <v>23.299999999999997</v>
      </c>
      <c r="N3325" t="str">
        <f t="shared" si="207"/>
        <v>Oct</v>
      </c>
    </row>
    <row r="3326" spans="1:14" x14ac:dyDescent="0.3">
      <c r="A3326" s="2" t="s">
        <v>3392</v>
      </c>
      <c r="B3326" s="6">
        <v>45946</v>
      </c>
      <c r="C3326" s="2" t="s">
        <v>28</v>
      </c>
      <c r="D3326" s="2" t="s">
        <v>46</v>
      </c>
      <c r="E3326" s="2">
        <v>3</v>
      </c>
      <c r="F3326" s="7">
        <v>189</v>
      </c>
      <c r="G3326" s="8">
        <v>0.2</v>
      </c>
      <c r="H3326" s="9" t="str">
        <f>INDEX(Products!$B$2:$B$37, MATCH(D3326, Products!$A$2:$A$37, 0))</f>
        <v>Makeup Palette</v>
      </c>
      <c r="I3326" t="str">
        <f>INDEX(Products!$C$2:$C$37, MATCH(D3326, Products!$A$2:$A$37, 0))</f>
        <v>Beauty</v>
      </c>
      <c r="J3326">
        <f>INDEX(Products!$E$2:$E$37, MATCH(D3326, Products!$A$2:$A$37, 0))</f>
        <v>85</v>
      </c>
      <c r="K3326" s="9">
        <f t="shared" si="204"/>
        <v>453.6</v>
      </c>
      <c r="L3326">
        <f t="shared" si="205"/>
        <v>255</v>
      </c>
      <c r="M3326" s="9">
        <f t="shared" si="206"/>
        <v>198.60000000000002</v>
      </c>
      <c r="N3326" t="str">
        <f t="shared" si="207"/>
        <v>Oct</v>
      </c>
    </row>
    <row r="3327" spans="1:14" x14ac:dyDescent="0.3">
      <c r="A3327" s="2" t="s">
        <v>3393</v>
      </c>
      <c r="B3327" s="6">
        <v>45946</v>
      </c>
      <c r="C3327" s="2" t="s">
        <v>28</v>
      </c>
      <c r="D3327" s="2" t="s">
        <v>49</v>
      </c>
      <c r="E3327" s="2">
        <v>1</v>
      </c>
      <c r="F3327" s="7">
        <v>149</v>
      </c>
      <c r="G3327" s="8">
        <v>0.15</v>
      </c>
      <c r="H3327" s="9" t="str">
        <f>INDEX(Products!$B$2:$B$37, MATCH(D3327, Products!$A$2:$A$37, 0))</f>
        <v>Kids' Sneakers</v>
      </c>
      <c r="I3327" t="str">
        <f>INDEX(Products!$C$2:$C$37, MATCH(D3327, Products!$A$2:$A$37, 0))</f>
        <v>Fashion</v>
      </c>
      <c r="J3327">
        <f>INDEX(Products!$E$2:$E$37, MATCH(D3327, Products!$A$2:$A$37, 0))</f>
        <v>80</v>
      </c>
      <c r="K3327" s="9">
        <f t="shared" si="204"/>
        <v>126.64999999999999</v>
      </c>
      <c r="L3327">
        <f t="shared" si="205"/>
        <v>80</v>
      </c>
      <c r="M3327" s="9">
        <f t="shared" si="206"/>
        <v>46.649999999999991</v>
      </c>
      <c r="N3327" t="str">
        <f t="shared" si="207"/>
        <v>Oct</v>
      </c>
    </row>
    <row r="3328" spans="1:14" x14ac:dyDescent="0.3">
      <c r="A3328" s="2" t="s">
        <v>3394</v>
      </c>
      <c r="B3328" s="6">
        <v>45946</v>
      </c>
      <c r="C3328" s="2" t="s">
        <v>28</v>
      </c>
      <c r="D3328" s="2" t="s">
        <v>46</v>
      </c>
      <c r="E3328" s="2">
        <v>1</v>
      </c>
      <c r="F3328" s="7">
        <v>189</v>
      </c>
      <c r="G3328" s="8">
        <v>0.15</v>
      </c>
      <c r="H3328" s="9" t="str">
        <f>INDEX(Products!$B$2:$B$37, MATCH(D3328, Products!$A$2:$A$37, 0))</f>
        <v>Makeup Palette</v>
      </c>
      <c r="I3328" t="str">
        <f>INDEX(Products!$C$2:$C$37, MATCH(D3328, Products!$A$2:$A$37, 0))</f>
        <v>Beauty</v>
      </c>
      <c r="J3328">
        <f>INDEX(Products!$E$2:$E$37, MATCH(D3328, Products!$A$2:$A$37, 0))</f>
        <v>85</v>
      </c>
      <c r="K3328" s="9">
        <f t="shared" si="204"/>
        <v>160.65</v>
      </c>
      <c r="L3328">
        <f t="shared" si="205"/>
        <v>85</v>
      </c>
      <c r="M3328" s="9">
        <f t="shared" si="206"/>
        <v>75.650000000000006</v>
      </c>
      <c r="N3328" t="str">
        <f t="shared" si="207"/>
        <v>Oct</v>
      </c>
    </row>
    <row r="3329" spans="1:14" x14ac:dyDescent="0.3">
      <c r="A3329" s="2" t="s">
        <v>3395</v>
      </c>
      <c r="B3329" s="6">
        <v>45946</v>
      </c>
      <c r="C3329" s="2" t="s">
        <v>28</v>
      </c>
      <c r="D3329" s="2" t="s">
        <v>35</v>
      </c>
      <c r="E3329" s="2">
        <v>1</v>
      </c>
      <c r="F3329" s="7">
        <v>179</v>
      </c>
      <c r="G3329" s="8">
        <v>0.1</v>
      </c>
      <c r="H3329" s="9" t="str">
        <f>INDEX(Products!$B$2:$B$37, MATCH(D3329, Products!$A$2:$A$37, 0))</f>
        <v>Men's Linen Shirt</v>
      </c>
      <c r="I3329" t="str">
        <f>INDEX(Products!$C$2:$C$37, MATCH(D3329, Products!$A$2:$A$37, 0))</f>
        <v>Fashion</v>
      </c>
      <c r="J3329">
        <f>INDEX(Products!$E$2:$E$37, MATCH(D3329, Products!$A$2:$A$37, 0))</f>
        <v>70</v>
      </c>
      <c r="K3329" s="9">
        <f t="shared" si="204"/>
        <v>161.1</v>
      </c>
      <c r="L3329">
        <f t="shared" si="205"/>
        <v>70</v>
      </c>
      <c r="M3329" s="9">
        <f t="shared" si="206"/>
        <v>91.1</v>
      </c>
      <c r="N3329" t="str">
        <f t="shared" si="207"/>
        <v>Oct</v>
      </c>
    </row>
    <row r="3330" spans="1:14" x14ac:dyDescent="0.3">
      <c r="A3330" s="2" t="s">
        <v>3396</v>
      </c>
      <c r="B3330" s="6">
        <v>45947</v>
      </c>
      <c r="C3330" s="2" t="s">
        <v>44</v>
      </c>
      <c r="D3330" s="2" t="s">
        <v>29</v>
      </c>
      <c r="E3330" s="2">
        <v>1</v>
      </c>
      <c r="F3330" s="7">
        <v>229</v>
      </c>
      <c r="G3330" s="8">
        <v>0</v>
      </c>
      <c r="H3330" s="9" t="str">
        <f>INDEX(Products!$B$2:$B$37, MATCH(D3330, Products!$A$2:$A$37, 0))</f>
        <v>Women's Summer Dress</v>
      </c>
      <c r="I3330" t="str">
        <f>INDEX(Products!$C$2:$C$37, MATCH(D3330, Products!$A$2:$A$37, 0))</f>
        <v>Fashion</v>
      </c>
      <c r="J3330">
        <f>INDEX(Products!$E$2:$E$37, MATCH(D3330, Products!$A$2:$A$37, 0))</f>
        <v>120</v>
      </c>
      <c r="K3330" s="9">
        <f t="shared" ref="K3330:K3393" si="208">E3330*F3330*(1-G3330)</f>
        <v>229</v>
      </c>
      <c r="L3330">
        <f t="shared" ref="L3330:L3393" si="209">E3330*J3330</f>
        <v>120</v>
      </c>
      <c r="M3330" s="9">
        <f t="shared" ref="M3330:M3393" si="210">K3330-L3330</f>
        <v>109</v>
      </c>
      <c r="N3330" t="str">
        <f t="shared" ref="N3330:N3393" si="211">TEXT(B3330,"mmm")</f>
        <v>Oct</v>
      </c>
    </row>
    <row r="3331" spans="1:14" x14ac:dyDescent="0.3">
      <c r="A3331" s="2" t="s">
        <v>3397</v>
      </c>
      <c r="B3331" s="6">
        <v>45947</v>
      </c>
      <c r="C3331" s="2" t="s">
        <v>41</v>
      </c>
      <c r="D3331" s="2" t="s">
        <v>33</v>
      </c>
      <c r="E3331" s="2">
        <v>1</v>
      </c>
      <c r="F3331" s="7">
        <v>199</v>
      </c>
      <c r="G3331" s="8">
        <v>0.15</v>
      </c>
      <c r="H3331" s="9" t="str">
        <f>INDEX(Products!$B$2:$B$37, MATCH(D3331, Products!$A$2:$A$37, 0))</f>
        <v>Fitness Band Lite</v>
      </c>
      <c r="I3331" t="str">
        <f>INDEX(Products!$C$2:$C$37, MATCH(D3331, Products!$A$2:$A$37, 0))</f>
        <v>Electronics</v>
      </c>
      <c r="J3331">
        <f>INDEX(Products!$E$2:$E$37, MATCH(D3331, Products!$A$2:$A$37, 0))</f>
        <v>175</v>
      </c>
      <c r="K3331" s="9">
        <f t="shared" si="208"/>
        <v>169.15</v>
      </c>
      <c r="L3331">
        <f t="shared" si="209"/>
        <v>175</v>
      </c>
      <c r="M3331" s="9">
        <f t="shared" si="210"/>
        <v>-5.8499999999999943</v>
      </c>
      <c r="N3331" t="str">
        <f t="shared" si="211"/>
        <v>Oct</v>
      </c>
    </row>
    <row r="3332" spans="1:14" x14ac:dyDescent="0.3">
      <c r="A3332" s="2" t="s">
        <v>3398</v>
      </c>
      <c r="B3332" s="6">
        <v>45947</v>
      </c>
      <c r="C3332" s="2" t="s">
        <v>48</v>
      </c>
      <c r="D3332" s="2" t="s">
        <v>46</v>
      </c>
      <c r="E3332" s="2">
        <v>2</v>
      </c>
      <c r="F3332" s="7">
        <v>189</v>
      </c>
      <c r="G3332" s="8">
        <v>0.05</v>
      </c>
      <c r="H3332" s="9" t="str">
        <f>INDEX(Products!$B$2:$B$37, MATCH(D3332, Products!$A$2:$A$37, 0))</f>
        <v>Makeup Palette</v>
      </c>
      <c r="I3332" t="str">
        <f>INDEX(Products!$C$2:$C$37, MATCH(D3332, Products!$A$2:$A$37, 0))</f>
        <v>Beauty</v>
      </c>
      <c r="J3332">
        <f>INDEX(Products!$E$2:$E$37, MATCH(D3332, Products!$A$2:$A$37, 0))</f>
        <v>85</v>
      </c>
      <c r="K3332" s="9">
        <f t="shared" si="208"/>
        <v>359.09999999999997</v>
      </c>
      <c r="L3332">
        <f t="shared" si="209"/>
        <v>170</v>
      </c>
      <c r="M3332" s="9">
        <f t="shared" si="210"/>
        <v>189.09999999999997</v>
      </c>
      <c r="N3332" t="str">
        <f t="shared" si="211"/>
        <v>Oct</v>
      </c>
    </row>
    <row r="3333" spans="1:14" x14ac:dyDescent="0.3">
      <c r="A3333" s="2" t="s">
        <v>3399</v>
      </c>
      <c r="B3333" s="6">
        <v>45947</v>
      </c>
      <c r="C3333" s="2" t="s">
        <v>28</v>
      </c>
      <c r="D3333" s="2" t="s">
        <v>80</v>
      </c>
      <c r="E3333" s="2">
        <v>1</v>
      </c>
      <c r="F3333" s="7">
        <v>149</v>
      </c>
      <c r="G3333" s="8">
        <v>0.15</v>
      </c>
      <c r="H3333" s="9" t="str">
        <f>INDEX(Products!$B$2:$B$37, MATCH(D3333, Products!$A$2:$A$37, 0))</f>
        <v>Vitamin C Serum</v>
      </c>
      <c r="I3333" t="str">
        <f>INDEX(Products!$C$2:$C$37, MATCH(D3333, Products!$A$2:$A$37, 0))</f>
        <v>Beauty</v>
      </c>
      <c r="J3333">
        <f>INDEX(Products!$E$2:$E$37, MATCH(D3333, Products!$A$2:$A$37, 0))</f>
        <v>55</v>
      </c>
      <c r="K3333" s="9">
        <f t="shared" si="208"/>
        <v>126.64999999999999</v>
      </c>
      <c r="L3333">
        <f t="shared" si="209"/>
        <v>55</v>
      </c>
      <c r="M3333" s="9">
        <f t="shared" si="210"/>
        <v>71.649999999999991</v>
      </c>
      <c r="N3333" t="str">
        <f t="shared" si="211"/>
        <v>Oct</v>
      </c>
    </row>
    <row r="3334" spans="1:14" x14ac:dyDescent="0.3">
      <c r="A3334" s="2" t="s">
        <v>3400</v>
      </c>
      <c r="B3334" s="6">
        <v>45947</v>
      </c>
      <c r="C3334" s="2" t="s">
        <v>44</v>
      </c>
      <c r="D3334" s="2" t="s">
        <v>89</v>
      </c>
      <c r="E3334" s="2">
        <v>1</v>
      </c>
      <c r="F3334" s="7">
        <v>399</v>
      </c>
      <c r="G3334" s="8">
        <v>0</v>
      </c>
      <c r="H3334" s="9" t="str">
        <f>INDEX(Products!$B$2:$B$37, MATCH(D3334, Products!$A$2:$A$37, 0))</f>
        <v>Men's Kandura Premium</v>
      </c>
      <c r="I3334" t="str">
        <f>INDEX(Products!$C$2:$C$37, MATCH(D3334, Products!$A$2:$A$37, 0))</f>
        <v>Fashion</v>
      </c>
      <c r="J3334">
        <f>INDEX(Products!$E$2:$E$37, MATCH(D3334, Products!$A$2:$A$37, 0))</f>
        <v>210</v>
      </c>
      <c r="K3334" s="9">
        <f t="shared" si="208"/>
        <v>399</v>
      </c>
      <c r="L3334">
        <f t="shared" si="209"/>
        <v>210</v>
      </c>
      <c r="M3334" s="9">
        <f t="shared" si="210"/>
        <v>189</v>
      </c>
      <c r="N3334" t="str">
        <f t="shared" si="211"/>
        <v>Oct</v>
      </c>
    </row>
    <row r="3335" spans="1:14" x14ac:dyDescent="0.3">
      <c r="A3335" s="2" t="s">
        <v>3401</v>
      </c>
      <c r="B3335" s="6">
        <v>45947</v>
      </c>
      <c r="C3335" s="2" t="s">
        <v>44</v>
      </c>
      <c r="D3335" s="2" t="s">
        <v>115</v>
      </c>
      <c r="E3335" s="2">
        <v>1</v>
      </c>
      <c r="F3335" s="7">
        <v>129</v>
      </c>
      <c r="G3335" s="8">
        <v>0.05</v>
      </c>
      <c r="H3335" s="9" t="str">
        <f>INDEX(Products!$B$2:$B$37, MATCH(D3335, Products!$A$2:$A$37, 0))</f>
        <v>Electric Kettle</v>
      </c>
      <c r="I3335" t="str">
        <f>INDEX(Products!$C$2:$C$37, MATCH(D3335, Products!$A$2:$A$37, 0))</f>
        <v>Home &amp; Kitchen</v>
      </c>
      <c r="J3335">
        <f>INDEX(Products!$E$2:$E$37, MATCH(D3335, Products!$A$2:$A$37, 0))</f>
        <v>60</v>
      </c>
      <c r="K3335" s="9">
        <f t="shared" si="208"/>
        <v>122.55</v>
      </c>
      <c r="L3335">
        <f t="shared" si="209"/>
        <v>60</v>
      </c>
      <c r="M3335" s="9">
        <f t="shared" si="210"/>
        <v>62.55</v>
      </c>
      <c r="N3335" t="str">
        <f t="shared" si="211"/>
        <v>Oct</v>
      </c>
    </row>
    <row r="3336" spans="1:14" x14ac:dyDescent="0.3">
      <c r="A3336" s="2" t="s">
        <v>3402</v>
      </c>
      <c r="B3336" s="6">
        <v>45947</v>
      </c>
      <c r="C3336" s="2" t="s">
        <v>41</v>
      </c>
      <c r="D3336" s="2" t="s">
        <v>92</v>
      </c>
      <c r="E3336" s="2">
        <v>4</v>
      </c>
      <c r="F3336" s="7">
        <v>349</v>
      </c>
      <c r="G3336" s="8">
        <v>0</v>
      </c>
      <c r="H3336" s="9" t="str">
        <f>INDEX(Products!$B$2:$B$37, MATCH(D3336, Products!$A$2:$A$37, 0))</f>
        <v>Non-stick Cookware Set</v>
      </c>
      <c r="I3336" t="str">
        <f>INDEX(Products!$C$2:$C$37, MATCH(D3336, Products!$A$2:$A$37, 0))</f>
        <v>Home &amp; Kitchen</v>
      </c>
      <c r="J3336">
        <f>INDEX(Products!$E$2:$E$37, MATCH(D3336, Products!$A$2:$A$37, 0))</f>
        <v>170</v>
      </c>
      <c r="K3336" s="9">
        <f t="shared" si="208"/>
        <v>1396</v>
      </c>
      <c r="L3336">
        <f t="shared" si="209"/>
        <v>680</v>
      </c>
      <c r="M3336" s="9">
        <f t="shared" si="210"/>
        <v>716</v>
      </c>
      <c r="N3336" t="str">
        <f t="shared" si="211"/>
        <v>Oct</v>
      </c>
    </row>
    <row r="3337" spans="1:14" x14ac:dyDescent="0.3">
      <c r="A3337" s="2" t="s">
        <v>3403</v>
      </c>
      <c r="B3337" s="6">
        <v>45947</v>
      </c>
      <c r="C3337" s="2" t="s">
        <v>44</v>
      </c>
      <c r="D3337" s="2" t="s">
        <v>60</v>
      </c>
      <c r="E3337" s="2">
        <v>1</v>
      </c>
      <c r="F3337" s="7">
        <v>99</v>
      </c>
      <c r="G3337" s="8">
        <v>0.05</v>
      </c>
      <c r="H3337" s="9" t="str">
        <f>INDEX(Products!$B$2:$B$37, MATCH(D3337, Products!$A$2:$A$37, 0))</f>
        <v>Football Size 5</v>
      </c>
      <c r="I3337" t="str">
        <f>INDEX(Products!$C$2:$C$37, MATCH(D3337, Products!$A$2:$A$37, 0))</f>
        <v>Sports</v>
      </c>
      <c r="J3337">
        <f>INDEX(Products!$E$2:$E$37, MATCH(D3337, Products!$A$2:$A$37, 0))</f>
        <v>45</v>
      </c>
      <c r="K3337" s="9">
        <f t="shared" si="208"/>
        <v>94.05</v>
      </c>
      <c r="L3337">
        <f t="shared" si="209"/>
        <v>45</v>
      </c>
      <c r="M3337" s="9">
        <f t="shared" si="210"/>
        <v>49.05</v>
      </c>
      <c r="N3337" t="str">
        <f t="shared" si="211"/>
        <v>Oct</v>
      </c>
    </row>
    <row r="3338" spans="1:14" x14ac:dyDescent="0.3">
      <c r="A3338" s="2" t="s">
        <v>3404</v>
      </c>
      <c r="B3338" s="6">
        <v>45947</v>
      </c>
      <c r="C3338" s="2" t="s">
        <v>28</v>
      </c>
      <c r="D3338" s="2" t="s">
        <v>49</v>
      </c>
      <c r="E3338" s="2">
        <v>2</v>
      </c>
      <c r="F3338" s="7">
        <v>149</v>
      </c>
      <c r="G3338" s="8">
        <v>0</v>
      </c>
      <c r="H3338" s="9" t="str">
        <f>INDEX(Products!$B$2:$B$37, MATCH(D3338, Products!$A$2:$A$37, 0))</f>
        <v>Kids' Sneakers</v>
      </c>
      <c r="I3338" t="str">
        <f>INDEX(Products!$C$2:$C$37, MATCH(D3338, Products!$A$2:$A$37, 0))</f>
        <v>Fashion</v>
      </c>
      <c r="J3338">
        <f>INDEX(Products!$E$2:$E$37, MATCH(D3338, Products!$A$2:$A$37, 0))</f>
        <v>80</v>
      </c>
      <c r="K3338" s="9">
        <f t="shared" si="208"/>
        <v>298</v>
      </c>
      <c r="L3338">
        <f t="shared" si="209"/>
        <v>160</v>
      </c>
      <c r="M3338" s="9">
        <f t="shared" si="210"/>
        <v>138</v>
      </c>
      <c r="N3338" t="str">
        <f t="shared" si="211"/>
        <v>Oct</v>
      </c>
    </row>
    <row r="3339" spans="1:14" x14ac:dyDescent="0.3">
      <c r="A3339" s="2" t="s">
        <v>3405</v>
      </c>
      <c r="B3339" s="6">
        <v>45947</v>
      </c>
      <c r="C3339" s="2" t="s">
        <v>41</v>
      </c>
      <c r="D3339" s="2" t="s">
        <v>92</v>
      </c>
      <c r="E3339" s="2">
        <v>1</v>
      </c>
      <c r="F3339" s="7">
        <v>349</v>
      </c>
      <c r="G3339" s="8">
        <v>0.1</v>
      </c>
      <c r="H3339" s="9" t="str">
        <f>INDEX(Products!$B$2:$B$37, MATCH(D3339, Products!$A$2:$A$37, 0))</f>
        <v>Non-stick Cookware Set</v>
      </c>
      <c r="I3339" t="str">
        <f>INDEX(Products!$C$2:$C$37, MATCH(D3339, Products!$A$2:$A$37, 0))</f>
        <v>Home &amp; Kitchen</v>
      </c>
      <c r="J3339">
        <f>INDEX(Products!$E$2:$E$37, MATCH(D3339, Products!$A$2:$A$37, 0))</f>
        <v>170</v>
      </c>
      <c r="K3339" s="9">
        <f t="shared" si="208"/>
        <v>314.10000000000002</v>
      </c>
      <c r="L3339">
        <f t="shared" si="209"/>
        <v>170</v>
      </c>
      <c r="M3339" s="9">
        <f t="shared" si="210"/>
        <v>144.10000000000002</v>
      </c>
      <c r="N3339" t="str">
        <f t="shared" si="211"/>
        <v>Oct</v>
      </c>
    </row>
    <row r="3340" spans="1:14" x14ac:dyDescent="0.3">
      <c r="A3340" s="2" t="s">
        <v>3406</v>
      </c>
      <c r="B3340" s="6">
        <v>45948</v>
      </c>
      <c r="C3340" s="2" t="s">
        <v>41</v>
      </c>
      <c r="D3340" s="2" t="s">
        <v>29</v>
      </c>
      <c r="E3340" s="2">
        <v>1</v>
      </c>
      <c r="F3340" s="7">
        <v>229</v>
      </c>
      <c r="G3340" s="8">
        <v>0.2</v>
      </c>
      <c r="H3340" s="9" t="str">
        <f>INDEX(Products!$B$2:$B$37, MATCH(D3340, Products!$A$2:$A$37, 0))</f>
        <v>Women's Summer Dress</v>
      </c>
      <c r="I3340" t="str">
        <f>INDEX(Products!$C$2:$C$37, MATCH(D3340, Products!$A$2:$A$37, 0))</f>
        <v>Fashion</v>
      </c>
      <c r="J3340">
        <f>INDEX(Products!$E$2:$E$37, MATCH(D3340, Products!$A$2:$A$37, 0))</f>
        <v>120</v>
      </c>
      <c r="K3340" s="9">
        <f t="shared" si="208"/>
        <v>183.20000000000002</v>
      </c>
      <c r="L3340">
        <f t="shared" si="209"/>
        <v>120</v>
      </c>
      <c r="M3340" s="9">
        <f t="shared" si="210"/>
        <v>63.200000000000017</v>
      </c>
      <c r="N3340" t="str">
        <f t="shared" si="211"/>
        <v>Oct</v>
      </c>
    </row>
    <row r="3341" spans="1:14" x14ac:dyDescent="0.3">
      <c r="A3341" s="2" t="s">
        <v>3407</v>
      </c>
      <c r="B3341" s="6">
        <v>45948</v>
      </c>
      <c r="C3341" s="2" t="s">
        <v>31</v>
      </c>
      <c r="D3341" s="2" t="s">
        <v>87</v>
      </c>
      <c r="E3341" s="2">
        <v>1</v>
      </c>
      <c r="F3341" s="7">
        <v>799</v>
      </c>
      <c r="G3341" s="8">
        <v>0.1</v>
      </c>
      <c r="H3341" s="9" t="str">
        <f>INDEX(Products!$B$2:$B$37, MATCH(D3341, Products!$A$2:$A$37, 0))</f>
        <v>Adjustable Dumbbells</v>
      </c>
      <c r="I3341" t="str">
        <f>INDEX(Products!$C$2:$C$37, MATCH(D3341, Products!$A$2:$A$37, 0))</f>
        <v>Sports</v>
      </c>
      <c r="J3341">
        <f>INDEX(Products!$E$2:$E$37, MATCH(D3341, Products!$A$2:$A$37, 0))</f>
        <v>700</v>
      </c>
      <c r="K3341" s="9">
        <f t="shared" si="208"/>
        <v>719.1</v>
      </c>
      <c r="L3341">
        <f t="shared" si="209"/>
        <v>700</v>
      </c>
      <c r="M3341" s="9">
        <f t="shared" si="210"/>
        <v>19.100000000000023</v>
      </c>
      <c r="N3341" t="str">
        <f t="shared" si="211"/>
        <v>Oct</v>
      </c>
    </row>
    <row r="3342" spans="1:14" x14ac:dyDescent="0.3">
      <c r="A3342" s="2" t="s">
        <v>3408</v>
      </c>
      <c r="B3342" s="6">
        <v>45948</v>
      </c>
      <c r="C3342" s="2" t="s">
        <v>41</v>
      </c>
      <c r="D3342" s="2" t="s">
        <v>35</v>
      </c>
      <c r="E3342" s="2">
        <v>1</v>
      </c>
      <c r="F3342" s="7">
        <v>179</v>
      </c>
      <c r="G3342" s="8">
        <v>0</v>
      </c>
      <c r="H3342" s="9" t="str">
        <f>INDEX(Products!$B$2:$B$37, MATCH(D3342, Products!$A$2:$A$37, 0))</f>
        <v>Men's Linen Shirt</v>
      </c>
      <c r="I3342" t="str">
        <f>INDEX(Products!$C$2:$C$37, MATCH(D3342, Products!$A$2:$A$37, 0))</f>
        <v>Fashion</v>
      </c>
      <c r="J3342">
        <f>INDEX(Products!$E$2:$E$37, MATCH(D3342, Products!$A$2:$A$37, 0))</f>
        <v>70</v>
      </c>
      <c r="K3342" s="9">
        <f t="shared" si="208"/>
        <v>179</v>
      </c>
      <c r="L3342">
        <f t="shared" si="209"/>
        <v>70</v>
      </c>
      <c r="M3342" s="9">
        <f t="shared" si="210"/>
        <v>109</v>
      </c>
      <c r="N3342" t="str">
        <f t="shared" si="211"/>
        <v>Oct</v>
      </c>
    </row>
    <row r="3343" spans="1:14" x14ac:dyDescent="0.3">
      <c r="A3343" s="2" t="s">
        <v>3409</v>
      </c>
      <c r="B3343" s="6">
        <v>45948</v>
      </c>
      <c r="C3343" s="2" t="s">
        <v>41</v>
      </c>
      <c r="D3343" s="2" t="s">
        <v>70</v>
      </c>
      <c r="E3343" s="2">
        <v>2</v>
      </c>
      <c r="F3343" s="7">
        <v>429</v>
      </c>
      <c r="G3343" s="8">
        <v>0</v>
      </c>
      <c r="H3343" s="9" t="str">
        <f>INDEX(Products!$B$2:$B$37, MATCH(D3343, Products!$A$2:$A$37, 0))</f>
        <v>Running Shoes Elite</v>
      </c>
      <c r="I3343" t="str">
        <f>INDEX(Products!$C$2:$C$37, MATCH(D3343, Products!$A$2:$A$37, 0))</f>
        <v>Fashion</v>
      </c>
      <c r="J3343">
        <f>INDEX(Products!$E$2:$E$37, MATCH(D3343, Products!$A$2:$A$37, 0))</f>
        <v>300</v>
      </c>
      <c r="K3343" s="9">
        <f t="shared" si="208"/>
        <v>858</v>
      </c>
      <c r="L3343">
        <f t="shared" si="209"/>
        <v>600</v>
      </c>
      <c r="M3343" s="9">
        <f t="shared" si="210"/>
        <v>258</v>
      </c>
      <c r="N3343" t="str">
        <f t="shared" si="211"/>
        <v>Oct</v>
      </c>
    </row>
    <row r="3344" spans="1:14" x14ac:dyDescent="0.3">
      <c r="A3344" s="2" t="s">
        <v>3410</v>
      </c>
      <c r="B3344" s="6">
        <v>45948</v>
      </c>
      <c r="C3344" s="2" t="s">
        <v>28</v>
      </c>
      <c r="D3344" s="2" t="s">
        <v>129</v>
      </c>
      <c r="E3344" s="2">
        <v>2</v>
      </c>
      <c r="F3344" s="7">
        <v>149</v>
      </c>
      <c r="G3344" s="8">
        <v>0</v>
      </c>
      <c r="H3344" s="9" t="str">
        <f>INDEX(Products!$B$2:$B$37, MATCH(D3344, Products!$A$2:$A$37, 0))</f>
        <v>Power Bank 20000mAh</v>
      </c>
      <c r="I3344" t="str">
        <f>INDEX(Products!$C$2:$C$37, MATCH(D3344, Products!$A$2:$A$37, 0))</f>
        <v>Electronics</v>
      </c>
      <c r="J3344">
        <f>INDEX(Products!$E$2:$E$37, MATCH(D3344, Products!$A$2:$A$37, 0))</f>
        <v>70</v>
      </c>
      <c r="K3344" s="9">
        <f t="shared" si="208"/>
        <v>298</v>
      </c>
      <c r="L3344">
        <f t="shared" si="209"/>
        <v>140</v>
      </c>
      <c r="M3344" s="9">
        <f t="shared" si="210"/>
        <v>158</v>
      </c>
      <c r="N3344" t="str">
        <f t="shared" si="211"/>
        <v>Oct</v>
      </c>
    </row>
    <row r="3345" spans="1:14" x14ac:dyDescent="0.3">
      <c r="A3345" s="2" t="s">
        <v>3411</v>
      </c>
      <c r="B3345" s="6">
        <v>45948</v>
      </c>
      <c r="C3345" s="2" t="s">
        <v>44</v>
      </c>
      <c r="D3345" s="2" t="s">
        <v>92</v>
      </c>
      <c r="E3345" s="2">
        <v>2</v>
      </c>
      <c r="F3345" s="7">
        <v>349</v>
      </c>
      <c r="G3345" s="8">
        <v>0.05</v>
      </c>
      <c r="H3345" s="9" t="str">
        <f>INDEX(Products!$B$2:$B$37, MATCH(D3345, Products!$A$2:$A$37, 0))</f>
        <v>Non-stick Cookware Set</v>
      </c>
      <c r="I3345" t="str">
        <f>INDEX(Products!$C$2:$C$37, MATCH(D3345, Products!$A$2:$A$37, 0))</f>
        <v>Home &amp; Kitchen</v>
      </c>
      <c r="J3345">
        <f>INDEX(Products!$E$2:$E$37, MATCH(D3345, Products!$A$2:$A$37, 0))</f>
        <v>170</v>
      </c>
      <c r="K3345" s="9">
        <f t="shared" si="208"/>
        <v>663.1</v>
      </c>
      <c r="L3345">
        <f t="shared" si="209"/>
        <v>340</v>
      </c>
      <c r="M3345" s="9">
        <f t="shared" si="210"/>
        <v>323.10000000000002</v>
      </c>
      <c r="N3345" t="str">
        <f t="shared" si="211"/>
        <v>Oct</v>
      </c>
    </row>
    <row r="3346" spans="1:14" x14ac:dyDescent="0.3">
      <c r="A3346" s="2" t="s">
        <v>3412</v>
      </c>
      <c r="B3346" s="6">
        <v>45948</v>
      </c>
      <c r="C3346" s="2" t="s">
        <v>48</v>
      </c>
      <c r="D3346" s="2" t="s">
        <v>103</v>
      </c>
      <c r="E3346" s="2">
        <v>2</v>
      </c>
      <c r="F3346" s="7">
        <v>89</v>
      </c>
      <c r="G3346" s="8">
        <v>0</v>
      </c>
      <c r="H3346" s="9" t="str">
        <f>INDEX(Products!$B$2:$B$37, MATCH(D3346, Products!$A$2:$A$37, 0))</f>
        <v>Sunscreen SPF50</v>
      </c>
      <c r="I3346" t="str">
        <f>INDEX(Products!$C$2:$C$37, MATCH(D3346, Products!$A$2:$A$37, 0))</f>
        <v>Beauty</v>
      </c>
      <c r="J3346">
        <f>INDEX(Products!$E$2:$E$37, MATCH(D3346, Products!$A$2:$A$37, 0))</f>
        <v>40</v>
      </c>
      <c r="K3346" s="9">
        <f t="shared" si="208"/>
        <v>178</v>
      </c>
      <c r="L3346">
        <f t="shared" si="209"/>
        <v>80</v>
      </c>
      <c r="M3346" s="9">
        <f t="shared" si="210"/>
        <v>98</v>
      </c>
      <c r="N3346" t="str">
        <f t="shared" si="211"/>
        <v>Oct</v>
      </c>
    </row>
    <row r="3347" spans="1:14" x14ac:dyDescent="0.3">
      <c r="A3347" s="2" t="s">
        <v>3413</v>
      </c>
      <c r="B3347" s="6">
        <v>45948</v>
      </c>
      <c r="C3347" s="2" t="s">
        <v>48</v>
      </c>
      <c r="D3347" s="2" t="s">
        <v>29</v>
      </c>
      <c r="E3347" s="2">
        <v>1</v>
      </c>
      <c r="F3347" s="7">
        <v>229</v>
      </c>
      <c r="G3347" s="8">
        <v>0.2</v>
      </c>
      <c r="H3347" s="9" t="str">
        <f>INDEX(Products!$B$2:$B$37, MATCH(D3347, Products!$A$2:$A$37, 0))</f>
        <v>Women's Summer Dress</v>
      </c>
      <c r="I3347" t="str">
        <f>INDEX(Products!$C$2:$C$37, MATCH(D3347, Products!$A$2:$A$37, 0))</f>
        <v>Fashion</v>
      </c>
      <c r="J3347">
        <f>INDEX(Products!$E$2:$E$37, MATCH(D3347, Products!$A$2:$A$37, 0))</f>
        <v>120</v>
      </c>
      <c r="K3347" s="9">
        <f t="shared" si="208"/>
        <v>183.20000000000002</v>
      </c>
      <c r="L3347">
        <f t="shared" si="209"/>
        <v>120</v>
      </c>
      <c r="M3347" s="9">
        <f t="shared" si="210"/>
        <v>63.200000000000017</v>
      </c>
      <c r="N3347" t="str">
        <f t="shared" si="211"/>
        <v>Oct</v>
      </c>
    </row>
    <row r="3348" spans="1:14" x14ac:dyDescent="0.3">
      <c r="A3348" s="2" t="s">
        <v>3414</v>
      </c>
      <c r="B3348" s="6">
        <v>45948</v>
      </c>
      <c r="C3348" s="2" t="s">
        <v>28</v>
      </c>
      <c r="D3348" s="2" t="s">
        <v>87</v>
      </c>
      <c r="E3348" s="2">
        <v>1</v>
      </c>
      <c r="F3348" s="7">
        <v>799</v>
      </c>
      <c r="G3348" s="8">
        <v>0.15</v>
      </c>
      <c r="H3348" s="9" t="str">
        <f>INDEX(Products!$B$2:$B$37, MATCH(D3348, Products!$A$2:$A$37, 0))</f>
        <v>Adjustable Dumbbells</v>
      </c>
      <c r="I3348" t="str">
        <f>INDEX(Products!$C$2:$C$37, MATCH(D3348, Products!$A$2:$A$37, 0))</f>
        <v>Sports</v>
      </c>
      <c r="J3348">
        <f>INDEX(Products!$E$2:$E$37, MATCH(D3348, Products!$A$2:$A$37, 0))</f>
        <v>700</v>
      </c>
      <c r="K3348" s="9">
        <f t="shared" si="208"/>
        <v>679.15</v>
      </c>
      <c r="L3348">
        <f t="shared" si="209"/>
        <v>700</v>
      </c>
      <c r="M3348" s="9">
        <f t="shared" si="210"/>
        <v>-20.850000000000023</v>
      </c>
      <c r="N3348" t="str">
        <f t="shared" si="211"/>
        <v>Oct</v>
      </c>
    </row>
    <row r="3349" spans="1:14" x14ac:dyDescent="0.3">
      <c r="A3349" s="2" t="s">
        <v>3415</v>
      </c>
      <c r="B3349" s="6">
        <v>45948</v>
      </c>
      <c r="C3349" s="2" t="s">
        <v>28</v>
      </c>
      <c r="D3349" s="2" t="s">
        <v>103</v>
      </c>
      <c r="E3349" s="2">
        <v>1</v>
      </c>
      <c r="F3349" s="7">
        <v>89</v>
      </c>
      <c r="G3349" s="8">
        <v>0.1</v>
      </c>
      <c r="H3349" s="9" t="str">
        <f>INDEX(Products!$B$2:$B$37, MATCH(D3349, Products!$A$2:$A$37, 0))</f>
        <v>Sunscreen SPF50</v>
      </c>
      <c r="I3349" t="str">
        <f>INDEX(Products!$C$2:$C$37, MATCH(D3349, Products!$A$2:$A$37, 0))</f>
        <v>Beauty</v>
      </c>
      <c r="J3349">
        <f>INDEX(Products!$E$2:$E$37, MATCH(D3349, Products!$A$2:$A$37, 0))</f>
        <v>40</v>
      </c>
      <c r="K3349" s="9">
        <f t="shared" si="208"/>
        <v>80.100000000000009</v>
      </c>
      <c r="L3349">
        <f t="shared" si="209"/>
        <v>40</v>
      </c>
      <c r="M3349" s="9">
        <f t="shared" si="210"/>
        <v>40.100000000000009</v>
      </c>
      <c r="N3349" t="str">
        <f t="shared" si="211"/>
        <v>Oct</v>
      </c>
    </row>
    <row r="3350" spans="1:14" x14ac:dyDescent="0.3">
      <c r="A3350" s="2" t="s">
        <v>3416</v>
      </c>
      <c r="B3350" s="6">
        <v>45949</v>
      </c>
      <c r="C3350" s="2" t="s">
        <v>44</v>
      </c>
      <c r="D3350" s="2" t="s">
        <v>129</v>
      </c>
      <c r="E3350" s="2">
        <v>1</v>
      </c>
      <c r="F3350" s="7">
        <v>149</v>
      </c>
      <c r="G3350" s="8">
        <v>0.05</v>
      </c>
      <c r="H3350" s="9" t="str">
        <f>INDEX(Products!$B$2:$B$37, MATCH(D3350, Products!$A$2:$A$37, 0))</f>
        <v>Power Bank 20000mAh</v>
      </c>
      <c r="I3350" t="str">
        <f>INDEX(Products!$C$2:$C$37, MATCH(D3350, Products!$A$2:$A$37, 0))</f>
        <v>Electronics</v>
      </c>
      <c r="J3350">
        <f>INDEX(Products!$E$2:$E$37, MATCH(D3350, Products!$A$2:$A$37, 0))</f>
        <v>70</v>
      </c>
      <c r="K3350" s="9">
        <f t="shared" si="208"/>
        <v>141.54999999999998</v>
      </c>
      <c r="L3350">
        <f t="shared" si="209"/>
        <v>70</v>
      </c>
      <c r="M3350" s="9">
        <f t="shared" si="210"/>
        <v>71.549999999999983</v>
      </c>
      <c r="N3350" t="str">
        <f t="shared" si="211"/>
        <v>Oct</v>
      </c>
    </row>
    <row r="3351" spans="1:14" x14ac:dyDescent="0.3">
      <c r="A3351" s="2" t="s">
        <v>3417</v>
      </c>
      <c r="B3351" s="6">
        <v>45949</v>
      </c>
      <c r="C3351" s="2" t="s">
        <v>31</v>
      </c>
      <c r="D3351" s="2" t="s">
        <v>131</v>
      </c>
      <c r="E3351" s="2">
        <v>1</v>
      </c>
      <c r="F3351" s="7">
        <v>899</v>
      </c>
      <c r="G3351" s="8">
        <v>0</v>
      </c>
      <c r="H3351" s="9" t="str">
        <f>INDEX(Products!$B$2:$B$37, MATCH(D3351, Products!$A$2:$A$37, 0))</f>
        <v>4K Action Camera</v>
      </c>
      <c r="I3351" t="str">
        <f>INDEX(Products!$C$2:$C$37, MATCH(D3351, Products!$A$2:$A$37, 0))</f>
        <v>Electronics</v>
      </c>
      <c r="J3351">
        <f>INDEX(Products!$E$2:$E$37, MATCH(D3351, Products!$A$2:$A$37, 0))</f>
        <v>610</v>
      </c>
      <c r="K3351" s="9">
        <f t="shared" si="208"/>
        <v>899</v>
      </c>
      <c r="L3351">
        <f t="shared" si="209"/>
        <v>610</v>
      </c>
      <c r="M3351" s="9">
        <f t="shared" si="210"/>
        <v>289</v>
      </c>
      <c r="N3351" t="str">
        <f t="shared" si="211"/>
        <v>Oct</v>
      </c>
    </row>
    <row r="3352" spans="1:14" x14ac:dyDescent="0.3">
      <c r="A3352" s="2" t="s">
        <v>3418</v>
      </c>
      <c r="B3352" s="6">
        <v>45949</v>
      </c>
      <c r="C3352" s="2" t="s">
        <v>44</v>
      </c>
      <c r="D3352" s="2" t="s">
        <v>35</v>
      </c>
      <c r="E3352" s="2">
        <v>1</v>
      </c>
      <c r="F3352" s="7">
        <v>179</v>
      </c>
      <c r="G3352" s="8">
        <v>0.05</v>
      </c>
      <c r="H3352" s="9" t="str">
        <f>INDEX(Products!$B$2:$B$37, MATCH(D3352, Products!$A$2:$A$37, 0))</f>
        <v>Men's Linen Shirt</v>
      </c>
      <c r="I3352" t="str">
        <f>INDEX(Products!$C$2:$C$37, MATCH(D3352, Products!$A$2:$A$37, 0))</f>
        <v>Fashion</v>
      </c>
      <c r="J3352">
        <f>INDEX(Products!$E$2:$E$37, MATCH(D3352, Products!$A$2:$A$37, 0))</f>
        <v>70</v>
      </c>
      <c r="K3352" s="9">
        <f t="shared" si="208"/>
        <v>170.04999999999998</v>
      </c>
      <c r="L3352">
        <f t="shared" si="209"/>
        <v>70</v>
      </c>
      <c r="M3352" s="9">
        <f t="shared" si="210"/>
        <v>100.04999999999998</v>
      </c>
      <c r="N3352" t="str">
        <f t="shared" si="211"/>
        <v>Oct</v>
      </c>
    </row>
    <row r="3353" spans="1:14" x14ac:dyDescent="0.3">
      <c r="A3353" s="2" t="s">
        <v>3419</v>
      </c>
      <c r="B3353" s="6">
        <v>45949</v>
      </c>
      <c r="C3353" s="2" t="s">
        <v>48</v>
      </c>
      <c r="D3353" s="2" t="s">
        <v>78</v>
      </c>
      <c r="E3353" s="2">
        <v>3</v>
      </c>
      <c r="F3353" s="7">
        <v>499</v>
      </c>
      <c r="G3353" s="8">
        <v>0</v>
      </c>
      <c r="H3353" s="9" t="str">
        <f>INDEX(Products!$B$2:$B$37, MATCH(D3353, Products!$A$2:$A$37, 0))</f>
        <v>Air Fryer 5L</v>
      </c>
      <c r="I3353" t="str">
        <f>INDEX(Products!$C$2:$C$37, MATCH(D3353, Products!$A$2:$A$37, 0))</f>
        <v>Home &amp; Kitchen</v>
      </c>
      <c r="J3353">
        <f>INDEX(Products!$E$2:$E$37, MATCH(D3353, Products!$A$2:$A$37, 0))</f>
        <v>290</v>
      </c>
      <c r="K3353" s="9">
        <f t="shared" si="208"/>
        <v>1497</v>
      </c>
      <c r="L3353">
        <f t="shared" si="209"/>
        <v>870</v>
      </c>
      <c r="M3353" s="9">
        <f t="shared" si="210"/>
        <v>627</v>
      </c>
      <c r="N3353" t="str">
        <f t="shared" si="211"/>
        <v>Oct</v>
      </c>
    </row>
    <row r="3354" spans="1:14" x14ac:dyDescent="0.3">
      <c r="A3354" s="2" t="s">
        <v>3420</v>
      </c>
      <c r="B3354" s="6">
        <v>45949</v>
      </c>
      <c r="C3354" s="2" t="s">
        <v>48</v>
      </c>
      <c r="D3354" s="2" t="s">
        <v>92</v>
      </c>
      <c r="E3354" s="2">
        <v>1</v>
      </c>
      <c r="F3354" s="7">
        <v>349</v>
      </c>
      <c r="G3354" s="8">
        <v>0.05</v>
      </c>
      <c r="H3354" s="9" t="str">
        <f>INDEX(Products!$B$2:$B$37, MATCH(D3354, Products!$A$2:$A$37, 0))</f>
        <v>Non-stick Cookware Set</v>
      </c>
      <c r="I3354" t="str">
        <f>INDEX(Products!$C$2:$C$37, MATCH(D3354, Products!$A$2:$A$37, 0))</f>
        <v>Home &amp; Kitchen</v>
      </c>
      <c r="J3354">
        <f>INDEX(Products!$E$2:$E$37, MATCH(D3354, Products!$A$2:$A$37, 0))</f>
        <v>170</v>
      </c>
      <c r="K3354" s="9">
        <f t="shared" si="208"/>
        <v>331.55</v>
      </c>
      <c r="L3354">
        <f t="shared" si="209"/>
        <v>170</v>
      </c>
      <c r="M3354" s="9">
        <f t="shared" si="210"/>
        <v>161.55000000000001</v>
      </c>
      <c r="N3354" t="str">
        <f t="shared" si="211"/>
        <v>Oct</v>
      </c>
    </row>
    <row r="3355" spans="1:14" x14ac:dyDescent="0.3">
      <c r="A3355" s="2" t="s">
        <v>3421</v>
      </c>
      <c r="B3355" s="6">
        <v>45949</v>
      </c>
      <c r="C3355" s="2" t="s">
        <v>28</v>
      </c>
      <c r="D3355" s="2" t="s">
        <v>46</v>
      </c>
      <c r="E3355" s="2">
        <v>1</v>
      </c>
      <c r="F3355" s="7">
        <v>189</v>
      </c>
      <c r="G3355" s="8">
        <v>0</v>
      </c>
      <c r="H3355" s="9" t="str">
        <f>INDEX(Products!$B$2:$B$37, MATCH(D3355, Products!$A$2:$A$37, 0))</f>
        <v>Makeup Palette</v>
      </c>
      <c r="I3355" t="str">
        <f>INDEX(Products!$C$2:$C$37, MATCH(D3355, Products!$A$2:$A$37, 0))</f>
        <v>Beauty</v>
      </c>
      <c r="J3355">
        <f>INDEX(Products!$E$2:$E$37, MATCH(D3355, Products!$A$2:$A$37, 0))</f>
        <v>85</v>
      </c>
      <c r="K3355" s="9">
        <f t="shared" si="208"/>
        <v>189</v>
      </c>
      <c r="L3355">
        <f t="shared" si="209"/>
        <v>85</v>
      </c>
      <c r="M3355" s="9">
        <f t="shared" si="210"/>
        <v>104</v>
      </c>
      <c r="N3355" t="str">
        <f t="shared" si="211"/>
        <v>Oct</v>
      </c>
    </row>
    <row r="3356" spans="1:14" x14ac:dyDescent="0.3">
      <c r="A3356" s="2" t="s">
        <v>3422</v>
      </c>
      <c r="B3356" s="6">
        <v>45949</v>
      </c>
      <c r="C3356" s="2" t="s">
        <v>28</v>
      </c>
      <c r="D3356" s="2" t="s">
        <v>131</v>
      </c>
      <c r="E3356" s="2">
        <v>1</v>
      </c>
      <c r="F3356" s="7">
        <v>899</v>
      </c>
      <c r="G3356" s="8">
        <v>0</v>
      </c>
      <c r="H3356" s="9" t="str">
        <f>INDEX(Products!$B$2:$B$37, MATCH(D3356, Products!$A$2:$A$37, 0))</f>
        <v>4K Action Camera</v>
      </c>
      <c r="I3356" t="str">
        <f>INDEX(Products!$C$2:$C$37, MATCH(D3356, Products!$A$2:$A$37, 0))</f>
        <v>Electronics</v>
      </c>
      <c r="J3356">
        <f>INDEX(Products!$E$2:$E$37, MATCH(D3356, Products!$A$2:$A$37, 0))</f>
        <v>610</v>
      </c>
      <c r="K3356" s="9">
        <f t="shared" si="208"/>
        <v>899</v>
      </c>
      <c r="L3356">
        <f t="shared" si="209"/>
        <v>610</v>
      </c>
      <c r="M3356" s="9">
        <f t="shared" si="210"/>
        <v>289</v>
      </c>
      <c r="N3356" t="str">
        <f t="shared" si="211"/>
        <v>Oct</v>
      </c>
    </row>
    <row r="3357" spans="1:14" x14ac:dyDescent="0.3">
      <c r="A3357" s="2" t="s">
        <v>3423</v>
      </c>
      <c r="B3357" s="6">
        <v>45949</v>
      </c>
      <c r="C3357" s="2" t="s">
        <v>44</v>
      </c>
      <c r="D3357" s="2" t="s">
        <v>37</v>
      </c>
      <c r="E3357" s="2">
        <v>1</v>
      </c>
      <c r="F3357" s="7">
        <v>249</v>
      </c>
      <c r="G3357" s="8">
        <v>0</v>
      </c>
      <c r="H3357" s="9" t="str">
        <f>INDEX(Products!$B$2:$B$37, MATCH(D3357, Products!$A$2:$A$37, 0))</f>
        <v>Sunglasses Polarised</v>
      </c>
      <c r="I3357" t="str">
        <f>INDEX(Products!$C$2:$C$37, MATCH(D3357, Products!$A$2:$A$37, 0))</f>
        <v>Fashion</v>
      </c>
      <c r="J3357">
        <f>INDEX(Products!$E$2:$E$37, MATCH(D3357, Products!$A$2:$A$37, 0))</f>
        <v>95</v>
      </c>
      <c r="K3357" s="9">
        <f t="shared" si="208"/>
        <v>249</v>
      </c>
      <c r="L3357">
        <f t="shared" si="209"/>
        <v>95</v>
      </c>
      <c r="M3357" s="9">
        <f t="shared" si="210"/>
        <v>154</v>
      </c>
      <c r="N3357" t="str">
        <f t="shared" si="211"/>
        <v>Oct</v>
      </c>
    </row>
    <row r="3358" spans="1:14" x14ac:dyDescent="0.3">
      <c r="A3358" s="2" t="s">
        <v>3424</v>
      </c>
      <c r="B3358" s="6">
        <v>45949</v>
      </c>
      <c r="C3358" s="2" t="s">
        <v>48</v>
      </c>
      <c r="D3358" s="2" t="s">
        <v>95</v>
      </c>
      <c r="E3358" s="2">
        <v>1</v>
      </c>
      <c r="F3358" s="7">
        <v>259</v>
      </c>
      <c r="G3358" s="8">
        <v>0</v>
      </c>
      <c r="H3358" s="9" t="str">
        <f>INDEX(Products!$B$2:$B$37, MATCH(D3358, Products!$A$2:$A$37, 0))</f>
        <v>Bed Linen Set (King)</v>
      </c>
      <c r="I3358" t="str">
        <f>INDEX(Products!$C$2:$C$37, MATCH(D3358, Products!$A$2:$A$37, 0))</f>
        <v>Home &amp; Kitchen</v>
      </c>
      <c r="J3358">
        <f>INDEX(Products!$E$2:$E$37, MATCH(D3358, Products!$A$2:$A$37, 0))</f>
        <v>115</v>
      </c>
      <c r="K3358" s="9">
        <f t="shared" si="208"/>
        <v>259</v>
      </c>
      <c r="L3358">
        <f t="shared" si="209"/>
        <v>115</v>
      </c>
      <c r="M3358" s="9">
        <f t="shared" si="210"/>
        <v>144</v>
      </c>
      <c r="N3358" t="str">
        <f t="shared" si="211"/>
        <v>Oct</v>
      </c>
    </row>
    <row r="3359" spans="1:14" x14ac:dyDescent="0.3">
      <c r="A3359" s="2" t="s">
        <v>3425</v>
      </c>
      <c r="B3359" s="6">
        <v>45949</v>
      </c>
      <c r="C3359" s="2" t="s">
        <v>48</v>
      </c>
      <c r="D3359" s="2" t="s">
        <v>29</v>
      </c>
      <c r="E3359" s="2">
        <v>1</v>
      </c>
      <c r="F3359" s="7">
        <v>229</v>
      </c>
      <c r="G3359" s="8">
        <v>0</v>
      </c>
      <c r="H3359" s="9" t="str">
        <f>INDEX(Products!$B$2:$B$37, MATCH(D3359, Products!$A$2:$A$37, 0))</f>
        <v>Women's Summer Dress</v>
      </c>
      <c r="I3359" t="str">
        <f>INDEX(Products!$C$2:$C$37, MATCH(D3359, Products!$A$2:$A$37, 0))</f>
        <v>Fashion</v>
      </c>
      <c r="J3359">
        <f>INDEX(Products!$E$2:$E$37, MATCH(D3359, Products!$A$2:$A$37, 0))</f>
        <v>120</v>
      </c>
      <c r="K3359" s="9">
        <f t="shared" si="208"/>
        <v>229</v>
      </c>
      <c r="L3359">
        <f t="shared" si="209"/>
        <v>120</v>
      </c>
      <c r="M3359" s="9">
        <f t="shared" si="210"/>
        <v>109</v>
      </c>
      <c r="N3359" t="str">
        <f t="shared" si="211"/>
        <v>Oct</v>
      </c>
    </row>
    <row r="3360" spans="1:14" x14ac:dyDescent="0.3">
      <c r="A3360" s="2" t="s">
        <v>3426</v>
      </c>
      <c r="B3360" s="6">
        <v>45949</v>
      </c>
      <c r="C3360" s="2" t="s">
        <v>28</v>
      </c>
      <c r="D3360" s="2" t="s">
        <v>80</v>
      </c>
      <c r="E3360" s="2">
        <v>1</v>
      </c>
      <c r="F3360" s="7">
        <v>149</v>
      </c>
      <c r="G3360" s="8">
        <v>0.1</v>
      </c>
      <c r="H3360" s="9" t="str">
        <f>INDEX(Products!$B$2:$B$37, MATCH(D3360, Products!$A$2:$A$37, 0))</f>
        <v>Vitamin C Serum</v>
      </c>
      <c r="I3360" t="str">
        <f>INDEX(Products!$C$2:$C$37, MATCH(D3360, Products!$A$2:$A$37, 0))</f>
        <v>Beauty</v>
      </c>
      <c r="J3360">
        <f>INDEX(Products!$E$2:$E$37, MATCH(D3360, Products!$A$2:$A$37, 0))</f>
        <v>55</v>
      </c>
      <c r="K3360" s="9">
        <f t="shared" si="208"/>
        <v>134.1</v>
      </c>
      <c r="L3360">
        <f t="shared" si="209"/>
        <v>55</v>
      </c>
      <c r="M3360" s="9">
        <f t="shared" si="210"/>
        <v>79.099999999999994</v>
      </c>
      <c r="N3360" t="str">
        <f t="shared" si="211"/>
        <v>Oct</v>
      </c>
    </row>
    <row r="3361" spans="1:14" x14ac:dyDescent="0.3">
      <c r="A3361" s="2" t="s">
        <v>3427</v>
      </c>
      <c r="B3361" s="6">
        <v>45949</v>
      </c>
      <c r="C3361" s="2" t="s">
        <v>44</v>
      </c>
      <c r="D3361" s="2" t="s">
        <v>70</v>
      </c>
      <c r="E3361" s="2">
        <v>4</v>
      </c>
      <c r="F3361" s="7">
        <v>429</v>
      </c>
      <c r="G3361" s="8">
        <v>0</v>
      </c>
      <c r="H3361" s="9" t="str">
        <f>INDEX(Products!$B$2:$B$37, MATCH(D3361, Products!$A$2:$A$37, 0))</f>
        <v>Running Shoes Elite</v>
      </c>
      <c r="I3361" t="str">
        <f>INDEX(Products!$C$2:$C$37, MATCH(D3361, Products!$A$2:$A$37, 0))</f>
        <v>Fashion</v>
      </c>
      <c r="J3361">
        <f>INDEX(Products!$E$2:$E$37, MATCH(D3361, Products!$A$2:$A$37, 0))</f>
        <v>300</v>
      </c>
      <c r="K3361" s="9">
        <f t="shared" si="208"/>
        <v>1716</v>
      </c>
      <c r="L3361">
        <f t="shared" si="209"/>
        <v>1200</v>
      </c>
      <c r="M3361" s="9">
        <f t="shared" si="210"/>
        <v>516</v>
      </c>
      <c r="N3361" t="str">
        <f t="shared" si="211"/>
        <v>Oct</v>
      </c>
    </row>
    <row r="3362" spans="1:14" x14ac:dyDescent="0.3">
      <c r="A3362" s="2" t="s">
        <v>3428</v>
      </c>
      <c r="B3362" s="6">
        <v>45949</v>
      </c>
      <c r="C3362" s="2" t="s">
        <v>44</v>
      </c>
      <c r="D3362" s="2" t="s">
        <v>92</v>
      </c>
      <c r="E3362" s="2">
        <v>1</v>
      </c>
      <c r="F3362" s="7">
        <v>349</v>
      </c>
      <c r="G3362" s="8">
        <v>0</v>
      </c>
      <c r="H3362" s="9" t="str">
        <f>INDEX(Products!$B$2:$B$37, MATCH(D3362, Products!$A$2:$A$37, 0))</f>
        <v>Non-stick Cookware Set</v>
      </c>
      <c r="I3362" t="str">
        <f>INDEX(Products!$C$2:$C$37, MATCH(D3362, Products!$A$2:$A$37, 0))</f>
        <v>Home &amp; Kitchen</v>
      </c>
      <c r="J3362">
        <f>INDEX(Products!$E$2:$E$37, MATCH(D3362, Products!$A$2:$A$37, 0))</f>
        <v>170</v>
      </c>
      <c r="K3362" s="9">
        <f t="shared" si="208"/>
        <v>349</v>
      </c>
      <c r="L3362">
        <f t="shared" si="209"/>
        <v>170</v>
      </c>
      <c r="M3362" s="9">
        <f t="shared" si="210"/>
        <v>179</v>
      </c>
      <c r="N3362" t="str">
        <f t="shared" si="211"/>
        <v>Oct</v>
      </c>
    </row>
    <row r="3363" spans="1:14" x14ac:dyDescent="0.3">
      <c r="A3363" s="2" t="s">
        <v>3429</v>
      </c>
      <c r="B3363" s="6">
        <v>45949</v>
      </c>
      <c r="C3363" s="2" t="s">
        <v>28</v>
      </c>
      <c r="D3363" s="2" t="s">
        <v>39</v>
      </c>
      <c r="E3363" s="2">
        <v>2</v>
      </c>
      <c r="F3363" s="7">
        <v>199</v>
      </c>
      <c r="G3363" s="8">
        <v>0.15</v>
      </c>
      <c r="H3363" s="9" t="str">
        <f>INDEX(Products!$B$2:$B$37, MATCH(D3363, Products!$A$2:$A$37, 0))</f>
        <v>Bakhoor Gift Set</v>
      </c>
      <c r="I3363" t="str">
        <f>INDEX(Products!$C$2:$C$37, MATCH(D3363, Products!$A$2:$A$37, 0))</f>
        <v>Beauty</v>
      </c>
      <c r="J3363">
        <f>INDEX(Products!$E$2:$E$37, MATCH(D3363, Products!$A$2:$A$37, 0))</f>
        <v>90</v>
      </c>
      <c r="K3363" s="9">
        <f t="shared" si="208"/>
        <v>338.3</v>
      </c>
      <c r="L3363">
        <f t="shared" si="209"/>
        <v>180</v>
      </c>
      <c r="M3363" s="9">
        <f t="shared" si="210"/>
        <v>158.30000000000001</v>
      </c>
      <c r="N3363" t="str">
        <f t="shared" si="211"/>
        <v>Oct</v>
      </c>
    </row>
    <row r="3364" spans="1:14" x14ac:dyDescent="0.3">
      <c r="A3364" s="2" t="s">
        <v>3430</v>
      </c>
      <c r="B3364" s="6">
        <v>45949</v>
      </c>
      <c r="C3364" s="2" t="s">
        <v>31</v>
      </c>
      <c r="D3364" s="2" t="s">
        <v>80</v>
      </c>
      <c r="E3364" s="2">
        <v>2</v>
      </c>
      <c r="F3364" s="7">
        <v>149</v>
      </c>
      <c r="G3364" s="8">
        <v>0.1</v>
      </c>
      <c r="H3364" s="9" t="str">
        <f>INDEX(Products!$B$2:$B$37, MATCH(D3364, Products!$A$2:$A$37, 0))</f>
        <v>Vitamin C Serum</v>
      </c>
      <c r="I3364" t="str">
        <f>INDEX(Products!$C$2:$C$37, MATCH(D3364, Products!$A$2:$A$37, 0))</f>
        <v>Beauty</v>
      </c>
      <c r="J3364">
        <f>INDEX(Products!$E$2:$E$37, MATCH(D3364, Products!$A$2:$A$37, 0))</f>
        <v>55</v>
      </c>
      <c r="K3364" s="9">
        <f t="shared" si="208"/>
        <v>268.2</v>
      </c>
      <c r="L3364">
        <f t="shared" si="209"/>
        <v>110</v>
      </c>
      <c r="M3364" s="9">
        <f t="shared" si="210"/>
        <v>158.19999999999999</v>
      </c>
      <c r="N3364" t="str">
        <f t="shared" si="211"/>
        <v>Oct</v>
      </c>
    </row>
    <row r="3365" spans="1:14" x14ac:dyDescent="0.3">
      <c r="A3365" s="2" t="s">
        <v>3431</v>
      </c>
      <c r="B3365" s="6">
        <v>45949</v>
      </c>
      <c r="C3365" s="2" t="s">
        <v>44</v>
      </c>
      <c r="D3365" s="2" t="s">
        <v>39</v>
      </c>
      <c r="E3365" s="2">
        <v>1</v>
      </c>
      <c r="F3365" s="7">
        <v>199</v>
      </c>
      <c r="G3365" s="8">
        <v>0.15</v>
      </c>
      <c r="H3365" s="9" t="str">
        <f>INDEX(Products!$B$2:$B$37, MATCH(D3365, Products!$A$2:$A$37, 0))</f>
        <v>Bakhoor Gift Set</v>
      </c>
      <c r="I3365" t="str">
        <f>INDEX(Products!$C$2:$C$37, MATCH(D3365, Products!$A$2:$A$37, 0))</f>
        <v>Beauty</v>
      </c>
      <c r="J3365">
        <f>INDEX(Products!$E$2:$E$37, MATCH(D3365, Products!$A$2:$A$37, 0))</f>
        <v>90</v>
      </c>
      <c r="K3365" s="9">
        <f t="shared" si="208"/>
        <v>169.15</v>
      </c>
      <c r="L3365">
        <f t="shared" si="209"/>
        <v>90</v>
      </c>
      <c r="M3365" s="9">
        <f t="shared" si="210"/>
        <v>79.150000000000006</v>
      </c>
      <c r="N3365" t="str">
        <f t="shared" si="211"/>
        <v>Oct</v>
      </c>
    </row>
    <row r="3366" spans="1:14" x14ac:dyDescent="0.3">
      <c r="A3366" s="2" t="s">
        <v>3432</v>
      </c>
      <c r="B3366" s="6">
        <v>45949</v>
      </c>
      <c r="C3366" s="2" t="s">
        <v>28</v>
      </c>
      <c r="D3366" s="2" t="s">
        <v>70</v>
      </c>
      <c r="E3366" s="2">
        <v>1</v>
      </c>
      <c r="F3366" s="7">
        <v>429</v>
      </c>
      <c r="G3366" s="8">
        <v>0.05</v>
      </c>
      <c r="H3366" s="9" t="str">
        <f>INDEX(Products!$B$2:$B$37, MATCH(D3366, Products!$A$2:$A$37, 0))</f>
        <v>Running Shoes Elite</v>
      </c>
      <c r="I3366" t="str">
        <f>INDEX(Products!$C$2:$C$37, MATCH(D3366, Products!$A$2:$A$37, 0))</f>
        <v>Fashion</v>
      </c>
      <c r="J3366">
        <f>INDEX(Products!$E$2:$E$37, MATCH(D3366, Products!$A$2:$A$37, 0))</f>
        <v>300</v>
      </c>
      <c r="K3366" s="9">
        <f t="shared" si="208"/>
        <v>407.54999999999995</v>
      </c>
      <c r="L3366">
        <f t="shared" si="209"/>
        <v>300</v>
      </c>
      <c r="M3366" s="9">
        <f t="shared" si="210"/>
        <v>107.54999999999995</v>
      </c>
      <c r="N3366" t="str">
        <f t="shared" si="211"/>
        <v>Oct</v>
      </c>
    </row>
    <row r="3367" spans="1:14" x14ac:dyDescent="0.3">
      <c r="A3367" s="2" t="s">
        <v>3433</v>
      </c>
      <c r="B3367" s="6">
        <v>45950</v>
      </c>
      <c r="C3367" s="2" t="s">
        <v>41</v>
      </c>
      <c r="D3367" s="2" t="s">
        <v>131</v>
      </c>
      <c r="E3367" s="2">
        <v>4</v>
      </c>
      <c r="F3367" s="7">
        <v>899</v>
      </c>
      <c r="G3367" s="8">
        <v>0.3</v>
      </c>
      <c r="H3367" s="9" t="str">
        <f>INDEX(Products!$B$2:$B$37, MATCH(D3367, Products!$A$2:$A$37, 0))</f>
        <v>4K Action Camera</v>
      </c>
      <c r="I3367" t="str">
        <f>INDEX(Products!$C$2:$C$37, MATCH(D3367, Products!$A$2:$A$37, 0))</f>
        <v>Electronics</v>
      </c>
      <c r="J3367">
        <f>INDEX(Products!$E$2:$E$37, MATCH(D3367, Products!$A$2:$A$37, 0))</f>
        <v>610</v>
      </c>
      <c r="K3367" s="9">
        <f t="shared" si="208"/>
        <v>2517.1999999999998</v>
      </c>
      <c r="L3367">
        <f t="shared" si="209"/>
        <v>2440</v>
      </c>
      <c r="M3367" s="9">
        <f t="shared" si="210"/>
        <v>77.199999999999818</v>
      </c>
      <c r="N3367" t="str">
        <f t="shared" si="211"/>
        <v>Oct</v>
      </c>
    </row>
    <row r="3368" spans="1:14" x14ac:dyDescent="0.3">
      <c r="A3368" s="2" t="s">
        <v>3434</v>
      </c>
      <c r="B3368" s="6">
        <v>45950</v>
      </c>
      <c r="C3368" s="2" t="s">
        <v>28</v>
      </c>
      <c r="D3368" s="2" t="s">
        <v>33</v>
      </c>
      <c r="E3368" s="2">
        <v>1</v>
      </c>
      <c r="F3368" s="7">
        <v>199</v>
      </c>
      <c r="G3368" s="8">
        <v>0.1</v>
      </c>
      <c r="H3368" s="9" t="str">
        <f>INDEX(Products!$B$2:$B$37, MATCH(D3368, Products!$A$2:$A$37, 0))</f>
        <v>Fitness Band Lite</v>
      </c>
      <c r="I3368" t="str">
        <f>INDEX(Products!$C$2:$C$37, MATCH(D3368, Products!$A$2:$A$37, 0))</f>
        <v>Electronics</v>
      </c>
      <c r="J3368">
        <f>INDEX(Products!$E$2:$E$37, MATCH(D3368, Products!$A$2:$A$37, 0))</f>
        <v>175</v>
      </c>
      <c r="K3368" s="9">
        <f t="shared" si="208"/>
        <v>179.1</v>
      </c>
      <c r="L3368">
        <f t="shared" si="209"/>
        <v>175</v>
      </c>
      <c r="M3368" s="9">
        <f t="shared" si="210"/>
        <v>4.0999999999999943</v>
      </c>
      <c r="N3368" t="str">
        <f t="shared" si="211"/>
        <v>Oct</v>
      </c>
    </row>
    <row r="3369" spans="1:14" x14ac:dyDescent="0.3">
      <c r="A3369" s="2" t="s">
        <v>3435</v>
      </c>
      <c r="B3369" s="6">
        <v>45950</v>
      </c>
      <c r="C3369" s="2" t="s">
        <v>44</v>
      </c>
      <c r="D3369" s="2" t="s">
        <v>33</v>
      </c>
      <c r="E3369" s="2">
        <v>2</v>
      </c>
      <c r="F3369" s="7">
        <v>199</v>
      </c>
      <c r="G3369" s="8">
        <v>0.25</v>
      </c>
      <c r="H3369" s="9" t="str">
        <f>INDEX(Products!$B$2:$B$37, MATCH(D3369, Products!$A$2:$A$37, 0))</f>
        <v>Fitness Band Lite</v>
      </c>
      <c r="I3369" t="str">
        <f>INDEX(Products!$C$2:$C$37, MATCH(D3369, Products!$A$2:$A$37, 0))</f>
        <v>Electronics</v>
      </c>
      <c r="J3369">
        <f>INDEX(Products!$E$2:$E$37, MATCH(D3369, Products!$A$2:$A$37, 0))</f>
        <v>175</v>
      </c>
      <c r="K3369" s="9">
        <f t="shared" si="208"/>
        <v>298.5</v>
      </c>
      <c r="L3369">
        <f t="shared" si="209"/>
        <v>350</v>
      </c>
      <c r="M3369" s="9">
        <f t="shared" si="210"/>
        <v>-51.5</v>
      </c>
      <c r="N3369" t="str">
        <f t="shared" si="211"/>
        <v>Oct</v>
      </c>
    </row>
    <row r="3370" spans="1:14" x14ac:dyDescent="0.3">
      <c r="A3370" s="2" t="s">
        <v>3436</v>
      </c>
      <c r="B3370" s="6">
        <v>45950</v>
      </c>
      <c r="C3370" s="2" t="s">
        <v>28</v>
      </c>
      <c r="D3370" s="2" t="s">
        <v>35</v>
      </c>
      <c r="E3370" s="2">
        <v>1</v>
      </c>
      <c r="F3370" s="7">
        <v>179</v>
      </c>
      <c r="G3370" s="8">
        <v>0.05</v>
      </c>
      <c r="H3370" s="9" t="str">
        <f>INDEX(Products!$B$2:$B$37, MATCH(D3370, Products!$A$2:$A$37, 0))</f>
        <v>Men's Linen Shirt</v>
      </c>
      <c r="I3370" t="str">
        <f>INDEX(Products!$C$2:$C$37, MATCH(D3370, Products!$A$2:$A$37, 0))</f>
        <v>Fashion</v>
      </c>
      <c r="J3370">
        <f>INDEX(Products!$E$2:$E$37, MATCH(D3370, Products!$A$2:$A$37, 0))</f>
        <v>70</v>
      </c>
      <c r="K3370" s="9">
        <f t="shared" si="208"/>
        <v>170.04999999999998</v>
      </c>
      <c r="L3370">
        <f t="shared" si="209"/>
        <v>70</v>
      </c>
      <c r="M3370" s="9">
        <f t="shared" si="210"/>
        <v>100.04999999999998</v>
      </c>
      <c r="N3370" t="str">
        <f t="shared" si="211"/>
        <v>Oct</v>
      </c>
    </row>
    <row r="3371" spans="1:14" x14ac:dyDescent="0.3">
      <c r="A3371" s="2" t="s">
        <v>3437</v>
      </c>
      <c r="B3371" s="6">
        <v>45950</v>
      </c>
      <c r="C3371" s="2" t="s">
        <v>31</v>
      </c>
      <c r="D3371" s="2" t="s">
        <v>80</v>
      </c>
      <c r="E3371" s="2">
        <v>2</v>
      </c>
      <c r="F3371" s="7">
        <v>149</v>
      </c>
      <c r="G3371" s="8">
        <v>0.3</v>
      </c>
      <c r="H3371" s="9" t="str">
        <f>INDEX(Products!$B$2:$B$37, MATCH(D3371, Products!$A$2:$A$37, 0))</f>
        <v>Vitamin C Serum</v>
      </c>
      <c r="I3371" t="str">
        <f>INDEX(Products!$C$2:$C$37, MATCH(D3371, Products!$A$2:$A$37, 0))</f>
        <v>Beauty</v>
      </c>
      <c r="J3371">
        <f>INDEX(Products!$E$2:$E$37, MATCH(D3371, Products!$A$2:$A$37, 0))</f>
        <v>55</v>
      </c>
      <c r="K3371" s="9">
        <f t="shared" si="208"/>
        <v>208.6</v>
      </c>
      <c r="L3371">
        <f t="shared" si="209"/>
        <v>110</v>
      </c>
      <c r="M3371" s="9">
        <f t="shared" si="210"/>
        <v>98.6</v>
      </c>
      <c r="N3371" t="str">
        <f t="shared" si="211"/>
        <v>Oct</v>
      </c>
    </row>
    <row r="3372" spans="1:14" x14ac:dyDescent="0.3">
      <c r="A3372" s="2" t="s">
        <v>3438</v>
      </c>
      <c r="B3372" s="6">
        <v>45950</v>
      </c>
      <c r="C3372" s="2" t="s">
        <v>28</v>
      </c>
      <c r="D3372" s="2" t="s">
        <v>39</v>
      </c>
      <c r="E3372" s="2">
        <v>2</v>
      </c>
      <c r="F3372" s="7">
        <v>199</v>
      </c>
      <c r="G3372" s="8">
        <v>0.2</v>
      </c>
      <c r="H3372" s="9" t="str">
        <f>INDEX(Products!$B$2:$B$37, MATCH(D3372, Products!$A$2:$A$37, 0))</f>
        <v>Bakhoor Gift Set</v>
      </c>
      <c r="I3372" t="str">
        <f>INDEX(Products!$C$2:$C$37, MATCH(D3372, Products!$A$2:$A$37, 0))</f>
        <v>Beauty</v>
      </c>
      <c r="J3372">
        <f>INDEX(Products!$E$2:$E$37, MATCH(D3372, Products!$A$2:$A$37, 0))</f>
        <v>90</v>
      </c>
      <c r="K3372" s="9">
        <f t="shared" si="208"/>
        <v>318.40000000000003</v>
      </c>
      <c r="L3372">
        <f t="shared" si="209"/>
        <v>180</v>
      </c>
      <c r="M3372" s="9">
        <f t="shared" si="210"/>
        <v>138.40000000000003</v>
      </c>
      <c r="N3372" t="str">
        <f t="shared" si="211"/>
        <v>Oct</v>
      </c>
    </row>
    <row r="3373" spans="1:14" x14ac:dyDescent="0.3">
      <c r="A3373" s="2" t="s">
        <v>3439</v>
      </c>
      <c r="B3373" s="6">
        <v>45950</v>
      </c>
      <c r="C3373" s="2" t="s">
        <v>41</v>
      </c>
      <c r="D3373" s="2" t="s">
        <v>80</v>
      </c>
      <c r="E3373" s="2">
        <v>1</v>
      </c>
      <c r="F3373" s="7">
        <v>149</v>
      </c>
      <c r="G3373" s="8">
        <v>0.2</v>
      </c>
      <c r="H3373" s="9" t="str">
        <f>INDEX(Products!$B$2:$B$37, MATCH(D3373, Products!$A$2:$A$37, 0))</f>
        <v>Vitamin C Serum</v>
      </c>
      <c r="I3373" t="str">
        <f>INDEX(Products!$C$2:$C$37, MATCH(D3373, Products!$A$2:$A$37, 0))</f>
        <v>Beauty</v>
      </c>
      <c r="J3373">
        <f>INDEX(Products!$E$2:$E$37, MATCH(D3373, Products!$A$2:$A$37, 0))</f>
        <v>55</v>
      </c>
      <c r="K3373" s="9">
        <f t="shared" si="208"/>
        <v>119.2</v>
      </c>
      <c r="L3373">
        <f t="shared" si="209"/>
        <v>55</v>
      </c>
      <c r="M3373" s="9">
        <f t="shared" si="210"/>
        <v>64.2</v>
      </c>
      <c r="N3373" t="str">
        <f t="shared" si="211"/>
        <v>Oct</v>
      </c>
    </row>
    <row r="3374" spans="1:14" x14ac:dyDescent="0.3">
      <c r="A3374" s="2" t="s">
        <v>3440</v>
      </c>
      <c r="B3374" s="6">
        <v>45950</v>
      </c>
      <c r="C3374" s="2" t="s">
        <v>41</v>
      </c>
      <c r="D3374" s="2" t="s">
        <v>65</v>
      </c>
      <c r="E3374" s="2">
        <v>1</v>
      </c>
      <c r="F3374" s="7">
        <v>129</v>
      </c>
      <c r="G3374" s="8">
        <v>0</v>
      </c>
      <c r="H3374" s="9" t="str">
        <f>INDEX(Products!$B$2:$B$37, MATCH(D3374, Products!$A$2:$A$37, 0))</f>
        <v>Yoga Mat Premium</v>
      </c>
      <c r="I3374" t="str">
        <f>INDEX(Products!$C$2:$C$37, MATCH(D3374, Products!$A$2:$A$37, 0))</f>
        <v>Sports</v>
      </c>
      <c r="J3374">
        <f>INDEX(Products!$E$2:$E$37, MATCH(D3374, Products!$A$2:$A$37, 0))</f>
        <v>60</v>
      </c>
      <c r="K3374" s="9">
        <f t="shared" si="208"/>
        <v>129</v>
      </c>
      <c r="L3374">
        <f t="shared" si="209"/>
        <v>60</v>
      </c>
      <c r="M3374" s="9">
        <f t="shared" si="210"/>
        <v>69</v>
      </c>
      <c r="N3374" t="str">
        <f t="shared" si="211"/>
        <v>Oct</v>
      </c>
    </row>
    <row r="3375" spans="1:14" x14ac:dyDescent="0.3">
      <c r="A3375" s="2" t="s">
        <v>3441</v>
      </c>
      <c r="B3375" s="6">
        <v>45950</v>
      </c>
      <c r="C3375" s="2" t="s">
        <v>28</v>
      </c>
      <c r="D3375" s="2" t="s">
        <v>113</v>
      </c>
      <c r="E3375" s="2">
        <v>1</v>
      </c>
      <c r="F3375" s="7">
        <v>1199</v>
      </c>
      <c r="G3375" s="8">
        <v>0.1</v>
      </c>
      <c r="H3375" s="9" t="str">
        <f>INDEX(Products!$B$2:$B$37, MATCH(D3375, Products!$A$2:$A$37, 0))</f>
        <v>Robot Vacuum S3</v>
      </c>
      <c r="I3375" t="str">
        <f>INDEX(Products!$C$2:$C$37, MATCH(D3375, Products!$A$2:$A$37, 0))</f>
        <v>Home &amp; Kitchen</v>
      </c>
      <c r="J3375">
        <f>INDEX(Products!$E$2:$E$37, MATCH(D3375, Products!$A$2:$A$37, 0))</f>
        <v>1080</v>
      </c>
      <c r="K3375" s="9">
        <f t="shared" si="208"/>
        <v>1079.1000000000001</v>
      </c>
      <c r="L3375">
        <f t="shared" si="209"/>
        <v>1080</v>
      </c>
      <c r="M3375" s="9">
        <f t="shared" si="210"/>
        <v>-0.89999999999986358</v>
      </c>
      <c r="N3375" t="str">
        <f t="shared" si="211"/>
        <v>Oct</v>
      </c>
    </row>
    <row r="3376" spans="1:14" x14ac:dyDescent="0.3">
      <c r="A3376" s="2" t="s">
        <v>3442</v>
      </c>
      <c r="B3376" s="6">
        <v>45950</v>
      </c>
      <c r="C3376" s="2" t="s">
        <v>41</v>
      </c>
      <c r="D3376" s="2" t="s">
        <v>129</v>
      </c>
      <c r="E3376" s="2">
        <v>1</v>
      </c>
      <c r="F3376" s="7">
        <v>149</v>
      </c>
      <c r="G3376" s="8">
        <v>0</v>
      </c>
      <c r="H3376" s="9" t="str">
        <f>INDEX(Products!$B$2:$B$37, MATCH(D3376, Products!$A$2:$A$37, 0))</f>
        <v>Power Bank 20000mAh</v>
      </c>
      <c r="I3376" t="str">
        <f>INDEX(Products!$C$2:$C$37, MATCH(D3376, Products!$A$2:$A$37, 0))</f>
        <v>Electronics</v>
      </c>
      <c r="J3376">
        <f>INDEX(Products!$E$2:$E$37, MATCH(D3376, Products!$A$2:$A$37, 0))</f>
        <v>70</v>
      </c>
      <c r="K3376" s="9">
        <f t="shared" si="208"/>
        <v>149</v>
      </c>
      <c r="L3376">
        <f t="shared" si="209"/>
        <v>70</v>
      </c>
      <c r="M3376" s="9">
        <f t="shared" si="210"/>
        <v>79</v>
      </c>
      <c r="N3376" t="str">
        <f t="shared" si="211"/>
        <v>Oct</v>
      </c>
    </row>
    <row r="3377" spans="1:14" x14ac:dyDescent="0.3">
      <c r="A3377" s="2" t="s">
        <v>3443</v>
      </c>
      <c r="B3377" s="6">
        <v>45951</v>
      </c>
      <c r="C3377" s="2" t="s">
        <v>31</v>
      </c>
      <c r="D3377" s="2" t="s">
        <v>42</v>
      </c>
      <c r="E3377" s="2">
        <v>1</v>
      </c>
      <c r="F3377" s="7">
        <v>399</v>
      </c>
      <c r="G3377" s="8">
        <v>0</v>
      </c>
      <c r="H3377" s="9" t="str">
        <f>INDEX(Products!$B$2:$B$37, MATCH(D3377, Products!$A$2:$A$37, 0))</f>
        <v>Wireless Earbuds Pro</v>
      </c>
      <c r="I3377" t="str">
        <f>INDEX(Products!$C$2:$C$37, MATCH(D3377, Products!$A$2:$A$37, 0))</f>
        <v>Electronics</v>
      </c>
      <c r="J3377">
        <f>INDEX(Products!$E$2:$E$37, MATCH(D3377, Products!$A$2:$A$37, 0))</f>
        <v>230</v>
      </c>
      <c r="K3377" s="9">
        <f t="shared" si="208"/>
        <v>399</v>
      </c>
      <c r="L3377">
        <f t="shared" si="209"/>
        <v>230</v>
      </c>
      <c r="M3377" s="9">
        <f t="shared" si="210"/>
        <v>169</v>
      </c>
      <c r="N3377" t="str">
        <f t="shared" si="211"/>
        <v>Oct</v>
      </c>
    </row>
    <row r="3378" spans="1:14" x14ac:dyDescent="0.3">
      <c r="A3378" s="2" t="s">
        <v>3444</v>
      </c>
      <c r="B3378" s="6">
        <v>45951</v>
      </c>
      <c r="C3378" s="2" t="s">
        <v>44</v>
      </c>
      <c r="D3378" s="2" t="s">
        <v>39</v>
      </c>
      <c r="E3378" s="2">
        <v>1</v>
      </c>
      <c r="F3378" s="7">
        <v>199</v>
      </c>
      <c r="G3378" s="8">
        <v>0</v>
      </c>
      <c r="H3378" s="9" t="str">
        <f>INDEX(Products!$B$2:$B$37, MATCH(D3378, Products!$A$2:$A$37, 0))</f>
        <v>Bakhoor Gift Set</v>
      </c>
      <c r="I3378" t="str">
        <f>INDEX(Products!$C$2:$C$37, MATCH(D3378, Products!$A$2:$A$37, 0))</f>
        <v>Beauty</v>
      </c>
      <c r="J3378">
        <f>INDEX(Products!$E$2:$E$37, MATCH(D3378, Products!$A$2:$A$37, 0))</f>
        <v>90</v>
      </c>
      <c r="K3378" s="9">
        <f t="shared" si="208"/>
        <v>199</v>
      </c>
      <c r="L3378">
        <f t="shared" si="209"/>
        <v>90</v>
      </c>
      <c r="M3378" s="9">
        <f t="shared" si="210"/>
        <v>109</v>
      </c>
      <c r="N3378" t="str">
        <f t="shared" si="211"/>
        <v>Oct</v>
      </c>
    </row>
    <row r="3379" spans="1:14" x14ac:dyDescent="0.3">
      <c r="A3379" s="2" t="s">
        <v>3445</v>
      </c>
      <c r="B3379" s="6">
        <v>45951</v>
      </c>
      <c r="C3379" s="2" t="s">
        <v>44</v>
      </c>
      <c r="D3379" s="2" t="s">
        <v>37</v>
      </c>
      <c r="E3379" s="2">
        <v>1</v>
      </c>
      <c r="F3379" s="7">
        <v>249</v>
      </c>
      <c r="G3379" s="8">
        <v>0</v>
      </c>
      <c r="H3379" s="9" t="str">
        <f>INDEX(Products!$B$2:$B$37, MATCH(D3379, Products!$A$2:$A$37, 0))</f>
        <v>Sunglasses Polarised</v>
      </c>
      <c r="I3379" t="str">
        <f>INDEX(Products!$C$2:$C$37, MATCH(D3379, Products!$A$2:$A$37, 0))</f>
        <v>Fashion</v>
      </c>
      <c r="J3379">
        <f>INDEX(Products!$E$2:$E$37, MATCH(D3379, Products!$A$2:$A$37, 0))</f>
        <v>95</v>
      </c>
      <c r="K3379" s="9">
        <f t="shared" si="208"/>
        <v>249</v>
      </c>
      <c r="L3379">
        <f t="shared" si="209"/>
        <v>95</v>
      </c>
      <c r="M3379" s="9">
        <f t="shared" si="210"/>
        <v>154</v>
      </c>
      <c r="N3379" t="str">
        <f t="shared" si="211"/>
        <v>Oct</v>
      </c>
    </row>
    <row r="3380" spans="1:14" x14ac:dyDescent="0.3">
      <c r="A3380" s="2" t="s">
        <v>3446</v>
      </c>
      <c r="B3380" s="6">
        <v>45951</v>
      </c>
      <c r="C3380" s="2" t="s">
        <v>44</v>
      </c>
      <c r="D3380" s="2" t="s">
        <v>35</v>
      </c>
      <c r="E3380" s="2">
        <v>2</v>
      </c>
      <c r="F3380" s="7">
        <v>179</v>
      </c>
      <c r="G3380" s="8">
        <v>0.1</v>
      </c>
      <c r="H3380" s="9" t="str">
        <f>INDEX(Products!$B$2:$B$37, MATCH(D3380, Products!$A$2:$A$37, 0))</f>
        <v>Men's Linen Shirt</v>
      </c>
      <c r="I3380" t="str">
        <f>INDEX(Products!$C$2:$C$37, MATCH(D3380, Products!$A$2:$A$37, 0))</f>
        <v>Fashion</v>
      </c>
      <c r="J3380">
        <f>INDEX(Products!$E$2:$E$37, MATCH(D3380, Products!$A$2:$A$37, 0))</f>
        <v>70</v>
      </c>
      <c r="K3380" s="9">
        <f t="shared" si="208"/>
        <v>322.2</v>
      </c>
      <c r="L3380">
        <f t="shared" si="209"/>
        <v>140</v>
      </c>
      <c r="M3380" s="9">
        <f t="shared" si="210"/>
        <v>182.2</v>
      </c>
      <c r="N3380" t="str">
        <f t="shared" si="211"/>
        <v>Oct</v>
      </c>
    </row>
    <row r="3381" spans="1:14" x14ac:dyDescent="0.3">
      <c r="A3381" s="2" t="s">
        <v>3447</v>
      </c>
      <c r="B3381" s="6">
        <v>45951</v>
      </c>
      <c r="C3381" s="2" t="s">
        <v>31</v>
      </c>
      <c r="D3381" s="2" t="s">
        <v>75</v>
      </c>
      <c r="E3381" s="2">
        <v>1</v>
      </c>
      <c r="F3381" s="7">
        <v>549</v>
      </c>
      <c r="G3381" s="8">
        <v>0.1</v>
      </c>
      <c r="H3381" s="9" t="str">
        <f>INDEX(Products!$B$2:$B$37, MATCH(D3381, Products!$A$2:$A$37, 0))</f>
        <v>Oud Perfume 100ml</v>
      </c>
      <c r="I3381" t="str">
        <f>INDEX(Products!$C$2:$C$37, MATCH(D3381, Products!$A$2:$A$37, 0))</f>
        <v>Beauty</v>
      </c>
      <c r="J3381">
        <f>INDEX(Products!$E$2:$E$37, MATCH(D3381, Products!$A$2:$A$37, 0))</f>
        <v>250</v>
      </c>
      <c r="K3381" s="9">
        <f t="shared" si="208"/>
        <v>494.1</v>
      </c>
      <c r="L3381">
        <f t="shared" si="209"/>
        <v>250</v>
      </c>
      <c r="M3381" s="9">
        <f t="shared" si="210"/>
        <v>244.10000000000002</v>
      </c>
      <c r="N3381" t="str">
        <f t="shared" si="211"/>
        <v>Oct</v>
      </c>
    </row>
    <row r="3382" spans="1:14" x14ac:dyDescent="0.3">
      <c r="A3382" s="2" t="s">
        <v>3448</v>
      </c>
      <c r="B3382" s="6">
        <v>45951</v>
      </c>
      <c r="C3382" s="2" t="s">
        <v>48</v>
      </c>
      <c r="D3382" s="2" t="s">
        <v>60</v>
      </c>
      <c r="E3382" s="2">
        <v>2</v>
      </c>
      <c r="F3382" s="7">
        <v>99</v>
      </c>
      <c r="G3382" s="8">
        <v>0.2</v>
      </c>
      <c r="H3382" s="9" t="str">
        <f>INDEX(Products!$B$2:$B$37, MATCH(D3382, Products!$A$2:$A$37, 0))</f>
        <v>Football Size 5</v>
      </c>
      <c r="I3382" t="str">
        <f>INDEX(Products!$C$2:$C$37, MATCH(D3382, Products!$A$2:$A$37, 0))</f>
        <v>Sports</v>
      </c>
      <c r="J3382">
        <f>INDEX(Products!$E$2:$E$37, MATCH(D3382, Products!$A$2:$A$37, 0))</f>
        <v>45</v>
      </c>
      <c r="K3382" s="9">
        <f t="shared" si="208"/>
        <v>158.4</v>
      </c>
      <c r="L3382">
        <f t="shared" si="209"/>
        <v>90</v>
      </c>
      <c r="M3382" s="9">
        <f t="shared" si="210"/>
        <v>68.400000000000006</v>
      </c>
      <c r="N3382" t="str">
        <f t="shared" si="211"/>
        <v>Oct</v>
      </c>
    </row>
    <row r="3383" spans="1:14" x14ac:dyDescent="0.3">
      <c r="A3383" s="2" t="s">
        <v>3449</v>
      </c>
      <c r="B3383" s="6">
        <v>45951</v>
      </c>
      <c r="C3383" s="2" t="s">
        <v>28</v>
      </c>
      <c r="D3383" s="2" t="s">
        <v>95</v>
      </c>
      <c r="E3383" s="2">
        <v>1</v>
      </c>
      <c r="F3383" s="7">
        <v>259</v>
      </c>
      <c r="G3383" s="8">
        <v>0.15</v>
      </c>
      <c r="H3383" s="9" t="str">
        <f>INDEX(Products!$B$2:$B$37, MATCH(D3383, Products!$A$2:$A$37, 0))</f>
        <v>Bed Linen Set (King)</v>
      </c>
      <c r="I3383" t="str">
        <f>INDEX(Products!$C$2:$C$37, MATCH(D3383, Products!$A$2:$A$37, 0))</f>
        <v>Home &amp; Kitchen</v>
      </c>
      <c r="J3383">
        <f>INDEX(Products!$E$2:$E$37, MATCH(D3383, Products!$A$2:$A$37, 0))</f>
        <v>115</v>
      </c>
      <c r="K3383" s="9">
        <f t="shared" si="208"/>
        <v>220.15</v>
      </c>
      <c r="L3383">
        <f t="shared" si="209"/>
        <v>115</v>
      </c>
      <c r="M3383" s="9">
        <f t="shared" si="210"/>
        <v>105.15</v>
      </c>
      <c r="N3383" t="str">
        <f t="shared" si="211"/>
        <v>Oct</v>
      </c>
    </row>
    <row r="3384" spans="1:14" x14ac:dyDescent="0.3">
      <c r="A3384" s="2" t="s">
        <v>3450</v>
      </c>
      <c r="B3384" s="6">
        <v>45951</v>
      </c>
      <c r="C3384" s="2" t="s">
        <v>41</v>
      </c>
      <c r="D3384" s="2" t="s">
        <v>149</v>
      </c>
      <c r="E3384" s="2">
        <v>1</v>
      </c>
      <c r="F3384" s="7">
        <v>399</v>
      </c>
      <c r="G3384" s="8">
        <v>0.2</v>
      </c>
      <c r="H3384" s="9" t="str">
        <f>INDEX(Products!$B$2:$B$37, MATCH(D3384, Products!$A$2:$A$37, 0))</f>
        <v>Blender Pro 1200W</v>
      </c>
      <c r="I3384" t="str">
        <f>INDEX(Products!$C$2:$C$37, MATCH(D3384, Products!$A$2:$A$37, 0))</f>
        <v>Home &amp; Kitchen</v>
      </c>
      <c r="J3384">
        <f>INDEX(Products!$E$2:$E$37, MATCH(D3384, Products!$A$2:$A$37, 0))</f>
        <v>250</v>
      </c>
      <c r="K3384" s="9">
        <f t="shared" si="208"/>
        <v>319.20000000000005</v>
      </c>
      <c r="L3384">
        <f t="shared" si="209"/>
        <v>250</v>
      </c>
      <c r="M3384" s="9">
        <f t="shared" si="210"/>
        <v>69.200000000000045</v>
      </c>
      <c r="N3384" t="str">
        <f t="shared" si="211"/>
        <v>Oct</v>
      </c>
    </row>
    <row r="3385" spans="1:14" x14ac:dyDescent="0.3">
      <c r="A3385" s="2" t="s">
        <v>3451</v>
      </c>
      <c r="B3385" s="6">
        <v>45951</v>
      </c>
      <c r="C3385" s="2" t="s">
        <v>28</v>
      </c>
      <c r="D3385" s="2" t="s">
        <v>92</v>
      </c>
      <c r="E3385" s="2">
        <v>1</v>
      </c>
      <c r="F3385" s="7">
        <v>349</v>
      </c>
      <c r="G3385" s="8">
        <v>0.05</v>
      </c>
      <c r="H3385" s="9" t="str">
        <f>INDEX(Products!$B$2:$B$37, MATCH(D3385, Products!$A$2:$A$37, 0))</f>
        <v>Non-stick Cookware Set</v>
      </c>
      <c r="I3385" t="str">
        <f>INDEX(Products!$C$2:$C$37, MATCH(D3385, Products!$A$2:$A$37, 0))</f>
        <v>Home &amp; Kitchen</v>
      </c>
      <c r="J3385">
        <f>INDEX(Products!$E$2:$E$37, MATCH(D3385, Products!$A$2:$A$37, 0))</f>
        <v>170</v>
      </c>
      <c r="K3385" s="9">
        <f t="shared" si="208"/>
        <v>331.55</v>
      </c>
      <c r="L3385">
        <f t="shared" si="209"/>
        <v>170</v>
      </c>
      <c r="M3385" s="9">
        <f t="shared" si="210"/>
        <v>161.55000000000001</v>
      </c>
      <c r="N3385" t="str">
        <f t="shared" si="211"/>
        <v>Oct</v>
      </c>
    </row>
    <row r="3386" spans="1:14" x14ac:dyDescent="0.3">
      <c r="A3386" s="2" t="s">
        <v>3452</v>
      </c>
      <c r="B3386" s="6">
        <v>45951</v>
      </c>
      <c r="C3386" s="2" t="s">
        <v>28</v>
      </c>
      <c r="D3386" s="2" t="s">
        <v>194</v>
      </c>
      <c r="E3386" s="2">
        <v>1</v>
      </c>
      <c r="F3386" s="7">
        <v>699</v>
      </c>
      <c r="G3386" s="8">
        <v>0.2</v>
      </c>
      <c r="H3386" s="9" t="str">
        <f>INDEX(Products!$B$2:$B$37, MATCH(D3386, Products!$A$2:$A$37, 0))</f>
        <v>Leather Handbag</v>
      </c>
      <c r="I3386" t="str">
        <f>INDEX(Products!$C$2:$C$37, MATCH(D3386, Products!$A$2:$A$37, 0))</f>
        <v>Fashion</v>
      </c>
      <c r="J3386">
        <f>INDEX(Products!$E$2:$E$37, MATCH(D3386, Products!$A$2:$A$37, 0))</f>
        <v>380</v>
      </c>
      <c r="K3386" s="9">
        <f t="shared" si="208"/>
        <v>559.20000000000005</v>
      </c>
      <c r="L3386">
        <f t="shared" si="209"/>
        <v>380</v>
      </c>
      <c r="M3386" s="9">
        <f t="shared" si="210"/>
        <v>179.20000000000005</v>
      </c>
      <c r="N3386" t="str">
        <f t="shared" si="211"/>
        <v>Oct</v>
      </c>
    </row>
    <row r="3387" spans="1:14" x14ac:dyDescent="0.3">
      <c r="A3387" s="2" t="s">
        <v>3453</v>
      </c>
      <c r="B3387" s="6">
        <v>45951</v>
      </c>
      <c r="C3387" s="2" t="s">
        <v>41</v>
      </c>
      <c r="D3387" s="2" t="s">
        <v>103</v>
      </c>
      <c r="E3387" s="2">
        <v>1</v>
      </c>
      <c r="F3387" s="7">
        <v>89</v>
      </c>
      <c r="G3387" s="8">
        <v>0</v>
      </c>
      <c r="H3387" s="9" t="str">
        <f>INDEX(Products!$B$2:$B$37, MATCH(D3387, Products!$A$2:$A$37, 0))</f>
        <v>Sunscreen SPF50</v>
      </c>
      <c r="I3387" t="str">
        <f>INDEX(Products!$C$2:$C$37, MATCH(D3387, Products!$A$2:$A$37, 0))</f>
        <v>Beauty</v>
      </c>
      <c r="J3387">
        <f>INDEX(Products!$E$2:$E$37, MATCH(D3387, Products!$A$2:$A$37, 0))</f>
        <v>40</v>
      </c>
      <c r="K3387" s="9">
        <f t="shared" si="208"/>
        <v>89</v>
      </c>
      <c r="L3387">
        <f t="shared" si="209"/>
        <v>40</v>
      </c>
      <c r="M3387" s="9">
        <f t="shared" si="210"/>
        <v>49</v>
      </c>
      <c r="N3387" t="str">
        <f t="shared" si="211"/>
        <v>Oct</v>
      </c>
    </row>
    <row r="3388" spans="1:14" x14ac:dyDescent="0.3">
      <c r="A3388" s="2" t="s">
        <v>3454</v>
      </c>
      <c r="B3388" s="6">
        <v>45951</v>
      </c>
      <c r="C3388" s="2" t="s">
        <v>41</v>
      </c>
      <c r="D3388" s="2" t="s">
        <v>58</v>
      </c>
      <c r="E3388" s="2">
        <v>1</v>
      </c>
      <c r="F3388" s="7">
        <v>459</v>
      </c>
      <c r="G3388" s="8">
        <v>0</v>
      </c>
      <c r="H3388" s="9" t="str">
        <f>INDEX(Products!$B$2:$B$37, MATCH(D3388, Products!$A$2:$A$37, 0))</f>
        <v>Women's Abaya Classic</v>
      </c>
      <c r="I3388" t="str">
        <f>INDEX(Products!$C$2:$C$37, MATCH(D3388, Products!$A$2:$A$37, 0))</f>
        <v>Fashion</v>
      </c>
      <c r="J3388">
        <f>INDEX(Products!$E$2:$E$37, MATCH(D3388, Products!$A$2:$A$37, 0))</f>
        <v>190</v>
      </c>
      <c r="K3388" s="9">
        <f t="shared" si="208"/>
        <v>459</v>
      </c>
      <c r="L3388">
        <f t="shared" si="209"/>
        <v>190</v>
      </c>
      <c r="M3388" s="9">
        <f t="shared" si="210"/>
        <v>269</v>
      </c>
      <c r="N3388" t="str">
        <f t="shared" si="211"/>
        <v>Oct</v>
      </c>
    </row>
    <row r="3389" spans="1:14" x14ac:dyDescent="0.3">
      <c r="A3389" s="2" t="s">
        <v>3455</v>
      </c>
      <c r="B3389" s="6">
        <v>45951</v>
      </c>
      <c r="C3389" s="2" t="s">
        <v>48</v>
      </c>
      <c r="D3389" s="2" t="s">
        <v>149</v>
      </c>
      <c r="E3389" s="2">
        <v>2</v>
      </c>
      <c r="F3389" s="7">
        <v>399</v>
      </c>
      <c r="G3389" s="8">
        <v>0</v>
      </c>
      <c r="H3389" s="9" t="str">
        <f>INDEX(Products!$B$2:$B$37, MATCH(D3389, Products!$A$2:$A$37, 0))</f>
        <v>Blender Pro 1200W</v>
      </c>
      <c r="I3389" t="str">
        <f>INDEX(Products!$C$2:$C$37, MATCH(D3389, Products!$A$2:$A$37, 0))</f>
        <v>Home &amp; Kitchen</v>
      </c>
      <c r="J3389">
        <f>INDEX(Products!$E$2:$E$37, MATCH(D3389, Products!$A$2:$A$37, 0))</f>
        <v>250</v>
      </c>
      <c r="K3389" s="9">
        <f t="shared" si="208"/>
        <v>798</v>
      </c>
      <c r="L3389">
        <f t="shared" si="209"/>
        <v>500</v>
      </c>
      <c r="M3389" s="9">
        <f t="shared" si="210"/>
        <v>298</v>
      </c>
      <c r="N3389" t="str">
        <f t="shared" si="211"/>
        <v>Oct</v>
      </c>
    </row>
    <row r="3390" spans="1:14" x14ac:dyDescent="0.3">
      <c r="A3390" s="2" t="s">
        <v>3456</v>
      </c>
      <c r="B3390" s="6">
        <v>45951</v>
      </c>
      <c r="C3390" s="2" t="s">
        <v>41</v>
      </c>
      <c r="D3390" s="2" t="s">
        <v>163</v>
      </c>
      <c r="E3390" s="2">
        <v>3</v>
      </c>
      <c r="F3390" s="7">
        <v>2499</v>
      </c>
      <c r="G3390" s="8">
        <v>0.25</v>
      </c>
      <c r="H3390" s="9" t="str">
        <f>INDEX(Products!$B$2:$B$37, MATCH(D3390, Products!$A$2:$A$37, 0))</f>
        <v>Treadmill Compact</v>
      </c>
      <c r="I3390" t="str">
        <f>INDEX(Products!$C$2:$C$37, MATCH(D3390, Products!$A$2:$A$37, 0))</f>
        <v>Sports</v>
      </c>
      <c r="J3390">
        <f>INDEX(Products!$E$2:$E$37, MATCH(D3390, Products!$A$2:$A$37, 0))</f>
        <v>2150</v>
      </c>
      <c r="K3390" s="9">
        <f t="shared" si="208"/>
        <v>5622.75</v>
      </c>
      <c r="L3390">
        <f t="shared" si="209"/>
        <v>6450</v>
      </c>
      <c r="M3390" s="9">
        <f t="shared" si="210"/>
        <v>-827.25</v>
      </c>
      <c r="N3390" t="str">
        <f t="shared" si="211"/>
        <v>Oct</v>
      </c>
    </row>
    <row r="3391" spans="1:14" x14ac:dyDescent="0.3">
      <c r="A3391" s="2" t="s">
        <v>3457</v>
      </c>
      <c r="B3391" s="6">
        <v>45951</v>
      </c>
      <c r="C3391" s="2" t="s">
        <v>28</v>
      </c>
      <c r="D3391" s="2" t="s">
        <v>29</v>
      </c>
      <c r="E3391" s="2">
        <v>1</v>
      </c>
      <c r="F3391" s="7">
        <v>229</v>
      </c>
      <c r="G3391" s="8">
        <v>0.15</v>
      </c>
      <c r="H3391" s="9" t="str">
        <f>INDEX(Products!$B$2:$B$37, MATCH(D3391, Products!$A$2:$A$37, 0))</f>
        <v>Women's Summer Dress</v>
      </c>
      <c r="I3391" t="str">
        <f>INDEX(Products!$C$2:$C$37, MATCH(D3391, Products!$A$2:$A$37, 0))</f>
        <v>Fashion</v>
      </c>
      <c r="J3391">
        <f>INDEX(Products!$E$2:$E$37, MATCH(D3391, Products!$A$2:$A$37, 0))</f>
        <v>120</v>
      </c>
      <c r="K3391" s="9">
        <f t="shared" si="208"/>
        <v>194.65</v>
      </c>
      <c r="L3391">
        <f t="shared" si="209"/>
        <v>120</v>
      </c>
      <c r="M3391" s="9">
        <f t="shared" si="210"/>
        <v>74.650000000000006</v>
      </c>
      <c r="N3391" t="str">
        <f t="shared" si="211"/>
        <v>Oct</v>
      </c>
    </row>
    <row r="3392" spans="1:14" x14ac:dyDescent="0.3">
      <c r="A3392" s="2" t="s">
        <v>3458</v>
      </c>
      <c r="B3392" s="6">
        <v>45952</v>
      </c>
      <c r="C3392" s="2" t="s">
        <v>41</v>
      </c>
      <c r="D3392" s="2" t="s">
        <v>115</v>
      </c>
      <c r="E3392" s="2">
        <v>2</v>
      </c>
      <c r="F3392" s="7">
        <v>129</v>
      </c>
      <c r="G3392" s="8">
        <v>0</v>
      </c>
      <c r="H3392" s="9" t="str">
        <f>INDEX(Products!$B$2:$B$37, MATCH(D3392, Products!$A$2:$A$37, 0))</f>
        <v>Electric Kettle</v>
      </c>
      <c r="I3392" t="str">
        <f>INDEX(Products!$C$2:$C$37, MATCH(D3392, Products!$A$2:$A$37, 0))</f>
        <v>Home &amp; Kitchen</v>
      </c>
      <c r="J3392">
        <f>INDEX(Products!$E$2:$E$37, MATCH(D3392, Products!$A$2:$A$37, 0))</f>
        <v>60</v>
      </c>
      <c r="K3392" s="9">
        <f t="shared" si="208"/>
        <v>258</v>
      </c>
      <c r="L3392">
        <f t="shared" si="209"/>
        <v>120</v>
      </c>
      <c r="M3392" s="9">
        <f t="shared" si="210"/>
        <v>138</v>
      </c>
      <c r="N3392" t="str">
        <f t="shared" si="211"/>
        <v>Oct</v>
      </c>
    </row>
    <row r="3393" spans="1:14" x14ac:dyDescent="0.3">
      <c r="A3393" s="2" t="s">
        <v>3459</v>
      </c>
      <c r="B3393" s="6">
        <v>45952</v>
      </c>
      <c r="C3393" s="2" t="s">
        <v>41</v>
      </c>
      <c r="D3393" s="2" t="s">
        <v>131</v>
      </c>
      <c r="E3393" s="2">
        <v>1</v>
      </c>
      <c r="F3393" s="7">
        <v>899</v>
      </c>
      <c r="G3393" s="8">
        <v>0.15</v>
      </c>
      <c r="H3393" s="9" t="str">
        <f>INDEX(Products!$B$2:$B$37, MATCH(D3393, Products!$A$2:$A$37, 0))</f>
        <v>4K Action Camera</v>
      </c>
      <c r="I3393" t="str">
        <f>INDEX(Products!$C$2:$C$37, MATCH(D3393, Products!$A$2:$A$37, 0))</f>
        <v>Electronics</v>
      </c>
      <c r="J3393">
        <f>INDEX(Products!$E$2:$E$37, MATCH(D3393, Products!$A$2:$A$37, 0))</f>
        <v>610</v>
      </c>
      <c r="K3393" s="9">
        <f t="shared" si="208"/>
        <v>764.15</v>
      </c>
      <c r="L3393">
        <f t="shared" si="209"/>
        <v>610</v>
      </c>
      <c r="M3393" s="9">
        <f t="shared" si="210"/>
        <v>154.14999999999998</v>
      </c>
      <c r="N3393" t="str">
        <f t="shared" si="211"/>
        <v>Oct</v>
      </c>
    </row>
    <row r="3394" spans="1:14" x14ac:dyDescent="0.3">
      <c r="A3394" s="2" t="s">
        <v>3460</v>
      </c>
      <c r="B3394" s="6">
        <v>45952</v>
      </c>
      <c r="C3394" s="2" t="s">
        <v>28</v>
      </c>
      <c r="D3394" s="2" t="s">
        <v>103</v>
      </c>
      <c r="E3394" s="2">
        <v>2</v>
      </c>
      <c r="F3394" s="7">
        <v>89</v>
      </c>
      <c r="G3394" s="8">
        <v>0</v>
      </c>
      <c r="H3394" s="9" t="str">
        <f>INDEX(Products!$B$2:$B$37, MATCH(D3394, Products!$A$2:$A$37, 0))</f>
        <v>Sunscreen SPF50</v>
      </c>
      <c r="I3394" t="str">
        <f>INDEX(Products!$C$2:$C$37, MATCH(D3394, Products!$A$2:$A$37, 0))</f>
        <v>Beauty</v>
      </c>
      <c r="J3394">
        <f>INDEX(Products!$E$2:$E$37, MATCH(D3394, Products!$A$2:$A$37, 0))</f>
        <v>40</v>
      </c>
      <c r="K3394" s="9">
        <f t="shared" ref="K3394:K3457" si="212">E3394*F3394*(1-G3394)</f>
        <v>178</v>
      </c>
      <c r="L3394">
        <f t="shared" ref="L3394:L3457" si="213">E3394*J3394</f>
        <v>80</v>
      </c>
      <c r="M3394" s="9">
        <f t="shared" ref="M3394:M3457" si="214">K3394-L3394</f>
        <v>98</v>
      </c>
      <c r="N3394" t="str">
        <f t="shared" ref="N3394:N3457" si="215">TEXT(B3394,"mmm")</f>
        <v>Oct</v>
      </c>
    </row>
    <row r="3395" spans="1:14" x14ac:dyDescent="0.3">
      <c r="A3395" s="2" t="s">
        <v>3461</v>
      </c>
      <c r="B3395" s="6">
        <v>45952</v>
      </c>
      <c r="C3395" s="2" t="s">
        <v>28</v>
      </c>
      <c r="D3395" s="2" t="s">
        <v>99</v>
      </c>
      <c r="E3395" s="2">
        <v>1</v>
      </c>
      <c r="F3395" s="7">
        <v>459</v>
      </c>
      <c r="G3395" s="8">
        <v>0</v>
      </c>
      <c r="H3395" s="9" t="str">
        <f>INDEX(Products!$B$2:$B$37, MATCH(D3395, Products!$A$2:$A$37, 0))</f>
        <v>Gaming Headset X</v>
      </c>
      <c r="I3395" t="str">
        <f>INDEX(Products!$C$2:$C$37, MATCH(D3395, Products!$A$2:$A$37, 0))</f>
        <v>Electronics</v>
      </c>
      <c r="J3395">
        <f>INDEX(Products!$E$2:$E$37, MATCH(D3395, Products!$A$2:$A$37, 0))</f>
        <v>300</v>
      </c>
      <c r="K3395" s="9">
        <f t="shared" si="212"/>
        <v>459</v>
      </c>
      <c r="L3395">
        <f t="shared" si="213"/>
        <v>300</v>
      </c>
      <c r="M3395" s="9">
        <f t="shared" si="214"/>
        <v>159</v>
      </c>
      <c r="N3395" t="str">
        <f t="shared" si="215"/>
        <v>Oct</v>
      </c>
    </row>
    <row r="3396" spans="1:14" x14ac:dyDescent="0.3">
      <c r="A3396" s="2" t="s">
        <v>3462</v>
      </c>
      <c r="B3396" s="6">
        <v>45952</v>
      </c>
      <c r="C3396" s="2" t="s">
        <v>41</v>
      </c>
      <c r="D3396" s="2" t="s">
        <v>70</v>
      </c>
      <c r="E3396" s="2">
        <v>1</v>
      </c>
      <c r="F3396" s="7">
        <v>429</v>
      </c>
      <c r="G3396" s="8">
        <v>0.1</v>
      </c>
      <c r="H3396" s="9" t="str">
        <f>INDEX(Products!$B$2:$B$37, MATCH(D3396, Products!$A$2:$A$37, 0))</f>
        <v>Running Shoes Elite</v>
      </c>
      <c r="I3396" t="str">
        <f>INDEX(Products!$C$2:$C$37, MATCH(D3396, Products!$A$2:$A$37, 0))</f>
        <v>Fashion</v>
      </c>
      <c r="J3396">
        <f>INDEX(Products!$E$2:$E$37, MATCH(D3396, Products!$A$2:$A$37, 0))</f>
        <v>300</v>
      </c>
      <c r="K3396" s="9">
        <f t="shared" si="212"/>
        <v>386.1</v>
      </c>
      <c r="L3396">
        <f t="shared" si="213"/>
        <v>300</v>
      </c>
      <c r="M3396" s="9">
        <f t="shared" si="214"/>
        <v>86.100000000000023</v>
      </c>
      <c r="N3396" t="str">
        <f t="shared" si="215"/>
        <v>Oct</v>
      </c>
    </row>
    <row r="3397" spans="1:14" x14ac:dyDescent="0.3">
      <c r="A3397" s="2" t="s">
        <v>3463</v>
      </c>
      <c r="B3397" s="6">
        <v>45952</v>
      </c>
      <c r="C3397" s="2" t="s">
        <v>48</v>
      </c>
      <c r="D3397" s="2" t="s">
        <v>131</v>
      </c>
      <c r="E3397" s="2">
        <v>1</v>
      </c>
      <c r="F3397" s="7">
        <v>899</v>
      </c>
      <c r="G3397" s="8">
        <v>0</v>
      </c>
      <c r="H3397" s="9" t="str">
        <f>INDEX(Products!$B$2:$B$37, MATCH(D3397, Products!$A$2:$A$37, 0))</f>
        <v>4K Action Camera</v>
      </c>
      <c r="I3397" t="str">
        <f>INDEX(Products!$C$2:$C$37, MATCH(D3397, Products!$A$2:$A$37, 0))</f>
        <v>Electronics</v>
      </c>
      <c r="J3397">
        <f>INDEX(Products!$E$2:$E$37, MATCH(D3397, Products!$A$2:$A$37, 0))</f>
        <v>610</v>
      </c>
      <c r="K3397" s="9">
        <f t="shared" si="212"/>
        <v>899</v>
      </c>
      <c r="L3397">
        <f t="shared" si="213"/>
        <v>610</v>
      </c>
      <c r="M3397" s="9">
        <f t="shared" si="214"/>
        <v>289</v>
      </c>
      <c r="N3397" t="str">
        <f t="shared" si="215"/>
        <v>Oct</v>
      </c>
    </row>
    <row r="3398" spans="1:14" x14ac:dyDescent="0.3">
      <c r="A3398" s="2" t="s">
        <v>3464</v>
      </c>
      <c r="B3398" s="6">
        <v>45952</v>
      </c>
      <c r="C3398" s="2" t="s">
        <v>31</v>
      </c>
      <c r="D3398" s="2" t="s">
        <v>99</v>
      </c>
      <c r="E3398" s="2">
        <v>2</v>
      </c>
      <c r="F3398" s="7">
        <v>459</v>
      </c>
      <c r="G3398" s="8">
        <v>0.2</v>
      </c>
      <c r="H3398" s="9" t="str">
        <f>INDEX(Products!$B$2:$B$37, MATCH(D3398, Products!$A$2:$A$37, 0))</f>
        <v>Gaming Headset X</v>
      </c>
      <c r="I3398" t="str">
        <f>INDEX(Products!$C$2:$C$37, MATCH(D3398, Products!$A$2:$A$37, 0))</f>
        <v>Electronics</v>
      </c>
      <c r="J3398">
        <f>INDEX(Products!$E$2:$E$37, MATCH(D3398, Products!$A$2:$A$37, 0))</f>
        <v>300</v>
      </c>
      <c r="K3398" s="9">
        <f t="shared" si="212"/>
        <v>734.40000000000009</v>
      </c>
      <c r="L3398">
        <f t="shared" si="213"/>
        <v>600</v>
      </c>
      <c r="M3398" s="9">
        <f t="shared" si="214"/>
        <v>134.40000000000009</v>
      </c>
      <c r="N3398" t="str">
        <f t="shared" si="215"/>
        <v>Oct</v>
      </c>
    </row>
    <row r="3399" spans="1:14" x14ac:dyDescent="0.3">
      <c r="A3399" s="2" t="s">
        <v>3465</v>
      </c>
      <c r="B3399" s="6">
        <v>45952</v>
      </c>
      <c r="C3399" s="2" t="s">
        <v>44</v>
      </c>
      <c r="D3399" s="2" t="s">
        <v>126</v>
      </c>
      <c r="E3399" s="2">
        <v>1</v>
      </c>
      <c r="F3399" s="7">
        <v>89</v>
      </c>
      <c r="G3399" s="8">
        <v>0.05</v>
      </c>
      <c r="H3399" s="9" t="str">
        <f>INDEX(Products!$B$2:$B$37, MATCH(D3399, Products!$A$2:$A$37, 0))</f>
        <v>USB-C Fast Charger</v>
      </c>
      <c r="I3399" t="str">
        <f>INDEX(Products!$C$2:$C$37, MATCH(D3399, Products!$A$2:$A$37, 0))</f>
        <v>Electronics</v>
      </c>
      <c r="J3399">
        <f>INDEX(Products!$E$2:$E$37, MATCH(D3399, Products!$A$2:$A$37, 0))</f>
        <v>35</v>
      </c>
      <c r="K3399" s="9">
        <f t="shared" si="212"/>
        <v>84.55</v>
      </c>
      <c r="L3399">
        <f t="shared" si="213"/>
        <v>35</v>
      </c>
      <c r="M3399" s="9">
        <f t="shared" si="214"/>
        <v>49.55</v>
      </c>
      <c r="N3399" t="str">
        <f t="shared" si="215"/>
        <v>Oct</v>
      </c>
    </row>
    <row r="3400" spans="1:14" x14ac:dyDescent="0.3">
      <c r="A3400" s="2" t="s">
        <v>3466</v>
      </c>
      <c r="B3400" s="6">
        <v>45952</v>
      </c>
      <c r="C3400" s="2" t="s">
        <v>44</v>
      </c>
      <c r="D3400" s="2" t="s">
        <v>113</v>
      </c>
      <c r="E3400" s="2">
        <v>1</v>
      </c>
      <c r="F3400" s="7">
        <v>1199</v>
      </c>
      <c r="G3400" s="8">
        <v>0.15</v>
      </c>
      <c r="H3400" s="9" t="str">
        <f>INDEX(Products!$B$2:$B$37, MATCH(D3400, Products!$A$2:$A$37, 0))</f>
        <v>Robot Vacuum S3</v>
      </c>
      <c r="I3400" t="str">
        <f>INDEX(Products!$C$2:$C$37, MATCH(D3400, Products!$A$2:$A$37, 0))</f>
        <v>Home &amp; Kitchen</v>
      </c>
      <c r="J3400">
        <f>INDEX(Products!$E$2:$E$37, MATCH(D3400, Products!$A$2:$A$37, 0))</f>
        <v>1080</v>
      </c>
      <c r="K3400" s="9">
        <f t="shared" si="212"/>
        <v>1019.15</v>
      </c>
      <c r="L3400">
        <f t="shared" si="213"/>
        <v>1080</v>
      </c>
      <c r="M3400" s="9">
        <f t="shared" si="214"/>
        <v>-60.850000000000023</v>
      </c>
      <c r="N3400" t="str">
        <f t="shared" si="215"/>
        <v>Oct</v>
      </c>
    </row>
    <row r="3401" spans="1:14" x14ac:dyDescent="0.3">
      <c r="A3401" s="2" t="s">
        <v>3467</v>
      </c>
      <c r="B3401" s="6">
        <v>45952</v>
      </c>
      <c r="C3401" s="2" t="s">
        <v>44</v>
      </c>
      <c r="D3401" s="2" t="s">
        <v>52</v>
      </c>
      <c r="E3401" s="2">
        <v>1</v>
      </c>
      <c r="F3401" s="7">
        <v>299</v>
      </c>
      <c r="G3401" s="8">
        <v>0.1</v>
      </c>
      <c r="H3401" s="9" t="str">
        <f>INDEX(Products!$B$2:$B$37, MATCH(D3401, Products!$A$2:$A$37, 0))</f>
        <v>Hair Dryer Ionic</v>
      </c>
      <c r="I3401" t="str">
        <f>INDEX(Products!$C$2:$C$37, MATCH(D3401, Products!$A$2:$A$37, 0))</f>
        <v>Beauty</v>
      </c>
      <c r="J3401">
        <f>INDEX(Products!$E$2:$E$37, MATCH(D3401, Products!$A$2:$A$37, 0))</f>
        <v>240</v>
      </c>
      <c r="K3401" s="9">
        <f t="shared" si="212"/>
        <v>269.10000000000002</v>
      </c>
      <c r="L3401">
        <f t="shared" si="213"/>
        <v>240</v>
      </c>
      <c r="M3401" s="9">
        <f t="shared" si="214"/>
        <v>29.100000000000023</v>
      </c>
      <c r="N3401" t="str">
        <f t="shared" si="215"/>
        <v>Oct</v>
      </c>
    </row>
    <row r="3402" spans="1:14" x14ac:dyDescent="0.3">
      <c r="A3402" s="2" t="s">
        <v>3468</v>
      </c>
      <c r="B3402" s="6">
        <v>45952</v>
      </c>
      <c r="C3402" s="2" t="s">
        <v>31</v>
      </c>
      <c r="D3402" s="2" t="s">
        <v>99</v>
      </c>
      <c r="E3402" s="2">
        <v>2</v>
      </c>
      <c r="F3402" s="7">
        <v>459</v>
      </c>
      <c r="G3402" s="8">
        <v>0.1</v>
      </c>
      <c r="H3402" s="9" t="str">
        <f>INDEX(Products!$B$2:$B$37, MATCH(D3402, Products!$A$2:$A$37, 0))</f>
        <v>Gaming Headset X</v>
      </c>
      <c r="I3402" t="str">
        <f>INDEX(Products!$C$2:$C$37, MATCH(D3402, Products!$A$2:$A$37, 0))</f>
        <v>Electronics</v>
      </c>
      <c r="J3402">
        <f>INDEX(Products!$E$2:$E$37, MATCH(D3402, Products!$A$2:$A$37, 0))</f>
        <v>300</v>
      </c>
      <c r="K3402" s="9">
        <f t="shared" si="212"/>
        <v>826.2</v>
      </c>
      <c r="L3402">
        <f t="shared" si="213"/>
        <v>600</v>
      </c>
      <c r="M3402" s="9">
        <f t="shared" si="214"/>
        <v>226.20000000000005</v>
      </c>
      <c r="N3402" t="str">
        <f t="shared" si="215"/>
        <v>Oct</v>
      </c>
    </row>
    <row r="3403" spans="1:14" x14ac:dyDescent="0.3">
      <c r="A3403" s="2" t="s">
        <v>3469</v>
      </c>
      <c r="B3403" s="6">
        <v>45952</v>
      </c>
      <c r="C3403" s="2" t="s">
        <v>31</v>
      </c>
      <c r="D3403" s="2" t="s">
        <v>106</v>
      </c>
      <c r="E3403" s="2">
        <v>1</v>
      </c>
      <c r="F3403" s="7">
        <v>1299</v>
      </c>
      <c r="G3403" s="8">
        <v>0.2</v>
      </c>
      <c r="H3403" s="9" t="str">
        <f>INDEX(Products!$B$2:$B$37, MATCH(D3403, Products!$A$2:$A$37, 0))</f>
        <v>Smart Watch Series 5</v>
      </c>
      <c r="I3403" t="str">
        <f>INDEX(Products!$C$2:$C$37, MATCH(D3403, Products!$A$2:$A$37, 0))</f>
        <v>Electronics</v>
      </c>
      <c r="J3403">
        <f>INDEX(Products!$E$2:$E$37, MATCH(D3403, Products!$A$2:$A$37, 0))</f>
        <v>820</v>
      </c>
      <c r="K3403" s="9">
        <f t="shared" si="212"/>
        <v>1039.2</v>
      </c>
      <c r="L3403">
        <f t="shared" si="213"/>
        <v>820</v>
      </c>
      <c r="M3403" s="9">
        <f t="shared" si="214"/>
        <v>219.20000000000005</v>
      </c>
      <c r="N3403" t="str">
        <f t="shared" si="215"/>
        <v>Oct</v>
      </c>
    </row>
    <row r="3404" spans="1:14" x14ac:dyDescent="0.3">
      <c r="A3404" s="2" t="s">
        <v>3470</v>
      </c>
      <c r="B3404" s="6">
        <v>45952</v>
      </c>
      <c r="C3404" s="2" t="s">
        <v>28</v>
      </c>
      <c r="D3404" s="2" t="s">
        <v>52</v>
      </c>
      <c r="E3404" s="2">
        <v>2</v>
      </c>
      <c r="F3404" s="7">
        <v>299</v>
      </c>
      <c r="G3404" s="8">
        <v>0.15</v>
      </c>
      <c r="H3404" s="9" t="str">
        <f>INDEX(Products!$B$2:$B$37, MATCH(D3404, Products!$A$2:$A$37, 0))</f>
        <v>Hair Dryer Ionic</v>
      </c>
      <c r="I3404" t="str">
        <f>INDEX(Products!$C$2:$C$37, MATCH(D3404, Products!$A$2:$A$37, 0))</f>
        <v>Beauty</v>
      </c>
      <c r="J3404">
        <f>INDEX(Products!$E$2:$E$37, MATCH(D3404, Products!$A$2:$A$37, 0))</f>
        <v>240</v>
      </c>
      <c r="K3404" s="9">
        <f t="shared" si="212"/>
        <v>508.3</v>
      </c>
      <c r="L3404">
        <f t="shared" si="213"/>
        <v>480</v>
      </c>
      <c r="M3404" s="9">
        <f t="shared" si="214"/>
        <v>28.300000000000011</v>
      </c>
      <c r="N3404" t="str">
        <f t="shared" si="215"/>
        <v>Oct</v>
      </c>
    </row>
    <row r="3405" spans="1:14" x14ac:dyDescent="0.3">
      <c r="A3405" s="2" t="s">
        <v>3471</v>
      </c>
      <c r="B3405" s="6">
        <v>45952</v>
      </c>
      <c r="C3405" s="2" t="s">
        <v>44</v>
      </c>
      <c r="D3405" s="2" t="s">
        <v>78</v>
      </c>
      <c r="E3405" s="2">
        <v>4</v>
      </c>
      <c r="F3405" s="7">
        <v>499</v>
      </c>
      <c r="G3405" s="8">
        <v>0</v>
      </c>
      <c r="H3405" s="9" t="str">
        <f>INDEX(Products!$B$2:$B$37, MATCH(D3405, Products!$A$2:$A$37, 0))</f>
        <v>Air Fryer 5L</v>
      </c>
      <c r="I3405" t="str">
        <f>INDEX(Products!$C$2:$C$37, MATCH(D3405, Products!$A$2:$A$37, 0))</f>
        <v>Home &amp; Kitchen</v>
      </c>
      <c r="J3405">
        <f>INDEX(Products!$E$2:$E$37, MATCH(D3405, Products!$A$2:$A$37, 0))</f>
        <v>290</v>
      </c>
      <c r="K3405" s="9">
        <f t="shared" si="212"/>
        <v>1996</v>
      </c>
      <c r="L3405">
        <f t="shared" si="213"/>
        <v>1160</v>
      </c>
      <c r="M3405" s="9">
        <f t="shared" si="214"/>
        <v>836</v>
      </c>
      <c r="N3405" t="str">
        <f t="shared" si="215"/>
        <v>Oct</v>
      </c>
    </row>
    <row r="3406" spans="1:14" x14ac:dyDescent="0.3">
      <c r="A3406" s="2" t="s">
        <v>3472</v>
      </c>
      <c r="B3406" s="6">
        <v>45952</v>
      </c>
      <c r="C3406" s="2" t="s">
        <v>31</v>
      </c>
      <c r="D3406" s="2" t="s">
        <v>103</v>
      </c>
      <c r="E3406" s="2">
        <v>1</v>
      </c>
      <c r="F3406" s="7">
        <v>89</v>
      </c>
      <c r="G3406" s="8">
        <v>0</v>
      </c>
      <c r="H3406" s="9" t="str">
        <f>INDEX(Products!$B$2:$B$37, MATCH(D3406, Products!$A$2:$A$37, 0))</f>
        <v>Sunscreen SPF50</v>
      </c>
      <c r="I3406" t="str">
        <f>INDEX(Products!$C$2:$C$37, MATCH(D3406, Products!$A$2:$A$37, 0))</f>
        <v>Beauty</v>
      </c>
      <c r="J3406">
        <f>INDEX(Products!$E$2:$E$37, MATCH(D3406, Products!$A$2:$A$37, 0))</f>
        <v>40</v>
      </c>
      <c r="K3406" s="9">
        <f t="shared" si="212"/>
        <v>89</v>
      </c>
      <c r="L3406">
        <f t="shared" si="213"/>
        <v>40</v>
      </c>
      <c r="M3406" s="9">
        <f t="shared" si="214"/>
        <v>49</v>
      </c>
      <c r="N3406" t="str">
        <f t="shared" si="215"/>
        <v>Oct</v>
      </c>
    </row>
    <row r="3407" spans="1:14" x14ac:dyDescent="0.3">
      <c r="A3407" s="2" t="s">
        <v>3473</v>
      </c>
      <c r="B3407" s="6">
        <v>45952</v>
      </c>
      <c r="C3407" s="2" t="s">
        <v>28</v>
      </c>
      <c r="D3407" s="2" t="s">
        <v>39</v>
      </c>
      <c r="E3407" s="2">
        <v>1</v>
      </c>
      <c r="F3407" s="7">
        <v>199</v>
      </c>
      <c r="G3407" s="8">
        <v>0.05</v>
      </c>
      <c r="H3407" s="9" t="str">
        <f>INDEX(Products!$B$2:$B$37, MATCH(D3407, Products!$A$2:$A$37, 0))</f>
        <v>Bakhoor Gift Set</v>
      </c>
      <c r="I3407" t="str">
        <f>INDEX(Products!$C$2:$C$37, MATCH(D3407, Products!$A$2:$A$37, 0))</f>
        <v>Beauty</v>
      </c>
      <c r="J3407">
        <f>INDEX(Products!$E$2:$E$37, MATCH(D3407, Products!$A$2:$A$37, 0))</f>
        <v>90</v>
      </c>
      <c r="K3407" s="9">
        <f t="shared" si="212"/>
        <v>189.04999999999998</v>
      </c>
      <c r="L3407">
        <f t="shared" si="213"/>
        <v>90</v>
      </c>
      <c r="M3407" s="9">
        <f t="shared" si="214"/>
        <v>99.049999999999983</v>
      </c>
      <c r="N3407" t="str">
        <f t="shared" si="215"/>
        <v>Oct</v>
      </c>
    </row>
    <row r="3408" spans="1:14" x14ac:dyDescent="0.3">
      <c r="A3408" s="2" t="s">
        <v>3474</v>
      </c>
      <c r="B3408" s="6">
        <v>45952</v>
      </c>
      <c r="C3408" s="2" t="s">
        <v>48</v>
      </c>
      <c r="D3408" s="2" t="s">
        <v>56</v>
      </c>
      <c r="E3408" s="2">
        <v>2</v>
      </c>
      <c r="F3408" s="7">
        <v>289</v>
      </c>
      <c r="G3408" s="8">
        <v>0</v>
      </c>
      <c r="H3408" s="9" t="str">
        <f>INDEX(Products!$B$2:$B$37, MATCH(D3408, Products!$A$2:$A$37, 0))</f>
        <v>Ceramic Dinner Set</v>
      </c>
      <c r="I3408" t="str">
        <f>INDEX(Products!$C$2:$C$37, MATCH(D3408, Products!$A$2:$A$37, 0))</f>
        <v>Home &amp; Kitchen</v>
      </c>
      <c r="J3408">
        <f>INDEX(Products!$E$2:$E$37, MATCH(D3408, Products!$A$2:$A$37, 0))</f>
        <v>140</v>
      </c>
      <c r="K3408" s="9">
        <f t="shared" si="212"/>
        <v>578</v>
      </c>
      <c r="L3408">
        <f t="shared" si="213"/>
        <v>280</v>
      </c>
      <c r="M3408" s="9">
        <f t="shared" si="214"/>
        <v>298</v>
      </c>
      <c r="N3408" t="str">
        <f t="shared" si="215"/>
        <v>Oct</v>
      </c>
    </row>
    <row r="3409" spans="1:14" x14ac:dyDescent="0.3">
      <c r="A3409" s="2" t="s">
        <v>3475</v>
      </c>
      <c r="B3409" s="6">
        <v>45953</v>
      </c>
      <c r="C3409" s="2" t="s">
        <v>31</v>
      </c>
      <c r="D3409" s="2" t="s">
        <v>149</v>
      </c>
      <c r="E3409" s="2">
        <v>1</v>
      </c>
      <c r="F3409" s="7">
        <v>399</v>
      </c>
      <c r="G3409" s="8">
        <v>0.15</v>
      </c>
      <c r="H3409" s="9" t="str">
        <f>INDEX(Products!$B$2:$B$37, MATCH(D3409, Products!$A$2:$A$37, 0))</f>
        <v>Blender Pro 1200W</v>
      </c>
      <c r="I3409" t="str">
        <f>INDEX(Products!$C$2:$C$37, MATCH(D3409, Products!$A$2:$A$37, 0))</f>
        <v>Home &amp; Kitchen</v>
      </c>
      <c r="J3409">
        <f>INDEX(Products!$E$2:$E$37, MATCH(D3409, Products!$A$2:$A$37, 0))</f>
        <v>250</v>
      </c>
      <c r="K3409" s="9">
        <f t="shared" si="212"/>
        <v>339.15</v>
      </c>
      <c r="L3409">
        <f t="shared" si="213"/>
        <v>250</v>
      </c>
      <c r="M3409" s="9">
        <f t="shared" si="214"/>
        <v>89.149999999999977</v>
      </c>
      <c r="N3409" t="str">
        <f t="shared" si="215"/>
        <v>Oct</v>
      </c>
    </row>
    <row r="3410" spans="1:14" x14ac:dyDescent="0.3">
      <c r="A3410" s="2" t="s">
        <v>3476</v>
      </c>
      <c r="B3410" s="6">
        <v>45953</v>
      </c>
      <c r="C3410" s="2" t="s">
        <v>48</v>
      </c>
      <c r="D3410" s="2" t="s">
        <v>65</v>
      </c>
      <c r="E3410" s="2">
        <v>3</v>
      </c>
      <c r="F3410" s="7">
        <v>129</v>
      </c>
      <c r="G3410" s="8">
        <v>0.3</v>
      </c>
      <c r="H3410" s="9" t="str">
        <f>INDEX(Products!$B$2:$B$37, MATCH(D3410, Products!$A$2:$A$37, 0))</f>
        <v>Yoga Mat Premium</v>
      </c>
      <c r="I3410" t="str">
        <f>INDEX(Products!$C$2:$C$37, MATCH(D3410, Products!$A$2:$A$37, 0))</f>
        <v>Sports</v>
      </c>
      <c r="J3410">
        <f>INDEX(Products!$E$2:$E$37, MATCH(D3410, Products!$A$2:$A$37, 0))</f>
        <v>60</v>
      </c>
      <c r="K3410" s="9">
        <f t="shared" si="212"/>
        <v>270.89999999999998</v>
      </c>
      <c r="L3410">
        <f t="shared" si="213"/>
        <v>180</v>
      </c>
      <c r="M3410" s="9">
        <f t="shared" si="214"/>
        <v>90.899999999999977</v>
      </c>
      <c r="N3410" t="str">
        <f t="shared" si="215"/>
        <v>Oct</v>
      </c>
    </row>
    <row r="3411" spans="1:14" x14ac:dyDescent="0.3">
      <c r="A3411" s="2" t="s">
        <v>3477</v>
      </c>
      <c r="B3411" s="6">
        <v>45953</v>
      </c>
      <c r="C3411" s="2" t="s">
        <v>44</v>
      </c>
      <c r="D3411" s="2" t="s">
        <v>87</v>
      </c>
      <c r="E3411" s="2">
        <v>1</v>
      </c>
      <c r="F3411" s="7">
        <v>799</v>
      </c>
      <c r="G3411" s="8">
        <v>0.2</v>
      </c>
      <c r="H3411" s="9" t="str">
        <f>INDEX(Products!$B$2:$B$37, MATCH(D3411, Products!$A$2:$A$37, 0))</f>
        <v>Adjustable Dumbbells</v>
      </c>
      <c r="I3411" t="str">
        <f>INDEX(Products!$C$2:$C$37, MATCH(D3411, Products!$A$2:$A$37, 0))</f>
        <v>Sports</v>
      </c>
      <c r="J3411">
        <f>INDEX(Products!$E$2:$E$37, MATCH(D3411, Products!$A$2:$A$37, 0))</f>
        <v>700</v>
      </c>
      <c r="K3411" s="9">
        <f t="shared" si="212"/>
        <v>639.20000000000005</v>
      </c>
      <c r="L3411">
        <f t="shared" si="213"/>
        <v>700</v>
      </c>
      <c r="M3411" s="9">
        <f t="shared" si="214"/>
        <v>-60.799999999999955</v>
      </c>
      <c r="N3411" t="str">
        <f t="shared" si="215"/>
        <v>Oct</v>
      </c>
    </row>
    <row r="3412" spans="1:14" x14ac:dyDescent="0.3">
      <c r="A3412" s="2" t="s">
        <v>3478</v>
      </c>
      <c r="B3412" s="6">
        <v>45953</v>
      </c>
      <c r="C3412" s="2" t="s">
        <v>41</v>
      </c>
      <c r="D3412" s="2" t="s">
        <v>75</v>
      </c>
      <c r="E3412" s="2">
        <v>1</v>
      </c>
      <c r="F3412" s="7">
        <v>549</v>
      </c>
      <c r="G3412" s="8">
        <v>0.3</v>
      </c>
      <c r="H3412" s="9" t="str">
        <f>INDEX(Products!$B$2:$B$37, MATCH(D3412, Products!$A$2:$A$37, 0))</f>
        <v>Oud Perfume 100ml</v>
      </c>
      <c r="I3412" t="str">
        <f>INDEX(Products!$C$2:$C$37, MATCH(D3412, Products!$A$2:$A$37, 0))</f>
        <v>Beauty</v>
      </c>
      <c r="J3412">
        <f>INDEX(Products!$E$2:$E$37, MATCH(D3412, Products!$A$2:$A$37, 0))</f>
        <v>250</v>
      </c>
      <c r="K3412" s="9">
        <f t="shared" si="212"/>
        <v>384.29999999999995</v>
      </c>
      <c r="L3412">
        <f t="shared" si="213"/>
        <v>250</v>
      </c>
      <c r="M3412" s="9">
        <f t="shared" si="214"/>
        <v>134.29999999999995</v>
      </c>
      <c r="N3412" t="str">
        <f t="shared" si="215"/>
        <v>Oct</v>
      </c>
    </row>
    <row r="3413" spans="1:14" x14ac:dyDescent="0.3">
      <c r="A3413" s="2" t="s">
        <v>3479</v>
      </c>
      <c r="B3413" s="6">
        <v>45953</v>
      </c>
      <c r="C3413" s="2" t="s">
        <v>28</v>
      </c>
      <c r="D3413" s="2" t="s">
        <v>83</v>
      </c>
      <c r="E3413" s="2">
        <v>2</v>
      </c>
      <c r="F3413" s="7">
        <v>229</v>
      </c>
      <c r="G3413" s="8">
        <v>0</v>
      </c>
      <c r="H3413" s="9" t="str">
        <f>INDEX(Products!$B$2:$B$37, MATCH(D3413, Products!$A$2:$A$37, 0))</f>
        <v>Cycling Helmet</v>
      </c>
      <c r="I3413" t="str">
        <f>INDEX(Products!$C$2:$C$37, MATCH(D3413, Products!$A$2:$A$37, 0))</f>
        <v>Sports</v>
      </c>
      <c r="J3413">
        <f>INDEX(Products!$E$2:$E$37, MATCH(D3413, Products!$A$2:$A$37, 0))</f>
        <v>120</v>
      </c>
      <c r="K3413" s="9">
        <f t="shared" si="212"/>
        <v>458</v>
      </c>
      <c r="L3413">
        <f t="shared" si="213"/>
        <v>240</v>
      </c>
      <c r="M3413" s="9">
        <f t="shared" si="214"/>
        <v>218</v>
      </c>
      <c r="N3413" t="str">
        <f t="shared" si="215"/>
        <v>Oct</v>
      </c>
    </row>
    <row r="3414" spans="1:14" x14ac:dyDescent="0.3">
      <c r="A3414" s="2" t="s">
        <v>3480</v>
      </c>
      <c r="B3414" s="6">
        <v>45953</v>
      </c>
      <c r="C3414" s="2" t="s">
        <v>48</v>
      </c>
      <c r="D3414" s="2" t="s">
        <v>49</v>
      </c>
      <c r="E3414" s="2">
        <v>2</v>
      </c>
      <c r="F3414" s="7">
        <v>149</v>
      </c>
      <c r="G3414" s="8">
        <v>0.15</v>
      </c>
      <c r="H3414" s="9" t="str">
        <f>INDEX(Products!$B$2:$B$37, MATCH(D3414, Products!$A$2:$A$37, 0))</f>
        <v>Kids' Sneakers</v>
      </c>
      <c r="I3414" t="str">
        <f>INDEX(Products!$C$2:$C$37, MATCH(D3414, Products!$A$2:$A$37, 0))</f>
        <v>Fashion</v>
      </c>
      <c r="J3414">
        <f>INDEX(Products!$E$2:$E$37, MATCH(D3414, Products!$A$2:$A$37, 0))</f>
        <v>80</v>
      </c>
      <c r="K3414" s="9">
        <f t="shared" si="212"/>
        <v>253.29999999999998</v>
      </c>
      <c r="L3414">
        <f t="shared" si="213"/>
        <v>160</v>
      </c>
      <c r="M3414" s="9">
        <f t="shared" si="214"/>
        <v>93.299999999999983</v>
      </c>
      <c r="N3414" t="str">
        <f t="shared" si="215"/>
        <v>Oct</v>
      </c>
    </row>
    <row r="3415" spans="1:14" x14ac:dyDescent="0.3">
      <c r="A3415" s="2" t="s">
        <v>3481</v>
      </c>
      <c r="B3415" s="6">
        <v>45953</v>
      </c>
      <c r="C3415" s="2" t="s">
        <v>44</v>
      </c>
      <c r="D3415" s="2" t="s">
        <v>46</v>
      </c>
      <c r="E3415" s="2">
        <v>3</v>
      </c>
      <c r="F3415" s="7">
        <v>189</v>
      </c>
      <c r="G3415" s="8">
        <v>0</v>
      </c>
      <c r="H3415" s="9" t="str">
        <f>INDEX(Products!$B$2:$B$37, MATCH(D3415, Products!$A$2:$A$37, 0))</f>
        <v>Makeup Palette</v>
      </c>
      <c r="I3415" t="str">
        <f>INDEX(Products!$C$2:$C$37, MATCH(D3415, Products!$A$2:$A$37, 0))</f>
        <v>Beauty</v>
      </c>
      <c r="J3415">
        <f>INDEX(Products!$E$2:$E$37, MATCH(D3415, Products!$A$2:$A$37, 0))</f>
        <v>85</v>
      </c>
      <c r="K3415" s="9">
        <f t="shared" si="212"/>
        <v>567</v>
      </c>
      <c r="L3415">
        <f t="shared" si="213"/>
        <v>255</v>
      </c>
      <c r="M3415" s="9">
        <f t="shared" si="214"/>
        <v>312</v>
      </c>
      <c r="N3415" t="str">
        <f t="shared" si="215"/>
        <v>Oct</v>
      </c>
    </row>
    <row r="3416" spans="1:14" x14ac:dyDescent="0.3">
      <c r="A3416" s="2" t="s">
        <v>3482</v>
      </c>
      <c r="B3416" s="6">
        <v>45953</v>
      </c>
      <c r="C3416" s="2" t="s">
        <v>31</v>
      </c>
      <c r="D3416" s="2" t="s">
        <v>75</v>
      </c>
      <c r="E3416" s="2">
        <v>1</v>
      </c>
      <c r="F3416" s="7">
        <v>549</v>
      </c>
      <c r="G3416" s="8">
        <v>0</v>
      </c>
      <c r="H3416" s="9" t="str">
        <f>INDEX(Products!$B$2:$B$37, MATCH(D3416, Products!$A$2:$A$37, 0))</f>
        <v>Oud Perfume 100ml</v>
      </c>
      <c r="I3416" t="str">
        <f>INDEX(Products!$C$2:$C$37, MATCH(D3416, Products!$A$2:$A$37, 0))</f>
        <v>Beauty</v>
      </c>
      <c r="J3416">
        <f>INDEX(Products!$E$2:$E$37, MATCH(D3416, Products!$A$2:$A$37, 0))</f>
        <v>250</v>
      </c>
      <c r="K3416" s="9">
        <f t="shared" si="212"/>
        <v>549</v>
      </c>
      <c r="L3416">
        <f t="shared" si="213"/>
        <v>250</v>
      </c>
      <c r="M3416" s="9">
        <f t="shared" si="214"/>
        <v>299</v>
      </c>
      <c r="N3416" t="str">
        <f t="shared" si="215"/>
        <v>Oct</v>
      </c>
    </row>
    <row r="3417" spans="1:14" x14ac:dyDescent="0.3">
      <c r="A3417" s="2" t="s">
        <v>3483</v>
      </c>
      <c r="B3417" s="6">
        <v>45953</v>
      </c>
      <c r="C3417" s="2" t="s">
        <v>48</v>
      </c>
      <c r="D3417" s="2" t="s">
        <v>52</v>
      </c>
      <c r="E3417" s="2">
        <v>1</v>
      </c>
      <c r="F3417" s="7">
        <v>299</v>
      </c>
      <c r="G3417" s="8">
        <v>0.1</v>
      </c>
      <c r="H3417" s="9" t="str">
        <f>INDEX(Products!$B$2:$B$37, MATCH(D3417, Products!$A$2:$A$37, 0))</f>
        <v>Hair Dryer Ionic</v>
      </c>
      <c r="I3417" t="str">
        <f>INDEX(Products!$C$2:$C$37, MATCH(D3417, Products!$A$2:$A$37, 0))</f>
        <v>Beauty</v>
      </c>
      <c r="J3417">
        <f>INDEX(Products!$E$2:$E$37, MATCH(D3417, Products!$A$2:$A$37, 0))</f>
        <v>240</v>
      </c>
      <c r="K3417" s="9">
        <f t="shared" si="212"/>
        <v>269.10000000000002</v>
      </c>
      <c r="L3417">
        <f t="shared" si="213"/>
        <v>240</v>
      </c>
      <c r="M3417" s="9">
        <f t="shared" si="214"/>
        <v>29.100000000000023</v>
      </c>
      <c r="N3417" t="str">
        <f t="shared" si="215"/>
        <v>Oct</v>
      </c>
    </row>
    <row r="3418" spans="1:14" x14ac:dyDescent="0.3">
      <c r="A3418" s="2" t="s">
        <v>3484</v>
      </c>
      <c r="B3418" s="6">
        <v>45953</v>
      </c>
      <c r="C3418" s="2" t="s">
        <v>31</v>
      </c>
      <c r="D3418" s="2" t="s">
        <v>78</v>
      </c>
      <c r="E3418" s="2">
        <v>1</v>
      </c>
      <c r="F3418" s="7">
        <v>499</v>
      </c>
      <c r="G3418" s="8">
        <v>0</v>
      </c>
      <c r="H3418" s="9" t="str">
        <f>INDEX(Products!$B$2:$B$37, MATCH(D3418, Products!$A$2:$A$37, 0))</f>
        <v>Air Fryer 5L</v>
      </c>
      <c r="I3418" t="str">
        <f>INDEX(Products!$C$2:$C$37, MATCH(D3418, Products!$A$2:$A$37, 0))</f>
        <v>Home &amp; Kitchen</v>
      </c>
      <c r="J3418">
        <f>INDEX(Products!$E$2:$E$37, MATCH(D3418, Products!$A$2:$A$37, 0))</f>
        <v>290</v>
      </c>
      <c r="K3418" s="9">
        <f t="shared" si="212"/>
        <v>499</v>
      </c>
      <c r="L3418">
        <f t="shared" si="213"/>
        <v>290</v>
      </c>
      <c r="M3418" s="9">
        <f t="shared" si="214"/>
        <v>209</v>
      </c>
      <c r="N3418" t="str">
        <f t="shared" si="215"/>
        <v>Oct</v>
      </c>
    </row>
    <row r="3419" spans="1:14" x14ac:dyDescent="0.3">
      <c r="A3419" s="2" t="s">
        <v>3485</v>
      </c>
      <c r="B3419" s="6">
        <v>45953</v>
      </c>
      <c r="C3419" s="2" t="s">
        <v>41</v>
      </c>
      <c r="D3419" s="2" t="s">
        <v>68</v>
      </c>
      <c r="E3419" s="2">
        <v>2</v>
      </c>
      <c r="F3419" s="7">
        <v>249</v>
      </c>
      <c r="G3419" s="8">
        <v>0</v>
      </c>
      <c r="H3419" s="9" t="str">
        <f>INDEX(Products!$B$2:$B$37, MATCH(D3419, Products!$A$2:$A$37, 0))</f>
        <v>Bluetooth Speaker Mini</v>
      </c>
      <c r="I3419" t="str">
        <f>INDEX(Products!$C$2:$C$37, MATCH(D3419, Products!$A$2:$A$37, 0))</f>
        <v>Electronics</v>
      </c>
      <c r="J3419">
        <f>INDEX(Products!$E$2:$E$37, MATCH(D3419, Products!$A$2:$A$37, 0))</f>
        <v>150</v>
      </c>
      <c r="K3419" s="9">
        <f t="shared" si="212"/>
        <v>498</v>
      </c>
      <c r="L3419">
        <f t="shared" si="213"/>
        <v>300</v>
      </c>
      <c r="M3419" s="9">
        <f t="shared" si="214"/>
        <v>198</v>
      </c>
      <c r="N3419" t="str">
        <f t="shared" si="215"/>
        <v>Oct</v>
      </c>
    </row>
    <row r="3420" spans="1:14" x14ac:dyDescent="0.3">
      <c r="A3420" s="2" t="s">
        <v>3486</v>
      </c>
      <c r="B3420" s="6">
        <v>45953</v>
      </c>
      <c r="C3420" s="2" t="s">
        <v>41</v>
      </c>
      <c r="D3420" s="2" t="s">
        <v>29</v>
      </c>
      <c r="E3420" s="2">
        <v>2</v>
      </c>
      <c r="F3420" s="7">
        <v>229</v>
      </c>
      <c r="G3420" s="8">
        <v>0.1</v>
      </c>
      <c r="H3420" s="9" t="str">
        <f>INDEX(Products!$B$2:$B$37, MATCH(D3420, Products!$A$2:$A$37, 0))</f>
        <v>Women's Summer Dress</v>
      </c>
      <c r="I3420" t="str">
        <f>INDEX(Products!$C$2:$C$37, MATCH(D3420, Products!$A$2:$A$37, 0))</f>
        <v>Fashion</v>
      </c>
      <c r="J3420">
        <f>INDEX(Products!$E$2:$E$37, MATCH(D3420, Products!$A$2:$A$37, 0))</f>
        <v>120</v>
      </c>
      <c r="K3420" s="9">
        <f t="shared" si="212"/>
        <v>412.2</v>
      </c>
      <c r="L3420">
        <f t="shared" si="213"/>
        <v>240</v>
      </c>
      <c r="M3420" s="9">
        <f t="shared" si="214"/>
        <v>172.2</v>
      </c>
      <c r="N3420" t="str">
        <f t="shared" si="215"/>
        <v>Oct</v>
      </c>
    </row>
    <row r="3421" spans="1:14" x14ac:dyDescent="0.3">
      <c r="A3421" s="2" t="s">
        <v>3487</v>
      </c>
      <c r="B3421" s="6">
        <v>45954</v>
      </c>
      <c r="C3421" s="2" t="s">
        <v>44</v>
      </c>
      <c r="D3421" s="2" t="s">
        <v>58</v>
      </c>
      <c r="E3421" s="2">
        <v>3</v>
      </c>
      <c r="F3421" s="7">
        <v>459</v>
      </c>
      <c r="G3421" s="8">
        <v>0</v>
      </c>
      <c r="H3421" s="9" t="str">
        <f>INDEX(Products!$B$2:$B$37, MATCH(D3421, Products!$A$2:$A$37, 0))</f>
        <v>Women's Abaya Classic</v>
      </c>
      <c r="I3421" t="str">
        <f>INDEX(Products!$C$2:$C$37, MATCH(D3421, Products!$A$2:$A$37, 0))</f>
        <v>Fashion</v>
      </c>
      <c r="J3421">
        <f>INDEX(Products!$E$2:$E$37, MATCH(D3421, Products!$A$2:$A$37, 0))</f>
        <v>190</v>
      </c>
      <c r="K3421" s="9">
        <f t="shared" si="212"/>
        <v>1377</v>
      </c>
      <c r="L3421">
        <f t="shared" si="213"/>
        <v>570</v>
      </c>
      <c r="M3421" s="9">
        <f t="shared" si="214"/>
        <v>807</v>
      </c>
      <c r="N3421" t="str">
        <f t="shared" si="215"/>
        <v>Oct</v>
      </c>
    </row>
    <row r="3422" spans="1:14" x14ac:dyDescent="0.3">
      <c r="A3422" s="2" t="s">
        <v>3488</v>
      </c>
      <c r="B3422" s="6">
        <v>45954</v>
      </c>
      <c r="C3422" s="2" t="s">
        <v>44</v>
      </c>
      <c r="D3422" s="2" t="s">
        <v>149</v>
      </c>
      <c r="E3422" s="2">
        <v>1</v>
      </c>
      <c r="F3422" s="7">
        <v>399</v>
      </c>
      <c r="G3422" s="8">
        <v>0</v>
      </c>
      <c r="H3422" s="9" t="str">
        <f>INDEX(Products!$B$2:$B$37, MATCH(D3422, Products!$A$2:$A$37, 0))</f>
        <v>Blender Pro 1200W</v>
      </c>
      <c r="I3422" t="str">
        <f>INDEX(Products!$C$2:$C$37, MATCH(D3422, Products!$A$2:$A$37, 0))</f>
        <v>Home &amp; Kitchen</v>
      </c>
      <c r="J3422">
        <f>INDEX(Products!$E$2:$E$37, MATCH(D3422, Products!$A$2:$A$37, 0))</f>
        <v>250</v>
      </c>
      <c r="K3422" s="9">
        <f t="shared" si="212"/>
        <v>399</v>
      </c>
      <c r="L3422">
        <f t="shared" si="213"/>
        <v>250</v>
      </c>
      <c r="M3422" s="9">
        <f t="shared" si="214"/>
        <v>149</v>
      </c>
      <c r="N3422" t="str">
        <f t="shared" si="215"/>
        <v>Oct</v>
      </c>
    </row>
    <row r="3423" spans="1:14" x14ac:dyDescent="0.3">
      <c r="A3423" s="2" t="s">
        <v>3489</v>
      </c>
      <c r="B3423" s="6">
        <v>45954</v>
      </c>
      <c r="C3423" s="2" t="s">
        <v>41</v>
      </c>
      <c r="D3423" s="2" t="s">
        <v>58</v>
      </c>
      <c r="E3423" s="2">
        <v>3</v>
      </c>
      <c r="F3423" s="7">
        <v>459</v>
      </c>
      <c r="G3423" s="8">
        <v>0</v>
      </c>
      <c r="H3423" s="9" t="str">
        <f>INDEX(Products!$B$2:$B$37, MATCH(D3423, Products!$A$2:$A$37, 0))</f>
        <v>Women's Abaya Classic</v>
      </c>
      <c r="I3423" t="str">
        <f>INDEX(Products!$C$2:$C$37, MATCH(D3423, Products!$A$2:$A$37, 0))</f>
        <v>Fashion</v>
      </c>
      <c r="J3423">
        <f>INDEX(Products!$E$2:$E$37, MATCH(D3423, Products!$A$2:$A$37, 0))</f>
        <v>190</v>
      </c>
      <c r="K3423" s="9">
        <f t="shared" si="212"/>
        <v>1377</v>
      </c>
      <c r="L3423">
        <f t="shared" si="213"/>
        <v>570</v>
      </c>
      <c r="M3423" s="9">
        <f t="shared" si="214"/>
        <v>807</v>
      </c>
      <c r="N3423" t="str">
        <f t="shared" si="215"/>
        <v>Oct</v>
      </c>
    </row>
    <row r="3424" spans="1:14" x14ac:dyDescent="0.3">
      <c r="A3424" s="2" t="s">
        <v>3490</v>
      </c>
      <c r="B3424" s="6">
        <v>45954</v>
      </c>
      <c r="C3424" s="2" t="s">
        <v>44</v>
      </c>
      <c r="D3424" s="2" t="s">
        <v>194</v>
      </c>
      <c r="E3424" s="2">
        <v>1</v>
      </c>
      <c r="F3424" s="7">
        <v>699</v>
      </c>
      <c r="G3424" s="8">
        <v>0.15</v>
      </c>
      <c r="H3424" s="9" t="str">
        <f>INDEX(Products!$B$2:$B$37, MATCH(D3424, Products!$A$2:$A$37, 0))</f>
        <v>Leather Handbag</v>
      </c>
      <c r="I3424" t="str">
        <f>INDEX(Products!$C$2:$C$37, MATCH(D3424, Products!$A$2:$A$37, 0))</f>
        <v>Fashion</v>
      </c>
      <c r="J3424">
        <f>INDEX(Products!$E$2:$E$37, MATCH(D3424, Products!$A$2:$A$37, 0))</f>
        <v>380</v>
      </c>
      <c r="K3424" s="9">
        <f t="shared" si="212"/>
        <v>594.15</v>
      </c>
      <c r="L3424">
        <f t="shared" si="213"/>
        <v>380</v>
      </c>
      <c r="M3424" s="9">
        <f t="shared" si="214"/>
        <v>214.14999999999998</v>
      </c>
      <c r="N3424" t="str">
        <f t="shared" si="215"/>
        <v>Oct</v>
      </c>
    </row>
    <row r="3425" spans="1:14" x14ac:dyDescent="0.3">
      <c r="A3425" s="2" t="s">
        <v>3491</v>
      </c>
      <c r="B3425" s="6">
        <v>45954</v>
      </c>
      <c r="C3425" s="2" t="s">
        <v>44</v>
      </c>
      <c r="D3425" s="2" t="s">
        <v>87</v>
      </c>
      <c r="E3425" s="2">
        <v>1</v>
      </c>
      <c r="F3425" s="7">
        <v>799</v>
      </c>
      <c r="G3425" s="8">
        <v>0.1</v>
      </c>
      <c r="H3425" s="9" t="str">
        <f>INDEX(Products!$B$2:$B$37, MATCH(D3425, Products!$A$2:$A$37, 0))</f>
        <v>Adjustable Dumbbells</v>
      </c>
      <c r="I3425" t="str">
        <f>INDEX(Products!$C$2:$C$37, MATCH(D3425, Products!$A$2:$A$37, 0))</f>
        <v>Sports</v>
      </c>
      <c r="J3425">
        <f>INDEX(Products!$E$2:$E$37, MATCH(D3425, Products!$A$2:$A$37, 0))</f>
        <v>700</v>
      </c>
      <c r="K3425" s="9">
        <f t="shared" si="212"/>
        <v>719.1</v>
      </c>
      <c r="L3425">
        <f t="shared" si="213"/>
        <v>700</v>
      </c>
      <c r="M3425" s="9">
        <f t="shared" si="214"/>
        <v>19.100000000000023</v>
      </c>
      <c r="N3425" t="str">
        <f t="shared" si="215"/>
        <v>Oct</v>
      </c>
    </row>
    <row r="3426" spans="1:14" x14ac:dyDescent="0.3">
      <c r="A3426" s="2" t="s">
        <v>3492</v>
      </c>
      <c r="B3426" s="6">
        <v>45954</v>
      </c>
      <c r="C3426" s="2" t="s">
        <v>28</v>
      </c>
      <c r="D3426" s="2" t="s">
        <v>49</v>
      </c>
      <c r="E3426" s="2">
        <v>3</v>
      </c>
      <c r="F3426" s="7">
        <v>149</v>
      </c>
      <c r="G3426" s="8">
        <v>0</v>
      </c>
      <c r="H3426" s="9" t="str">
        <f>INDEX(Products!$B$2:$B$37, MATCH(D3426, Products!$A$2:$A$37, 0))</f>
        <v>Kids' Sneakers</v>
      </c>
      <c r="I3426" t="str">
        <f>INDEX(Products!$C$2:$C$37, MATCH(D3426, Products!$A$2:$A$37, 0))</f>
        <v>Fashion</v>
      </c>
      <c r="J3426">
        <f>INDEX(Products!$E$2:$E$37, MATCH(D3426, Products!$A$2:$A$37, 0))</f>
        <v>80</v>
      </c>
      <c r="K3426" s="9">
        <f t="shared" si="212"/>
        <v>447</v>
      </c>
      <c r="L3426">
        <f t="shared" si="213"/>
        <v>240</v>
      </c>
      <c r="M3426" s="9">
        <f t="shared" si="214"/>
        <v>207</v>
      </c>
      <c r="N3426" t="str">
        <f t="shared" si="215"/>
        <v>Oct</v>
      </c>
    </row>
    <row r="3427" spans="1:14" x14ac:dyDescent="0.3">
      <c r="A3427" s="2" t="s">
        <v>3493</v>
      </c>
      <c r="B3427" s="6">
        <v>45954</v>
      </c>
      <c r="C3427" s="2" t="s">
        <v>41</v>
      </c>
      <c r="D3427" s="2" t="s">
        <v>49</v>
      </c>
      <c r="E3427" s="2">
        <v>1</v>
      </c>
      <c r="F3427" s="7">
        <v>149</v>
      </c>
      <c r="G3427" s="8">
        <v>0.3</v>
      </c>
      <c r="H3427" s="9" t="str">
        <f>INDEX(Products!$B$2:$B$37, MATCH(D3427, Products!$A$2:$A$37, 0))</f>
        <v>Kids' Sneakers</v>
      </c>
      <c r="I3427" t="str">
        <f>INDEX(Products!$C$2:$C$37, MATCH(D3427, Products!$A$2:$A$37, 0))</f>
        <v>Fashion</v>
      </c>
      <c r="J3427">
        <f>INDEX(Products!$E$2:$E$37, MATCH(D3427, Products!$A$2:$A$37, 0))</f>
        <v>80</v>
      </c>
      <c r="K3427" s="9">
        <f t="shared" si="212"/>
        <v>104.3</v>
      </c>
      <c r="L3427">
        <f t="shared" si="213"/>
        <v>80</v>
      </c>
      <c r="M3427" s="9">
        <f t="shared" si="214"/>
        <v>24.299999999999997</v>
      </c>
      <c r="N3427" t="str">
        <f t="shared" si="215"/>
        <v>Oct</v>
      </c>
    </row>
    <row r="3428" spans="1:14" x14ac:dyDescent="0.3">
      <c r="A3428" s="2" t="s">
        <v>3494</v>
      </c>
      <c r="B3428" s="6">
        <v>45954</v>
      </c>
      <c r="C3428" s="2" t="s">
        <v>41</v>
      </c>
      <c r="D3428" s="2" t="s">
        <v>35</v>
      </c>
      <c r="E3428" s="2">
        <v>2</v>
      </c>
      <c r="F3428" s="7">
        <v>179</v>
      </c>
      <c r="G3428" s="8">
        <v>0.15</v>
      </c>
      <c r="H3428" s="9" t="str">
        <f>INDEX(Products!$B$2:$B$37, MATCH(D3428, Products!$A$2:$A$37, 0))</f>
        <v>Men's Linen Shirt</v>
      </c>
      <c r="I3428" t="str">
        <f>INDEX(Products!$C$2:$C$37, MATCH(D3428, Products!$A$2:$A$37, 0))</f>
        <v>Fashion</v>
      </c>
      <c r="J3428">
        <f>INDEX(Products!$E$2:$E$37, MATCH(D3428, Products!$A$2:$A$37, 0))</f>
        <v>70</v>
      </c>
      <c r="K3428" s="9">
        <f t="shared" si="212"/>
        <v>304.3</v>
      </c>
      <c r="L3428">
        <f t="shared" si="213"/>
        <v>140</v>
      </c>
      <c r="M3428" s="9">
        <f t="shared" si="214"/>
        <v>164.3</v>
      </c>
      <c r="N3428" t="str">
        <f t="shared" si="215"/>
        <v>Oct</v>
      </c>
    </row>
    <row r="3429" spans="1:14" x14ac:dyDescent="0.3">
      <c r="A3429" s="2" t="s">
        <v>3495</v>
      </c>
      <c r="B3429" s="6">
        <v>45954</v>
      </c>
      <c r="C3429" s="2" t="s">
        <v>48</v>
      </c>
      <c r="D3429" s="2" t="s">
        <v>163</v>
      </c>
      <c r="E3429" s="2">
        <v>1</v>
      </c>
      <c r="F3429" s="7">
        <v>2499</v>
      </c>
      <c r="G3429" s="8">
        <v>0.2</v>
      </c>
      <c r="H3429" s="9" t="str">
        <f>INDEX(Products!$B$2:$B$37, MATCH(D3429, Products!$A$2:$A$37, 0))</f>
        <v>Treadmill Compact</v>
      </c>
      <c r="I3429" t="str">
        <f>INDEX(Products!$C$2:$C$37, MATCH(D3429, Products!$A$2:$A$37, 0))</f>
        <v>Sports</v>
      </c>
      <c r="J3429">
        <f>INDEX(Products!$E$2:$E$37, MATCH(D3429, Products!$A$2:$A$37, 0))</f>
        <v>2150</v>
      </c>
      <c r="K3429" s="9">
        <f t="shared" si="212"/>
        <v>1999.2</v>
      </c>
      <c r="L3429">
        <f t="shared" si="213"/>
        <v>2150</v>
      </c>
      <c r="M3429" s="9">
        <f t="shared" si="214"/>
        <v>-150.79999999999995</v>
      </c>
      <c r="N3429" t="str">
        <f t="shared" si="215"/>
        <v>Oct</v>
      </c>
    </row>
    <row r="3430" spans="1:14" x14ac:dyDescent="0.3">
      <c r="A3430" s="2" t="s">
        <v>3496</v>
      </c>
      <c r="B3430" s="6">
        <v>45954</v>
      </c>
      <c r="C3430" s="2" t="s">
        <v>48</v>
      </c>
      <c r="D3430" s="2" t="s">
        <v>99</v>
      </c>
      <c r="E3430" s="2">
        <v>2</v>
      </c>
      <c r="F3430" s="7">
        <v>459</v>
      </c>
      <c r="G3430" s="8">
        <v>0</v>
      </c>
      <c r="H3430" s="9" t="str">
        <f>INDEX(Products!$B$2:$B$37, MATCH(D3430, Products!$A$2:$A$37, 0))</f>
        <v>Gaming Headset X</v>
      </c>
      <c r="I3430" t="str">
        <f>INDEX(Products!$C$2:$C$37, MATCH(D3430, Products!$A$2:$A$37, 0))</f>
        <v>Electronics</v>
      </c>
      <c r="J3430">
        <f>INDEX(Products!$E$2:$E$37, MATCH(D3430, Products!$A$2:$A$37, 0))</f>
        <v>300</v>
      </c>
      <c r="K3430" s="9">
        <f t="shared" si="212"/>
        <v>918</v>
      </c>
      <c r="L3430">
        <f t="shared" si="213"/>
        <v>600</v>
      </c>
      <c r="M3430" s="9">
        <f t="shared" si="214"/>
        <v>318</v>
      </c>
      <c r="N3430" t="str">
        <f t="shared" si="215"/>
        <v>Oct</v>
      </c>
    </row>
    <row r="3431" spans="1:14" x14ac:dyDescent="0.3">
      <c r="A3431" s="2" t="s">
        <v>3497</v>
      </c>
      <c r="B3431" s="6">
        <v>45955</v>
      </c>
      <c r="C3431" s="2" t="s">
        <v>28</v>
      </c>
      <c r="D3431" s="2" t="s">
        <v>37</v>
      </c>
      <c r="E3431" s="2">
        <v>1</v>
      </c>
      <c r="F3431" s="7">
        <v>249</v>
      </c>
      <c r="G3431" s="8">
        <v>0</v>
      </c>
      <c r="H3431" s="9" t="str">
        <f>INDEX(Products!$B$2:$B$37, MATCH(D3431, Products!$A$2:$A$37, 0))</f>
        <v>Sunglasses Polarised</v>
      </c>
      <c r="I3431" t="str">
        <f>INDEX(Products!$C$2:$C$37, MATCH(D3431, Products!$A$2:$A$37, 0))</f>
        <v>Fashion</v>
      </c>
      <c r="J3431">
        <f>INDEX(Products!$E$2:$E$37, MATCH(D3431, Products!$A$2:$A$37, 0))</f>
        <v>95</v>
      </c>
      <c r="K3431" s="9">
        <f t="shared" si="212"/>
        <v>249</v>
      </c>
      <c r="L3431">
        <f t="shared" si="213"/>
        <v>95</v>
      </c>
      <c r="M3431" s="9">
        <f t="shared" si="214"/>
        <v>154</v>
      </c>
      <c r="N3431" t="str">
        <f t="shared" si="215"/>
        <v>Oct</v>
      </c>
    </row>
    <row r="3432" spans="1:14" x14ac:dyDescent="0.3">
      <c r="A3432" s="2" t="s">
        <v>3498</v>
      </c>
      <c r="B3432" s="6">
        <v>45955</v>
      </c>
      <c r="C3432" s="2" t="s">
        <v>31</v>
      </c>
      <c r="D3432" s="2" t="s">
        <v>95</v>
      </c>
      <c r="E3432" s="2">
        <v>1</v>
      </c>
      <c r="F3432" s="7">
        <v>259</v>
      </c>
      <c r="G3432" s="8">
        <v>0</v>
      </c>
      <c r="H3432" s="9" t="str">
        <f>INDEX(Products!$B$2:$B$37, MATCH(D3432, Products!$A$2:$A$37, 0))</f>
        <v>Bed Linen Set (King)</v>
      </c>
      <c r="I3432" t="str">
        <f>INDEX(Products!$C$2:$C$37, MATCH(D3432, Products!$A$2:$A$37, 0))</f>
        <v>Home &amp; Kitchen</v>
      </c>
      <c r="J3432">
        <f>INDEX(Products!$E$2:$E$37, MATCH(D3432, Products!$A$2:$A$37, 0))</f>
        <v>115</v>
      </c>
      <c r="K3432" s="9">
        <f t="shared" si="212"/>
        <v>259</v>
      </c>
      <c r="L3432">
        <f t="shared" si="213"/>
        <v>115</v>
      </c>
      <c r="M3432" s="9">
        <f t="shared" si="214"/>
        <v>144</v>
      </c>
      <c r="N3432" t="str">
        <f t="shared" si="215"/>
        <v>Oct</v>
      </c>
    </row>
    <row r="3433" spans="1:14" x14ac:dyDescent="0.3">
      <c r="A3433" s="2" t="s">
        <v>3499</v>
      </c>
      <c r="B3433" s="6">
        <v>45955</v>
      </c>
      <c r="C3433" s="2" t="s">
        <v>44</v>
      </c>
      <c r="D3433" s="2" t="s">
        <v>39</v>
      </c>
      <c r="E3433" s="2">
        <v>1</v>
      </c>
      <c r="F3433" s="7">
        <v>199</v>
      </c>
      <c r="G3433" s="8">
        <v>0</v>
      </c>
      <c r="H3433" s="9" t="str">
        <f>INDEX(Products!$B$2:$B$37, MATCH(D3433, Products!$A$2:$A$37, 0))</f>
        <v>Bakhoor Gift Set</v>
      </c>
      <c r="I3433" t="str">
        <f>INDEX(Products!$C$2:$C$37, MATCH(D3433, Products!$A$2:$A$37, 0))</f>
        <v>Beauty</v>
      </c>
      <c r="J3433">
        <f>INDEX(Products!$E$2:$E$37, MATCH(D3433, Products!$A$2:$A$37, 0))</f>
        <v>90</v>
      </c>
      <c r="K3433" s="9">
        <f t="shared" si="212"/>
        <v>199</v>
      </c>
      <c r="L3433">
        <f t="shared" si="213"/>
        <v>90</v>
      </c>
      <c r="M3433" s="9">
        <f t="shared" si="214"/>
        <v>109</v>
      </c>
      <c r="N3433" t="str">
        <f t="shared" si="215"/>
        <v>Oct</v>
      </c>
    </row>
    <row r="3434" spans="1:14" x14ac:dyDescent="0.3">
      <c r="A3434" s="2" t="s">
        <v>3500</v>
      </c>
      <c r="B3434" s="6">
        <v>45955</v>
      </c>
      <c r="C3434" s="2" t="s">
        <v>44</v>
      </c>
      <c r="D3434" s="2" t="s">
        <v>83</v>
      </c>
      <c r="E3434" s="2">
        <v>1</v>
      </c>
      <c r="F3434" s="7">
        <v>229</v>
      </c>
      <c r="G3434" s="8">
        <v>0</v>
      </c>
      <c r="H3434" s="9" t="str">
        <f>INDEX(Products!$B$2:$B$37, MATCH(D3434, Products!$A$2:$A$37, 0))</f>
        <v>Cycling Helmet</v>
      </c>
      <c r="I3434" t="str">
        <f>INDEX(Products!$C$2:$C$37, MATCH(D3434, Products!$A$2:$A$37, 0))</f>
        <v>Sports</v>
      </c>
      <c r="J3434">
        <f>INDEX(Products!$E$2:$E$37, MATCH(D3434, Products!$A$2:$A$37, 0))</f>
        <v>120</v>
      </c>
      <c r="K3434" s="9">
        <f t="shared" si="212"/>
        <v>229</v>
      </c>
      <c r="L3434">
        <f t="shared" si="213"/>
        <v>120</v>
      </c>
      <c r="M3434" s="9">
        <f t="shared" si="214"/>
        <v>109</v>
      </c>
      <c r="N3434" t="str">
        <f t="shared" si="215"/>
        <v>Oct</v>
      </c>
    </row>
    <row r="3435" spans="1:14" x14ac:dyDescent="0.3">
      <c r="A3435" s="2" t="s">
        <v>3501</v>
      </c>
      <c r="B3435" s="6">
        <v>45955</v>
      </c>
      <c r="C3435" s="2" t="s">
        <v>31</v>
      </c>
      <c r="D3435" s="2" t="s">
        <v>103</v>
      </c>
      <c r="E3435" s="2">
        <v>1</v>
      </c>
      <c r="F3435" s="7">
        <v>89</v>
      </c>
      <c r="G3435" s="8">
        <v>0.05</v>
      </c>
      <c r="H3435" s="9" t="str">
        <f>INDEX(Products!$B$2:$B$37, MATCH(D3435, Products!$A$2:$A$37, 0))</f>
        <v>Sunscreen SPF50</v>
      </c>
      <c r="I3435" t="str">
        <f>INDEX(Products!$C$2:$C$37, MATCH(D3435, Products!$A$2:$A$37, 0))</f>
        <v>Beauty</v>
      </c>
      <c r="J3435">
        <f>INDEX(Products!$E$2:$E$37, MATCH(D3435, Products!$A$2:$A$37, 0))</f>
        <v>40</v>
      </c>
      <c r="K3435" s="9">
        <f t="shared" si="212"/>
        <v>84.55</v>
      </c>
      <c r="L3435">
        <f t="shared" si="213"/>
        <v>40</v>
      </c>
      <c r="M3435" s="9">
        <f t="shared" si="214"/>
        <v>44.55</v>
      </c>
      <c r="N3435" t="str">
        <f t="shared" si="215"/>
        <v>Oct</v>
      </c>
    </row>
    <row r="3436" spans="1:14" x14ac:dyDescent="0.3">
      <c r="A3436" s="2" t="s">
        <v>3502</v>
      </c>
      <c r="B3436" s="6">
        <v>45955</v>
      </c>
      <c r="C3436" s="2" t="s">
        <v>44</v>
      </c>
      <c r="D3436" s="2" t="s">
        <v>56</v>
      </c>
      <c r="E3436" s="2">
        <v>2</v>
      </c>
      <c r="F3436" s="7">
        <v>289</v>
      </c>
      <c r="G3436" s="8">
        <v>0.05</v>
      </c>
      <c r="H3436" s="9" t="str">
        <f>INDEX(Products!$B$2:$B$37, MATCH(D3436, Products!$A$2:$A$37, 0))</f>
        <v>Ceramic Dinner Set</v>
      </c>
      <c r="I3436" t="str">
        <f>INDEX(Products!$C$2:$C$37, MATCH(D3436, Products!$A$2:$A$37, 0))</f>
        <v>Home &amp; Kitchen</v>
      </c>
      <c r="J3436">
        <f>INDEX(Products!$E$2:$E$37, MATCH(D3436, Products!$A$2:$A$37, 0))</f>
        <v>140</v>
      </c>
      <c r="K3436" s="9">
        <f t="shared" si="212"/>
        <v>549.1</v>
      </c>
      <c r="L3436">
        <f t="shared" si="213"/>
        <v>280</v>
      </c>
      <c r="M3436" s="9">
        <f t="shared" si="214"/>
        <v>269.10000000000002</v>
      </c>
      <c r="N3436" t="str">
        <f t="shared" si="215"/>
        <v>Oct</v>
      </c>
    </row>
    <row r="3437" spans="1:14" x14ac:dyDescent="0.3">
      <c r="A3437" s="2" t="s">
        <v>3503</v>
      </c>
      <c r="B3437" s="6">
        <v>45955</v>
      </c>
      <c r="C3437" s="2" t="s">
        <v>31</v>
      </c>
      <c r="D3437" s="2" t="s">
        <v>49</v>
      </c>
      <c r="E3437" s="2">
        <v>2</v>
      </c>
      <c r="F3437" s="7">
        <v>149</v>
      </c>
      <c r="G3437" s="8">
        <v>0.2</v>
      </c>
      <c r="H3437" s="9" t="str">
        <f>INDEX(Products!$B$2:$B$37, MATCH(D3437, Products!$A$2:$A$37, 0))</f>
        <v>Kids' Sneakers</v>
      </c>
      <c r="I3437" t="str">
        <f>INDEX(Products!$C$2:$C$37, MATCH(D3437, Products!$A$2:$A$37, 0))</f>
        <v>Fashion</v>
      </c>
      <c r="J3437">
        <f>INDEX(Products!$E$2:$E$37, MATCH(D3437, Products!$A$2:$A$37, 0))</f>
        <v>80</v>
      </c>
      <c r="K3437" s="9">
        <f t="shared" si="212"/>
        <v>238.4</v>
      </c>
      <c r="L3437">
        <f t="shared" si="213"/>
        <v>160</v>
      </c>
      <c r="M3437" s="9">
        <f t="shared" si="214"/>
        <v>78.400000000000006</v>
      </c>
      <c r="N3437" t="str">
        <f t="shared" si="215"/>
        <v>Oct</v>
      </c>
    </row>
    <row r="3438" spans="1:14" x14ac:dyDescent="0.3">
      <c r="A3438" s="2" t="s">
        <v>3504</v>
      </c>
      <c r="B3438" s="6">
        <v>45955</v>
      </c>
      <c r="C3438" s="2" t="s">
        <v>48</v>
      </c>
      <c r="D3438" s="2" t="s">
        <v>42</v>
      </c>
      <c r="E3438" s="2">
        <v>1</v>
      </c>
      <c r="F3438" s="7">
        <v>399</v>
      </c>
      <c r="G3438" s="8">
        <v>0.05</v>
      </c>
      <c r="H3438" s="9" t="str">
        <f>INDEX(Products!$B$2:$B$37, MATCH(D3438, Products!$A$2:$A$37, 0))</f>
        <v>Wireless Earbuds Pro</v>
      </c>
      <c r="I3438" t="str">
        <f>INDEX(Products!$C$2:$C$37, MATCH(D3438, Products!$A$2:$A$37, 0))</f>
        <v>Electronics</v>
      </c>
      <c r="J3438">
        <f>INDEX(Products!$E$2:$E$37, MATCH(D3438, Products!$A$2:$A$37, 0))</f>
        <v>230</v>
      </c>
      <c r="K3438" s="9">
        <f t="shared" si="212"/>
        <v>379.04999999999995</v>
      </c>
      <c r="L3438">
        <f t="shared" si="213"/>
        <v>230</v>
      </c>
      <c r="M3438" s="9">
        <f t="shared" si="214"/>
        <v>149.04999999999995</v>
      </c>
      <c r="N3438" t="str">
        <f t="shared" si="215"/>
        <v>Oct</v>
      </c>
    </row>
    <row r="3439" spans="1:14" x14ac:dyDescent="0.3">
      <c r="A3439" s="2" t="s">
        <v>3505</v>
      </c>
      <c r="B3439" s="6">
        <v>45955</v>
      </c>
      <c r="C3439" s="2" t="s">
        <v>28</v>
      </c>
      <c r="D3439" s="2" t="s">
        <v>89</v>
      </c>
      <c r="E3439" s="2">
        <v>1</v>
      </c>
      <c r="F3439" s="7">
        <v>399</v>
      </c>
      <c r="G3439" s="8">
        <v>0.05</v>
      </c>
      <c r="H3439" s="9" t="str">
        <f>INDEX(Products!$B$2:$B$37, MATCH(D3439, Products!$A$2:$A$37, 0))</f>
        <v>Men's Kandura Premium</v>
      </c>
      <c r="I3439" t="str">
        <f>INDEX(Products!$C$2:$C$37, MATCH(D3439, Products!$A$2:$A$37, 0))</f>
        <v>Fashion</v>
      </c>
      <c r="J3439">
        <f>INDEX(Products!$E$2:$E$37, MATCH(D3439, Products!$A$2:$A$37, 0))</f>
        <v>210</v>
      </c>
      <c r="K3439" s="9">
        <f t="shared" si="212"/>
        <v>379.04999999999995</v>
      </c>
      <c r="L3439">
        <f t="shared" si="213"/>
        <v>210</v>
      </c>
      <c r="M3439" s="9">
        <f t="shared" si="214"/>
        <v>169.04999999999995</v>
      </c>
      <c r="N3439" t="str">
        <f t="shared" si="215"/>
        <v>Oct</v>
      </c>
    </row>
    <row r="3440" spans="1:14" x14ac:dyDescent="0.3">
      <c r="A3440" s="2" t="s">
        <v>3506</v>
      </c>
      <c r="B3440" s="6">
        <v>45956</v>
      </c>
      <c r="C3440" s="2" t="s">
        <v>31</v>
      </c>
      <c r="D3440" s="2" t="s">
        <v>131</v>
      </c>
      <c r="E3440" s="2">
        <v>1</v>
      </c>
      <c r="F3440" s="7">
        <v>899</v>
      </c>
      <c r="G3440" s="8">
        <v>0.1</v>
      </c>
      <c r="H3440" s="9" t="str">
        <f>INDEX(Products!$B$2:$B$37, MATCH(D3440, Products!$A$2:$A$37, 0))</f>
        <v>4K Action Camera</v>
      </c>
      <c r="I3440" t="str">
        <f>INDEX(Products!$C$2:$C$37, MATCH(D3440, Products!$A$2:$A$37, 0))</f>
        <v>Electronics</v>
      </c>
      <c r="J3440">
        <f>INDEX(Products!$E$2:$E$37, MATCH(D3440, Products!$A$2:$A$37, 0))</f>
        <v>610</v>
      </c>
      <c r="K3440" s="9">
        <f t="shared" si="212"/>
        <v>809.1</v>
      </c>
      <c r="L3440">
        <f t="shared" si="213"/>
        <v>610</v>
      </c>
      <c r="M3440" s="9">
        <f t="shared" si="214"/>
        <v>199.10000000000002</v>
      </c>
      <c r="N3440" t="str">
        <f t="shared" si="215"/>
        <v>Oct</v>
      </c>
    </row>
    <row r="3441" spans="1:14" x14ac:dyDescent="0.3">
      <c r="A3441" s="2" t="s">
        <v>3507</v>
      </c>
      <c r="B3441" s="6">
        <v>45956</v>
      </c>
      <c r="C3441" s="2" t="s">
        <v>28</v>
      </c>
      <c r="D3441" s="2" t="s">
        <v>131</v>
      </c>
      <c r="E3441" s="2">
        <v>1</v>
      </c>
      <c r="F3441" s="7">
        <v>899</v>
      </c>
      <c r="G3441" s="8">
        <v>0.05</v>
      </c>
      <c r="H3441" s="9" t="str">
        <f>INDEX(Products!$B$2:$B$37, MATCH(D3441, Products!$A$2:$A$37, 0))</f>
        <v>4K Action Camera</v>
      </c>
      <c r="I3441" t="str">
        <f>INDEX(Products!$C$2:$C$37, MATCH(D3441, Products!$A$2:$A$37, 0))</f>
        <v>Electronics</v>
      </c>
      <c r="J3441">
        <f>INDEX(Products!$E$2:$E$37, MATCH(D3441, Products!$A$2:$A$37, 0))</f>
        <v>610</v>
      </c>
      <c r="K3441" s="9">
        <f t="shared" si="212"/>
        <v>854.05</v>
      </c>
      <c r="L3441">
        <f t="shared" si="213"/>
        <v>610</v>
      </c>
      <c r="M3441" s="9">
        <f t="shared" si="214"/>
        <v>244.04999999999995</v>
      </c>
      <c r="N3441" t="str">
        <f t="shared" si="215"/>
        <v>Oct</v>
      </c>
    </row>
    <row r="3442" spans="1:14" x14ac:dyDescent="0.3">
      <c r="A3442" s="2" t="s">
        <v>3508</v>
      </c>
      <c r="B3442" s="6">
        <v>45956</v>
      </c>
      <c r="C3442" s="2" t="s">
        <v>31</v>
      </c>
      <c r="D3442" s="2" t="s">
        <v>131</v>
      </c>
      <c r="E3442" s="2">
        <v>3</v>
      </c>
      <c r="F3442" s="7">
        <v>899</v>
      </c>
      <c r="G3442" s="8">
        <v>0.1</v>
      </c>
      <c r="H3442" s="9" t="str">
        <f>INDEX(Products!$B$2:$B$37, MATCH(D3442, Products!$A$2:$A$37, 0))</f>
        <v>4K Action Camera</v>
      </c>
      <c r="I3442" t="str">
        <f>INDEX(Products!$C$2:$C$37, MATCH(D3442, Products!$A$2:$A$37, 0))</f>
        <v>Electronics</v>
      </c>
      <c r="J3442">
        <f>INDEX(Products!$E$2:$E$37, MATCH(D3442, Products!$A$2:$A$37, 0))</f>
        <v>610</v>
      </c>
      <c r="K3442" s="9">
        <f t="shared" si="212"/>
        <v>2427.3000000000002</v>
      </c>
      <c r="L3442">
        <f t="shared" si="213"/>
        <v>1830</v>
      </c>
      <c r="M3442" s="9">
        <f t="shared" si="214"/>
        <v>597.30000000000018</v>
      </c>
      <c r="N3442" t="str">
        <f t="shared" si="215"/>
        <v>Oct</v>
      </c>
    </row>
    <row r="3443" spans="1:14" x14ac:dyDescent="0.3">
      <c r="A3443" s="2" t="s">
        <v>3509</v>
      </c>
      <c r="B3443" s="6">
        <v>45956</v>
      </c>
      <c r="C3443" s="2" t="s">
        <v>41</v>
      </c>
      <c r="D3443" s="2" t="s">
        <v>83</v>
      </c>
      <c r="E3443" s="2">
        <v>3</v>
      </c>
      <c r="F3443" s="7">
        <v>229</v>
      </c>
      <c r="G3443" s="8">
        <v>0.15</v>
      </c>
      <c r="H3443" s="9" t="str">
        <f>INDEX(Products!$B$2:$B$37, MATCH(D3443, Products!$A$2:$A$37, 0))</f>
        <v>Cycling Helmet</v>
      </c>
      <c r="I3443" t="str">
        <f>INDEX(Products!$C$2:$C$37, MATCH(D3443, Products!$A$2:$A$37, 0))</f>
        <v>Sports</v>
      </c>
      <c r="J3443">
        <f>INDEX(Products!$E$2:$E$37, MATCH(D3443, Products!$A$2:$A$37, 0))</f>
        <v>120</v>
      </c>
      <c r="K3443" s="9">
        <f t="shared" si="212"/>
        <v>583.94999999999993</v>
      </c>
      <c r="L3443">
        <f t="shared" si="213"/>
        <v>360</v>
      </c>
      <c r="M3443" s="9">
        <f t="shared" si="214"/>
        <v>223.94999999999993</v>
      </c>
      <c r="N3443" t="str">
        <f t="shared" si="215"/>
        <v>Oct</v>
      </c>
    </row>
    <row r="3444" spans="1:14" x14ac:dyDescent="0.3">
      <c r="A3444" s="2" t="s">
        <v>3510</v>
      </c>
      <c r="B3444" s="6">
        <v>45956</v>
      </c>
      <c r="C3444" s="2" t="s">
        <v>31</v>
      </c>
      <c r="D3444" s="2" t="s">
        <v>89</v>
      </c>
      <c r="E3444" s="2">
        <v>1</v>
      </c>
      <c r="F3444" s="7">
        <v>399</v>
      </c>
      <c r="G3444" s="8">
        <v>0.05</v>
      </c>
      <c r="H3444" s="9" t="str">
        <f>INDEX(Products!$B$2:$B$37, MATCH(D3444, Products!$A$2:$A$37, 0))</f>
        <v>Men's Kandura Premium</v>
      </c>
      <c r="I3444" t="str">
        <f>INDEX(Products!$C$2:$C$37, MATCH(D3444, Products!$A$2:$A$37, 0))</f>
        <v>Fashion</v>
      </c>
      <c r="J3444">
        <f>INDEX(Products!$E$2:$E$37, MATCH(D3444, Products!$A$2:$A$37, 0))</f>
        <v>210</v>
      </c>
      <c r="K3444" s="9">
        <f t="shared" si="212"/>
        <v>379.04999999999995</v>
      </c>
      <c r="L3444">
        <f t="shared" si="213"/>
        <v>210</v>
      </c>
      <c r="M3444" s="9">
        <f t="shared" si="214"/>
        <v>169.04999999999995</v>
      </c>
      <c r="N3444" t="str">
        <f t="shared" si="215"/>
        <v>Oct</v>
      </c>
    </row>
    <row r="3445" spans="1:14" x14ac:dyDescent="0.3">
      <c r="A3445" s="2" t="s">
        <v>3511</v>
      </c>
      <c r="B3445" s="6">
        <v>45956</v>
      </c>
      <c r="C3445" s="2" t="s">
        <v>28</v>
      </c>
      <c r="D3445" s="2" t="s">
        <v>92</v>
      </c>
      <c r="E3445" s="2">
        <v>1</v>
      </c>
      <c r="F3445" s="7">
        <v>349</v>
      </c>
      <c r="G3445" s="8">
        <v>0.15</v>
      </c>
      <c r="H3445" s="9" t="str">
        <f>INDEX(Products!$B$2:$B$37, MATCH(D3445, Products!$A$2:$A$37, 0))</f>
        <v>Non-stick Cookware Set</v>
      </c>
      <c r="I3445" t="str">
        <f>INDEX(Products!$C$2:$C$37, MATCH(D3445, Products!$A$2:$A$37, 0))</f>
        <v>Home &amp; Kitchen</v>
      </c>
      <c r="J3445">
        <f>INDEX(Products!$E$2:$E$37, MATCH(D3445, Products!$A$2:$A$37, 0))</f>
        <v>170</v>
      </c>
      <c r="K3445" s="9">
        <f t="shared" si="212"/>
        <v>296.64999999999998</v>
      </c>
      <c r="L3445">
        <f t="shared" si="213"/>
        <v>170</v>
      </c>
      <c r="M3445" s="9">
        <f t="shared" si="214"/>
        <v>126.64999999999998</v>
      </c>
      <c r="N3445" t="str">
        <f t="shared" si="215"/>
        <v>Oct</v>
      </c>
    </row>
    <row r="3446" spans="1:14" x14ac:dyDescent="0.3">
      <c r="A3446" s="2" t="s">
        <v>3512</v>
      </c>
      <c r="B3446" s="6">
        <v>45956</v>
      </c>
      <c r="C3446" s="2" t="s">
        <v>28</v>
      </c>
      <c r="D3446" s="2" t="s">
        <v>131</v>
      </c>
      <c r="E3446" s="2">
        <v>1</v>
      </c>
      <c r="F3446" s="7">
        <v>899</v>
      </c>
      <c r="G3446" s="8">
        <v>0.2</v>
      </c>
      <c r="H3446" s="9" t="str">
        <f>INDEX(Products!$B$2:$B$37, MATCH(D3446, Products!$A$2:$A$37, 0))</f>
        <v>4K Action Camera</v>
      </c>
      <c r="I3446" t="str">
        <f>INDEX(Products!$C$2:$C$37, MATCH(D3446, Products!$A$2:$A$37, 0))</f>
        <v>Electronics</v>
      </c>
      <c r="J3446">
        <f>INDEX(Products!$E$2:$E$37, MATCH(D3446, Products!$A$2:$A$37, 0))</f>
        <v>610</v>
      </c>
      <c r="K3446" s="9">
        <f t="shared" si="212"/>
        <v>719.2</v>
      </c>
      <c r="L3446">
        <f t="shared" si="213"/>
        <v>610</v>
      </c>
      <c r="M3446" s="9">
        <f t="shared" si="214"/>
        <v>109.20000000000005</v>
      </c>
      <c r="N3446" t="str">
        <f t="shared" si="215"/>
        <v>Oct</v>
      </c>
    </row>
    <row r="3447" spans="1:14" x14ac:dyDescent="0.3">
      <c r="A3447" s="2" t="s">
        <v>3513</v>
      </c>
      <c r="B3447" s="6">
        <v>45956</v>
      </c>
      <c r="C3447" s="2" t="s">
        <v>28</v>
      </c>
      <c r="D3447" s="2" t="s">
        <v>56</v>
      </c>
      <c r="E3447" s="2">
        <v>2</v>
      </c>
      <c r="F3447" s="7">
        <v>289</v>
      </c>
      <c r="G3447" s="8">
        <v>0.1</v>
      </c>
      <c r="H3447" s="9" t="str">
        <f>INDEX(Products!$B$2:$B$37, MATCH(D3447, Products!$A$2:$A$37, 0))</f>
        <v>Ceramic Dinner Set</v>
      </c>
      <c r="I3447" t="str">
        <f>INDEX(Products!$C$2:$C$37, MATCH(D3447, Products!$A$2:$A$37, 0))</f>
        <v>Home &amp; Kitchen</v>
      </c>
      <c r="J3447">
        <f>INDEX(Products!$E$2:$E$37, MATCH(D3447, Products!$A$2:$A$37, 0))</f>
        <v>140</v>
      </c>
      <c r="K3447" s="9">
        <f t="shared" si="212"/>
        <v>520.20000000000005</v>
      </c>
      <c r="L3447">
        <f t="shared" si="213"/>
        <v>280</v>
      </c>
      <c r="M3447" s="9">
        <f t="shared" si="214"/>
        <v>240.20000000000005</v>
      </c>
      <c r="N3447" t="str">
        <f t="shared" si="215"/>
        <v>Oct</v>
      </c>
    </row>
    <row r="3448" spans="1:14" x14ac:dyDescent="0.3">
      <c r="A3448" s="2" t="s">
        <v>3514</v>
      </c>
      <c r="B3448" s="6">
        <v>45957</v>
      </c>
      <c r="C3448" s="2" t="s">
        <v>28</v>
      </c>
      <c r="D3448" s="2" t="s">
        <v>75</v>
      </c>
      <c r="E3448" s="2">
        <v>2</v>
      </c>
      <c r="F3448" s="7">
        <v>549</v>
      </c>
      <c r="G3448" s="8">
        <v>0.1</v>
      </c>
      <c r="H3448" s="9" t="str">
        <f>INDEX(Products!$B$2:$B$37, MATCH(D3448, Products!$A$2:$A$37, 0))</f>
        <v>Oud Perfume 100ml</v>
      </c>
      <c r="I3448" t="str">
        <f>INDEX(Products!$C$2:$C$37, MATCH(D3448, Products!$A$2:$A$37, 0))</f>
        <v>Beauty</v>
      </c>
      <c r="J3448">
        <f>INDEX(Products!$E$2:$E$37, MATCH(D3448, Products!$A$2:$A$37, 0))</f>
        <v>250</v>
      </c>
      <c r="K3448" s="9">
        <f t="shared" si="212"/>
        <v>988.2</v>
      </c>
      <c r="L3448">
        <f t="shared" si="213"/>
        <v>500</v>
      </c>
      <c r="M3448" s="9">
        <f t="shared" si="214"/>
        <v>488.20000000000005</v>
      </c>
      <c r="N3448" t="str">
        <f t="shared" si="215"/>
        <v>Oct</v>
      </c>
    </row>
    <row r="3449" spans="1:14" x14ac:dyDescent="0.3">
      <c r="A3449" s="2" t="s">
        <v>3515</v>
      </c>
      <c r="B3449" s="6">
        <v>45957</v>
      </c>
      <c r="C3449" s="2" t="s">
        <v>48</v>
      </c>
      <c r="D3449" s="2" t="s">
        <v>83</v>
      </c>
      <c r="E3449" s="2">
        <v>1</v>
      </c>
      <c r="F3449" s="7">
        <v>229</v>
      </c>
      <c r="G3449" s="8">
        <v>0</v>
      </c>
      <c r="H3449" s="9" t="str">
        <f>INDEX(Products!$B$2:$B$37, MATCH(D3449, Products!$A$2:$A$37, 0))</f>
        <v>Cycling Helmet</v>
      </c>
      <c r="I3449" t="str">
        <f>INDEX(Products!$C$2:$C$37, MATCH(D3449, Products!$A$2:$A$37, 0))</f>
        <v>Sports</v>
      </c>
      <c r="J3449">
        <f>INDEX(Products!$E$2:$E$37, MATCH(D3449, Products!$A$2:$A$37, 0))</f>
        <v>120</v>
      </c>
      <c r="K3449" s="9">
        <f t="shared" si="212"/>
        <v>229</v>
      </c>
      <c r="L3449">
        <f t="shared" si="213"/>
        <v>120</v>
      </c>
      <c r="M3449" s="9">
        <f t="shared" si="214"/>
        <v>109</v>
      </c>
      <c r="N3449" t="str">
        <f t="shared" si="215"/>
        <v>Oct</v>
      </c>
    </row>
    <row r="3450" spans="1:14" x14ac:dyDescent="0.3">
      <c r="A3450" s="2" t="s">
        <v>3516</v>
      </c>
      <c r="B3450" s="6">
        <v>45957</v>
      </c>
      <c r="C3450" s="2" t="s">
        <v>31</v>
      </c>
      <c r="D3450" s="2" t="s">
        <v>56</v>
      </c>
      <c r="E3450" s="2">
        <v>3</v>
      </c>
      <c r="F3450" s="7">
        <v>289</v>
      </c>
      <c r="G3450" s="8">
        <v>0</v>
      </c>
      <c r="H3450" s="9" t="str">
        <f>INDEX(Products!$B$2:$B$37, MATCH(D3450, Products!$A$2:$A$37, 0))</f>
        <v>Ceramic Dinner Set</v>
      </c>
      <c r="I3450" t="str">
        <f>INDEX(Products!$C$2:$C$37, MATCH(D3450, Products!$A$2:$A$37, 0))</f>
        <v>Home &amp; Kitchen</v>
      </c>
      <c r="J3450">
        <f>INDEX(Products!$E$2:$E$37, MATCH(D3450, Products!$A$2:$A$37, 0))</f>
        <v>140</v>
      </c>
      <c r="K3450" s="9">
        <f t="shared" si="212"/>
        <v>867</v>
      </c>
      <c r="L3450">
        <f t="shared" si="213"/>
        <v>420</v>
      </c>
      <c r="M3450" s="9">
        <f t="shared" si="214"/>
        <v>447</v>
      </c>
      <c r="N3450" t="str">
        <f t="shared" si="215"/>
        <v>Oct</v>
      </c>
    </row>
    <row r="3451" spans="1:14" x14ac:dyDescent="0.3">
      <c r="A3451" s="2" t="s">
        <v>3517</v>
      </c>
      <c r="B3451" s="6">
        <v>45957</v>
      </c>
      <c r="C3451" s="2" t="s">
        <v>31</v>
      </c>
      <c r="D3451" s="2" t="s">
        <v>68</v>
      </c>
      <c r="E3451" s="2">
        <v>2</v>
      </c>
      <c r="F3451" s="7">
        <v>249</v>
      </c>
      <c r="G3451" s="8">
        <v>0</v>
      </c>
      <c r="H3451" s="9" t="str">
        <f>INDEX(Products!$B$2:$B$37, MATCH(D3451, Products!$A$2:$A$37, 0))</f>
        <v>Bluetooth Speaker Mini</v>
      </c>
      <c r="I3451" t="str">
        <f>INDEX(Products!$C$2:$C$37, MATCH(D3451, Products!$A$2:$A$37, 0))</f>
        <v>Electronics</v>
      </c>
      <c r="J3451">
        <f>INDEX(Products!$E$2:$E$37, MATCH(D3451, Products!$A$2:$A$37, 0))</f>
        <v>150</v>
      </c>
      <c r="K3451" s="9">
        <f t="shared" si="212"/>
        <v>498</v>
      </c>
      <c r="L3451">
        <f t="shared" si="213"/>
        <v>300</v>
      </c>
      <c r="M3451" s="9">
        <f t="shared" si="214"/>
        <v>198</v>
      </c>
      <c r="N3451" t="str">
        <f t="shared" si="215"/>
        <v>Oct</v>
      </c>
    </row>
    <row r="3452" spans="1:14" x14ac:dyDescent="0.3">
      <c r="A3452" s="2" t="s">
        <v>3518</v>
      </c>
      <c r="B3452" s="6">
        <v>45957</v>
      </c>
      <c r="C3452" s="2" t="s">
        <v>41</v>
      </c>
      <c r="D3452" s="2" t="s">
        <v>109</v>
      </c>
      <c r="E3452" s="2">
        <v>3</v>
      </c>
      <c r="F3452" s="7">
        <v>1499</v>
      </c>
      <c r="G3452" s="8">
        <v>0</v>
      </c>
      <c r="H3452" s="9" t="str">
        <f>INDEX(Products!$B$2:$B$37, MATCH(D3452, Products!$A$2:$A$37, 0))</f>
        <v>Espresso Machine</v>
      </c>
      <c r="I3452" t="str">
        <f>INDEX(Products!$C$2:$C$37, MATCH(D3452, Products!$A$2:$A$37, 0))</f>
        <v>Home &amp; Kitchen</v>
      </c>
      <c r="J3452">
        <f>INDEX(Products!$E$2:$E$37, MATCH(D3452, Products!$A$2:$A$37, 0))</f>
        <v>1050</v>
      </c>
      <c r="K3452" s="9">
        <f t="shared" si="212"/>
        <v>4497</v>
      </c>
      <c r="L3452">
        <f t="shared" si="213"/>
        <v>3150</v>
      </c>
      <c r="M3452" s="9">
        <f t="shared" si="214"/>
        <v>1347</v>
      </c>
      <c r="N3452" t="str">
        <f t="shared" si="215"/>
        <v>Oct</v>
      </c>
    </row>
    <row r="3453" spans="1:14" x14ac:dyDescent="0.3">
      <c r="A3453" s="2" t="s">
        <v>3519</v>
      </c>
      <c r="B3453" s="6">
        <v>45957</v>
      </c>
      <c r="C3453" s="2" t="s">
        <v>31</v>
      </c>
      <c r="D3453" s="2" t="s">
        <v>89</v>
      </c>
      <c r="E3453" s="2">
        <v>1</v>
      </c>
      <c r="F3453" s="7">
        <v>399</v>
      </c>
      <c r="G3453" s="8">
        <v>0.15</v>
      </c>
      <c r="H3453" s="9" t="str">
        <f>INDEX(Products!$B$2:$B$37, MATCH(D3453, Products!$A$2:$A$37, 0))</f>
        <v>Men's Kandura Premium</v>
      </c>
      <c r="I3453" t="str">
        <f>INDEX(Products!$C$2:$C$37, MATCH(D3453, Products!$A$2:$A$37, 0))</f>
        <v>Fashion</v>
      </c>
      <c r="J3453">
        <f>INDEX(Products!$E$2:$E$37, MATCH(D3453, Products!$A$2:$A$37, 0))</f>
        <v>210</v>
      </c>
      <c r="K3453" s="9">
        <f t="shared" si="212"/>
        <v>339.15</v>
      </c>
      <c r="L3453">
        <f t="shared" si="213"/>
        <v>210</v>
      </c>
      <c r="M3453" s="9">
        <f t="shared" si="214"/>
        <v>129.14999999999998</v>
      </c>
      <c r="N3453" t="str">
        <f t="shared" si="215"/>
        <v>Oct</v>
      </c>
    </row>
    <row r="3454" spans="1:14" x14ac:dyDescent="0.3">
      <c r="A3454" s="2" t="s">
        <v>3520</v>
      </c>
      <c r="B3454" s="6">
        <v>45957</v>
      </c>
      <c r="C3454" s="2" t="s">
        <v>44</v>
      </c>
      <c r="D3454" s="2" t="s">
        <v>39</v>
      </c>
      <c r="E3454" s="2">
        <v>1</v>
      </c>
      <c r="F3454" s="7">
        <v>199</v>
      </c>
      <c r="G3454" s="8">
        <v>0.2</v>
      </c>
      <c r="H3454" s="9" t="str">
        <f>INDEX(Products!$B$2:$B$37, MATCH(D3454, Products!$A$2:$A$37, 0))</f>
        <v>Bakhoor Gift Set</v>
      </c>
      <c r="I3454" t="str">
        <f>INDEX(Products!$C$2:$C$37, MATCH(D3454, Products!$A$2:$A$37, 0))</f>
        <v>Beauty</v>
      </c>
      <c r="J3454">
        <f>INDEX(Products!$E$2:$E$37, MATCH(D3454, Products!$A$2:$A$37, 0))</f>
        <v>90</v>
      </c>
      <c r="K3454" s="9">
        <f t="shared" si="212"/>
        <v>159.20000000000002</v>
      </c>
      <c r="L3454">
        <f t="shared" si="213"/>
        <v>90</v>
      </c>
      <c r="M3454" s="9">
        <f t="shared" si="214"/>
        <v>69.200000000000017</v>
      </c>
      <c r="N3454" t="str">
        <f t="shared" si="215"/>
        <v>Oct</v>
      </c>
    </row>
    <row r="3455" spans="1:14" x14ac:dyDescent="0.3">
      <c r="A3455" s="2" t="s">
        <v>3521</v>
      </c>
      <c r="B3455" s="6">
        <v>45957</v>
      </c>
      <c r="C3455" s="2" t="s">
        <v>28</v>
      </c>
      <c r="D3455" s="2" t="s">
        <v>49</v>
      </c>
      <c r="E3455" s="2">
        <v>3</v>
      </c>
      <c r="F3455" s="7">
        <v>149</v>
      </c>
      <c r="G3455" s="8">
        <v>0.3</v>
      </c>
      <c r="H3455" s="9" t="str">
        <f>INDEX(Products!$B$2:$B$37, MATCH(D3455, Products!$A$2:$A$37, 0))</f>
        <v>Kids' Sneakers</v>
      </c>
      <c r="I3455" t="str">
        <f>INDEX(Products!$C$2:$C$37, MATCH(D3455, Products!$A$2:$A$37, 0))</f>
        <v>Fashion</v>
      </c>
      <c r="J3455">
        <f>INDEX(Products!$E$2:$E$37, MATCH(D3455, Products!$A$2:$A$37, 0))</f>
        <v>80</v>
      </c>
      <c r="K3455" s="9">
        <f t="shared" si="212"/>
        <v>312.89999999999998</v>
      </c>
      <c r="L3455">
        <f t="shared" si="213"/>
        <v>240</v>
      </c>
      <c r="M3455" s="9">
        <f t="shared" si="214"/>
        <v>72.899999999999977</v>
      </c>
      <c r="N3455" t="str">
        <f t="shared" si="215"/>
        <v>Oct</v>
      </c>
    </row>
    <row r="3456" spans="1:14" x14ac:dyDescent="0.3">
      <c r="A3456" s="2" t="s">
        <v>3522</v>
      </c>
      <c r="B3456" s="6">
        <v>45957</v>
      </c>
      <c r="C3456" s="2" t="s">
        <v>41</v>
      </c>
      <c r="D3456" s="2" t="s">
        <v>165</v>
      </c>
      <c r="E3456" s="2">
        <v>1</v>
      </c>
      <c r="F3456" s="7">
        <v>69</v>
      </c>
      <c r="G3456" s="8">
        <v>0.15</v>
      </c>
      <c r="H3456" s="9" t="str">
        <f>INDEX(Products!$B$2:$B$37, MATCH(D3456, Products!$A$2:$A$37, 0))</f>
        <v>Swim Goggles</v>
      </c>
      <c r="I3456" t="str">
        <f>INDEX(Products!$C$2:$C$37, MATCH(D3456, Products!$A$2:$A$37, 0))</f>
        <v>Sports</v>
      </c>
      <c r="J3456">
        <f>INDEX(Products!$E$2:$E$37, MATCH(D3456, Products!$A$2:$A$37, 0))</f>
        <v>25</v>
      </c>
      <c r="K3456" s="9">
        <f t="shared" si="212"/>
        <v>58.65</v>
      </c>
      <c r="L3456">
        <f t="shared" si="213"/>
        <v>25</v>
      </c>
      <c r="M3456" s="9">
        <f t="shared" si="214"/>
        <v>33.65</v>
      </c>
      <c r="N3456" t="str">
        <f t="shared" si="215"/>
        <v>Oct</v>
      </c>
    </row>
    <row r="3457" spans="1:14" x14ac:dyDescent="0.3">
      <c r="A3457" s="2" t="s">
        <v>3523</v>
      </c>
      <c r="B3457" s="6">
        <v>45957</v>
      </c>
      <c r="C3457" s="2" t="s">
        <v>28</v>
      </c>
      <c r="D3457" s="2" t="s">
        <v>87</v>
      </c>
      <c r="E3457" s="2">
        <v>1</v>
      </c>
      <c r="F3457" s="7">
        <v>799</v>
      </c>
      <c r="G3457" s="8">
        <v>0.1</v>
      </c>
      <c r="H3457" s="9" t="str">
        <f>INDEX(Products!$B$2:$B$37, MATCH(D3457, Products!$A$2:$A$37, 0))</f>
        <v>Adjustable Dumbbells</v>
      </c>
      <c r="I3457" t="str">
        <f>INDEX(Products!$C$2:$C$37, MATCH(D3457, Products!$A$2:$A$37, 0))</f>
        <v>Sports</v>
      </c>
      <c r="J3457">
        <f>INDEX(Products!$E$2:$E$37, MATCH(D3457, Products!$A$2:$A$37, 0))</f>
        <v>700</v>
      </c>
      <c r="K3457" s="9">
        <f t="shared" si="212"/>
        <v>719.1</v>
      </c>
      <c r="L3457">
        <f t="shared" si="213"/>
        <v>700</v>
      </c>
      <c r="M3457" s="9">
        <f t="shared" si="214"/>
        <v>19.100000000000023</v>
      </c>
      <c r="N3457" t="str">
        <f t="shared" si="215"/>
        <v>Oct</v>
      </c>
    </row>
    <row r="3458" spans="1:14" x14ac:dyDescent="0.3">
      <c r="A3458" s="2" t="s">
        <v>3524</v>
      </c>
      <c r="B3458" s="6">
        <v>45958</v>
      </c>
      <c r="C3458" s="2" t="s">
        <v>41</v>
      </c>
      <c r="D3458" s="2" t="s">
        <v>126</v>
      </c>
      <c r="E3458" s="2">
        <v>1</v>
      </c>
      <c r="F3458" s="7">
        <v>89</v>
      </c>
      <c r="G3458" s="8">
        <v>0.1</v>
      </c>
      <c r="H3458" s="9" t="str">
        <f>INDEX(Products!$B$2:$B$37, MATCH(D3458, Products!$A$2:$A$37, 0))</f>
        <v>USB-C Fast Charger</v>
      </c>
      <c r="I3458" t="str">
        <f>INDEX(Products!$C$2:$C$37, MATCH(D3458, Products!$A$2:$A$37, 0))</f>
        <v>Electronics</v>
      </c>
      <c r="J3458">
        <f>INDEX(Products!$E$2:$E$37, MATCH(D3458, Products!$A$2:$A$37, 0))</f>
        <v>35</v>
      </c>
      <c r="K3458" s="9">
        <f t="shared" ref="K3458:K3521" si="216">E3458*F3458*(1-G3458)</f>
        <v>80.100000000000009</v>
      </c>
      <c r="L3458">
        <f t="shared" ref="L3458:L3521" si="217">E3458*J3458</f>
        <v>35</v>
      </c>
      <c r="M3458" s="9">
        <f t="shared" ref="M3458:M3521" si="218">K3458-L3458</f>
        <v>45.100000000000009</v>
      </c>
      <c r="N3458" t="str">
        <f t="shared" ref="N3458:N3521" si="219">TEXT(B3458,"mmm")</f>
        <v>Oct</v>
      </c>
    </row>
    <row r="3459" spans="1:14" x14ac:dyDescent="0.3">
      <c r="A3459" s="2" t="s">
        <v>3525</v>
      </c>
      <c r="B3459" s="6">
        <v>45958</v>
      </c>
      <c r="C3459" s="2" t="s">
        <v>48</v>
      </c>
      <c r="D3459" s="2" t="s">
        <v>58</v>
      </c>
      <c r="E3459" s="2">
        <v>3</v>
      </c>
      <c r="F3459" s="7">
        <v>459</v>
      </c>
      <c r="G3459" s="8">
        <v>0</v>
      </c>
      <c r="H3459" s="9" t="str">
        <f>INDEX(Products!$B$2:$B$37, MATCH(D3459, Products!$A$2:$A$37, 0))</f>
        <v>Women's Abaya Classic</v>
      </c>
      <c r="I3459" t="str">
        <f>INDEX(Products!$C$2:$C$37, MATCH(D3459, Products!$A$2:$A$37, 0))</f>
        <v>Fashion</v>
      </c>
      <c r="J3459">
        <f>INDEX(Products!$E$2:$E$37, MATCH(D3459, Products!$A$2:$A$37, 0))</f>
        <v>190</v>
      </c>
      <c r="K3459" s="9">
        <f t="shared" si="216"/>
        <v>1377</v>
      </c>
      <c r="L3459">
        <f t="shared" si="217"/>
        <v>570</v>
      </c>
      <c r="M3459" s="9">
        <f t="shared" si="218"/>
        <v>807</v>
      </c>
      <c r="N3459" t="str">
        <f t="shared" si="219"/>
        <v>Oct</v>
      </c>
    </row>
    <row r="3460" spans="1:14" x14ac:dyDescent="0.3">
      <c r="A3460" s="2" t="s">
        <v>3526</v>
      </c>
      <c r="B3460" s="6">
        <v>45958</v>
      </c>
      <c r="C3460" s="2" t="s">
        <v>41</v>
      </c>
      <c r="D3460" s="2" t="s">
        <v>194</v>
      </c>
      <c r="E3460" s="2">
        <v>1</v>
      </c>
      <c r="F3460" s="7">
        <v>699</v>
      </c>
      <c r="G3460" s="8">
        <v>0</v>
      </c>
      <c r="H3460" s="9" t="str">
        <f>INDEX(Products!$B$2:$B$37, MATCH(D3460, Products!$A$2:$A$37, 0))</f>
        <v>Leather Handbag</v>
      </c>
      <c r="I3460" t="str">
        <f>INDEX(Products!$C$2:$C$37, MATCH(D3460, Products!$A$2:$A$37, 0))</f>
        <v>Fashion</v>
      </c>
      <c r="J3460">
        <f>INDEX(Products!$E$2:$E$37, MATCH(D3460, Products!$A$2:$A$37, 0))</f>
        <v>380</v>
      </c>
      <c r="K3460" s="9">
        <f t="shared" si="216"/>
        <v>699</v>
      </c>
      <c r="L3460">
        <f t="shared" si="217"/>
        <v>380</v>
      </c>
      <c r="M3460" s="9">
        <f t="shared" si="218"/>
        <v>319</v>
      </c>
      <c r="N3460" t="str">
        <f t="shared" si="219"/>
        <v>Oct</v>
      </c>
    </row>
    <row r="3461" spans="1:14" x14ac:dyDescent="0.3">
      <c r="A3461" s="2" t="s">
        <v>3527</v>
      </c>
      <c r="B3461" s="6">
        <v>45958</v>
      </c>
      <c r="C3461" s="2" t="s">
        <v>28</v>
      </c>
      <c r="D3461" s="2" t="s">
        <v>165</v>
      </c>
      <c r="E3461" s="2">
        <v>2</v>
      </c>
      <c r="F3461" s="7">
        <v>69</v>
      </c>
      <c r="G3461" s="8">
        <v>0</v>
      </c>
      <c r="H3461" s="9" t="str">
        <f>INDEX(Products!$B$2:$B$37, MATCH(D3461, Products!$A$2:$A$37, 0))</f>
        <v>Swim Goggles</v>
      </c>
      <c r="I3461" t="str">
        <f>INDEX(Products!$C$2:$C$37, MATCH(D3461, Products!$A$2:$A$37, 0))</f>
        <v>Sports</v>
      </c>
      <c r="J3461">
        <f>INDEX(Products!$E$2:$E$37, MATCH(D3461, Products!$A$2:$A$37, 0))</f>
        <v>25</v>
      </c>
      <c r="K3461" s="9">
        <f t="shared" si="216"/>
        <v>138</v>
      </c>
      <c r="L3461">
        <f t="shared" si="217"/>
        <v>50</v>
      </c>
      <c r="M3461" s="9">
        <f t="shared" si="218"/>
        <v>88</v>
      </c>
      <c r="N3461" t="str">
        <f t="shared" si="219"/>
        <v>Oct</v>
      </c>
    </row>
    <row r="3462" spans="1:14" x14ac:dyDescent="0.3">
      <c r="A3462" s="2" t="s">
        <v>3528</v>
      </c>
      <c r="B3462" s="6">
        <v>45958</v>
      </c>
      <c r="C3462" s="2" t="s">
        <v>41</v>
      </c>
      <c r="D3462" s="2" t="s">
        <v>78</v>
      </c>
      <c r="E3462" s="2">
        <v>1</v>
      </c>
      <c r="F3462" s="7">
        <v>499</v>
      </c>
      <c r="G3462" s="8">
        <v>0</v>
      </c>
      <c r="H3462" s="9" t="str">
        <f>INDEX(Products!$B$2:$B$37, MATCH(D3462, Products!$A$2:$A$37, 0))</f>
        <v>Air Fryer 5L</v>
      </c>
      <c r="I3462" t="str">
        <f>INDEX(Products!$C$2:$C$37, MATCH(D3462, Products!$A$2:$A$37, 0))</f>
        <v>Home &amp; Kitchen</v>
      </c>
      <c r="J3462">
        <f>INDEX(Products!$E$2:$E$37, MATCH(D3462, Products!$A$2:$A$37, 0))</f>
        <v>290</v>
      </c>
      <c r="K3462" s="9">
        <f t="shared" si="216"/>
        <v>499</v>
      </c>
      <c r="L3462">
        <f t="shared" si="217"/>
        <v>290</v>
      </c>
      <c r="M3462" s="9">
        <f t="shared" si="218"/>
        <v>209</v>
      </c>
      <c r="N3462" t="str">
        <f t="shared" si="219"/>
        <v>Oct</v>
      </c>
    </row>
    <row r="3463" spans="1:14" x14ac:dyDescent="0.3">
      <c r="A3463" s="2" t="s">
        <v>3529</v>
      </c>
      <c r="B3463" s="6">
        <v>45958</v>
      </c>
      <c r="C3463" s="2" t="s">
        <v>44</v>
      </c>
      <c r="D3463" s="2" t="s">
        <v>39</v>
      </c>
      <c r="E3463" s="2">
        <v>3</v>
      </c>
      <c r="F3463" s="7">
        <v>199</v>
      </c>
      <c r="G3463" s="8">
        <v>0.3</v>
      </c>
      <c r="H3463" s="9" t="str">
        <f>INDEX(Products!$B$2:$B$37, MATCH(D3463, Products!$A$2:$A$37, 0))</f>
        <v>Bakhoor Gift Set</v>
      </c>
      <c r="I3463" t="str">
        <f>INDEX(Products!$C$2:$C$37, MATCH(D3463, Products!$A$2:$A$37, 0))</f>
        <v>Beauty</v>
      </c>
      <c r="J3463">
        <f>INDEX(Products!$E$2:$E$37, MATCH(D3463, Products!$A$2:$A$37, 0))</f>
        <v>90</v>
      </c>
      <c r="K3463" s="9">
        <f t="shared" si="216"/>
        <v>417.9</v>
      </c>
      <c r="L3463">
        <f t="shared" si="217"/>
        <v>270</v>
      </c>
      <c r="M3463" s="9">
        <f t="shared" si="218"/>
        <v>147.89999999999998</v>
      </c>
      <c r="N3463" t="str">
        <f t="shared" si="219"/>
        <v>Oct</v>
      </c>
    </row>
    <row r="3464" spans="1:14" x14ac:dyDescent="0.3">
      <c r="A3464" s="2" t="s">
        <v>3530</v>
      </c>
      <c r="B3464" s="6">
        <v>45958</v>
      </c>
      <c r="C3464" s="2" t="s">
        <v>28</v>
      </c>
      <c r="D3464" s="2" t="s">
        <v>89</v>
      </c>
      <c r="E3464" s="2">
        <v>2</v>
      </c>
      <c r="F3464" s="7">
        <v>399</v>
      </c>
      <c r="G3464" s="8">
        <v>0</v>
      </c>
      <c r="H3464" s="9" t="str">
        <f>INDEX(Products!$B$2:$B$37, MATCH(D3464, Products!$A$2:$A$37, 0))</f>
        <v>Men's Kandura Premium</v>
      </c>
      <c r="I3464" t="str">
        <f>INDEX(Products!$C$2:$C$37, MATCH(D3464, Products!$A$2:$A$37, 0))</f>
        <v>Fashion</v>
      </c>
      <c r="J3464">
        <f>INDEX(Products!$E$2:$E$37, MATCH(D3464, Products!$A$2:$A$37, 0))</f>
        <v>210</v>
      </c>
      <c r="K3464" s="9">
        <f t="shared" si="216"/>
        <v>798</v>
      </c>
      <c r="L3464">
        <f t="shared" si="217"/>
        <v>420</v>
      </c>
      <c r="M3464" s="9">
        <f t="shared" si="218"/>
        <v>378</v>
      </c>
      <c r="N3464" t="str">
        <f t="shared" si="219"/>
        <v>Oct</v>
      </c>
    </row>
    <row r="3465" spans="1:14" x14ac:dyDescent="0.3">
      <c r="A3465" s="2" t="s">
        <v>3531</v>
      </c>
      <c r="B3465" s="6">
        <v>45958</v>
      </c>
      <c r="C3465" s="2" t="s">
        <v>44</v>
      </c>
      <c r="D3465" s="2" t="s">
        <v>126</v>
      </c>
      <c r="E3465" s="2">
        <v>2</v>
      </c>
      <c r="F3465" s="7">
        <v>89</v>
      </c>
      <c r="G3465" s="8">
        <v>0</v>
      </c>
      <c r="H3465" s="9" t="str">
        <f>INDEX(Products!$B$2:$B$37, MATCH(D3465, Products!$A$2:$A$37, 0))</f>
        <v>USB-C Fast Charger</v>
      </c>
      <c r="I3465" t="str">
        <f>INDEX(Products!$C$2:$C$37, MATCH(D3465, Products!$A$2:$A$37, 0))</f>
        <v>Electronics</v>
      </c>
      <c r="J3465">
        <f>INDEX(Products!$E$2:$E$37, MATCH(D3465, Products!$A$2:$A$37, 0))</f>
        <v>35</v>
      </c>
      <c r="K3465" s="9">
        <f t="shared" si="216"/>
        <v>178</v>
      </c>
      <c r="L3465">
        <f t="shared" si="217"/>
        <v>70</v>
      </c>
      <c r="M3465" s="9">
        <f t="shared" si="218"/>
        <v>108</v>
      </c>
      <c r="N3465" t="str">
        <f t="shared" si="219"/>
        <v>Oct</v>
      </c>
    </row>
    <row r="3466" spans="1:14" x14ac:dyDescent="0.3">
      <c r="A3466" s="2" t="s">
        <v>3532</v>
      </c>
      <c r="B3466" s="6">
        <v>45958</v>
      </c>
      <c r="C3466" s="2" t="s">
        <v>41</v>
      </c>
      <c r="D3466" s="2" t="s">
        <v>35</v>
      </c>
      <c r="E3466" s="2">
        <v>1</v>
      </c>
      <c r="F3466" s="7">
        <v>179</v>
      </c>
      <c r="G3466" s="8">
        <v>0</v>
      </c>
      <c r="H3466" s="9" t="str">
        <f>INDEX(Products!$B$2:$B$37, MATCH(D3466, Products!$A$2:$A$37, 0))</f>
        <v>Men's Linen Shirt</v>
      </c>
      <c r="I3466" t="str">
        <f>INDEX(Products!$C$2:$C$37, MATCH(D3466, Products!$A$2:$A$37, 0))</f>
        <v>Fashion</v>
      </c>
      <c r="J3466">
        <f>INDEX(Products!$E$2:$E$37, MATCH(D3466, Products!$A$2:$A$37, 0))</f>
        <v>70</v>
      </c>
      <c r="K3466" s="9">
        <f t="shared" si="216"/>
        <v>179</v>
      </c>
      <c r="L3466">
        <f t="shared" si="217"/>
        <v>70</v>
      </c>
      <c r="M3466" s="9">
        <f t="shared" si="218"/>
        <v>109</v>
      </c>
      <c r="N3466" t="str">
        <f t="shared" si="219"/>
        <v>Oct</v>
      </c>
    </row>
    <row r="3467" spans="1:14" x14ac:dyDescent="0.3">
      <c r="A3467" s="2" t="s">
        <v>3533</v>
      </c>
      <c r="B3467" s="6">
        <v>45958</v>
      </c>
      <c r="C3467" s="2" t="s">
        <v>41</v>
      </c>
      <c r="D3467" s="2" t="s">
        <v>163</v>
      </c>
      <c r="E3467" s="2">
        <v>1</v>
      </c>
      <c r="F3467" s="7">
        <v>2499</v>
      </c>
      <c r="G3467" s="8">
        <v>0.2</v>
      </c>
      <c r="H3467" s="9" t="str">
        <f>INDEX(Products!$B$2:$B$37, MATCH(D3467, Products!$A$2:$A$37, 0))</f>
        <v>Treadmill Compact</v>
      </c>
      <c r="I3467" t="str">
        <f>INDEX(Products!$C$2:$C$37, MATCH(D3467, Products!$A$2:$A$37, 0))</f>
        <v>Sports</v>
      </c>
      <c r="J3467">
        <f>INDEX(Products!$E$2:$E$37, MATCH(D3467, Products!$A$2:$A$37, 0))</f>
        <v>2150</v>
      </c>
      <c r="K3467" s="9">
        <f t="shared" si="216"/>
        <v>1999.2</v>
      </c>
      <c r="L3467">
        <f t="shared" si="217"/>
        <v>2150</v>
      </c>
      <c r="M3467" s="9">
        <f t="shared" si="218"/>
        <v>-150.79999999999995</v>
      </c>
      <c r="N3467" t="str">
        <f t="shared" si="219"/>
        <v>Oct</v>
      </c>
    </row>
    <row r="3468" spans="1:14" x14ac:dyDescent="0.3">
      <c r="A3468" s="2" t="s">
        <v>3534</v>
      </c>
      <c r="B3468" s="6">
        <v>45958</v>
      </c>
      <c r="C3468" s="2" t="s">
        <v>48</v>
      </c>
      <c r="D3468" s="2" t="s">
        <v>49</v>
      </c>
      <c r="E3468" s="2">
        <v>1</v>
      </c>
      <c r="F3468" s="7">
        <v>149</v>
      </c>
      <c r="G3468" s="8">
        <v>0.1</v>
      </c>
      <c r="H3468" s="9" t="str">
        <f>INDEX(Products!$B$2:$B$37, MATCH(D3468, Products!$A$2:$A$37, 0))</f>
        <v>Kids' Sneakers</v>
      </c>
      <c r="I3468" t="str">
        <f>INDEX(Products!$C$2:$C$37, MATCH(D3468, Products!$A$2:$A$37, 0))</f>
        <v>Fashion</v>
      </c>
      <c r="J3468">
        <f>INDEX(Products!$E$2:$E$37, MATCH(D3468, Products!$A$2:$A$37, 0))</f>
        <v>80</v>
      </c>
      <c r="K3468" s="9">
        <f t="shared" si="216"/>
        <v>134.1</v>
      </c>
      <c r="L3468">
        <f t="shared" si="217"/>
        <v>80</v>
      </c>
      <c r="M3468" s="9">
        <f t="shared" si="218"/>
        <v>54.099999999999994</v>
      </c>
      <c r="N3468" t="str">
        <f t="shared" si="219"/>
        <v>Oct</v>
      </c>
    </row>
    <row r="3469" spans="1:14" x14ac:dyDescent="0.3">
      <c r="A3469" s="2" t="s">
        <v>3535</v>
      </c>
      <c r="B3469" s="6">
        <v>45958</v>
      </c>
      <c r="C3469" s="2" t="s">
        <v>44</v>
      </c>
      <c r="D3469" s="2" t="s">
        <v>29</v>
      </c>
      <c r="E3469" s="2">
        <v>1</v>
      </c>
      <c r="F3469" s="7">
        <v>229</v>
      </c>
      <c r="G3469" s="8">
        <v>0</v>
      </c>
      <c r="H3469" s="9" t="str">
        <f>INDEX(Products!$B$2:$B$37, MATCH(D3469, Products!$A$2:$A$37, 0))</f>
        <v>Women's Summer Dress</v>
      </c>
      <c r="I3469" t="str">
        <f>INDEX(Products!$C$2:$C$37, MATCH(D3469, Products!$A$2:$A$37, 0))</f>
        <v>Fashion</v>
      </c>
      <c r="J3469">
        <f>INDEX(Products!$E$2:$E$37, MATCH(D3469, Products!$A$2:$A$37, 0))</f>
        <v>120</v>
      </c>
      <c r="K3469" s="9">
        <f t="shared" si="216"/>
        <v>229</v>
      </c>
      <c r="L3469">
        <f t="shared" si="217"/>
        <v>120</v>
      </c>
      <c r="M3469" s="9">
        <f t="shared" si="218"/>
        <v>109</v>
      </c>
      <c r="N3469" t="str">
        <f t="shared" si="219"/>
        <v>Oct</v>
      </c>
    </row>
    <row r="3470" spans="1:14" x14ac:dyDescent="0.3">
      <c r="A3470" s="2" t="s">
        <v>3536</v>
      </c>
      <c r="B3470" s="6">
        <v>45958</v>
      </c>
      <c r="C3470" s="2" t="s">
        <v>41</v>
      </c>
      <c r="D3470" s="2" t="s">
        <v>46</v>
      </c>
      <c r="E3470" s="2">
        <v>1</v>
      </c>
      <c r="F3470" s="7">
        <v>189</v>
      </c>
      <c r="G3470" s="8">
        <v>0.05</v>
      </c>
      <c r="H3470" s="9" t="str">
        <f>INDEX(Products!$B$2:$B$37, MATCH(D3470, Products!$A$2:$A$37, 0))</f>
        <v>Makeup Palette</v>
      </c>
      <c r="I3470" t="str">
        <f>INDEX(Products!$C$2:$C$37, MATCH(D3470, Products!$A$2:$A$37, 0))</f>
        <v>Beauty</v>
      </c>
      <c r="J3470">
        <f>INDEX(Products!$E$2:$E$37, MATCH(D3470, Products!$A$2:$A$37, 0))</f>
        <v>85</v>
      </c>
      <c r="K3470" s="9">
        <f t="shared" si="216"/>
        <v>179.54999999999998</v>
      </c>
      <c r="L3470">
        <f t="shared" si="217"/>
        <v>85</v>
      </c>
      <c r="M3470" s="9">
        <f t="shared" si="218"/>
        <v>94.549999999999983</v>
      </c>
      <c r="N3470" t="str">
        <f t="shared" si="219"/>
        <v>Oct</v>
      </c>
    </row>
    <row r="3471" spans="1:14" x14ac:dyDescent="0.3">
      <c r="A3471" s="2" t="s">
        <v>3537</v>
      </c>
      <c r="B3471" s="6">
        <v>45958</v>
      </c>
      <c r="C3471" s="2" t="s">
        <v>28</v>
      </c>
      <c r="D3471" s="2" t="s">
        <v>33</v>
      </c>
      <c r="E3471" s="2">
        <v>2</v>
      </c>
      <c r="F3471" s="7">
        <v>199</v>
      </c>
      <c r="G3471" s="8">
        <v>0.2</v>
      </c>
      <c r="H3471" s="9" t="str">
        <f>INDEX(Products!$B$2:$B$37, MATCH(D3471, Products!$A$2:$A$37, 0))</f>
        <v>Fitness Band Lite</v>
      </c>
      <c r="I3471" t="str">
        <f>INDEX(Products!$C$2:$C$37, MATCH(D3471, Products!$A$2:$A$37, 0))</f>
        <v>Electronics</v>
      </c>
      <c r="J3471">
        <f>INDEX(Products!$E$2:$E$37, MATCH(D3471, Products!$A$2:$A$37, 0))</f>
        <v>175</v>
      </c>
      <c r="K3471" s="9">
        <f t="shared" si="216"/>
        <v>318.40000000000003</v>
      </c>
      <c r="L3471">
        <f t="shared" si="217"/>
        <v>350</v>
      </c>
      <c r="M3471" s="9">
        <f t="shared" si="218"/>
        <v>-31.599999999999966</v>
      </c>
      <c r="N3471" t="str">
        <f t="shared" si="219"/>
        <v>Oct</v>
      </c>
    </row>
    <row r="3472" spans="1:14" x14ac:dyDescent="0.3">
      <c r="A3472" s="2" t="s">
        <v>3538</v>
      </c>
      <c r="B3472" s="6">
        <v>45958</v>
      </c>
      <c r="C3472" s="2" t="s">
        <v>48</v>
      </c>
      <c r="D3472" s="2" t="s">
        <v>46</v>
      </c>
      <c r="E3472" s="2">
        <v>1</v>
      </c>
      <c r="F3472" s="7">
        <v>189</v>
      </c>
      <c r="G3472" s="8">
        <v>0</v>
      </c>
      <c r="H3472" s="9" t="str">
        <f>INDEX(Products!$B$2:$B$37, MATCH(D3472, Products!$A$2:$A$37, 0))</f>
        <v>Makeup Palette</v>
      </c>
      <c r="I3472" t="str">
        <f>INDEX(Products!$C$2:$C$37, MATCH(D3472, Products!$A$2:$A$37, 0))</f>
        <v>Beauty</v>
      </c>
      <c r="J3472">
        <f>INDEX(Products!$E$2:$E$37, MATCH(D3472, Products!$A$2:$A$37, 0))</f>
        <v>85</v>
      </c>
      <c r="K3472" s="9">
        <f t="shared" si="216"/>
        <v>189</v>
      </c>
      <c r="L3472">
        <f t="shared" si="217"/>
        <v>85</v>
      </c>
      <c r="M3472" s="9">
        <f t="shared" si="218"/>
        <v>104</v>
      </c>
      <c r="N3472" t="str">
        <f t="shared" si="219"/>
        <v>Oct</v>
      </c>
    </row>
    <row r="3473" spans="1:14" x14ac:dyDescent="0.3">
      <c r="A3473" s="2" t="s">
        <v>3539</v>
      </c>
      <c r="B3473" s="6">
        <v>45958</v>
      </c>
      <c r="C3473" s="2" t="s">
        <v>44</v>
      </c>
      <c r="D3473" s="2" t="s">
        <v>42</v>
      </c>
      <c r="E3473" s="2">
        <v>3</v>
      </c>
      <c r="F3473" s="7">
        <v>399</v>
      </c>
      <c r="G3473" s="8">
        <v>0</v>
      </c>
      <c r="H3473" s="9" t="str">
        <f>INDEX(Products!$B$2:$B$37, MATCH(D3473, Products!$A$2:$A$37, 0))</f>
        <v>Wireless Earbuds Pro</v>
      </c>
      <c r="I3473" t="str">
        <f>INDEX(Products!$C$2:$C$37, MATCH(D3473, Products!$A$2:$A$37, 0))</f>
        <v>Electronics</v>
      </c>
      <c r="J3473">
        <f>INDEX(Products!$E$2:$E$37, MATCH(D3473, Products!$A$2:$A$37, 0))</f>
        <v>230</v>
      </c>
      <c r="K3473" s="9">
        <f t="shared" si="216"/>
        <v>1197</v>
      </c>
      <c r="L3473">
        <f t="shared" si="217"/>
        <v>690</v>
      </c>
      <c r="M3473" s="9">
        <f t="shared" si="218"/>
        <v>507</v>
      </c>
      <c r="N3473" t="str">
        <f t="shared" si="219"/>
        <v>Oct</v>
      </c>
    </row>
    <row r="3474" spans="1:14" x14ac:dyDescent="0.3">
      <c r="A3474" s="2" t="s">
        <v>3540</v>
      </c>
      <c r="B3474" s="6">
        <v>45958</v>
      </c>
      <c r="C3474" s="2" t="s">
        <v>41</v>
      </c>
      <c r="D3474" s="2" t="s">
        <v>149</v>
      </c>
      <c r="E3474" s="2">
        <v>1</v>
      </c>
      <c r="F3474" s="7">
        <v>399</v>
      </c>
      <c r="G3474" s="8">
        <v>0</v>
      </c>
      <c r="H3474" s="9" t="str">
        <f>INDEX(Products!$B$2:$B$37, MATCH(D3474, Products!$A$2:$A$37, 0))</f>
        <v>Blender Pro 1200W</v>
      </c>
      <c r="I3474" t="str">
        <f>INDEX(Products!$C$2:$C$37, MATCH(D3474, Products!$A$2:$A$37, 0))</f>
        <v>Home &amp; Kitchen</v>
      </c>
      <c r="J3474">
        <f>INDEX(Products!$E$2:$E$37, MATCH(D3474, Products!$A$2:$A$37, 0))</f>
        <v>250</v>
      </c>
      <c r="K3474" s="9">
        <f t="shared" si="216"/>
        <v>399</v>
      </c>
      <c r="L3474">
        <f t="shared" si="217"/>
        <v>250</v>
      </c>
      <c r="M3474" s="9">
        <f t="shared" si="218"/>
        <v>149</v>
      </c>
      <c r="N3474" t="str">
        <f t="shared" si="219"/>
        <v>Oct</v>
      </c>
    </row>
    <row r="3475" spans="1:14" x14ac:dyDescent="0.3">
      <c r="A3475" s="2" t="s">
        <v>3541</v>
      </c>
      <c r="B3475" s="6">
        <v>45959</v>
      </c>
      <c r="C3475" s="2" t="s">
        <v>28</v>
      </c>
      <c r="D3475" s="2" t="s">
        <v>58</v>
      </c>
      <c r="E3475" s="2">
        <v>3</v>
      </c>
      <c r="F3475" s="7">
        <v>459</v>
      </c>
      <c r="G3475" s="8">
        <v>0.1</v>
      </c>
      <c r="H3475" s="9" t="str">
        <f>INDEX(Products!$B$2:$B$37, MATCH(D3475, Products!$A$2:$A$37, 0))</f>
        <v>Women's Abaya Classic</v>
      </c>
      <c r="I3475" t="str">
        <f>INDEX(Products!$C$2:$C$37, MATCH(D3475, Products!$A$2:$A$37, 0))</f>
        <v>Fashion</v>
      </c>
      <c r="J3475">
        <f>INDEX(Products!$E$2:$E$37, MATCH(D3475, Products!$A$2:$A$37, 0))</f>
        <v>190</v>
      </c>
      <c r="K3475" s="9">
        <f t="shared" si="216"/>
        <v>1239.3</v>
      </c>
      <c r="L3475">
        <f t="shared" si="217"/>
        <v>570</v>
      </c>
      <c r="M3475" s="9">
        <f t="shared" si="218"/>
        <v>669.3</v>
      </c>
      <c r="N3475" t="str">
        <f t="shared" si="219"/>
        <v>Oct</v>
      </c>
    </row>
    <row r="3476" spans="1:14" x14ac:dyDescent="0.3">
      <c r="A3476" s="2" t="s">
        <v>3542</v>
      </c>
      <c r="B3476" s="6">
        <v>45959</v>
      </c>
      <c r="C3476" s="2" t="s">
        <v>48</v>
      </c>
      <c r="D3476" s="2" t="s">
        <v>194</v>
      </c>
      <c r="E3476" s="2">
        <v>2</v>
      </c>
      <c r="F3476" s="7">
        <v>699</v>
      </c>
      <c r="G3476" s="8">
        <v>0.15</v>
      </c>
      <c r="H3476" s="9" t="str">
        <f>INDEX(Products!$B$2:$B$37, MATCH(D3476, Products!$A$2:$A$37, 0))</f>
        <v>Leather Handbag</v>
      </c>
      <c r="I3476" t="str">
        <f>INDEX(Products!$C$2:$C$37, MATCH(D3476, Products!$A$2:$A$37, 0))</f>
        <v>Fashion</v>
      </c>
      <c r="J3476">
        <f>INDEX(Products!$E$2:$E$37, MATCH(D3476, Products!$A$2:$A$37, 0))</f>
        <v>380</v>
      </c>
      <c r="K3476" s="9">
        <f t="shared" si="216"/>
        <v>1188.3</v>
      </c>
      <c r="L3476">
        <f t="shared" si="217"/>
        <v>760</v>
      </c>
      <c r="M3476" s="9">
        <f t="shared" si="218"/>
        <v>428.29999999999995</v>
      </c>
      <c r="N3476" t="str">
        <f t="shared" si="219"/>
        <v>Oct</v>
      </c>
    </row>
    <row r="3477" spans="1:14" x14ac:dyDescent="0.3">
      <c r="A3477" s="2" t="s">
        <v>3543</v>
      </c>
      <c r="B3477" s="6">
        <v>45959</v>
      </c>
      <c r="C3477" s="2" t="s">
        <v>44</v>
      </c>
      <c r="D3477" s="2" t="s">
        <v>46</v>
      </c>
      <c r="E3477" s="2">
        <v>1</v>
      </c>
      <c r="F3477" s="7">
        <v>189</v>
      </c>
      <c r="G3477" s="8">
        <v>0.05</v>
      </c>
      <c r="H3477" s="9" t="str">
        <f>INDEX(Products!$B$2:$B$37, MATCH(D3477, Products!$A$2:$A$37, 0))</f>
        <v>Makeup Palette</v>
      </c>
      <c r="I3477" t="str">
        <f>INDEX(Products!$C$2:$C$37, MATCH(D3477, Products!$A$2:$A$37, 0))</f>
        <v>Beauty</v>
      </c>
      <c r="J3477">
        <f>INDEX(Products!$E$2:$E$37, MATCH(D3477, Products!$A$2:$A$37, 0))</f>
        <v>85</v>
      </c>
      <c r="K3477" s="9">
        <f t="shared" si="216"/>
        <v>179.54999999999998</v>
      </c>
      <c r="L3477">
        <f t="shared" si="217"/>
        <v>85</v>
      </c>
      <c r="M3477" s="9">
        <f t="shared" si="218"/>
        <v>94.549999999999983</v>
      </c>
      <c r="N3477" t="str">
        <f t="shared" si="219"/>
        <v>Oct</v>
      </c>
    </row>
    <row r="3478" spans="1:14" x14ac:dyDescent="0.3">
      <c r="A3478" s="2" t="s">
        <v>3544</v>
      </c>
      <c r="B3478" s="6">
        <v>45959</v>
      </c>
      <c r="C3478" s="2" t="s">
        <v>31</v>
      </c>
      <c r="D3478" s="2" t="s">
        <v>46</v>
      </c>
      <c r="E3478" s="2">
        <v>1</v>
      </c>
      <c r="F3478" s="7">
        <v>189</v>
      </c>
      <c r="G3478" s="8">
        <v>0.15</v>
      </c>
      <c r="H3478" s="9" t="str">
        <f>INDEX(Products!$B$2:$B$37, MATCH(D3478, Products!$A$2:$A$37, 0))</f>
        <v>Makeup Palette</v>
      </c>
      <c r="I3478" t="str">
        <f>INDEX(Products!$C$2:$C$37, MATCH(D3478, Products!$A$2:$A$37, 0))</f>
        <v>Beauty</v>
      </c>
      <c r="J3478">
        <f>INDEX(Products!$E$2:$E$37, MATCH(D3478, Products!$A$2:$A$37, 0))</f>
        <v>85</v>
      </c>
      <c r="K3478" s="9">
        <f t="shared" si="216"/>
        <v>160.65</v>
      </c>
      <c r="L3478">
        <f t="shared" si="217"/>
        <v>85</v>
      </c>
      <c r="M3478" s="9">
        <f t="shared" si="218"/>
        <v>75.650000000000006</v>
      </c>
      <c r="N3478" t="str">
        <f t="shared" si="219"/>
        <v>Oct</v>
      </c>
    </row>
    <row r="3479" spans="1:14" x14ac:dyDescent="0.3">
      <c r="A3479" s="2" t="s">
        <v>3545</v>
      </c>
      <c r="B3479" s="6">
        <v>45959</v>
      </c>
      <c r="C3479" s="2" t="s">
        <v>44</v>
      </c>
      <c r="D3479" s="2" t="s">
        <v>33</v>
      </c>
      <c r="E3479" s="2">
        <v>1</v>
      </c>
      <c r="F3479" s="7">
        <v>199</v>
      </c>
      <c r="G3479" s="8">
        <v>0.2</v>
      </c>
      <c r="H3479" s="9" t="str">
        <f>INDEX(Products!$B$2:$B$37, MATCH(D3479, Products!$A$2:$A$37, 0))</f>
        <v>Fitness Band Lite</v>
      </c>
      <c r="I3479" t="str">
        <f>INDEX(Products!$C$2:$C$37, MATCH(D3479, Products!$A$2:$A$37, 0))</f>
        <v>Electronics</v>
      </c>
      <c r="J3479">
        <f>INDEX(Products!$E$2:$E$37, MATCH(D3479, Products!$A$2:$A$37, 0))</f>
        <v>175</v>
      </c>
      <c r="K3479" s="9">
        <f t="shared" si="216"/>
        <v>159.20000000000002</v>
      </c>
      <c r="L3479">
        <f t="shared" si="217"/>
        <v>175</v>
      </c>
      <c r="M3479" s="9">
        <f t="shared" si="218"/>
        <v>-15.799999999999983</v>
      </c>
      <c r="N3479" t="str">
        <f t="shared" si="219"/>
        <v>Oct</v>
      </c>
    </row>
    <row r="3480" spans="1:14" x14ac:dyDescent="0.3">
      <c r="A3480" s="2" t="s">
        <v>3546</v>
      </c>
      <c r="B3480" s="6">
        <v>45959</v>
      </c>
      <c r="C3480" s="2" t="s">
        <v>28</v>
      </c>
      <c r="D3480" s="2" t="s">
        <v>103</v>
      </c>
      <c r="E3480" s="2">
        <v>1</v>
      </c>
      <c r="F3480" s="7">
        <v>89</v>
      </c>
      <c r="G3480" s="8">
        <v>0.15</v>
      </c>
      <c r="H3480" s="9" t="str">
        <f>INDEX(Products!$B$2:$B$37, MATCH(D3480, Products!$A$2:$A$37, 0))</f>
        <v>Sunscreen SPF50</v>
      </c>
      <c r="I3480" t="str">
        <f>INDEX(Products!$C$2:$C$37, MATCH(D3480, Products!$A$2:$A$37, 0))</f>
        <v>Beauty</v>
      </c>
      <c r="J3480">
        <f>INDEX(Products!$E$2:$E$37, MATCH(D3480, Products!$A$2:$A$37, 0))</f>
        <v>40</v>
      </c>
      <c r="K3480" s="9">
        <f t="shared" si="216"/>
        <v>75.649999999999991</v>
      </c>
      <c r="L3480">
        <f t="shared" si="217"/>
        <v>40</v>
      </c>
      <c r="M3480" s="9">
        <f t="shared" si="218"/>
        <v>35.649999999999991</v>
      </c>
      <c r="N3480" t="str">
        <f t="shared" si="219"/>
        <v>Oct</v>
      </c>
    </row>
    <row r="3481" spans="1:14" x14ac:dyDescent="0.3">
      <c r="A3481" s="2" t="s">
        <v>3547</v>
      </c>
      <c r="B3481" s="6">
        <v>45959</v>
      </c>
      <c r="C3481" s="2" t="s">
        <v>48</v>
      </c>
      <c r="D3481" s="2" t="s">
        <v>35</v>
      </c>
      <c r="E3481" s="2">
        <v>1</v>
      </c>
      <c r="F3481" s="7">
        <v>179</v>
      </c>
      <c r="G3481" s="8">
        <v>0.15</v>
      </c>
      <c r="H3481" s="9" t="str">
        <f>INDEX(Products!$B$2:$B$37, MATCH(D3481, Products!$A$2:$A$37, 0))</f>
        <v>Men's Linen Shirt</v>
      </c>
      <c r="I3481" t="str">
        <f>INDEX(Products!$C$2:$C$37, MATCH(D3481, Products!$A$2:$A$37, 0))</f>
        <v>Fashion</v>
      </c>
      <c r="J3481">
        <f>INDEX(Products!$E$2:$E$37, MATCH(D3481, Products!$A$2:$A$37, 0))</f>
        <v>70</v>
      </c>
      <c r="K3481" s="9">
        <f t="shared" si="216"/>
        <v>152.15</v>
      </c>
      <c r="L3481">
        <f t="shared" si="217"/>
        <v>70</v>
      </c>
      <c r="M3481" s="9">
        <f t="shared" si="218"/>
        <v>82.15</v>
      </c>
      <c r="N3481" t="str">
        <f t="shared" si="219"/>
        <v>Oct</v>
      </c>
    </row>
    <row r="3482" spans="1:14" x14ac:dyDescent="0.3">
      <c r="A3482" s="2" t="s">
        <v>3548</v>
      </c>
      <c r="B3482" s="6">
        <v>45959</v>
      </c>
      <c r="C3482" s="2" t="s">
        <v>28</v>
      </c>
      <c r="D3482" s="2" t="s">
        <v>58</v>
      </c>
      <c r="E3482" s="2">
        <v>1</v>
      </c>
      <c r="F3482" s="7">
        <v>459</v>
      </c>
      <c r="G3482" s="8">
        <v>0</v>
      </c>
      <c r="H3482" s="9" t="str">
        <f>INDEX(Products!$B$2:$B$37, MATCH(D3482, Products!$A$2:$A$37, 0))</f>
        <v>Women's Abaya Classic</v>
      </c>
      <c r="I3482" t="str">
        <f>INDEX(Products!$C$2:$C$37, MATCH(D3482, Products!$A$2:$A$37, 0))</f>
        <v>Fashion</v>
      </c>
      <c r="J3482">
        <f>INDEX(Products!$E$2:$E$37, MATCH(D3482, Products!$A$2:$A$37, 0))</f>
        <v>190</v>
      </c>
      <c r="K3482" s="9">
        <f t="shared" si="216"/>
        <v>459</v>
      </c>
      <c r="L3482">
        <f t="shared" si="217"/>
        <v>190</v>
      </c>
      <c r="M3482" s="9">
        <f t="shared" si="218"/>
        <v>269</v>
      </c>
      <c r="N3482" t="str">
        <f t="shared" si="219"/>
        <v>Oct</v>
      </c>
    </row>
    <row r="3483" spans="1:14" x14ac:dyDescent="0.3">
      <c r="A3483" s="2" t="s">
        <v>3549</v>
      </c>
      <c r="B3483" s="6">
        <v>45959</v>
      </c>
      <c r="C3483" s="2" t="s">
        <v>41</v>
      </c>
      <c r="D3483" s="2" t="s">
        <v>194</v>
      </c>
      <c r="E3483" s="2">
        <v>1</v>
      </c>
      <c r="F3483" s="7">
        <v>699</v>
      </c>
      <c r="G3483" s="8">
        <v>0</v>
      </c>
      <c r="H3483" s="9" t="str">
        <f>INDEX(Products!$B$2:$B$37, MATCH(D3483, Products!$A$2:$A$37, 0))</f>
        <v>Leather Handbag</v>
      </c>
      <c r="I3483" t="str">
        <f>INDEX(Products!$C$2:$C$37, MATCH(D3483, Products!$A$2:$A$37, 0))</f>
        <v>Fashion</v>
      </c>
      <c r="J3483">
        <f>INDEX(Products!$E$2:$E$37, MATCH(D3483, Products!$A$2:$A$37, 0))</f>
        <v>380</v>
      </c>
      <c r="K3483" s="9">
        <f t="shared" si="216"/>
        <v>699</v>
      </c>
      <c r="L3483">
        <f t="shared" si="217"/>
        <v>380</v>
      </c>
      <c r="M3483" s="9">
        <f t="shared" si="218"/>
        <v>319</v>
      </c>
      <c r="N3483" t="str">
        <f t="shared" si="219"/>
        <v>Oct</v>
      </c>
    </row>
    <row r="3484" spans="1:14" x14ac:dyDescent="0.3">
      <c r="A3484" s="2" t="s">
        <v>3550</v>
      </c>
      <c r="B3484" s="6">
        <v>45960</v>
      </c>
      <c r="C3484" s="2" t="s">
        <v>31</v>
      </c>
      <c r="D3484" s="2" t="s">
        <v>33</v>
      </c>
      <c r="E3484" s="2">
        <v>1</v>
      </c>
      <c r="F3484" s="7">
        <v>199</v>
      </c>
      <c r="G3484" s="8">
        <v>0.25</v>
      </c>
      <c r="H3484" s="9" t="str">
        <f>INDEX(Products!$B$2:$B$37, MATCH(D3484, Products!$A$2:$A$37, 0))</f>
        <v>Fitness Band Lite</v>
      </c>
      <c r="I3484" t="str">
        <f>INDEX(Products!$C$2:$C$37, MATCH(D3484, Products!$A$2:$A$37, 0))</f>
        <v>Electronics</v>
      </c>
      <c r="J3484">
        <f>INDEX(Products!$E$2:$E$37, MATCH(D3484, Products!$A$2:$A$37, 0))</f>
        <v>175</v>
      </c>
      <c r="K3484" s="9">
        <f t="shared" si="216"/>
        <v>149.25</v>
      </c>
      <c r="L3484">
        <f t="shared" si="217"/>
        <v>175</v>
      </c>
      <c r="M3484" s="9">
        <f t="shared" si="218"/>
        <v>-25.75</v>
      </c>
      <c r="N3484" t="str">
        <f t="shared" si="219"/>
        <v>Oct</v>
      </c>
    </row>
    <row r="3485" spans="1:14" x14ac:dyDescent="0.3">
      <c r="A3485" s="2" t="s">
        <v>3551</v>
      </c>
      <c r="B3485" s="6">
        <v>45960</v>
      </c>
      <c r="C3485" s="2" t="s">
        <v>44</v>
      </c>
      <c r="D3485" s="2" t="s">
        <v>95</v>
      </c>
      <c r="E3485" s="2">
        <v>1</v>
      </c>
      <c r="F3485" s="7">
        <v>259</v>
      </c>
      <c r="G3485" s="8">
        <v>0.05</v>
      </c>
      <c r="H3485" s="9" t="str">
        <f>INDEX(Products!$B$2:$B$37, MATCH(D3485, Products!$A$2:$A$37, 0))</f>
        <v>Bed Linen Set (King)</v>
      </c>
      <c r="I3485" t="str">
        <f>INDEX(Products!$C$2:$C$37, MATCH(D3485, Products!$A$2:$A$37, 0))</f>
        <v>Home &amp; Kitchen</v>
      </c>
      <c r="J3485">
        <f>INDEX(Products!$E$2:$E$37, MATCH(D3485, Products!$A$2:$A$37, 0))</f>
        <v>115</v>
      </c>
      <c r="K3485" s="9">
        <f t="shared" si="216"/>
        <v>246.04999999999998</v>
      </c>
      <c r="L3485">
        <f t="shared" si="217"/>
        <v>115</v>
      </c>
      <c r="M3485" s="9">
        <f t="shared" si="218"/>
        <v>131.04999999999998</v>
      </c>
      <c r="N3485" t="str">
        <f t="shared" si="219"/>
        <v>Oct</v>
      </c>
    </row>
    <row r="3486" spans="1:14" x14ac:dyDescent="0.3">
      <c r="A3486" s="2" t="s">
        <v>3552</v>
      </c>
      <c r="B3486" s="6">
        <v>45960</v>
      </c>
      <c r="C3486" s="2" t="s">
        <v>31</v>
      </c>
      <c r="D3486" s="2" t="s">
        <v>60</v>
      </c>
      <c r="E3486" s="2">
        <v>1</v>
      </c>
      <c r="F3486" s="7">
        <v>99</v>
      </c>
      <c r="G3486" s="8">
        <v>0</v>
      </c>
      <c r="H3486" s="9" t="str">
        <f>INDEX(Products!$B$2:$B$37, MATCH(D3486, Products!$A$2:$A$37, 0))</f>
        <v>Football Size 5</v>
      </c>
      <c r="I3486" t="str">
        <f>INDEX(Products!$C$2:$C$37, MATCH(D3486, Products!$A$2:$A$37, 0))</f>
        <v>Sports</v>
      </c>
      <c r="J3486">
        <f>INDEX(Products!$E$2:$E$37, MATCH(D3486, Products!$A$2:$A$37, 0))</f>
        <v>45</v>
      </c>
      <c r="K3486" s="9">
        <f t="shared" si="216"/>
        <v>99</v>
      </c>
      <c r="L3486">
        <f t="shared" si="217"/>
        <v>45</v>
      </c>
      <c r="M3486" s="9">
        <f t="shared" si="218"/>
        <v>54</v>
      </c>
      <c r="N3486" t="str">
        <f t="shared" si="219"/>
        <v>Oct</v>
      </c>
    </row>
    <row r="3487" spans="1:14" x14ac:dyDescent="0.3">
      <c r="A3487" s="2" t="s">
        <v>3553</v>
      </c>
      <c r="B3487" s="6">
        <v>45960</v>
      </c>
      <c r="C3487" s="2" t="s">
        <v>44</v>
      </c>
      <c r="D3487" s="2" t="s">
        <v>103</v>
      </c>
      <c r="E3487" s="2">
        <v>1</v>
      </c>
      <c r="F3487" s="7">
        <v>89</v>
      </c>
      <c r="G3487" s="8">
        <v>0.15</v>
      </c>
      <c r="H3487" s="9" t="str">
        <f>INDEX(Products!$B$2:$B$37, MATCH(D3487, Products!$A$2:$A$37, 0))</f>
        <v>Sunscreen SPF50</v>
      </c>
      <c r="I3487" t="str">
        <f>INDEX(Products!$C$2:$C$37, MATCH(D3487, Products!$A$2:$A$37, 0))</f>
        <v>Beauty</v>
      </c>
      <c r="J3487">
        <f>INDEX(Products!$E$2:$E$37, MATCH(D3487, Products!$A$2:$A$37, 0))</f>
        <v>40</v>
      </c>
      <c r="K3487" s="9">
        <f t="shared" si="216"/>
        <v>75.649999999999991</v>
      </c>
      <c r="L3487">
        <f t="shared" si="217"/>
        <v>40</v>
      </c>
      <c r="M3487" s="9">
        <f t="shared" si="218"/>
        <v>35.649999999999991</v>
      </c>
      <c r="N3487" t="str">
        <f t="shared" si="219"/>
        <v>Oct</v>
      </c>
    </row>
    <row r="3488" spans="1:14" x14ac:dyDescent="0.3">
      <c r="A3488" s="2" t="s">
        <v>3554</v>
      </c>
      <c r="B3488" s="6">
        <v>45960</v>
      </c>
      <c r="C3488" s="2" t="s">
        <v>28</v>
      </c>
      <c r="D3488" s="2" t="s">
        <v>39</v>
      </c>
      <c r="E3488" s="2">
        <v>2</v>
      </c>
      <c r="F3488" s="7">
        <v>199</v>
      </c>
      <c r="G3488" s="8">
        <v>0.05</v>
      </c>
      <c r="H3488" s="9" t="str">
        <f>INDEX(Products!$B$2:$B$37, MATCH(D3488, Products!$A$2:$A$37, 0))</f>
        <v>Bakhoor Gift Set</v>
      </c>
      <c r="I3488" t="str">
        <f>INDEX(Products!$C$2:$C$37, MATCH(D3488, Products!$A$2:$A$37, 0))</f>
        <v>Beauty</v>
      </c>
      <c r="J3488">
        <f>INDEX(Products!$E$2:$E$37, MATCH(D3488, Products!$A$2:$A$37, 0))</f>
        <v>90</v>
      </c>
      <c r="K3488" s="9">
        <f t="shared" si="216"/>
        <v>378.09999999999997</v>
      </c>
      <c r="L3488">
        <f t="shared" si="217"/>
        <v>180</v>
      </c>
      <c r="M3488" s="9">
        <f t="shared" si="218"/>
        <v>198.09999999999997</v>
      </c>
      <c r="N3488" t="str">
        <f t="shared" si="219"/>
        <v>Oct</v>
      </c>
    </row>
    <row r="3489" spans="1:14" x14ac:dyDescent="0.3">
      <c r="A3489" s="2" t="s">
        <v>3555</v>
      </c>
      <c r="B3489" s="6">
        <v>45960</v>
      </c>
      <c r="C3489" s="2" t="s">
        <v>28</v>
      </c>
      <c r="D3489" s="2" t="s">
        <v>37</v>
      </c>
      <c r="E3489" s="2">
        <v>1</v>
      </c>
      <c r="F3489" s="7">
        <v>249</v>
      </c>
      <c r="G3489" s="8">
        <v>0</v>
      </c>
      <c r="H3489" s="9" t="str">
        <f>INDEX(Products!$B$2:$B$37, MATCH(D3489, Products!$A$2:$A$37, 0))</f>
        <v>Sunglasses Polarised</v>
      </c>
      <c r="I3489" t="str">
        <f>INDEX(Products!$C$2:$C$37, MATCH(D3489, Products!$A$2:$A$37, 0))</f>
        <v>Fashion</v>
      </c>
      <c r="J3489">
        <f>INDEX(Products!$E$2:$E$37, MATCH(D3489, Products!$A$2:$A$37, 0))</f>
        <v>95</v>
      </c>
      <c r="K3489" s="9">
        <f t="shared" si="216"/>
        <v>249</v>
      </c>
      <c r="L3489">
        <f t="shared" si="217"/>
        <v>95</v>
      </c>
      <c r="M3489" s="9">
        <f t="shared" si="218"/>
        <v>154</v>
      </c>
      <c r="N3489" t="str">
        <f t="shared" si="219"/>
        <v>Oct</v>
      </c>
    </row>
    <row r="3490" spans="1:14" x14ac:dyDescent="0.3">
      <c r="A3490" s="2" t="s">
        <v>3556</v>
      </c>
      <c r="B3490" s="6">
        <v>45960</v>
      </c>
      <c r="C3490" s="2" t="s">
        <v>41</v>
      </c>
      <c r="D3490" s="2" t="s">
        <v>35</v>
      </c>
      <c r="E3490" s="2">
        <v>4</v>
      </c>
      <c r="F3490" s="7">
        <v>179</v>
      </c>
      <c r="G3490" s="8">
        <v>0.1</v>
      </c>
      <c r="H3490" s="9" t="str">
        <f>INDEX(Products!$B$2:$B$37, MATCH(D3490, Products!$A$2:$A$37, 0))</f>
        <v>Men's Linen Shirt</v>
      </c>
      <c r="I3490" t="str">
        <f>INDEX(Products!$C$2:$C$37, MATCH(D3490, Products!$A$2:$A$37, 0))</f>
        <v>Fashion</v>
      </c>
      <c r="J3490">
        <f>INDEX(Products!$E$2:$E$37, MATCH(D3490, Products!$A$2:$A$37, 0))</f>
        <v>70</v>
      </c>
      <c r="K3490" s="9">
        <f t="shared" si="216"/>
        <v>644.4</v>
      </c>
      <c r="L3490">
        <f t="shared" si="217"/>
        <v>280</v>
      </c>
      <c r="M3490" s="9">
        <f t="shared" si="218"/>
        <v>364.4</v>
      </c>
      <c r="N3490" t="str">
        <f t="shared" si="219"/>
        <v>Oct</v>
      </c>
    </row>
    <row r="3491" spans="1:14" x14ac:dyDescent="0.3">
      <c r="A3491" s="2" t="s">
        <v>3557</v>
      </c>
      <c r="B3491" s="6">
        <v>45960</v>
      </c>
      <c r="C3491" s="2" t="s">
        <v>31</v>
      </c>
      <c r="D3491" s="2" t="s">
        <v>56</v>
      </c>
      <c r="E3491" s="2">
        <v>1</v>
      </c>
      <c r="F3491" s="7">
        <v>289</v>
      </c>
      <c r="G3491" s="8">
        <v>0.1</v>
      </c>
      <c r="H3491" s="9" t="str">
        <f>INDEX(Products!$B$2:$B$37, MATCH(D3491, Products!$A$2:$A$37, 0))</f>
        <v>Ceramic Dinner Set</v>
      </c>
      <c r="I3491" t="str">
        <f>INDEX(Products!$C$2:$C$37, MATCH(D3491, Products!$A$2:$A$37, 0))</f>
        <v>Home &amp; Kitchen</v>
      </c>
      <c r="J3491">
        <f>INDEX(Products!$E$2:$E$37, MATCH(D3491, Products!$A$2:$A$37, 0))</f>
        <v>140</v>
      </c>
      <c r="K3491" s="9">
        <f t="shared" si="216"/>
        <v>260.10000000000002</v>
      </c>
      <c r="L3491">
        <f t="shared" si="217"/>
        <v>140</v>
      </c>
      <c r="M3491" s="9">
        <f t="shared" si="218"/>
        <v>120.10000000000002</v>
      </c>
      <c r="N3491" t="str">
        <f t="shared" si="219"/>
        <v>Oct</v>
      </c>
    </row>
    <row r="3492" spans="1:14" x14ac:dyDescent="0.3">
      <c r="A3492" s="2" t="s">
        <v>3558</v>
      </c>
      <c r="B3492" s="6">
        <v>45960</v>
      </c>
      <c r="C3492" s="2" t="s">
        <v>28</v>
      </c>
      <c r="D3492" s="2" t="s">
        <v>29</v>
      </c>
      <c r="E3492" s="2">
        <v>2</v>
      </c>
      <c r="F3492" s="7">
        <v>229</v>
      </c>
      <c r="G3492" s="8">
        <v>0.15</v>
      </c>
      <c r="H3492" s="9" t="str">
        <f>INDEX(Products!$B$2:$B$37, MATCH(D3492, Products!$A$2:$A$37, 0))</f>
        <v>Women's Summer Dress</v>
      </c>
      <c r="I3492" t="str">
        <f>INDEX(Products!$C$2:$C$37, MATCH(D3492, Products!$A$2:$A$37, 0))</f>
        <v>Fashion</v>
      </c>
      <c r="J3492">
        <f>INDEX(Products!$E$2:$E$37, MATCH(D3492, Products!$A$2:$A$37, 0))</f>
        <v>120</v>
      </c>
      <c r="K3492" s="9">
        <f t="shared" si="216"/>
        <v>389.3</v>
      </c>
      <c r="L3492">
        <f t="shared" si="217"/>
        <v>240</v>
      </c>
      <c r="M3492" s="9">
        <f t="shared" si="218"/>
        <v>149.30000000000001</v>
      </c>
      <c r="N3492" t="str">
        <f t="shared" si="219"/>
        <v>Oct</v>
      </c>
    </row>
    <row r="3493" spans="1:14" x14ac:dyDescent="0.3">
      <c r="A3493" s="2" t="s">
        <v>3559</v>
      </c>
      <c r="B3493" s="6">
        <v>45960</v>
      </c>
      <c r="C3493" s="2" t="s">
        <v>44</v>
      </c>
      <c r="D3493" s="2" t="s">
        <v>58</v>
      </c>
      <c r="E3493" s="2">
        <v>1</v>
      </c>
      <c r="F3493" s="7">
        <v>459</v>
      </c>
      <c r="G3493" s="8">
        <v>0.15</v>
      </c>
      <c r="H3493" s="9" t="str">
        <f>INDEX(Products!$B$2:$B$37, MATCH(D3493, Products!$A$2:$A$37, 0))</f>
        <v>Women's Abaya Classic</v>
      </c>
      <c r="I3493" t="str">
        <f>INDEX(Products!$C$2:$C$37, MATCH(D3493, Products!$A$2:$A$37, 0))</f>
        <v>Fashion</v>
      </c>
      <c r="J3493">
        <f>INDEX(Products!$E$2:$E$37, MATCH(D3493, Products!$A$2:$A$37, 0))</f>
        <v>190</v>
      </c>
      <c r="K3493" s="9">
        <f t="shared" si="216"/>
        <v>390.15</v>
      </c>
      <c r="L3493">
        <f t="shared" si="217"/>
        <v>190</v>
      </c>
      <c r="M3493" s="9">
        <f t="shared" si="218"/>
        <v>200.14999999999998</v>
      </c>
      <c r="N3493" t="str">
        <f t="shared" si="219"/>
        <v>Oct</v>
      </c>
    </row>
    <row r="3494" spans="1:14" x14ac:dyDescent="0.3">
      <c r="A3494" s="2" t="s">
        <v>3560</v>
      </c>
      <c r="B3494" s="6">
        <v>45960</v>
      </c>
      <c r="C3494" s="2" t="s">
        <v>41</v>
      </c>
      <c r="D3494" s="2" t="s">
        <v>129</v>
      </c>
      <c r="E3494" s="2">
        <v>1</v>
      </c>
      <c r="F3494" s="7">
        <v>149</v>
      </c>
      <c r="G3494" s="8">
        <v>0.3</v>
      </c>
      <c r="H3494" s="9" t="str">
        <f>INDEX(Products!$B$2:$B$37, MATCH(D3494, Products!$A$2:$A$37, 0))</f>
        <v>Power Bank 20000mAh</v>
      </c>
      <c r="I3494" t="str">
        <f>INDEX(Products!$C$2:$C$37, MATCH(D3494, Products!$A$2:$A$37, 0))</f>
        <v>Electronics</v>
      </c>
      <c r="J3494">
        <f>INDEX(Products!$E$2:$E$37, MATCH(D3494, Products!$A$2:$A$37, 0))</f>
        <v>70</v>
      </c>
      <c r="K3494" s="9">
        <f t="shared" si="216"/>
        <v>104.3</v>
      </c>
      <c r="L3494">
        <f t="shared" si="217"/>
        <v>70</v>
      </c>
      <c r="M3494" s="9">
        <f t="shared" si="218"/>
        <v>34.299999999999997</v>
      </c>
      <c r="N3494" t="str">
        <f t="shared" si="219"/>
        <v>Oct</v>
      </c>
    </row>
    <row r="3495" spans="1:14" x14ac:dyDescent="0.3">
      <c r="A3495" s="2" t="s">
        <v>3561</v>
      </c>
      <c r="B3495" s="6">
        <v>45960</v>
      </c>
      <c r="C3495" s="2" t="s">
        <v>41</v>
      </c>
      <c r="D3495" s="2" t="s">
        <v>46</v>
      </c>
      <c r="E3495" s="2">
        <v>1</v>
      </c>
      <c r="F3495" s="7">
        <v>189</v>
      </c>
      <c r="G3495" s="8">
        <v>0.05</v>
      </c>
      <c r="H3495" s="9" t="str">
        <f>INDEX(Products!$B$2:$B$37, MATCH(D3495, Products!$A$2:$A$37, 0))</f>
        <v>Makeup Palette</v>
      </c>
      <c r="I3495" t="str">
        <f>INDEX(Products!$C$2:$C$37, MATCH(D3495, Products!$A$2:$A$37, 0))</f>
        <v>Beauty</v>
      </c>
      <c r="J3495">
        <f>INDEX(Products!$E$2:$E$37, MATCH(D3495, Products!$A$2:$A$37, 0))</f>
        <v>85</v>
      </c>
      <c r="K3495" s="9">
        <f t="shared" si="216"/>
        <v>179.54999999999998</v>
      </c>
      <c r="L3495">
        <f t="shared" si="217"/>
        <v>85</v>
      </c>
      <c r="M3495" s="9">
        <f t="shared" si="218"/>
        <v>94.549999999999983</v>
      </c>
      <c r="N3495" t="str">
        <f t="shared" si="219"/>
        <v>Oct</v>
      </c>
    </row>
    <row r="3496" spans="1:14" x14ac:dyDescent="0.3">
      <c r="A3496" s="2" t="s">
        <v>3562</v>
      </c>
      <c r="B3496" s="6">
        <v>45961</v>
      </c>
      <c r="C3496" s="2" t="s">
        <v>41</v>
      </c>
      <c r="D3496" s="2" t="s">
        <v>113</v>
      </c>
      <c r="E3496" s="2">
        <v>1</v>
      </c>
      <c r="F3496" s="7">
        <v>1199</v>
      </c>
      <c r="G3496" s="8">
        <v>0.25</v>
      </c>
      <c r="H3496" s="9" t="str">
        <f>INDEX(Products!$B$2:$B$37, MATCH(D3496, Products!$A$2:$A$37, 0))</f>
        <v>Robot Vacuum S3</v>
      </c>
      <c r="I3496" t="str">
        <f>INDEX(Products!$C$2:$C$37, MATCH(D3496, Products!$A$2:$A$37, 0))</f>
        <v>Home &amp; Kitchen</v>
      </c>
      <c r="J3496">
        <f>INDEX(Products!$E$2:$E$37, MATCH(D3496, Products!$A$2:$A$37, 0))</f>
        <v>1080</v>
      </c>
      <c r="K3496" s="9">
        <f t="shared" si="216"/>
        <v>899.25</v>
      </c>
      <c r="L3496">
        <f t="shared" si="217"/>
        <v>1080</v>
      </c>
      <c r="M3496" s="9">
        <f t="shared" si="218"/>
        <v>-180.75</v>
      </c>
      <c r="N3496" t="str">
        <f t="shared" si="219"/>
        <v>Oct</v>
      </c>
    </row>
    <row r="3497" spans="1:14" x14ac:dyDescent="0.3">
      <c r="A3497" s="2" t="s">
        <v>3563</v>
      </c>
      <c r="B3497" s="6">
        <v>45961</v>
      </c>
      <c r="C3497" s="2" t="s">
        <v>44</v>
      </c>
      <c r="D3497" s="2" t="s">
        <v>83</v>
      </c>
      <c r="E3497" s="2">
        <v>4</v>
      </c>
      <c r="F3497" s="7">
        <v>229</v>
      </c>
      <c r="G3497" s="8">
        <v>0.2</v>
      </c>
      <c r="H3497" s="9" t="str">
        <f>INDEX(Products!$B$2:$B$37, MATCH(D3497, Products!$A$2:$A$37, 0))</f>
        <v>Cycling Helmet</v>
      </c>
      <c r="I3497" t="str">
        <f>INDEX(Products!$C$2:$C$37, MATCH(D3497, Products!$A$2:$A$37, 0))</f>
        <v>Sports</v>
      </c>
      <c r="J3497">
        <f>INDEX(Products!$E$2:$E$37, MATCH(D3497, Products!$A$2:$A$37, 0))</f>
        <v>120</v>
      </c>
      <c r="K3497" s="9">
        <f t="shared" si="216"/>
        <v>732.80000000000007</v>
      </c>
      <c r="L3497">
        <f t="shared" si="217"/>
        <v>480</v>
      </c>
      <c r="M3497" s="9">
        <f t="shared" si="218"/>
        <v>252.80000000000007</v>
      </c>
      <c r="N3497" t="str">
        <f t="shared" si="219"/>
        <v>Oct</v>
      </c>
    </row>
    <row r="3498" spans="1:14" x14ac:dyDescent="0.3">
      <c r="A3498" s="2" t="s">
        <v>3564</v>
      </c>
      <c r="B3498" s="6">
        <v>45961</v>
      </c>
      <c r="C3498" s="2" t="s">
        <v>31</v>
      </c>
      <c r="D3498" s="2" t="s">
        <v>89</v>
      </c>
      <c r="E3498" s="2">
        <v>1</v>
      </c>
      <c r="F3498" s="7">
        <v>399</v>
      </c>
      <c r="G3498" s="8">
        <v>0</v>
      </c>
      <c r="H3498" s="9" t="str">
        <f>INDEX(Products!$B$2:$B$37, MATCH(D3498, Products!$A$2:$A$37, 0))</f>
        <v>Men's Kandura Premium</v>
      </c>
      <c r="I3498" t="str">
        <f>INDEX(Products!$C$2:$C$37, MATCH(D3498, Products!$A$2:$A$37, 0))</f>
        <v>Fashion</v>
      </c>
      <c r="J3498">
        <f>INDEX(Products!$E$2:$E$37, MATCH(D3498, Products!$A$2:$A$37, 0))</f>
        <v>210</v>
      </c>
      <c r="K3498" s="9">
        <f t="shared" si="216"/>
        <v>399</v>
      </c>
      <c r="L3498">
        <f t="shared" si="217"/>
        <v>210</v>
      </c>
      <c r="M3498" s="9">
        <f t="shared" si="218"/>
        <v>189</v>
      </c>
      <c r="N3498" t="str">
        <f t="shared" si="219"/>
        <v>Oct</v>
      </c>
    </row>
    <row r="3499" spans="1:14" x14ac:dyDescent="0.3">
      <c r="A3499" s="2" t="s">
        <v>3565</v>
      </c>
      <c r="B3499" s="6">
        <v>45961</v>
      </c>
      <c r="C3499" s="2" t="s">
        <v>28</v>
      </c>
      <c r="D3499" s="2" t="s">
        <v>65</v>
      </c>
      <c r="E3499" s="2">
        <v>1</v>
      </c>
      <c r="F3499" s="7">
        <v>129</v>
      </c>
      <c r="G3499" s="8">
        <v>0.05</v>
      </c>
      <c r="H3499" s="9" t="str">
        <f>INDEX(Products!$B$2:$B$37, MATCH(D3499, Products!$A$2:$A$37, 0))</f>
        <v>Yoga Mat Premium</v>
      </c>
      <c r="I3499" t="str">
        <f>INDEX(Products!$C$2:$C$37, MATCH(D3499, Products!$A$2:$A$37, 0))</f>
        <v>Sports</v>
      </c>
      <c r="J3499">
        <f>INDEX(Products!$E$2:$E$37, MATCH(D3499, Products!$A$2:$A$37, 0))</f>
        <v>60</v>
      </c>
      <c r="K3499" s="9">
        <f t="shared" si="216"/>
        <v>122.55</v>
      </c>
      <c r="L3499">
        <f t="shared" si="217"/>
        <v>60</v>
      </c>
      <c r="M3499" s="9">
        <f t="shared" si="218"/>
        <v>62.55</v>
      </c>
      <c r="N3499" t="str">
        <f t="shared" si="219"/>
        <v>Oct</v>
      </c>
    </row>
    <row r="3500" spans="1:14" x14ac:dyDescent="0.3">
      <c r="A3500" s="2" t="s">
        <v>3566</v>
      </c>
      <c r="B3500" s="6">
        <v>45961</v>
      </c>
      <c r="C3500" s="2" t="s">
        <v>44</v>
      </c>
      <c r="D3500" s="2" t="s">
        <v>103</v>
      </c>
      <c r="E3500" s="2">
        <v>3</v>
      </c>
      <c r="F3500" s="7">
        <v>89</v>
      </c>
      <c r="G3500" s="8">
        <v>0.1</v>
      </c>
      <c r="H3500" s="9" t="str">
        <f>INDEX(Products!$B$2:$B$37, MATCH(D3500, Products!$A$2:$A$37, 0))</f>
        <v>Sunscreen SPF50</v>
      </c>
      <c r="I3500" t="str">
        <f>INDEX(Products!$C$2:$C$37, MATCH(D3500, Products!$A$2:$A$37, 0))</f>
        <v>Beauty</v>
      </c>
      <c r="J3500">
        <f>INDEX(Products!$E$2:$E$37, MATCH(D3500, Products!$A$2:$A$37, 0))</f>
        <v>40</v>
      </c>
      <c r="K3500" s="9">
        <f t="shared" si="216"/>
        <v>240.3</v>
      </c>
      <c r="L3500">
        <f t="shared" si="217"/>
        <v>120</v>
      </c>
      <c r="M3500" s="9">
        <f t="shared" si="218"/>
        <v>120.30000000000001</v>
      </c>
      <c r="N3500" t="str">
        <f t="shared" si="219"/>
        <v>Oct</v>
      </c>
    </row>
    <row r="3501" spans="1:14" x14ac:dyDescent="0.3">
      <c r="A3501" s="2" t="s">
        <v>3567</v>
      </c>
      <c r="B3501" s="6">
        <v>45961</v>
      </c>
      <c r="C3501" s="2" t="s">
        <v>44</v>
      </c>
      <c r="D3501" s="2" t="s">
        <v>129</v>
      </c>
      <c r="E3501" s="2">
        <v>1</v>
      </c>
      <c r="F3501" s="7">
        <v>149</v>
      </c>
      <c r="G3501" s="8">
        <v>0.15</v>
      </c>
      <c r="H3501" s="9" t="str">
        <f>INDEX(Products!$B$2:$B$37, MATCH(D3501, Products!$A$2:$A$37, 0))</f>
        <v>Power Bank 20000mAh</v>
      </c>
      <c r="I3501" t="str">
        <f>INDEX(Products!$C$2:$C$37, MATCH(D3501, Products!$A$2:$A$37, 0))</f>
        <v>Electronics</v>
      </c>
      <c r="J3501">
        <f>INDEX(Products!$E$2:$E$37, MATCH(D3501, Products!$A$2:$A$37, 0))</f>
        <v>70</v>
      </c>
      <c r="K3501" s="9">
        <f t="shared" si="216"/>
        <v>126.64999999999999</v>
      </c>
      <c r="L3501">
        <f t="shared" si="217"/>
        <v>70</v>
      </c>
      <c r="M3501" s="9">
        <f t="shared" si="218"/>
        <v>56.649999999999991</v>
      </c>
      <c r="N3501" t="str">
        <f t="shared" si="219"/>
        <v>Oct</v>
      </c>
    </row>
    <row r="3502" spans="1:14" x14ac:dyDescent="0.3">
      <c r="A3502" s="2" t="s">
        <v>3568</v>
      </c>
      <c r="B3502" s="6">
        <v>45961</v>
      </c>
      <c r="C3502" s="2" t="s">
        <v>41</v>
      </c>
      <c r="D3502" s="2" t="s">
        <v>52</v>
      </c>
      <c r="E3502" s="2">
        <v>1</v>
      </c>
      <c r="F3502" s="7">
        <v>299</v>
      </c>
      <c r="G3502" s="8">
        <v>0.25</v>
      </c>
      <c r="H3502" s="9" t="str">
        <f>INDEX(Products!$B$2:$B$37, MATCH(D3502, Products!$A$2:$A$37, 0))</f>
        <v>Hair Dryer Ionic</v>
      </c>
      <c r="I3502" t="str">
        <f>INDEX(Products!$C$2:$C$37, MATCH(D3502, Products!$A$2:$A$37, 0))</f>
        <v>Beauty</v>
      </c>
      <c r="J3502">
        <f>INDEX(Products!$E$2:$E$37, MATCH(D3502, Products!$A$2:$A$37, 0))</f>
        <v>240</v>
      </c>
      <c r="K3502" s="9">
        <f t="shared" si="216"/>
        <v>224.25</v>
      </c>
      <c r="L3502">
        <f t="shared" si="217"/>
        <v>240</v>
      </c>
      <c r="M3502" s="9">
        <f t="shared" si="218"/>
        <v>-15.75</v>
      </c>
      <c r="N3502" t="str">
        <f t="shared" si="219"/>
        <v>Oct</v>
      </c>
    </row>
    <row r="3503" spans="1:14" x14ac:dyDescent="0.3">
      <c r="A3503" s="2" t="s">
        <v>3569</v>
      </c>
      <c r="B3503" s="6">
        <v>45961</v>
      </c>
      <c r="C3503" s="2" t="s">
        <v>31</v>
      </c>
      <c r="D3503" s="2" t="s">
        <v>99</v>
      </c>
      <c r="E3503" s="2">
        <v>1</v>
      </c>
      <c r="F3503" s="7">
        <v>459</v>
      </c>
      <c r="G3503" s="8">
        <v>0.1</v>
      </c>
      <c r="H3503" s="9" t="str">
        <f>INDEX(Products!$B$2:$B$37, MATCH(D3503, Products!$A$2:$A$37, 0))</f>
        <v>Gaming Headset X</v>
      </c>
      <c r="I3503" t="str">
        <f>INDEX(Products!$C$2:$C$37, MATCH(D3503, Products!$A$2:$A$37, 0))</f>
        <v>Electronics</v>
      </c>
      <c r="J3503">
        <f>INDEX(Products!$E$2:$E$37, MATCH(D3503, Products!$A$2:$A$37, 0))</f>
        <v>300</v>
      </c>
      <c r="K3503" s="9">
        <f t="shared" si="216"/>
        <v>413.1</v>
      </c>
      <c r="L3503">
        <f t="shared" si="217"/>
        <v>300</v>
      </c>
      <c r="M3503" s="9">
        <f t="shared" si="218"/>
        <v>113.10000000000002</v>
      </c>
      <c r="N3503" t="str">
        <f t="shared" si="219"/>
        <v>Oct</v>
      </c>
    </row>
    <row r="3504" spans="1:14" x14ac:dyDescent="0.3">
      <c r="A3504" s="2" t="s">
        <v>3570</v>
      </c>
      <c r="B3504" s="6">
        <v>45961</v>
      </c>
      <c r="C3504" s="2" t="s">
        <v>44</v>
      </c>
      <c r="D3504" s="2" t="s">
        <v>42</v>
      </c>
      <c r="E3504" s="2">
        <v>1</v>
      </c>
      <c r="F3504" s="7">
        <v>399</v>
      </c>
      <c r="G3504" s="8">
        <v>0</v>
      </c>
      <c r="H3504" s="9" t="str">
        <f>INDEX(Products!$B$2:$B$37, MATCH(D3504, Products!$A$2:$A$37, 0))</f>
        <v>Wireless Earbuds Pro</v>
      </c>
      <c r="I3504" t="str">
        <f>INDEX(Products!$C$2:$C$37, MATCH(D3504, Products!$A$2:$A$37, 0))</f>
        <v>Electronics</v>
      </c>
      <c r="J3504">
        <f>INDEX(Products!$E$2:$E$37, MATCH(D3504, Products!$A$2:$A$37, 0))</f>
        <v>230</v>
      </c>
      <c r="K3504" s="9">
        <f t="shared" si="216"/>
        <v>399</v>
      </c>
      <c r="L3504">
        <f t="shared" si="217"/>
        <v>230</v>
      </c>
      <c r="M3504" s="9">
        <f t="shared" si="218"/>
        <v>169</v>
      </c>
      <c r="N3504" t="str">
        <f t="shared" si="219"/>
        <v>Oct</v>
      </c>
    </row>
    <row r="3505" spans="1:14" x14ac:dyDescent="0.3">
      <c r="A3505" s="2" t="s">
        <v>3571</v>
      </c>
      <c r="B3505" s="6">
        <v>45961</v>
      </c>
      <c r="C3505" s="2" t="s">
        <v>44</v>
      </c>
      <c r="D3505" s="2" t="s">
        <v>33</v>
      </c>
      <c r="E3505" s="2">
        <v>1</v>
      </c>
      <c r="F3505" s="7">
        <v>199</v>
      </c>
      <c r="G3505" s="8">
        <v>0.2</v>
      </c>
      <c r="H3505" s="9" t="str">
        <f>INDEX(Products!$B$2:$B$37, MATCH(D3505, Products!$A$2:$A$37, 0))</f>
        <v>Fitness Band Lite</v>
      </c>
      <c r="I3505" t="str">
        <f>INDEX(Products!$C$2:$C$37, MATCH(D3505, Products!$A$2:$A$37, 0))</f>
        <v>Electronics</v>
      </c>
      <c r="J3505">
        <f>INDEX(Products!$E$2:$E$37, MATCH(D3505, Products!$A$2:$A$37, 0))</f>
        <v>175</v>
      </c>
      <c r="K3505" s="9">
        <f t="shared" si="216"/>
        <v>159.20000000000002</v>
      </c>
      <c r="L3505">
        <f t="shared" si="217"/>
        <v>175</v>
      </c>
      <c r="M3505" s="9">
        <f t="shared" si="218"/>
        <v>-15.799999999999983</v>
      </c>
      <c r="N3505" t="str">
        <f t="shared" si="219"/>
        <v>Oct</v>
      </c>
    </row>
    <row r="3506" spans="1:14" x14ac:dyDescent="0.3">
      <c r="A3506" s="2" t="s">
        <v>3572</v>
      </c>
      <c r="B3506" s="6">
        <v>45961</v>
      </c>
      <c r="C3506" s="2" t="s">
        <v>41</v>
      </c>
      <c r="D3506" s="2" t="s">
        <v>106</v>
      </c>
      <c r="E3506" s="2">
        <v>2</v>
      </c>
      <c r="F3506" s="7">
        <v>1299</v>
      </c>
      <c r="G3506" s="8">
        <v>0.15</v>
      </c>
      <c r="H3506" s="9" t="str">
        <f>INDEX(Products!$B$2:$B$37, MATCH(D3506, Products!$A$2:$A$37, 0))</f>
        <v>Smart Watch Series 5</v>
      </c>
      <c r="I3506" t="str">
        <f>INDEX(Products!$C$2:$C$37, MATCH(D3506, Products!$A$2:$A$37, 0))</f>
        <v>Electronics</v>
      </c>
      <c r="J3506">
        <f>INDEX(Products!$E$2:$E$37, MATCH(D3506, Products!$A$2:$A$37, 0))</f>
        <v>820</v>
      </c>
      <c r="K3506" s="9">
        <f t="shared" si="216"/>
        <v>2208.2999999999997</v>
      </c>
      <c r="L3506">
        <f t="shared" si="217"/>
        <v>1640</v>
      </c>
      <c r="M3506" s="9">
        <f t="shared" si="218"/>
        <v>568.29999999999973</v>
      </c>
      <c r="N3506" t="str">
        <f t="shared" si="219"/>
        <v>Oct</v>
      </c>
    </row>
    <row r="3507" spans="1:14" x14ac:dyDescent="0.3">
      <c r="A3507" s="2" t="s">
        <v>3573</v>
      </c>
      <c r="B3507" s="6">
        <v>45961</v>
      </c>
      <c r="C3507" s="2" t="s">
        <v>44</v>
      </c>
      <c r="D3507" s="2" t="s">
        <v>68</v>
      </c>
      <c r="E3507" s="2">
        <v>3</v>
      </c>
      <c r="F3507" s="7">
        <v>249</v>
      </c>
      <c r="G3507" s="8">
        <v>0</v>
      </c>
      <c r="H3507" s="9" t="str">
        <f>INDEX(Products!$B$2:$B$37, MATCH(D3507, Products!$A$2:$A$37, 0))</f>
        <v>Bluetooth Speaker Mini</v>
      </c>
      <c r="I3507" t="str">
        <f>INDEX(Products!$C$2:$C$37, MATCH(D3507, Products!$A$2:$A$37, 0))</f>
        <v>Electronics</v>
      </c>
      <c r="J3507">
        <f>INDEX(Products!$E$2:$E$37, MATCH(D3507, Products!$A$2:$A$37, 0))</f>
        <v>150</v>
      </c>
      <c r="K3507" s="9">
        <f t="shared" si="216"/>
        <v>747</v>
      </c>
      <c r="L3507">
        <f t="shared" si="217"/>
        <v>450</v>
      </c>
      <c r="M3507" s="9">
        <f t="shared" si="218"/>
        <v>297</v>
      </c>
      <c r="N3507" t="str">
        <f t="shared" si="219"/>
        <v>Oct</v>
      </c>
    </row>
    <row r="3508" spans="1:14" x14ac:dyDescent="0.3">
      <c r="A3508" s="2" t="s">
        <v>3574</v>
      </c>
      <c r="B3508" s="6">
        <v>45962</v>
      </c>
      <c r="C3508" s="2" t="s">
        <v>28</v>
      </c>
      <c r="D3508" s="2" t="s">
        <v>103</v>
      </c>
      <c r="E3508" s="2">
        <v>1</v>
      </c>
      <c r="F3508" s="7">
        <v>89</v>
      </c>
      <c r="G3508" s="8">
        <v>0</v>
      </c>
      <c r="H3508" s="9" t="str">
        <f>INDEX(Products!$B$2:$B$37, MATCH(D3508, Products!$A$2:$A$37, 0))</f>
        <v>Sunscreen SPF50</v>
      </c>
      <c r="I3508" t="str">
        <f>INDEX(Products!$C$2:$C$37, MATCH(D3508, Products!$A$2:$A$37, 0))</f>
        <v>Beauty</v>
      </c>
      <c r="J3508">
        <f>INDEX(Products!$E$2:$E$37, MATCH(D3508, Products!$A$2:$A$37, 0))</f>
        <v>40</v>
      </c>
      <c r="K3508" s="9">
        <f t="shared" si="216"/>
        <v>89</v>
      </c>
      <c r="L3508">
        <f t="shared" si="217"/>
        <v>40</v>
      </c>
      <c r="M3508" s="9">
        <f t="shared" si="218"/>
        <v>49</v>
      </c>
      <c r="N3508" t="str">
        <f t="shared" si="219"/>
        <v>Nov</v>
      </c>
    </row>
    <row r="3509" spans="1:14" x14ac:dyDescent="0.3">
      <c r="A3509" s="2" t="s">
        <v>3575</v>
      </c>
      <c r="B3509" s="6">
        <v>45962</v>
      </c>
      <c r="C3509" s="2" t="s">
        <v>44</v>
      </c>
      <c r="D3509" s="2" t="s">
        <v>56</v>
      </c>
      <c r="E3509" s="2">
        <v>1</v>
      </c>
      <c r="F3509" s="7">
        <v>289</v>
      </c>
      <c r="G3509" s="8">
        <v>0.3</v>
      </c>
      <c r="H3509" s="9" t="str">
        <f>INDEX(Products!$B$2:$B$37, MATCH(D3509, Products!$A$2:$A$37, 0))</f>
        <v>Ceramic Dinner Set</v>
      </c>
      <c r="I3509" t="str">
        <f>INDEX(Products!$C$2:$C$37, MATCH(D3509, Products!$A$2:$A$37, 0))</f>
        <v>Home &amp; Kitchen</v>
      </c>
      <c r="J3509">
        <f>INDEX(Products!$E$2:$E$37, MATCH(D3509, Products!$A$2:$A$37, 0))</f>
        <v>140</v>
      </c>
      <c r="K3509" s="9">
        <f t="shared" si="216"/>
        <v>202.29999999999998</v>
      </c>
      <c r="L3509">
        <f t="shared" si="217"/>
        <v>140</v>
      </c>
      <c r="M3509" s="9">
        <f t="shared" si="218"/>
        <v>62.299999999999983</v>
      </c>
      <c r="N3509" t="str">
        <f t="shared" si="219"/>
        <v>Nov</v>
      </c>
    </row>
    <row r="3510" spans="1:14" x14ac:dyDescent="0.3">
      <c r="A3510" s="2" t="s">
        <v>3576</v>
      </c>
      <c r="B3510" s="6">
        <v>45962</v>
      </c>
      <c r="C3510" s="2" t="s">
        <v>28</v>
      </c>
      <c r="D3510" s="2" t="s">
        <v>46</v>
      </c>
      <c r="E3510" s="2">
        <v>1</v>
      </c>
      <c r="F3510" s="7">
        <v>189</v>
      </c>
      <c r="G3510" s="8">
        <v>0</v>
      </c>
      <c r="H3510" s="9" t="str">
        <f>INDEX(Products!$B$2:$B$37, MATCH(D3510, Products!$A$2:$A$37, 0))</f>
        <v>Makeup Palette</v>
      </c>
      <c r="I3510" t="str">
        <f>INDEX(Products!$C$2:$C$37, MATCH(D3510, Products!$A$2:$A$37, 0))</f>
        <v>Beauty</v>
      </c>
      <c r="J3510">
        <f>INDEX(Products!$E$2:$E$37, MATCH(D3510, Products!$A$2:$A$37, 0))</f>
        <v>85</v>
      </c>
      <c r="K3510" s="9">
        <f t="shared" si="216"/>
        <v>189</v>
      </c>
      <c r="L3510">
        <f t="shared" si="217"/>
        <v>85</v>
      </c>
      <c r="M3510" s="9">
        <f t="shared" si="218"/>
        <v>104</v>
      </c>
      <c r="N3510" t="str">
        <f t="shared" si="219"/>
        <v>Nov</v>
      </c>
    </row>
    <row r="3511" spans="1:14" x14ac:dyDescent="0.3">
      <c r="A3511" s="2" t="s">
        <v>3577</v>
      </c>
      <c r="B3511" s="6">
        <v>45962</v>
      </c>
      <c r="C3511" s="2" t="s">
        <v>44</v>
      </c>
      <c r="D3511" s="2" t="s">
        <v>92</v>
      </c>
      <c r="E3511" s="2">
        <v>1</v>
      </c>
      <c r="F3511" s="7">
        <v>349</v>
      </c>
      <c r="G3511" s="8">
        <v>0</v>
      </c>
      <c r="H3511" s="9" t="str">
        <f>INDEX(Products!$B$2:$B$37, MATCH(D3511, Products!$A$2:$A$37, 0))</f>
        <v>Non-stick Cookware Set</v>
      </c>
      <c r="I3511" t="str">
        <f>INDEX(Products!$C$2:$C$37, MATCH(D3511, Products!$A$2:$A$37, 0))</f>
        <v>Home &amp; Kitchen</v>
      </c>
      <c r="J3511">
        <f>INDEX(Products!$E$2:$E$37, MATCH(D3511, Products!$A$2:$A$37, 0))</f>
        <v>170</v>
      </c>
      <c r="K3511" s="9">
        <f t="shared" si="216"/>
        <v>349</v>
      </c>
      <c r="L3511">
        <f t="shared" si="217"/>
        <v>170</v>
      </c>
      <c r="M3511" s="9">
        <f t="shared" si="218"/>
        <v>179</v>
      </c>
      <c r="N3511" t="str">
        <f t="shared" si="219"/>
        <v>Nov</v>
      </c>
    </row>
    <row r="3512" spans="1:14" x14ac:dyDescent="0.3">
      <c r="A3512" s="2" t="s">
        <v>3578</v>
      </c>
      <c r="B3512" s="6">
        <v>45962</v>
      </c>
      <c r="C3512" s="2" t="s">
        <v>31</v>
      </c>
      <c r="D3512" s="2" t="s">
        <v>129</v>
      </c>
      <c r="E3512" s="2">
        <v>1</v>
      </c>
      <c r="F3512" s="7">
        <v>149</v>
      </c>
      <c r="G3512" s="8">
        <v>0</v>
      </c>
      <c r="H3512" s="9" t="str">
        <f>INDEX(Products!$B$2:$B$37, MATCH(D3512, Products!$A$2:$A$37, 0))</f>
        <v>Power Bank 20000mAh</v>
      </c>
      <c r="I3512" t="str">
        <f>INDEX(Products!$C$2:$C$37, MATCH(D3512, Products!$A$2:$A$37, 0))</f>
        <v>Electronics</v>
      </c>
      <c r="J3512">
        <f>INDEX(Products!$E$2:$E$37, MATCH(D3512, Products!$A$2:$A$37, 0))</f>
        <v>70</v>
      </c>
      <c r="K3512" s="9">
        <f t="shared" si="216"/>
        <v>149</v>
      </c>
      <c r="L3512">
        <f t="shared" si="217"/>
        <v>70</v>
      </c>
      <c r="M3512" s="9">
        <f t="shared" si="218"/>
        <v>79</v>
      </c>
      <c r="N3512" t="str">
        <f t="shared" si="219"/>
        <v>Nov</v>
      </c>
    </row>
    <row r="3513" spans="1:14" x14ac:dyDescent="0.3">
      <c r="A3513" s="2" t="s">
        <v>3579</v>
      </c>
      <c r="B3513" s="6">
        <v>45963</v>
      </c>
      <c r="C3513" s="2" t="s">
        <v>48</v>
      </c>
      <c r="D3513" s="2" t="s">
        <v>58</v>
      </c>
      <c r="E3513" s="2">
        <v>3</v>
      </c>
      <c r="F3513" s="7">
        <v>459</v>
      </c>
      <c r="G3513" s="8">
        <v>0.3</v>
      </c>
      <c r="H3513" s="9" t="str">
        <f>INDEX(Products!$B$2:$B$37, MATCH(D3513, Products!$A$2:$A$37, 0))</f>
        <v>Women's Abaya Classic</v>
      </c>
      <c r="I3513" t="str">
        <f>INDEX(Products!$C$2:$C$37, MATCH(D3513, Products!$A$2:$A$37, 0))</f>
        <v>Fashion</v>
      </c>
      <c r="J3513">
        <f>INDEX(Products!$E$2:$E$37, MATCH(D3513, Products!$A$2:$A$37, 0))</f>
        <v>190</v>
      </c>
      <c r="K3513" s="9">
        <f t="shared" si="216"/>
        <v>963.9</v>
      </c>
      <c r="L3513">
        <f t="shared" si="217"/>
        <v>570</v>
      </c>
      <c r="M3513" s="9">
        <f t="shared" si="218"/>
        <v>393.9</v>
      </c>
      <c r="N3513" t="str">
        <f t="shared" si="219"/>
        <v>Nov</v>
      </c>
    </row>
    <row r="3514" spans="1:14" x14ac:dyDescent="0.3">
      <c r="A3514" s="2" t="s">
        <v>3580</v>
      </c>
      <c r="B3514" s="6">
        <v>45963</v>
      </c>
      <c r="C3514" s="2" t="s">
        <v>41</v>
      </c>
      <c r="D3514" s="2" t="s">
        <v>68</v>
      </c>
      <c r="E3514" s="2">
        <v>1</v>
      </c>
      <c r="F3514" s="7">
        <v>249</v>
      </c>
      <c r="G3514" s="8">
        <v>0.05</v>
      </c>
      <c r="H3514" s="9" t="str">
        <f>INDEX(Products!$B$2:$B$37, MATCH(D3514, Products!$A$2:$A$37, 0))</f>
        <v>Bluetooth Speaker Mini</v>
      </c>
      <c r="I3514" t="str">
        <f>INDEX(Products!$C$2:$C$37, MATCH(D3514, Products!$A$2:$A$37, 0))</f>
        <v>Electronics</v>
      </c>
      <c r="J3514">
        <f>INDEX(Products!$E$2:$E$37, MATCH(D3514, Products!$A$2:$A$37, 0))</f>
        <v>150</v>
      </c>
      <c r="K3514" s="9">
        <f t="shared" si="216"/>
        <v>236.54999999999998</v>
      </c>
      <c r="L3514">
        <f t="shared" si="217"/>
        <v>150</v>
      </c>
      <c r="M3514" s="9">
        <f t="shared" si="218"/>
        <v>86.549999999999983</v>
      </c>
      <c r="N3514" t="str">
        <f t="shared" si="219"/>
        <v>Nov</v>
      </c>
    </row>
    <row r="3515" spans="1:14" x14ac:dyDescent="0.3">
      <c r="A3515" s="2" t="s">
        <v>3581</v>
      </c>
      <c r="B3515" s="6">
        <v>45963</v>
      </c>
      <c r="C3515" s="2" t="s">
        <v>48</v>
      </c>
      <c r="D3515" s="2" t="s">
        <v>56</v>
      </c>
      <c r="E3515" s="2">
        <v>2</v>
      </c>
      <c r="F3515" s="7">
        <v>289</v>
      </c>
      <c r="G3515" s="8">
        <v>0.2</v>
      </c>
      <c r="H3515" s="9" t="str">
        <f>INDEX(Products!$B$2:$B$37, MATCH(D3515, Products!$A$2:$A$37, 0))</f>
        <v>Ceramic Dinner Set</v>
      </c>
      <c r="I3515" t="str">
        <f>INDEX(Products!$C$2:$C$37, MATCH(D3515, Products!$A$2:$A$37, 0))</f>
        <v>Home &amp; Kitchen</v>
      </c>
      <c r="J3515">
        <f>INDEX(Products!$E$2:$E$37, MATCH(D3515, Products!$A$2:$A$37, 0))</f>
        <v>140</v>
      </c>
      <c r="K3515" s="9">
        <f t="shared" si="216"/>
        <v>462.40000000000003</v>
      </c>
      <c r="L3515">
        <f t="shared" si="217"/>
        <v>280</v>
      </c>
      <c r="M3515" s="9">
        <f t="shared" si="218"/>
        <v>182.40000000000003</v>
      </c>
      <c r="N3515" t="str">
        <f t="shared" si="219"/>
        <v>Nov</v>
      </c>
    </row>
    <row r="3516" spans="1:14" x14ac:dyDescent="0.3">
      <c r="A3516" s="2" t="s">
        <v>3582</v>
      </c>
      <c r="B3516" s="6">
        <v>45963</v>
      </c>
      <c r="C3516" s="2" t="s">
        <v>31</v>
      </c>
      <c r="D3516" s="2" t="s">
        <v>52</v>
      </c>
      <c r="E3516" s="2">
        <v>1</v>
      </c>
      <c r="F3516" s="7">
        <v>299</v>
      </c>
      <c r="G3516" s="8">
        <v>0.25</v>
      </c>
      <c r="H3516" s="9" t="str">
        <f>INDEX(Products!$B$2:$B$37, MATCH(D3516, Products!$A$2:$A$37, 0))</f>
        <v>Hair Dryer Ionic</v>
      </c>
      <c r="I3516" t="str">
        <f>INDEX(Products!$C$2:$C$37, MATCH(D3516, Products!$A$2:$A$37, 0))</f>
        <v>Beauty</v>
      </c>
      <c r="J3516">
        <f>INDEX(Products!$E$2:$E$37, MATCH(D3516, Products!$A$2:$A$37, 0))</f>
        <v>240</v>
      </c>
      <c r="K3516" s="9">
        <f t="shared" si="216"/>
        <v>224.25</v>
      </c>
      <c r="L3516">
        <f t="shared" si="217"/>
        <v>240</v>
      </c>
      <c r="M3516" s="9">
        <f t="shared" si="218"/>
        <v>-15.75</v>
      </c>
      <c r="N3516" t="str">
        <f t="shared" si="219"/>
        <v>Nov</v>
      </c>
    </row>
    <row r="3517" spans="1:14" x14ac:dyDescent="0.3">
      <c r="A3517" s="2" t="s">
        <v>3583</v>
      </c>
      <c r="B3517" s="6">
        <v>45963</v>
      </c>
      <c r="C3517" s="2" t="s">
        <v>44</v>
      </c>
      <c r="D3517" s="2" t="s">
        <v>39</v>
      </c>
      <c r="E3517" s="2">
        <v>1</v>
      </c>
      <c r="F3517" s="7">
        <v>199</v>
      </c>
      <c r="G3517" s="8">
        <v>0</v>
      </c>
      <c r="H3517" s="9" t="str">
        <f>INDEX(Products!$B$2:$B$37, MATCH(D3517, Products!$A$2:$A$37, 0))</f>
        <v>Bakhoor Gift Set</v>
      </c>
      <c r="I3517" t="str">
        <f>INDEX(Products!$C$2:$C$37, MATCH(D3517, Products!$A$2:$A$37, 0))</f>
        <v>Beauty</v>
      </c>
      <c r="J3517">
        <f>INDEX(Products!$E$2:$E$37, MATCH(D3517, Products!$A$2:$A$37, 0))</f>
        <v>90</v>
      </c>
      <c r="K3517" s="9">
        <f t="shared" si="216"/>
        <v>199</v>
      </c>
      <c r="L3517">
        <f t="shared" si="217"/>
        <v>90</v>
      </c>
      <c r="M3517" s="9">
        <f t="shared" si="218"/>
        <v>109</v>
      </c>
      <c r="N3517" t="str">
        <f t="shared" si="219"/>
        <v>Nov</v>
      </c>
    </row>
    <row r="3518" spans="1:14" x14ac:dyDescent="0.3">
      <c r="A3518" s="2" t="s">
        <v>3584</v>
      </c>
      <c r="B3518" s="6">
        <v>45963</v>
      </c>
      <c r="C3518" s="2" t="s">
        <v>44</v>
      </c>
      <c r="D3518" s="2" t="s">
        <v>60</v>
      </c>
      <c r="E3518" s="2">
        <v>1</v>
      </c>
      <c r="F3518" s="7">
        <v>99</v>
      </c>
      <c r="G3518" s="8">
        <v>0.3</v>
      </c>
      <c r="H3518" s="9" t="str">
        <f>INDEX(Products!$B$2:$B$37, MATCH(D3518, Products!$A$2:$A$37, 0))</f>
        <v>Football Size 5</v>
      </c>
      <c r="I3518" t="str">
        <f>INDEX(Products!$C$2:$C$37, MATCH(D3518, Products!$A$2:$A$37, 0))</f>
        <v>Sports</v>
      </c>
      <c r="J3518">
        <f>INDEX(Products!$E$2:$E$37, MATCH(D3518, Products!$A$2:$A$37, 0))</f>
        <v>45</v>
      </c>
      <c r="K3518" s="9">
        <f t="shared" si="216"/>
        <v>69.3</v>
      </c>
      <c r="L3518">
        <f t="shared" si="217"/>
        <v>45</v>
      </c>
      <c r="M3518" s="9">
        <f t="shared" si="218"/>
        <v>24.299999999999997</v>
      </c>
      <c r="N3518" t="str">
        <f t="shared" si="219"/>
        <v>Nov</v>
      </c>
    </row>
    <row r="3519" spans="1:14" x14ac:dyDescent="0.3">
      <c r="A3519" s="2" t="s">
        <v>3585</v>
      </c>
      <c r="B3519" s="6">
        <v>45963</v>
      </c>
      <c r="C3519" s="2" t="s">
        <v>41</v>
      </c>
      <c r="D3519" s="2" t="s">
        <v>165</v>
      </c>
      <c r="E3519" s="2">
        <v>3</v>
      </c>
      <c r="F3519" s="7">
        <v>69</v>
      </c>
      <c r="G3519" s="8">
        <v>0.2</v>
      </c>
      <c r="H3519" s="9" t="str">
        <f>INDEX(Products!$B$2:$B$37, MATCH(D3519, Products!$A$2:$A$37, 0))</f>
        <v>Swim Goggles</v>
      </c>
      <c r="I3519" t="str">
        <f>INDEX(Products!$C$2:$C$37, MATCH(D3519, Products!$A$2:$A$37, 0))</f>
        <v>Sports</v>
      </c>
      <c r="J3519">
        <f>INDEX(Products!$E$2:$E$37, MATCH(D3519, Products!$A$2:$A$37, 0))</f>
        <v>25</v>
      </c>
      <c r="K3519" s="9">
        <f t="shared" si="216"/>
        <v>165.60000000000002</v>
      </c>
      <c r="L3519">
        <f t="shared" si="217"/>
        <v>75</v>
      </c>
      <c r="M3519" s="9">
        <f t="shared" si="218"/>
        <v>90.600000000000023</v>
      </c>
      <c r="N3519" t="str">
        <f t="shared" si="219"/>
        <v>Nov</v>
      </c>
    </row>
    <row r="3520" spans="1:14" x14ac:dyDescent="0.3">
      <c r="A3520" s="2" t="s">
        <v>3586</v>
      </c>
      <c r="B3520" s="6">
        <v>45963</v>
      </c>
      <c r="C3520" s="2" t="s">
        <v>48</v>
      </c>
      <c r="D3520" s="2" t="s">
        <v>37</v>
      </c>
      <c r="E3520" s="2">
        <v>1</v>
      </c>
      <c r="F3520" s="7">
        <v>249</v>
      </c>
      <c r="G3520" s="8">
        <v>0.2</v>
      </c>
      <c r="H3520" s="9" t="str">
        <f>INDEX(Products!$B$2:$B$37, MATCH(D3520, Products!$A$2:$A$37, 0))</f>
        <v>Sunglasses Polarised</v>
      </c>
      <c r="I3520" t="str">
        <f>INDEX(Products!$C$2:$C$37, MATCH(D3520, Products!$A$2:$A$37, 0))</f>
        <v>Fashion</v>
      </c>
      <c r="J3520">
        <f>INDEX(Products!$E$2:$E$37, MATCH(D3520, Products!$A$2:$A$37, 0))</f>
        <v>95</v>
      </c>
      <c r="K3520" s="9">
        <f t="shared" si="216"/>
        <v>199.20000000000002</v>
      </c>
      <c r="L3520">
        <f t="shared" si="217"/>
        <v>95</v>
      </c>
      <c r="M3520" s="9">
        <f t="shared" si="218"/>
        <v>104.20000000000002</v>
      </c>
      <c r="N3520" t="str">
        <f t="shared" si="219"/>
        <v>Nov</v>
      </c>
    </row>
    <row r="3521" spans="1:14" x14ac:dyDescent="0.3">
      <c r="A3521" s="2" t="s">
        <v>3587</v>
      </c>
      <c r="B3521" s="6">
        <v>45963</v>
      </c>
      <c r="C3521" s="2" t="s">
        <v>44</v>
      </c>
      <c r="D3521" s="2" t="s">
        <v>65</v>
      </c>
      <c r="E3521" s="2">
        <v>1</v>
      </c>
      <c r="F3521" s="7">
        <v>129</v>
      </c>
      <c r="G3521" s="8">
        <v>0</v>
      </c>
      <c r="H3521" s="9" t="str">
        <f>INDEX(Products!$B$2:$B$37, MATCH(D3521, Products!$A$2:$A$37, 0))</f>
        <v>Yoga Mat Premium</v>
      </c>
      <c r="I3521" t="str">
        <f>INDEX(Products!$C$2:$C$37, MATCH(D3521, Products!$A$2:$A$37, 0))</f>
        <v>Sports</v>
      </c>
      <c r="J3521">
        <f>INDEX(Products!$E$2:$E$37, MATCH(D3521, Products!$A$2:$A$37, 0))</f>
        <v>60</v>
      </c>
      <c r="K3521" s="9">
        <f t="shared" si="216"/>
        <v>129</v>
      </c>
      <c r="L3521">
        <f t="shared" si="217"/>
        <v>60</v>
      </c>
      <c r="M3521" s="9">
        <f t="shared" si="218"/>
        <v>69</v>
      </c>
      <c r="N3521" t="str">
        <f t="shared" si="219"/>
        <v>Nov</v>
      </c>
    </row>
    <row r="3522" spans="1:14" x14ac:dyDescent="0.3">
      <c r="A3522" s="2" t="s">
        <v>3588</v>
      </c>
      <c r="B3522" s="6">
        <v>45963</v>
      </c>
      <c r="C3522" s="2" t="s">
        <v>44</v>
      </c>
      <c r="D3522" s="2" t="s">
        <v>99</v>
      </c>
      <c r="E3522" s="2">
        <v>1</v>
      </c>
      <c r="F3522" s="7">
        <v>459</v>
      </c>
      <c r="G3522" s="8">
        <v>0.15</v>
      </c>
      <c r="H3522" s="9" t="str">
        <f>INDEX(Products!$B$2:$B$37, MATCH(D3522, Products!$A$2:$A$37, 0))</f>
        <v>Gaming Headset X</v>
      </c>
      <c r="I3522" t="str">
        <f>INDEX(Products!$C$2:$C$37, MATCH(D3522, Products!$A$2:$A$37, 0))</f>
        <v>Electronics</v>
      </c>
      <c r="J3522">
        <f>INDEX(Products!$E$2:$E$37, MATCH(D3522, Products!$A$2:$A$37, 0))</f>
        <v>300</v>
      </c>
      <c r="K3522" s="9">
        <f t="shared" ref="K3522:K3585" si="220">E3522*F3522*(1-G3522)</f>
        <v>390.15</v>
      </c>
      <c r="L3522">
        <f t="shared" ref="L3522:L3585" si="221">E3522*J3522</f>
        <v>300</v>
      </c>
      <c r="M3522" s="9">
        <f t="shared" ref="M3522:M3585" si="222">K3522-L3522</f>
        <v>90.149999999999977</v>
      </c>
      <c r="N3522" t="str">
        <f t="shared" ref="N3522:N3585" si="223">TEXT(B3522,"mmm")</f>
        <v>Nov</v>
      </c>
    </row>
    <row r="3523" spans="1:14" x14ac:dyDescent="0.3">
      <c r="A3523" s="2" t="s">
        <v>3589</v>
      </c>
      <c r="B3523" s="6">
        <v>45963</v>
      </c>
      <c r="C3523" s="2" t="s">
        <v>31</v>
      </c>
      <c r="D3523" s="2" t="s">
        <v>126</v>
      </c>
      <c r="E3523" s="2">
        <v>2</v>
      </c>
      <c r="F3523" s="7">
        <v>89</v>
      </c>
      <c r="G3523" s="8">
        <v>0.2</v>
      </c>
      <c r="H3523" s="9" t="str">
        <f>INDEX(Products!$B$2:$B$37, MATCH(D3523, Products!$A$2:$A$37, 0))</f>
        <v>USB-C Fast Charger</v>
      </c>
      <c r="I3523" t="str">
        <f>INDEX(Products!$C$2:$C$37, MATCH(D3523, Products!$A$2:$A$37, 0))</f>
        <v>Electronics</v>
      </c>
      <c r="J3523">
        <f>INDEX(Products!$E$2:$E$37, MATCH(D3523, Products!$A$2:$A$37, 0))</f>
        <v>35</v>
      </c>
      <c r="K3523" s="9">
        <f t="shared" si="220"/>
        <v>142.4</v>
      </c>
      <c r="L3523">
        <f t="shared" si="221"/>
        <v>70</v>
      </c>
      <c r="M3523" s="9">
        <f t="shared" si="222"/>
        <v>72.400000000000006</v>
      </c>
      <c r="N3523" t="str">
        <f t="shared" si="223"/>
        <v>Nov</v>
      </c>
    </row>
    <row r="3524" spans="1:14" x14ac:dyDescent="0.3">
      <c r="A3524" s="2" t="s">
        <v>3590</v>
      </c>
      <c r="B3524" s="6">
        <v>45963</v>
      </c>
      <c r="C3524" s="2" t="s">
        <v>48</v>
      </c>
      <c r="D3524" s="2" t="s">
        <v>29</v>
      </c>
      <c r="E3524" s="2">
        <v>1</v>
      </c>
      <c r="F3524" s="7">
        <v>229</v>
      </c>
      <c r="G3524" s="8">
        <v>0.15</v>
      </c>
      <c r="H3524" s="9" t="str">
        <f>INDEX(Products!$B$2:$B$37, MATCH(D3524, Products!$A$2:$A$37, 0))</f>
        <v>Women's Summer Dress</v>
      </c>
      <c r="I3524" t="str">
        <f>INDEX(Products!$C$2:$C$37, MATCH(D3524, Products!$A$2:$A$37, 0))</f>
        <v>Fashion</v>
      </c>
      <c r="J3524">
        <f>INDEX(Products!$E$2:$E$37, MATCH(D3524, Products!$A$2:$A$37, 0))</f>
        <v>120</v>
      </c>
      <c r="K3524" s="9">
        <f t="shared" si="220"/>
        <v>194.65</v>
      </c>
      <c r="L3524">
        <f t="shared" si="221"/>
        <v>120</v>
      </c>
      <c r="M3524" s="9">
        <f t="shared" si="222"/>
        <v>74.650000000000006</v>
      </c>
      <c r="N3524" t="str">
        <f t="shared" si="223"/>
        <v>Nov</v>
      </c>
    </row>
    <row r="3525" spans="1:14" x14ac:dyDescent="0.3">
      <c r="A3525" s="2" t="s">
        <v>3591</v>
      </c>
      <c r="B3525" s="6">
        <v>45963</v>
      </c>
      <c r="C3525" s="2" t="s">
        <v>41</v>
      </c>
      <c r="D3525" s="2" t="s">
        <v>149</v>
      </c>
      <c r="E3525" s="2">
        <v>1</v>
      </c>
      <c r="F3525" s="7">
        <v>399</v>
      </c>
      <c r="G3525" s="8">
        <v>0.2</v>
      </c>
      <c r="H3525" s="9" t="str">
        <f>INDEX(Products!$B$2:$B$37, MATCH(D3525, Products!$A$2:$A$37, 0))</f>
        <v>Blender Pro 1200W</v>
      </c>
      <c r="I3525" t="str">
        <f>INDEX(Products!$C$2:$C$37, MATCH(D3525, Products!$A$2:$A$37, 0))</f>
        <v>Home &amp; Kitchen</v>
      </c>
      <c r="J3525">
        <f>INDEX(Products!$E$2:$E$37, MATCH(D3525, Products!$A$2:$A$37, 0))</f>
        <v>250</v>
      </c>
      <c r="K3525" s="9">
        <f t="shared" si="220"/>
        <v>319.20000000000005</v>
      </c>
      <c r="L3525">
        <f t="shared" si="221"/>
        <v>250</v>
      </c>
      <c r="M3525" s="9">
        <f t="shared" si="222"/>
        <v>69.200000000000045</v>
      </c>
      <c r="N3525" t="str">
        <f t="shared" si="223"/>
        <v>Nov</v>
      </c>
    </row>
    <row r="3526" spans="1:14" x14ac:dyDescent="0.3">
      <c r="A3526" s="2" t="s">
        <v>3592</v>
      </c>
      <c r="B3526" s="6">
        <v>45963</v>
      </c>
      <c r="C3526" s="2" t="s">
        <v>31</v>
      </c>
      <c r="D3526" s="2" t="s">
        <v>56</v>
      </c>
      <c r="E3526" s="2">
        <v>1</v>
      </c>
      <c r="F3526" s="7">
        <v>289</v>
      </c>
      <c r="G3526" s="8">
        <v>0.2</v>
      </c>
      <c r="H3526" s="9" t="str">
        <f>INDEX(Products!$B$2:$B$37, MATCH(D3526, Products!$A$2:$A$37, 0))</f>
        <v>Ceramic Dinner Set</v>
      </c>
      <c r="I3526" t="str">
        <f>INDEX(Products!$C$2:$C$37, MATCH(D3526, Products!$A$2:$A$37, 0))</f>
        <v>Home &amp; Kitchen</v>
      </c>
      <c r="J3526">
        <f>INDEX(Products!$E$2:$E$37, MATCH(D3526, Products!$A$2:$A$37, 0))</f>
        <v>140</v>
      </c>
      <c r="K3526" s="9">
        <f t="shared" si="220"/>
        <v>231.20000000000002</v>
      </c>
      <c r="L3526">
        <f t="shared" si="221"/>
        <v>140</v>
      </c>
      <c r="M3526" s="9">
        <f t="shared" si="222"/>
        <v>91.200000000000017</v>
      </c>
      <c r="N3526" t="str">
        <f t="shared" si="223"/>
        <v>Nov</v>
      </c>
    </row>
    <row r="3527" spans="1:14" x14ac:dyDescent="0.3">
      <c r="A3527" s="2" t="s">
        <v>3593</v>
      </c>
      <c r="B3527" s="6">
        <v>45963</v>
      </c>
      <c r="C3527" s="2" t="s">
        <v>41</v>
      </c>
      <c r="D3527" s="2" t="s">
        <v>52</v>
      </c>
      <c r="E3527" s="2">
        <v>1</v>
      </c>
      <c r="F3527" s="7">
        <v>299</v>
      </c>
      <c r="G3527" s="8">
        <v>0.2</v>
      </c>
      <c r="H3527" s="9" t="str">
        <f>INDEX(Products!$B$2:$B$37, MATCH(D3527, Products!$A$2:$A$37, 0))</f>
        <v>Hair Dryer Ionic</v>
      </c>
      <c r="I3527" t="str">
        <f>INDEX(Products!$C$2:$C$37, MATCH(D3527, Products!$A$2:$A$37, 0))</f>
        <v>Beauty</v>
      </c>
      <c r="J3527">
        <f>INDEX(Products!$E$2:$E$37, MATCH(D3527, Products!$A$2:$A$37, 0))</f>
        <v>240</v>
      </c>
      <c r="K3527" s="9">
        <f t="shared" si="220"/>
        <v>239.20000000000002</v>
      </c>
      <c r="L3527">
        <f t="shared" si="221"/>
        <v>240</v>
      </c>
      <c r="M3527" s="9">
        <f t="shared" si="222"/>
        <v>-0.79999999999998295</v>
      </c>
      <c r="N3527" t="str">
        <f t="shared" si="223"/>
        <v>Nov</v>
      </c>
    </row>
    <row r="3528" spans="1:14" x14ac:dyDescent="0.3">
      <c r="A3528" s="2" t="s">
        <v>3594</v>
      </c>
      <c r="B3528" s="6">
        <v>45964</v>
      </c>
      <c r="C3528" s="2" t="s">
        <v>41</v>
      </c>
      <c r="D3528" s="2" t="s">
        <v>29</v>
      </c>
      <c r="E3528" s="2">
        <v>1</v>
      </c>
      <c r="F3528" s="7">
        <v>229</v>
      </c>
      <c r="G3528" s="8">
        <v>0.2</v>
      </c>
      <c r="H3528" s="9" t="str">
        <f>INDEX(Products!$B$2:$B$37, MATCH(D3528, Products!$A$2:$A$37, 0))</f>
        <v>Women's Summer Dress</v>
      </c>
      <c r="I3528" t="str">
        <f>INDEX(Products!$C$2:$C$37, MATCH(D3528, Products!$A$2:$A$37, 0))</f>
        <v>Fashion</v>
      </c>
      <c r="J3528">
        <f>INDEX(Products!$E$2:$E$37, MATCH(D3528, Products!$A$2:$A$37, 0))</f>
        <v>120</v>
      </c>
      <c r="K3528" s="9">
        <f t="shared" si="220"/>
        <v>183.20000000000002</v>
      </c>
      <c r="L3528">
        <f t="shared" si="221"/>
        <v>120</v>
      </c>
      <c r="M3528" s="9">
        <f t="shared" si="222"/>
        <v>63.200000000000017</v>
      </c>
      <c r="N3528" t="str">
        <f t="shared" si="223"/>
        <v>Nov</v>
      </c>
    </row>
    <row r="3529" spans="1:14" x14ac:dyDescent="0.3">
      <c r="A3529" s="2" t="s">
        <v>3595</v>
      </c>
      <c r="B3529" s="6">
        <v>45964</v>
      </c>
      <c r="C3529" s="2" t="s">
        <v>41</v>
      </c>
      <c r="D3529" s="2" t="s">
        <v>129</v>
      </c>
      <c r="E3529" s="2">
        <v>1</v>
      </c>
      <c r="F3529" s="7">
        <v>149</v>
      </c>
      <c r="G3529" s="8">
        <v>0.15</v>
      </c>
      <c r="H3529" s="9" t="str">
        <f>INDEX(Products!$B$2:$B$37, MATCH(D3529, Products!$A$2:$A$37, 0))</f>
        <v>Power Bank 20000mAh</v>
      </c>
      <c r="I3529" t="str">
        <f>INDEX(Products!$C$2:$C$37, MATCH(D3529, Products!$A$2:$A$37, 0))</f>
        <v>Electronics</v>
      </c>
      <c r="J3529">
        <f>INDEX(Products!$E$2:$E$37, MATCH(D3529, Products!$A$2:$A$37, 0))</f>
        <v>70</v>
      </c>
      <c r="K3529" s="9">
        <f t="shared" si="220"/>
        <v>126.64999999999999</v>
      </c>
      <c r="L3529">
        <f t="shared" si="221"/>
        <v>70</v>
      </c>
      <c r="M3529" s="9">
        <f t="shared" si="222"/>
        <v>56.649999999999991</v>
      </c>
      <c r="N3529" t="str">
        <f t="shared" si="223"/>
        <v>Nov</v>
      </c>
    </row>
    <row r="3530" spans="1:14" x14ac:dyDescent="0.3">
      <c r="A3530" s="2" t="s">
        <v>3596</v>
      </c>
      <c r="B3530" s="6">
        <v>45964</v>
      </c>
      <c r="C3530" s="2" t="s">
        <v>44</v>
      </c>
      <c r="D3530" s="2" t="s">
        <v>129</v>
      </c>
      <c r="E3530" s="2">
        <v>3</v>
      </c>
      <c r="F3530" s="7">
        <v>149</v>
      </c>
      <c r="G3530" s="8">
        <v>0.2</v>
      </c>
      <c r="H3530" s="9" t="str">
        <f>INDEX(Products!$B$2:$B$37, MATCH(D3530, Products!$A$2:$A$37, 0))</f>
        <v>Power Bank 20000mAh</v>
      </c>
      <c r="I3530" t="str">
        <f>INDEX(Products!$C$2:$C$37, MATCH(D3530, Products!$A$2:$A$37, 0))</f>
        <v>Electronics</v>
      </c>
      <c r="J3530">
        <f>INDEX(Products!$E$2:$E$37, MATCH(D3530, Products!$A$2:$A$37, 0))</f>
        <v>70</v>
      </c>
      <c r="K3530" s="9">
        <f t="shared" si="220"/>
        <v>357.6</v>
      </c>
      <c r="L3530">
        <f t="shared" si="221"/>
        <v>210</v>
      </c>
      <c r="M3530" s="9">
        <f t="shared" si="222"/>
        <v>147.60000000000002</v>
      </c>
      <c r="N3530" t="str">
        <f t="shared" si="223"/>
        <v>Nov</v>
      </c>
    </row>
    <row r="3531" spans="1:14" x14ac:dyDescent="0.3">
      <c r="A3531" s="2" t="s">
        <v>3597</v>
      </c>
      <c r="B3531" s="6">
        <v>45964</v>
      </c>
      <c r="C3531" s="2" t="s">
        <v>41</v>
      </c>
      <c r="D3531" s="2" t="s">
        <v>129</v>
      </c>
      <c r="E3531" s="2">
        <v>3</v>
      </c>
      <c r="F3531" s="7">
        <v>149</v>
      </c>
      <c r="G3531" s="8">
        <v>0.2</v>
      </c>
      <c r="H3531" s="9" t="str">
        <f>INDEX(Products!$B$2:$B$37, MATCH(D3531, Products!$A$2:$A$37, 0))</f>
        <v>Power Bank 20000mAh</v>
      </c>
      <c r="I3531" t="str">
        <f>INDEX(Products!$C$2:$C$37, MATCH(D3531, Products!$A$2:$A$37, 0))</f>
        <v>Electronics</v>
      </c>
      <c r="J3531">
        <f>INDEX(Products!$E$2:$E$37, MATCH(D3531, Products!$A$2:$A$37, 0))</f>
        <v>70</v>
      </c>
      <c r="K3531" s="9">
        <f t="shared" si="220"/>
        <v>357.6</v>
      </c>
      <c r="L3531">
        <f t="shared" si="221"/>
        <v>210</v>
      </c>
      <c r="M3531" s="9">
        <f t="shared" si="222"/>
        <v>147.60000000000002</v>
      </c>
      <c r="N3531" t="str">
        <f t="shared" si="223"/>
        <v>Nov</v>
      </c>
    </row>
    <row r="3532" spans="1:14" x14ac:dyDescent="0.3">
      <c r="A3532" s="2" t="s">
        <v>3598</v>
      </c>
      <c r="B3532" s="6">
        <v>45964</v>
      </c>
      <c r="C3532" s="2" t="s">
        <v>31</v>
      </c>
      <c r="D3532" s="2" t="s">
        <v>126</v>
      </c>
      <c r="E3532" s="2">
        <v>1</v>
      </c>
      <c r="F3532" s="7">
        <v>89</v>
      </c>
      <c r="G3532" s="8">
        <v>0.2</v>
      </c>
      <c r="H3532" s="9" t="str">
        <f>INDEX(Products!$B$2:$B$37, MATCH(D3532, Products!$A$2:$A$37, 0))</f>
        <v>USB-C Fast Charger</v>
      </c>
      <c r="I3532" t="str">
        <f>INDEX(Products!$C$2:$C$37, MATCH(D3532, Products!$A$2:$A$37, 0))</f>
        <v>Electronics</v>
      </c>
      <c r="J3532">
        <f>INDEX(Products!$E$2:$E$37, MATCH(D3532, Products!$A$2:$A$37, 0))</f>
        <v>35</v>
      </c>
      <c r="K3532" s="9">
        <f t="shared" si="220"/>
        <v>71.2</v>
      </c>
      <c r="L3532">
        <f t="shared" si="221"/>
        <v>35</v>
      </c>
      <c r="M3532" s="9">
        <f t="shared" si="222"/>
        <v>36.200000000000003</v>
      </c>
      <c r="N3532" t="str">
        <f t="shared" si="223"/>
        <v>Nov</v>
      </c>
    </row>
    <row r="3533" spans="1:14" x14ac:dyDescent="0.3">
      <c r="A3533" s="2" t="s">
        <v>3599</v>
      </c>
      <c r="B3533" s="6">
        <v>45964</v>
      </c>
      <c r="C3533" s="2" t="s">
        <v>41</v>
      </c>
      <c r="D3533" s="2" t="s">
        <v>89</v>
      </c>
      <c r="E3533" s="2">
        <v>1</v>
      </c>
      <c r="F3533" s="7">
        <v>399</v>
      </c>
      <c r="G3533" s="8">
        <v>0.05</v>
      </c>
      <c r="H3533" s="9" t="str">
        <f>INDEX(Products!$B$2:$B$37, MATCH(D3533, Products!$A$2:$A$37, 0))</f>
        <v>Men's Kandura Premium</v>
      </c>
      <c r="I3533" t="str">
        <f>INDEX(Products!$C$2:$C$37, MATCH(D3533, Products!$A$2:$A$37, 0))</f>
        <v>Fashion</v>
      </c>
      <c r="J3533">
        <f>INDEX(Products!$E$2:$E$37, MATCH(D3533, Products!$A$2:$A$37, 0))</f>
        <v>210</v>
      </c>
      <c r="K3533" s="9">
        <f t="shared" si="220"/>
        <v>379.04999999999995</v>
      </c>
      <c r="L3533">
        <f t="shared" si="221"/>
        <v>210</v>
      </c>
      <c r="M3533" s="9">
        <f t="shared" si="222"/>
        <v>169.04999999999995</v>
      </c>
      <c r="N3533" t="str">
        <f t="shared" si="223"/>
        <v>Nov</v>
      </c>
    </row>
    <row r="3534" spans="1:14" x14ac:dyDescent="0.3">
      <c r="A3534" s="2" t="s">
        <v>3600</v>
      </c>
      <c r="B3534" s="6">
        <v>45964</v>
      </c>
      <c r="C3534" s="2" t="s">
        <v>41</v>
      </c>
      <c r="D3534" s="2" t="s">
        <v>58</v>
      </c>
      <c r="E3534" s="2">
        <v>2</v>
      </c>
      <c r="F3534" s="7">
        <v>459</v>
      </c>
      <c r="G3534" s="8">
        <v>0.2</v>
      </c>
      <c r="H3534" s="9" t="str">
        <f>INDEX(Products!$B$2:$B$37, MATCH(D3534, Products!$A$2:$A$37, 0))</f>
        <v>Women's Abaya Classic</v>
      </c>
      <c r="I3534" t="str">
        <f>INDEX(Products!$C$2:$C$37, MATCH(D3534, Products!$A$2:$A$37, 0))</f>
        <v>Fashion</v>
      </c>
      <c r="J3534">
        <f>INDEX(Products!$E$2:$E$37, MATCH(D3534, Products!$A$2:$A$37, 0))</f>
        <v>190</v>
      </c>
      <c r="K3534" s="9">
        <f t="shared" si="220"/>
        <v>734.40000000000009</v>
      </c>
      <c r="L3534">
        <f t="shared" si="221"/>
        <v>380</v>
      </c>
      <c r="M3534" s="9">
        <f t="shared" si="222"/>
        <v>354.40000000000009</v>
      </c>
      <c r="N3534" t="str">
        <f t="shared" si="223"/>
        <v>Nov</v>
      </c>
    </row>
    <row r="3535" spans="1:14" x14ac:dyDescent="0.3">
      <c r="A3535" s="2" t="s">
        <v>3601</v>
      </c>
      <c r="B3535" s="6">
        <v>45964</v>
      </c>
      <c r="C3535" s="2" t="s">
        <v>28</v>
      </c>
      <c r="D3535" s="2" t="s">
        <v>126</v>
      </c>
      <c r="E3535" s="2">
        <v>1</v>
      </c>
      <c r="F3535" s="7">
        <v>89</v>
      </c>
      <c r="G3535" s="8">
        <v>0.2</v>
      </c>
      <c r="H3535" s="9" t="str">
        <f>INDEX(Products!$B$2:$B$37, MATCH(D3535, Products!$A$2:$A$37, 0))</f>
        <v>USB-C Fast Charger</v>
      </c>
      <c r="I3535" t="str">
        <f>INDEX(Products!$C$2:$C$37, MATCH(D3535, Products!$A$2:$A$37, 0))</f>
        <v>Electronics</v>
      </c>
      <c r="J3535">
        <f>INDEX(Products!$E$2:$E$37, MATCH(D3535, Products!$A$2:$A$37, 0))</f>
        <v>35</v>
      </c>
      <c r="K3535" s="9">
        <f t="shared" si="220"/>
        <v>71.2</v>
      </c>
      <c r="L3535">
        <f t="shared" si="221"/>
        <v>35</v>
      </c>
      <c r="M3535" s="9">
        <f t="shared" si="222"/>
        <v>36.200000000000003</v>
      </c>
      <c r="N3535" t="str">
        <f t="shared" si="223"/>
        <v>Nov</v>
      </c>
    </row>
    <row r="3536" spans="1:14" x14ac:dyDescent="0.3">
      <c r="A3536" s="2" t="s">
        <v>3602</v>
      </c>
      <c r="B3536" s="6">
        <v>45964</v>
      </c>
      <c r="C3536" s="2" t="s">
        <v>31</v>
      </c>
      <c r="D3536" s="2" t="s">
        <v>131</v>
      </c>
      <c r="E3536" s="2">
        <v>1</v>
      </c>
      <c r="F3536" s="7">
        <v>899</v>
      </c>
      <c r="G3536" s="8">
        <v>0.2</v>
      </c>
      <c r="H3536" s="9" t="str">
        <f>INDEX(Products!$B$2:$B$37, MATCH(D3536, Products!$A$2:$A$37, 0))</f>
        <v>4K Action Camera</v>
      </c>
      <c r="I3536" t="str">
        <f>INDEX(Products!$C$2:$C$37, MATCH(D3536, Products!$A$2:$A$37, 0))</f>
        <v>Electronics</v>
      </c>
      <c r="J3536">
        <f>INDEX(Products!$E$2:$E$37, MATCH(D3536, Products!$A$2:$A$37, 0))</f>
        <v>610</v>
      </c>
      <c r="K3536" s="9">
        <f t="shared" si="220"/>
        <v>719.2</v>
      </c>
      <c r="L3536">
        <f t="shared" si="221"/>
        <v>610</v>
      </c>
      <c r="M3536" s="9">
        <f t="shared" si="222"/>
        <v>109.20000000000005</v>
      </c>
      <c r="N3536" t="str">
        <f t="shared" si="223"/>
        <v>Nov</v>
      </c>
    </row>
    <row r="3537" spans="1:14" x14ac:dyDescent="0.3">
      <c r="A3537" s="2" t="s">
        <v>3603</v>
      </c>
      <c r="B3537" s="6">
        <v>45964</v>
      </c>
      <c r="C3537" s="2" t="s">
        <v>44</v>
      </c>
      <c r="D3537" s="2" t="s">
        <v>70</v>
      </c>
      <c r="E3537" s="2">
        <v>1</v>
      </c>
      <c r="F3537" s="7">
        <v>429</v>
      </c>
      <c r="G3537" s="8">
        <v>0</v>
      </c>
      <c r="H3537" s="9" t="str">
        <f>INDEX(Products!$B$2:$B$37, MATCH(D3537, Products!$A$2:$A$37, 0))</f>
        <v>Running Shoes Elite</v>
      </c>
      <c r="I3537" t="str">
        <f>INDEX(Products!$C$2:$C$37, MATCH(D3537, Products!$A$2:$A$37, 0))</f>
        <v>Fashion</v>
      </c>
      <c r="J3537">
        <f>INDEX(Products!$E$2:$E$37, MATCH(D3537, Products!$A$2:$A$37, 0))</f>
        <v>300</v>
      </c>
      <c r="K3537" s="9">
        <f t="shared" si="220"/>
        <v>429</v>
      </c>
      <c r="L3537">
        <f t="shared" si="221"/>
        <v>300</v>
      </c>
      <c r="M3537" s="9">
        <f t="shared" si="222"/>
        <v>129</v>
      </c>
      <c r="N3537" t="str">
        <f t="shared" si="223"/>
        <v>Nov</v>
      </c>
    </row>
    <row r="3538" spans="1:14" x14ac:dyDescent="0.3">
      <c r="A3538" s="2" t="s">
        <v>3604</v>
      </c>
      <c r="B3538" s="6">
        <v>45964</v>
      </c>
      <c r="C3538" s="2" t="s">
        <v>41</v>
      </c>
      <c r="D3538" s="2" t="s">
        <v>106</v>
      </c>
      <c r="E3538" s="2">
        <v>1</v>
      </c>
      <c r="F3538" s="7">
        <v>1299</v>
      </c>
      <c r="G3538" s="8">
        <v>0</v>
      </c>
      <c r="H3538" s="9" t="str">
        <f>INDEX(Products!$B$2:$B$37, MATCH(D3538, Products!$A$2:$A$37, 0))</f>
        <v>Smart Watch Series 5</v>
      </c>
      <c r="I3538" t="str">
        <f>INDEX(Products!$C$2:$C$37, MATCH(D3538, Products!$A$2:$A$37, 0))</f>
        <v>Electronics</v>
      </c>
      <c r="J3538">
        <f>INDEX(Products!$E$2:$E$37, MATCH(D3538, Products!$A$2:$A$37, 0))</f>
        <v>820</v>
      </c>
      <c r="K3538" s="9">
        <f t="shared" si="220"/>
        <v>1299</v>
      </c>
      <c r="L3538">
        <f t="shared" si="221"/>
        <v>820</v>
      </c>
      <c r="M3538" s="9">
        <f t="shared" si="222"/>
        <v>479</v>
      </c>
      <c r="N3538" t="str">
        <f t="shared" si="223"/>
        <v>Nov</v>
      </c>
    </row>
    <row r="3539" spans="1:14" x14ac:dyDescent="0.3">
      <c r="A3539" s="2" t="s">
        <v>3605</v>
      </c>
      <c r="B3539" s="6">
        <v>45964</v>
      </c>
      <c r="C3539" s="2" t="s">
        <v>48</v>
      </c>
      <c r="D3539" s="2" t="s">
        <v>39</v>
      </c>
      <c r="E3539" s="2">
        <v>1</v>
      </c>
      <c r="F3539" s="7">
        <v>199</v>
      </c>
      <c r="G3539" s="8">
        <v>0</v>
      </c>
      <c r="H3539" s="9" t="str">
        <f>INDEX(Products!$B$2:$B$37, MATCH(D3539, Products!$A$2:$A$37, 0))</f>
        <v>Bakhoor Gift Set</v>
      </c>
      <c r="I3539" t="str">
        <f>INDEX(Products!$C$2:$C$37, MATCH(D3539, Products!$A$2:$A$37, 0))</f>
        <v>Beauty</v>
      </c>
      <c r="J3539">
        <f>INDEX(Products!$E$2:$E$37, MATCH(D3539, Products!$A$2:$A$37, 0))</f>
        <v>90</v>
      </c>
      <c r="K3539" s="9">
        <f t="shared" si="220"/>
        <v>199</v>
      </c>
      <c r="L3539">
        <f t="shared" si="221"/>
        <v>90</v>
      </c>
      <c r="M3539" s="9">
        <f t="shared" si="222"/>
        <v>109</v>
      </c>
      <c r="N3539" t="str">
        <f t="shared" si="223"/>
        <v>Nov</v>
      </c>
    </row>
    <row r="3540" spans="1:14" x14ac:dyDescent="0.3">
      <c r="A3540" s="2" t="s">
        <v>3606</v>
      </c>
      <c r="B3540" s="6">
        <v>45964</v>
      </c>
      <c r="C3540" s="2" t="s">
        <v>41</v>
      </c>
      <c r="D3540" s="2" t="s">
        <v>131</v>
      </c>
      <c r="E3540" s="2">
        <v>1</v>
      </c>
      <c r="F3540" s="7">
        <v>899</v>
      </c>
      <c r="G3540" s="8">
        <v>0.3</v>
      </c>
      <c r="H3540" s="9" t="str">
        <f>INDEX(Products!$B$2:$B$37, MATCH(D3540, Products!$A$2:$A$37, 0))</f>
        <v>4K Action Camera</v>
      </c>
      <c r="I3540" t="str">
        <f>INDEX(Products!$C$2:$C$37, MATCH(D3540, Products!$A$2:$A$37, 0))</f>
        <v>Electronics</v>
      </c>
      <c r="J3540">
        <f>INDEX(Products!$E$2:$E$37, MATCH(D3540, Products!$A$2:$A$37, 0))</f>
        <v>610</v>
      </c>
      <c r="K3540" s="9">
        <f t="shared" si="220"/>
        <v>629.29999999999995</v>
      </c>
      <c r="L3540">
        <f t="shared" si="221"/>
        <v>610</v>
      </c>
      <c r="M3540" s="9">
        <f t="shared" si="222"/>
        <v>19.299999999999955</v>
      </c>
      <c r="N3540" t="str">
        <f t="shared" si="223"/>
        <v>Nov</v>
      </c>
    </row>
    <row r="3541" spans="1:14" x14ac:dyDescent="0.3">
      <c r="A3541" s="2" t="s">
        <v>3607</v>
      </c>
      <c r="B3541" s="6">
        <v>45965</v>
      </c>
      <c r="C3541" s="2" t="s">
        <v>31</v>
      </c>
      <c r="D3541" s="2" t="s">
        <v>149</v>
      </c>
      <c r="E3541" s="2">
        <v>1</v>
      </c>
      <c r="F3541" s="7">
        <v>399</v>
      </c>
      <c r="G3541" s="8">
        <v>0</v>
      </c>
      <c r="H3541" s="9" t="str">
        <f>INDEX(Products!$B$2:$B$37, MATCH(D3541, Products!$A$2:$A$37, 0))</f>
        <v>Blender Pro 1200W</v>
      </c>
      <c r="I3541" t="str">
        <f>INDEX(Products!$C$2:$C$37, MATCH(D3541, Products!$A$2:$A$37, 0))</f>
        <v>Home &amp; Kitchen</v>
      </c>
      <c r="J3541">
        <f>INDEX(Products!$E$2:$E$37, MATCH(D3541, Products!$A$2:$A$37, 0))</f>
        <v>250</v>
      </c>
      <c r="K3541" s="9">
        <f t="shared" si="220"/>
        <v>399</v>
      </c>
      <c r="L3541">
        <f t="shared" si="221"/>
        <v>250</v>
      </c>
      <c r="M3541" s="9">
        <f t="shared" si="222"/>
        <v>149</v>
      </c>
      <c r="N3541" t="str">
        <f t="shared" si="223"/>
        <v>Nov</v>
      </c>
    </row>
    <row r="3542" spans="1:14" x14ac:dyDescent="0.3">
      <c r="A3542" s="2" t="s">
        <v>3608</v>
      </c>
      <c r="B3542" s="6">
        <v>45965</v>
      </c>
      <c r="C3542" s="2" t="s">
        <v>48</v>
      </c>
      <c r="D3542" s="2" t="s">
        <v>75</v>
      </c>
      <c r="E3542" s="2">
        <v>1</v>
      </c>
      <c r="F3542" s="7">
        <v>549</v>
      </c>
      <c r="G3542" s="8">
        <v>0.2</v>
      </c>
      <c r="H3542" s="9" t="str">
        <f>INDEX(Products!$B$2:$B$37, MATCH(D3542, Products!$A$2:$A$37, 0))</f>
        <v>Oud Perfume 100ml</v>
      </c>
      <c r="I3542" t="str">
        <f>INDEX(Products!$C$2:$C$37, MATCH(D3542, Products!$A$2:$A$37, 0))</f>
        <v>Beauty</v>
      </c>
      <c r="J3542">
        <f>INDEX(Products!$E$2:$E$37, MATCH(D3542, Products!$A$2:$A$37, 0))</f>
        <v>250</v>
      </c>
      <c r="K3542" s="9">
        <f t="shared" si="220"/>
        <v>439.20000000000005</v>
      </c>
      <c r="L3542">
        <f t="shared" si="221"/>
        <v>250</v>
      </c>
      <c r="M3542" s="9">
        <f t="shared" si="222"/>
        <v>189.20000000000005</v>
      </c>
      <c r="N3542" t="str">
        <f t="shared" si="223"/>
        <v>Nov</v>
      </c>
    </row>
    <row r="3543" spans="1:14" x14ac:dyDescent="0.3">
      <c r="A3543" s="2" t="s">
        <v>3609</v>
      </c>
      <c r="B3543" s="6">
        <v>45965</v>
      </c>
      <c r="C3543" s="2" t="s">
        <v>48</v>
      </c>
      <c r="D3543" s="2" t="s">
        <v>70</v>
      </c>
      <c r="E3543" s="2">
        <v>1</v>
      </c>
      <c r="F3543" s="7">
        <v>429</v>
      </c>
      <c r="G3543" s="8">
        <v>0.2</v>
      </c>
      <c r="H3543" s="9" t="str">
        <f>INDEX(Products!$B$2:$B$37, MATCH(D3543, Products!$A$2:$A$37, 0))</f>
        <v>Running Shoes Elite</v>
      </c>
      <c r="I3543" t="str">
        <f>INDEX(Products!$C$2:$C$37, MATCH(D3543, Products!$A$2:$A$37, 0))</f>
        <v>Fashion</v>
      </c>
      <c r="J3543">
        <f>INDEX(Products!$E$2:$E$37, MATCH(D3543, Products!$A$2:$A$37, 0))</f>
        <v>300</v>
      </c>
      <c r="K3543" s="9">
        <f t="shared" si="220"/>
        <v>343.20000000000005</v>
      </c>
      <c r="L3543">
        <f t="shared" si="221"/>
        <v>300</v>
      </c>
      <c r="M3543" s="9">
        <f t="shared" si="222"/>
        <v>43.200000000000045</v>
      </c>
      <c r="N3543" t="str">
        <f t="shared" si="223"/>
        <v>Nov</v>
      </c>
    </row>
    <row r="3544" spans="1:14" x14ac:dyDescent="0.3">
      <c r="A3544" s="2" t="s">
        <v>3610</v>
      </c>
      <c r="B3544" s="6">
        <v>45965</v>
      </c>
      <c r="C3544" s="2" t="s">
        <v>44</v>
      </c>
      <c r="D3544" s="2" t="s">
        <v>68</v>
      </c>
      <c r="E3544" s="2">
        <v>1</v>
      </c>
      <c r="F3544" s="7">
        <v>249</v>
      </c>
      <c r="G3544" s="8">
        <v>0</v>
      </c>
      <c r="H3544" s="9" t="str">
        <f>INDEX(Products!$B$2:$B$37, MATCH(D3544, Products!$A$2:$A$37, 0))</f>
        <v>Bluetooth Speaker Mini</v>
      </c>
      <c r="I3544" t="str">
        <f>INDEX(Products!$C$2:$C$37, MATCH(D3544, Products!$A$2:$A$37, 0))</f>
        <v>Electronics</v>
      </c>
      <c r="J3544">
        <f>INDEX(Products!$E$2:$E$37, MATCH(D3544, Products!$A$2:$A$37, 0))</f>
        <v>150</v>
      </c>
      <c r="K3544" s="9">
        <f t="shared" si="220"/>
        <v>249</v>
      </c>
      <c r="L3544">
        <f t="shared" si="221"/>
        <v>150</v>
      </c>
      <c r="M3544" s="9">
        <f t="shared" si="222"/>
        <v>99</v>
      </c>
      <c r="N3544" t="str">
        <f t="shared" si="223"/>
        <v>Nov</v>
      </c>
    </row>
    <row r="3545" spans="1:14" x14ac:dyDescent="0.3">
      <c r="A3545" s="2" t="s">
        <v>3611</v>
      </c>
      <c r="B3545" s="6">
        <v>45965</v>
      </c>
      <c r="C3545" s="2" t="s">
        <v>41</v>
      </c>
      <c r="D3545" s="2" t="s">
        <v>65</v>
      </c>
      <c r="E3545" s="2">
        <v>1</v>
      </c>
      <c r="F3545" s="7">
        <v>129</v>
      </c>
      <c r="G3545" s="8">
        <v>0.05</v>
      </c>
      <c r="H3545" s="9" t="str">
        <f>INDEX(Products!$B$2:$B$37, MATCH(D3545, Products!$A$2:$A$37, 0))</f>
        <v>Yoga Mat Premium</v>
      </c>
      <c r="I3545" t="str">
        <f>INDEX(Products!$C$2:$C$37, MATCH(D3545, Products!$A$2:$A$37, 0))</f>
        <v>Sports</v>
      </c>
      <c r="J3545">
        <f>INDEX(Products!$E$2:$E$37, MATCH(D3545, Products!$A$2:$A$37, 0))</f>
        <v>60</v>
      </c>
      <c r="K3545" s="9">
        <f t="shared" si="220"/>
        <v>122.55</v>
      </c>
      <c r="L3545">
        <f t="shared" si="221"/>
        <v>60</v>
      </c>
      <c r="M3545" s="9">
        <f t="shared" si="222"/>
        <v>62.55</v>
      </c>
      <c r="N3545" t="str">
        <f t="shared" si="223"/>
        <v>Nov</v>
      </c>
    </row>
    <row r="3546" spans="1:14" x14ac:dyDescent="0.3">
      <c r="A3546" s="2" t="s">
        <v>3612</v>
      </c>
      <c r="B3546" s="6">
        <v>45965</v>
      </c>
      <c r="C3546" s="2" t="s">
        <v>31</v>
      </c>
      <c r="D3546" s="2" t="s">
        <v>75</v>
      </c>
      <c r="E3546" s="2">
        <v>1</v>
      </c>
      <c r="F3546" s="7">
        <v>549</v>
      </c>
      <c r="G3546" s="8">
        <v>0.2</v>
      </c>
      <c r="H3546" s="9" t="str">
        <f>INDEX(Products!$B$2:$B$37, MATCH(D3546, Products!$A$2:$A$37, 0))</f>
        <v>Oud Perfume 100ml</v>
      </c>
      <c r="I3546" t="str">
        <f>INDEX(Products!$C$2:$C$37, MATCH(D3546, Products!$A$2:$A$37, 0))</f>
        <v>Beauty</v>
      </c>
      <c r="J3546">
        <f>INDEX(Products!$E$2:$E$37, MATCH(D3546, Products!$A$2:$A$37, 0))</f>
        <v>250</v>
      </c>
      <c r="K3546" s="9">
        <f t="shared" si="220"/>
        <v>439.20000000000005</v>
      </c>
      <c r="L3546">
        <f t="shared" si="221"/>
        <v>250</v>
      </c>
      <c r="M3546" s="9">
        <f t="shared" si="222"/>
        <v>189.20000000000005</v>
      </c>
      <c r="N3546" t="str">
        <f t="shared" si="223"/>
        <v>Nov</v>
      </c>
    </row>
    <row r="3547" spans="1:14" x14ac:dyDescent="0.3">
      <c r="A3547" s="2" t="s">
        <v>3613</v>
      </c>
      <c r="B3547" s="6">
        <v>45965</v>
      </c>
      <c r="C3547" s="2" t="s">
        <v>44</v>
      </c>
      <c r="D3547" s="2" t="s">
        <v>68</v>
      </c>
      <c r="E3547" s="2">
        <v>3</v>
      </c>
      <c r="F3547" s="7">
        <v>249</v>
      </c>
      <c r="G3547" s="8">
        <v>0.1</v>
      </c>
      <c r="H3547" s="9" t="str">
        <f>INDEX(Products!$B$2:$B$37, MATCH(D3547, Products!$A$2:$A$37, 0))</f>
        <v>Bluetooth Speaker Mini</v>
      </c>
      <c r="I3547" t="str">
        <f>INDEX(Products!$C$2:$C$37, MATCH(D3547, Products!$A$2:$A$37, 0))</f>
        <v>Electronics</v>
      </c>
      <c r="J3547">
        <f>INDEX(Products!$E$2:$E$37, MATCH(D3547, Products!$A$2:$A$37, 0))</f>
        <v>150</v>
      </c>
      <c r="K3547" s="9">
        <f t="shared" si="220"/>
        <v>672.30000000000007</v>
      </c>
      <c r="L3547">
        <f t="shared" si="221"/>
        <v>450</v>
      </c>
      <c r="M3547" s="9">
        <f t="shared" si="222"/>
        <v>222.30000000000007</v>
      </c>
      <c r="N3547" t="str">
        <f t="shared" si="223"/>
        <v>Nov</v>
      </c>
    </row>
    <row r="3548" spans="1:14" x14ac:dyDescent="0.3">
      <c r="A3548" s="2" t="s">
        <v>3614</v>
      </c>
      <c r="B3548" s="6">
        <v>45965</v>
      </c>
      <c r="C3548" s="2" t="s">
        <v>41</v>
      </c>
      <c r="D3548" s="2" t="s">
        <v>87</v>
      </c>
      <c r="E3548" s="2">
        <v>2</v>
      </c>
      <c r="F3548" s="7">
        <v>799</v>
      </c>
      <c r="G3548" s="8">
        <v>0.1</v>
      </c>
      <c r="H3548" s="9" t="str">
        <f>INDEX(Products!$B$2:$B$37, MATCH(D3548, Products!$A$2:$A$37, 0))</f>
        <v>Adjustable Dumbbells</v>
      </c>
      <c r="I3548" t="str">
        <f>INDEX(Products!$C$2:$C$37, MATCH(D3548, Products!$A$2:$A$37, 0))</f>
        <v>Sports</v>
      </c>
      <c r="J3548">
        <f>INDEX(Products!$E$2:$E$37, MATCH(D3548, Products!$A$2:$A$37, 0))</f>
        <v>700</v>
      </c>
      <c r="K3548" s="9">
        <f t="shared" si="220"/>
        <v>1438.2</v>
      </c>
      <c r="L3548">
        <f t="shared" si="221"/>
        <v>1400</v>
      </c>
      <c r="M3548" s="9">
        <f t="shared" si="222"/>
        <v>38.200000000000045</v>
      </c>
      <c r="N3548" t="str">
        <f t="shared" si="223"/>
        <v>Nov</v>
      </c>
    </row>
    <row r="3549" spans="1:14" x14ac:dyDescent="0.3">
      <c r="A3549" s="2" t="s">
        <v>3615</v>
      </c>
      <c r="B3549" s="6">
        <v>45965</v>
      </c>
      <c r="C3549" s="2" t="s">
        <v>41</v>
      </c>
      <c r="D3549" s="2" t="s">
        <v>99</v>
      </c>
      <c r="E3549" s="2">
        <v>1</v>
      </c>
      <c r="F3549" s="7">
        <v>459</v>
      </c>
      <c r="G3549" s="8">
        <v>0.2</v>
      </c>
      <c r="H3549" s="9" t="str">
        <f>INDEX(Products!$B$2:$B$37, MATCH(D3549, Products!$A$2:$A$37, 0))</f>
        <v>Gaming Headset X</v>
      </c>
      <c r="I3549" t="str">
        <f>INDEX(Products!$C$2:$C$37, MATCH(D3549, Products!$A$2:$A$37, 0))</f>
        <v>Electronics</v>
      </c>
      <c r="J3549">
        <f>INDEX(Products!$E$2:$E$37, MATCH(D3549, Products!$A$2:$A$37, 0))</f>
        <v>300</v>
      </c>
      <c r="K3549" s="9">
        <f t="shared" si="220"/>
        <v>367.20000000000005</v>
      </c>
      <c r="L3549">
        <f t="shared" si="221"/>
        <v>300</v>
      </c>
      <c r="M3549" s="9">
        <f t="shared" si="222"/>
        <v>67.200000000000045</v>
      </c>
      <c r="N3549" t="str">
        <f t="shared" si="223"/>
        <v>Nov</v>
      </c>
    </row>
    <row r="3550" spans="1:14" x14ac:dyDescent="0.3">
      <c r="A3550" s="2" t="s">
        <v>3616</v>
      </c>
      <c r="B3550" s="6">
        <v>45965</v>
      </c>
      <c r="C3550" s="2" t="s">
        <v>41</v>
      </c>
      <c r="D3550" s="2" t="s">
        <v>39</v>
      </c>
      <c r="E3550" s="2">
        <v>1</v>
      </c>
      <c r="F3550" s="7">
        <v>199</v>
      </c>
      <c r="G3550" s="8">
        <v>0.2</v>
      </c>
      <c r="H3550" s="9" t="str">
        <f>INDEX(Products!$B$2:$B$37, MATCH(D3550, Products!$A$2:$A$37, 0))</f>
        <v>Bakhoor Gift Set</v>
      </c>
      <c r="I3550" t="str">
        <f>INDEX(Products!$C$2:$C$37, MATCH(D3550, Products!$A$2:$A$37, 0))</f>
        <v>Beauty</v>
      </c>
      <c r="J3550">
        <f>INDEX(Products!$E$2:$E$37, MATCH(D3550, Products!$A$2:$A$37, 0))</f>
        <v>90</v>
      </c>
      <c r="K3550" s="9">
        <f t="shared" si="220"/>
        <v>159.20000000000002</v>
      </c>
      <c r="L3550">
        <f t="shared" si="221"/>
        <v>90</v>
      </c>
      <c r="M3550" s="9">
        <f t="shared" si="222"/>
        <v>69.200000000000017</v>
      </c>
      <c r="N3550" t="str">
        <f t="shared" si="223"/>
        <v>Nov</v>
      </c>
    </row>
    <row r="3551" spans="1:14" x14ac:dyDescent="0.3">
      <c r="A3551" s="2" t="s">
        <v>3617</v>
      </c>
      <c r="B3551" s="6">
        <v>45966</v>
      </c>
      <c r="C3551" s="2" t="s">
        <v>41</v>
      </c>
      <c r="D3551" s="2" t="s">
        <v>56</v>
      </c>
      <c r="E3551" s="2">
        <v>1</v>
      </c>
      <c r="F3551" s="7">
        <v>289</v>
      </c>
      <c r="G3551" s="8">
        <v>0.3</v>
      </c>
      <c r="H3551" s="9" t="str">
        <f>INDEX(Products!$B$2:$B$37, MATCH(D3551, Products!$A$2:$A$37, 0))</f>
        <v>Ceramic Dinner Set</v>
      </c>
      <c r="I3551" t="str">
        <f>INDEX(Products!$C$2:$C$37, MATCH(D3551, Products!$A$2:$A$37, 0))</f>
        <v>Home &amp; Kitchen</v>
      </c>
      <c r="J3551">
        <f>INDEX(Products!$E$2:$E$37, MATCH(D3551, Products!$A$2:$A$37, 0))</f>
        <v>140</v>
      </c>
      <c r="K3551" s="9">
        <f t="shared" si="220"/>
        <v>202.29999999999998</v>
      </c>
      <c r="L3551">
        <f t="shared" si="221"/>
        <v>140</v>
      </c>
      <c r="M3551" s="9">
        <f t="shared" si="222"/>
        <v>62.299999999999983</v>
      </c>
      <c r="N3551" t="str">
        <f t="shared" si="223"/>
        <v>Nov</v>
      </c>
    </row>
    <row r="3552" spans="1:14" x14ac:dyDescent="0.3">
      <c r="A3552" s="2" t="s">
        <v>3618</v>
      </c>
      <c r="B3552" s="6">
        <v>45966</v>
      </c>
      <c r="C3552" s="2" t="s">
        <v>44</v>
      </c>
      <c r="D3552" s="2" t="s">
        <v>37</v>
      </c>
      <c r="E3552" s="2">
        <v>4</v>
      </c>
      <c r="F3552" s="7">
        <v>249</v>
      </c>
      <c r="G3552" s="8">
        <v>0</v>
      </c>
      <c r="H3552" s="9" t="str">
        <f>INDEX(Products!$B$2:$B$37, MATCH(D3552, Products!$A$2:$A$37, 0))</f>
        <v>Sunglasses Polarised</v>
      </c>
      <c r="I3552" t="str">
        <f>INDEX(Products!$C$2:$C$37, MATCH(D3552, Products!$A$2:$A$37, 0))</f>
        <v>Fashion</v>
      </c>
      <c r="J3552">
        <f>INDEX(Products!$E$2:$E$37, MATCH(D3552, Products!$A$2:$A$37, 0))</f>
        <v>95</v>
      </c>
      <c r="K3552" s="9">
        <f t="shared" si="220"/>
        <v>996</v>
      </c>
      <c r="L3552">
        <f t="shared" si="221"/>
        <v>380</v>
      </c>
      <c r="M3552" s="9">
        <f t="shared" si="222"/>
        <v>616</v>
      </c>
      <c r="N3552" t="str">
        <f t="shared" si="223"/>
        <v>Nov</v>
      </c>
    </row>
    <row r="3553" spans="1:14" x14ac:dyDescent="0.3">
      <c r="A3553" s="2" t="s">
        <v>3619</v>
      </c>
      <c r="B3553" s="6">
        <v>45966</v>
      </c>
      <c r="C3553" s="2" t="s">
        <v>44</v>
      </c>
      <c r="D3553" s="2" t="s">
        <v>42</v>
      </c>
      <c r="E3553" s="2">
        <v>1</v>
      </c>
      <c r="F3553" s="7">
        <v>399</v>
      </c>
      <c r="G3553" s="8">
        <v>0.2</v>
      </c>
      <c r="H3553" s="9" t="str">
        <f>INDEX(Products!$B$2:$B$37, MATCH(D3553, Products!$A$2:$A$37, 0))</f>
        <v>Wireless Earbuds Pro</v>
      </c>
      <c r="I3553" t="str">
        <f>INDEX(Products!$C$2:$C$37, MATCH(D3553, Products!$A$2:$A$37, 0))</f>
        <v>Electronics</v>
      </c>
      <c r="J3553">
        <f>INDEX(Products!$E$2:$E$37, MATCH(D3553, Products!$A$2:$A$37, 0))</f>
        <v>230</v>
      </c>
      <c r="K3553" s="9">
        <f t="shared" si="220"/>
        <v>319.20000000000005</v>
      </c>
      <c r="L3553">
        <f t="shared" si="221"/>
        <v>230</v>
      </c>
      <c r="M3553" s="9">
        <f t="shared" si="222"/>
        <v>89.200000000000045</v>
      </c>
      <c r="N3553" t="str">
        <f t="shared" si="223"/>
        <v>Nov</v>
      </c>
    </row>
    <row r="3554" spans="1:14" x14ac:dyDescent="0.3">
      <c r="A3554" s="2" t="s">
        <v>3620</v>
      </c>
      <c r="B3554" s="6">
        <v>45966</v>
      </c>
      <c r="C3554" s="2" t="s">
        <v>44</v>
      </c>
      <c r="D3554" s="2" t="s">
        <v>39</v>
      </c>
      <c r="E3554" s="2">
        <v>2</v>
      </c>
      <c r="F3554" s="7">
        <v>199</v>
      </c>
      <c r="G3554" s="8">
        <v>0.05</v>
      </c>
      <c r="H3554" s="9" t="str">
        <f>INDEX(Products!$B$2:$B$37, MATCH(D3554, Products!$A$2:$A$37, 0))</f>
        <v>Bakhoor Gift Set</v>
      </c>
      <c r="I3554" t="str">
        <f>INDEX(Products!$C$2:$C$37, MATCH(D3554, Products!$A$2:$A$37, 0))</f>
        <v>Beauty</v>
      </c>
      <c r="J3554">
        <f>INDEX(Products!$E$2:$E$37, MATCH(D3554, Products!$A$2:$A$37, 0))</f>
        <v>90</v>
      </c>
      <c r="K3554" s="9">
        <f t="shared" si="220"/>
        <v>378.09999999999997</v>
      </c>
      <c r="L3554">
        <f t="shared" si="221"/>
        <v>180</v>
      </c>
      <c r="M3554" s="9">
        <f t="shared" si="222"/>
        <v>198.09999999999997</v>
      </c>
      <c r="N3554" t="str">
        <f t="shared" si="223"/>
        <v>Nov</v>
      </c>
    </row>
    <row r="3555" spans="1:14" x14ac:dyDescent="0.3">
      <c r="A3555" s="2" t="s">
        <v>3621</v>
      </c>
      <c r="B3555" s="6">
        <v>45966</v>
      </c>
      <c r="C3555" s="2" t="s">
        <v>48</v>
      </c>
      <c r="D3555" s="2" t="s">
        <v>29</v>
      </c>
      <c r="E3555" s="2">
        <v>1</v>
      </c>
      <c r="F3555" s="7">
        <v>229</v>
      </c>
      <c r="G3555" s="8">
        <v>0.05</v>
      </c>
      <c r="H3555" s="9" t="str">
        <f>INDEX(Products!$B$2:$B$37, MATCH(D3555, Products!$A$2:$A$37, 0))</f>
        <v>Women's Summer Dress</v>
      </c>
      <c r="I3555" t="str">
        <f>INDEX(Products!$C$2:$C$37, MATCH(D3555, Products!$A$2:$A$37, 0))</f>
        <v>Fashion</v>
      </c>
      <c r="J3555">
        <f>INDEX(Products!$E$2:$E$37, MATCH(D3555, Products!$A$2:$A$37, 0))</f>
        <v>120</v>
      </c>
      <c r="K3555" s="9">
        <f t="shared" si="220"/>
        <v>217.54999999999998</v>
      </c>
      <c r="L3555">
        <f t="shared" si="221"/>
        <v>120</v>
      </c>
      <c r="M3555" s="9">
        <f t="shared" si="222"/>
        <v>97.549999999999983</v>
      </c>
      <c r="N3555" t="str">
        <f t="shared" si="223"/>
        <v>Nov</v>
      </c>
    </row>
    <row r="3556" spans="1:14" x14ac:dyDescent="0.3">
      <c r="A3556" s="2" t="s">
        <v>3622</v>
      </c>
      <c r="B3556" s="6">
        <v>45966</v>
      </c>
      <c r="C3556" s="2" t="s">
        <v>41</v>
      </c>
      <c r="D3556" s="2" t="s">
        <v>80</v>
      </c>
      <c r="E3556" s="2">
        <v>1</v>
      </c>
      <c r="F3556" s="7">
        <v>149</v>
      </c>
      <c r="G3556" s="8">
        <v>0.1</v>
      </c>
      <c r="H3556" s="9" t="str">
        <f>INDEX(Products!$B$2:$B$37, MATCH(D3556, Products!$A$2:$A$37, 0))</f>
        <v>Vitamin C Serum</v>
      </c>
      <c r="I3556" t="str">
        <f>INDEX(Products!$C$2:$C$37, MATCH(D3556, Products!$A$2:$A$37, 0))</f>
        <v>Beauty</v>
      </c>
      <c r="J3556">
        <f>INDEX(Products!$E$2:$E$37, MATCH(D3556, Products!$A$2:$A$37, 0))</f>
        <v>55</v>
      </c>
      <c r="K3556" s="9">
        <f t="shared" si="220"/>
        <v>134.1</v>
      </c>
      <c r="L3556">
        <f t="shared" si="221"/>
        <v>55</v>
      </c>
      <c r="M3556" s="9">
        <f t="shared" si="222"/>
        <v>79.099999999999994</v>
      </c>
      <c r="N3556" t="str">
        <f t="shared" si="223"/>
        <v>Nov</v>
      </c>
    </row>
    <row r="3557" spans="1:14" x14ac:dyDescent="0.3">
      <c r="A3557" s="2" t="s">
        <v>3623</v>
      </c>
      <c r="B3557" s="6">
        <v>45966</v>
      </c>
      <c r="C3557" s="2" t="s">
        <v>28</v>
      </c>
      <c r="D3557" s="2" t="s">
        <v>149</v>
      </c>
      <c r="E3557" s="2">
        <v>1</v>
      </c>
      <c r="F3557" s="7">
        <v>399</v>
      </c>
      <c r="G3557" s="8">
        <v>0.2</v>
      </c>
      <c r="H3557" s="9" t="str">
        <f>INDEX(Products!$B$2:$B$37, MATCH(D3557, Products!$A$2:$A$37, 0))</f>
        <v>Blender Pro 1200W</v>
      </c>
      <c r="I3557" t="str">
        <f>INDEX(Products!$C$2:$C$37, MATCH(D3557, Products!$A$2:$A$37, 0))</f>
        <v>Home &amp; Kitchen</v>
      </c>
      <c r="J3557">
        <f>INDEX(Products!$E$2:$E$37, MATCH(D3557, Products!$A$2:$A$37, 0))</f>
        <v>250</v>
      </c>
      <c r="K3557" s="9">
        <f t="shared" si="220"/>
        <v>319.20000000000005</v>
      </c>
      <c r="L3557">
        <f t="shared" si="221"/>
        <v>250</v>
      </c>
      <c r="M3557" s="9">
        <f t="shared" si="222"/>
        <v>69.200000000000045</v>
      </c>
      <c r="N3557" t="str">
        <f t="shared" si="223"/>
        <v>Nov</v>
      </c>
    </row>
    <row r="3558" spans="1:14" x14ac:dyDescent="0.3">
      <c r="A3558" s="2" t="s">
        <v>3624</v>
      </c>
      <c r="B3558" s="6">
        <v>45966</v>
      </c>
      <c r="C3558" s="2" t="s">
        <v>44</v>
      </c>
      <c r="D3558" s="2" t="s">
        <v>99</v>
      </c>
      <c r="E3558" s="2">
        <v>1</v>
      </c>
      <c r="F3558" s="7">
        <v>459</v>
      </c>
      <c r="G3558" s="8">
        <v>0</v>
      </c>
      <c r="H3558" s="9" t="str">
        <f>INDEX(Products!$B$2:$B$37, MATCH(D3558, Products!$A$2:$A$37, 0))</f>
        <v>Gaming Headset X</v>
      </c>
      <c r="I3558" t="str">
        <f>INDEX(Products!$C$2:$C$37, MATCH(D3558, Products!$A$2:$A$37, 0))</f>
        <v>Electronics</v>
      </c>
      <c r="J3558">
        <f>INDEX(Products!$E$2:$E$37, MATCH(D3558, Products!$A$2:$A$37, 0))</f>
        <v>300</v>
      </c>
      <c r="K3558" s="9">
        <f t="shared" si="220"/>
        <v>459</v>
      </c>
      <c r="L3558">
        <f t="shared" si="221"/>
        <v>300</v>
      </c>
      <c r="M3558" s="9">
        <f t="shared" si="222"/>
        <v>159</v>
      </c>
      <c r="N3558" t="str">
        <f t="shared" si="223"/>
        <v>Nov</v>
      </c>
    </row>
    <row r="3559" spans="1:14" x14ac:dyDescent="0.3">
      <c r="A3559" s="2" t="s">
        <v>3625</v>
      </c>
      <c r="B3559" s="6">
        <v>45966</v>
      </c>
      <c r="C3559" s="2" t="s">
        <v>28</v>
      </c>
      <c r="D3559" s="2" t="s">
        <v>37</v>
      </c>
      <c r="E3559" s="2">
        <v>2</v>
      </c>
      <c r="F3559" s="7">
        <v>249</v>
      </c>
      <c r="G3559" s="8">
        <v>0.2</v>
      </c>
      <c r="H3559" s="9" t="str">
        <f>INDEX(Products!$B$2:$B$37, MATCH(D3559, Products!$A$2:$A$37, 0))</f>
        <v>Sunglasses Polarised</v>
      </c>
      <c r="I3559" t="str">
        <f>INDEX(Products!$C$2:$C$37, MATCH(D3559, Products!$A$2:$A$37, 0))</f>
        <v>Fashion</v>
      </c>
      <c r="J3559">
        <f>INDEX(Products!$E$2:$E$37, MATCH(D3559, Products!$A$2:$A$37, 0))</f>
        <v>95</v>
      </c>
      <c r="K3559" s="9">
        <f t="shared" si="220"/>
        <v>398.40000000000003</v>
      </c>
      <c r="L3559">
        <f t="shared" si="221"/>
        <v>190</v>
      </c>
      <c r="M3559" s="9">
        <f t="shared" si="222"/>
        <v>208.40000000000003</v>
      </c>
      <c r="N3559" t="str">
        <f t="shared" si="223"/>
        <v>Nov</v>
      </c>
    </row>
    <row r="3560" spans="1:14" x14ac:dyDescent="0.3">
      <c r="A3560" s="2" t="s">
        <v>3626</v>
      </c>
      <c r="B3560" s="6">
        <v>45966</v>
      </c>
      <c r="C3560" s="2" t="s">
        <v>44</v>
      </c>
      <c r="D3560" s="2" t="s">
        <v>68</v>
      </c>
      <c r="E3560" s="2">
        <v>1</v>
      </c>
      <c r="F3560" s="7">
        <v>249</v>
      </c>
      <c r="G3560" s="8">
        <v>0</v>
      </c>
      <c r="H3560" s="9" t="str">
        <f>INDEX(Products!$B$2:$B$37, MATCH(D3560, Products!$A$2:$A$37, 0))</f>
        <v>Bluetooth Speaker Mini</v>
      </c>
      <c r="I3560" t="str">
        <f>INDEX(Products!$C$2:$C$37, MATCH(D3560, Products!$A$2:$A$37, 0))</f>
        <v>Electronics</v>
      </c>
      <c r="J3560">
        <f>INDEX(Products!$E$2:$E$37, MATCH(D3560, Products!$A$2:$A$37, 0))</f>
        <v>150</v>
      </c>
      <c r="K3560" s="9">
        <f t="shared" si="220"/>
        <v>249</v>
      </c>
      <c r="L3560">
        <f t="shared" si="221"/>
        <v>150</v>
      </c>
      <c r="M3560" s="9">
        <f t="shared" si="222"/>
        <v>99</v>
      </c>
      <c r="N3560" t="str">
        <f t="shared" si="223"/>
        <v>Nov</v>
      </c>
    </row>
    <row r="3561" spans="1:14" x14ac:dyDescent="0.3">
      <c r="A3561" s="2" t="s">
        <v>3627</v>
      </c>
      <c r="B3561" s="6">
        <v>45967</v>
      </c>
      <c r="C3561" s="2" t="s">
        <v>41</v>
      </c>
      <c r="D3561" s="2" t="s">
        <v>39</v>
      </c>
      <c r="E3561" s="2">
        <v>2</v>
      </c>
      <c r="F3561" s="7">
        <v>199</v>
      </c>
      <c r="G3561" s="8">
        <v>0</v>
      </c>
      <c r="H3561" s="9" t="str">
        <f>INDEX(Products!$B$2:$B$37, MATCH(D3561, Products!$A$2:$A$37, 0))</f>
        <v>Bakhoor Gift Set</v>
      </c>
      <c r="I3561" t="str">
        <f>INDEX(Products!$C$2:$C$37, MATCH(D3561, Products!$A$2:$A$37, 0))</f>
        <v>Beauty</v>
      </c>
      <c r="J3561">
        <f>INDEX(Products!$E$2:$E$37, MATCH(D3561, Products!$A$2:$A$37, 0))</f>
        <v>90</v>
      </c>
      <c r="K3561" s="9">
        <f t="shared" si="220"/>
        <v>398</v>
      </c>
      <c r="L3561">
        <f t="shared" si="221"/>
        <v>180</v>
      </c>
      <c r="M3561" s="9">
        <f t="shared" si="222"/>
        <v>218</v>
      </c>
      <c r="N3561" t="str">
        <f t="shared" si="223"/>
        <v>Nov</v>
      </c>
    </row>
    <row r="3562" spans="1:14" x14ac:dyDescent="0.3">
      <c r="A3562" s="2" t="s">
        <v>3628</v>
      </c>
      <c r="B3562" s="6">
        <v>45967</v>
      </c>
      <c r="C3562" s="2" t="s">
        <v>28</v>
      </c>
      <c r="D3562" s="2" t="s">
        <v>129</v>
      </c>
      <c r="E3562" s="2">
        <v>1</v>
      </c>
      <c r="F3562" s="7">
        <v>149</v>
      </c>
      <c r="G3562" s="8">
        <v>0.2</v>
      </c>
      <c r="H3562" s="9" t="str">
        <f>INDEX(Products!$B$2:$B$37, MATCH(D3562, Products!$A$2:$A$37, 0))</f>
        <v>Power Bank 20000mAh</v>
      </c>
      <c r="I3562" t="str">
        <f>INDEX(Products!$C$2:$C$37, MATCH(D3562, Products!$A$2:$A$37, 0))</f>
        <v>Electronics</v>
      </c>
      <c r="J3562">
        <f>INDEX(Products!$E$2:$E$37, MATCH(D3562, Products!$A$2:$A$37, 0))</f>
        <v>70</v>
      </c>
      <c r="K3562" s="9">
        <f t="shared" si="220"/>
        <v>119.2</v>
      </c>
      <c r="L3562">
        <f t="shared" si="221"/>
        <v>70</v>
      </c>
      <c r="M3562" s="9">
        <f t="shared" si="222"/>
        <v>49.2</v>
      </c>
      <c r="N3562" t="str">
        <f t="shared" si="223"/>
        <v>Nov</v>
      </c>
    </row>
    <row r="3563" spans="1:14" x14ac:dyDescent="0.3">
      <c r="A3563" s="2" t="s">
        <v>3629</v>
      </c>
      <c r="B3563" s="6">
        <v>45967</v>
      </c>
      <c r="C3563" s="2" t="s">
        <v>44</v>
      </c>
      <c r="D3563" s="2" t="s">
        <v>95</v>
      </c>
      <c r="E3563" s="2">
        <v>1</v>
      </c>
      <c r="F3563" s="7">
        <v>259</v>
      </c>
      <c r="G3563" s="8">
        <v>0.2</v>
      </c>
      <c r="H3563" s="9" t="str">
        <f>INDEX(Products!$B$2:$B$37, MATCH(D3563, Products!$A$2:$A$37, 0))</f>
        <v>Bed Linen Set (King)</v>
      </c>
      <c r="I3563" t="str">
        <f>INDEX(Products!$C$2:$C$37, MATCH(D3563, Products!$A$2:$A$37, 0))</f>
        <v>Home &amp; Kitchen</v>
      </c>
      <c r="J3563">
        <f>INDEX(Products!$E$2:$E$37, MATCH(D3563, Products!$A$2:$A$37, 0))</f>
        <v>115</v>
      </c>
      <c r="K3563" s="9">
        <f t="shared" si="220"/>
        <v>207.20000000000002</v>
      </c>
      <c r="L3563">
        <f t="shared" si="221"/>
        <v>115</v>
      </c>
      <c r="M3563" s="9">
        <f t="shared" si="222"/>
        <v>92.200000000000017</v>
      </c>
      <c r="N3563" t="str">
        <f t="shared" si="223"/>
        <v>Nov</v>
      </c>
    </row>
    <row r="3564" spans="1:14" x14ac:dyDescent="0.3">
      <c r="A3564" s="2" t="s">
        <v>3630</v>
      </c>
      <c r="B3564" s="6">
        <v>45967</v>
      </c>
      <c r="C3564" s="2" t="s">
        <v>44</v>
      </c>
      <c r="D3564" s="2" t="s">
        <v>46</v>
      </c>
      <c r="E3564" s="2">
        <v>4</v>
      </c>
      <c r="F3564" s="7">
        <v>189</v>
      </c>
      <c r="G3564" s="8">
        <v>0.2</v>
      </c>
      <c r="H3564" s="9" t="str">
        <f>INDEX(Products!$B$2:$B$37, MATCH(D3564, Products!$A$2:$A$37, 0))</f>
        <v>Makeup Palette</v>
      </c>
      <c r="I3564" t="str">
        <f>INDEX(Products!$C$2:$C$37, MATCH(D3564, Products!$A$2:$A$37, 0))</f>
        <v>Beauty</v>
      </c>
      <c r="J3564">
        <f>INDEX(Products!$E$2:$E$37, MATCH(D3564, Products!$A$2:$A$37, 0))</f>
        <v>85</v>
      </c>
      <c r="K3564" s="9">
        <f t="shared" si="220"/>
        <v>604.80000000000007</v>
      </c>
      <c r="L3564">
        <f t="shared" si="221"/>
        <v>340</v>
      </c>
      <c r="M3564" s="9">
        <f t="shared" si="222"/>
        <v>264.80000000000007</v>
      </c>
      <c r="N3564" t="str">
        <f t="shared" si="223"/>
        <v>Nov</v>
      </c>
    </row>
    <row r="3565" spans="1:14" x14ac:dyDescent="0.3">
      <c r="A3565" s="2" t="s">
        <v>3631</v>
      </c>
      <c r="B3565" s="6">
        <v>45967</v>
      </c>
      <c r="C3565" s="2" t="s">
        <v>44</v>
      </c>
      <c r="D3565" s="2" t="s">
        <v>42</v>
      </c>
      <c r="E3565" s="2">
        <v>1</v>
      </c>
      <c r="F3565" s="7">
        <v>399</v>
      </c>
      <c r="G3565" s="8">
        <v>0.2</v>
      </c>
      <c r="H3565" s="9" t="str">
        <f>INDEX(Products!$B$2:$B$37, MATCH(D3565, Products!$A$2:$A$37, 0))</f>
        <v>Wireless Earbuds Pro</v>
      </c>
      <c r="I3565" t="str">
        <f>INDEX(Products!$C$2:$C$37, MATCH(D3565, Products!$A$2:$A$37, 0))</f>
        <v>Electronics</v>
      </c>
      <c r="J3565">
        <f>INDEX(Products!$E$2:$E$37, MATCH(D3565, Products!$A$2:$A$37, 0))</f>
        <v>230</v>
      </c>
      <c r="K3565" s="9">
        <f t="shared" si="220"/>
        <v>319.20000000000005</v>
      </c>
      <c r="L3565">
        <f t="shared" si="221"/>
        <v>230</v>
      </c>
      <c r="M3565" s="9">
        <f t="shared" si="222"/>
        <v>89.200000000000045</v>
      </c>
      <c r="N3565" t="str">
        <f t="shared" si="223"/>
        <v>Nov</v>
      </c>
    </row>
    <row r="3566" spans="1:14" x14ac:dyDescent="0.3">
      <c r="A3566" s="2" t="s">
        <v>3632</v>
      </c>
      <c r="B3566" s="6">
        <v>45967</v>
      </c>
      <c r="C3566" s="2" t="s">
        <v>48</v>
      </c>
      <c r="D3566" s="2" t="s">
        <v>68</v>
      </c>
      <c r="E3566" s="2">
        <v>1</v>
      </c>
      <c r="F3566" s="7">
        <v>249</v>
      </c>
      <c r="G3566" s="8">
        <v>0.2</v>
      </c>
      <c r="H3566" s="9" t="str">
        <f>INDEX(Products!$B$2:$B$37, MATCH(D3566, Products!$A$2:$A$37, 0))</f>
        <v>Bluetooth Speaker Mini</v>
      </c>
      <c r="I3566" t="str">
        <f>INDEX(Products!$C$2:$C$37, MATCH(D3566, Products!$A$2:$A$37, 0))</f>
        <v>Electronics</v>
      </c>
      <c r="J3566">
        <f>INDEX(Products!$E$2:$E$37, MATCH(D3566, Products!$A$2:$A$37, 0))</f>
        <v>150</v>
      </c>
      <c r="K3566" s="9">
        <f t="shared" si="220"/>
        <v>199.20000000000002</v>
      </c>
      <c r="L3566">
        <f t="shared" si="221"/>
        <v>150</v>
      </c>
      <c r="M3566" s="9">
        <f t="shared" si="222"/>
        <v>49.200000000000017</v>
      </c>
      <c r="N3566" t="str">
        <f t="shared" si="223"/>
        <v>Nov</v>
      </c>
    </row>
    <row r="3567" spans="1:14" x14ac:dyDescent="0.3">
      <c r="A3567" s="2" t="s">
        <v>3633</v>
      </c>
      <c r="B3567" s="6">
        <v>45967</v>
      </c>
      <c r="C3567" s="2" t="s">
        <v>41</v>
      </c>
      <c r="D3567" s="2" t="s">
        <v>52</v>
      </c>
      <c r="E3567" s="2">
        <v>1</v>
      </c>
      <c r="F3567" s="7">
        <v>299</v>
      </c>
      <c r="G3567" s="8">
        <v>0.2</v>
      </c>
      <c r="H3567" s="9" t="str">
        <f>INDEX(Products!$B$2:$B$37, MATCH(D3567, Products!$A$2:$A$37, 0))</f>
        <v>Hair Dryer Ionic</v>
      </c>
      <c r="I3567" t="str">
        <f>INDEX(Products!$C$2:$C$37, MATCH(D3567, Products!$A$2:$A$37, 0))</f>
        <v>Beauty</v>
      </c>
      <c r="J3567">
        <f>INDEX(Products!$E$2:$E$37, MATCH(D3567, Products!$A$2:$A$37, 0))</f>
        <v>240</v>
      </c>
      <c r="K3567" s="9">
        <f t="shared" si="220"/>
        <v>239.20000000000002</v>
      </c>
      <c r="L3567">
        <f t="shared" si="221"/>
        <v>240</v>
      </c>
      <c r="M3567" s="9">
        <f t="shared" si="222"/>
        <v>-0.79999999999998295</v>
      </c>
      <c r="N3567" t="str">
        <f t="shared" si="223"/>
        <v>Nov</v>
      </c>
    </row>
    <row r="3568" spans="1:14" x14ac:dyDescent="0.3">
      <c r="A3568" s="2" t="s">
        <v>3634</v>
      </c>
      <c r="B3568" s="6">
        <v>45968</v>
      </c>
      <c r="C3568" s="2" t="s">
        <v>31</v>
      </c>
      <c r="D3568" s="2" t="s">
        <v>29</v>
      </c>
      <c r="E3568" s="2">
        <v>1</v>
      </c>
      <c r="F3568" s="7">
        <v>229</v>
      </c>
      <c r="G3568" s="8">
        <v>0.2</v>
      </c>
      <c r="H3568" s="9" t="str">
        <f>INDEX(Products!$B$2:$B$37, MATCH(D3568, Products!$A$2:$A$37, 0))</f>
        <v>Women's Summer Dress</v>
      </c>
      <c r="I3568" t="str">
        <f>INDEX(Products!$C$2:$C$37, MATCH(D3568, Products!$A$2:$A$37, 0))</f>
        <v>Fashion</v>
      </c>
      <c r="J3568">
        <f>INDEX(Products!$E$2:$E$37, MATCH(D3568, Products!$A$2:$A$37, 0))</f>
        <v>120</v>
      </c>
      <c r="K3568" s="9">
        <f t="shared" si="220"/>
        <v>183.20000000000002</v>
      </c>
      <c r="L3568">
        <f t="shared" si="221"/>
        <v>120</v>
      </c>
      <c r="M3568" s="9">
        <f t="shared" si="222"/>
        <v>63.200000000000017</v>
      </c>
      <c r="N3568" t="str">
        <f t="shared" si="223"/>
        <v>Nov</v>
      </c>
    </row>
    <row r="3569" spans="1:14" x14ac:dyDescent="0.3">
      <c r="A3569" s="2" t="s">
        <v>3635</v>
      </c>
      <c r="B3569" s="6">
        <v>45968</v>
      </c>
      <c r="C3569" s="2" t="s">
        <v>28</v>
      </c>
      <c r="D3569" s="2" t="s">
        <v>103</v>
      </c>
      <c r="E3569" s="2">
        <v>4</v>
      </c>
      <c r="F3569" s="7">
        <v>89</v>
      </c>
      <c r="G3569" s="8">
        <v>0.2</v>
      </c>
      <c r="H3569" s="9" t="str">
        <f>INDEX(Products!$B$2:$B$37, MATCH(D3569, Products!$A$2:$A$37, 0))</f>
        <v>Sunscreen SPF50</v>
      </c>
      <c r="I3569" t="str">
        <f>INDEX(Products!$C$2:$C$37, MATCH(D3569, Products!$A$2:$A$37, 0))</f>
        <v>Beauty</v>
      </c>
      <c r="J3569">
        <f>INDEX(Products!$E$2:$E$37, MATCH(D3569, Products!$A$2:$A$37, 0))</f>
        <v>40</v>
      </c>
      <c r="K3569" s="9">
        <f t="shared" si="220"/>
        <v>284.8</v>
      </c>
      <c r="L3569">
        <f t="shared" si="221"/>
        <v>160</v>
      </c>
      <c r="M3569" s="9">
        <f t="shared" si="222"/>
        <v>124.80000000000001</v>
      </c>
      <c r="N3569" t="str">
        <f t="shared" si="223"/>
        <v>Nov</v>
      </c>
    </row>
    <row r="3570" spans="1:14" x14ac:dyDescent="0.3">
      <c r="A3570" s="2" t="s">
        <v>3636</v>
      </c>
      <c r="B3570" s="6">
        <v>45968</v>
      </c>
      <c r="C3570" s="2" t="s">
        <v>41</v>
      </c>
      <c r="D3570" s="2" t="s">
        <v>39</v>
      </c>
      <c r="E3570" s="2">
        <v>1</v>
      </c>
      <c r="F3570" s="7">
        <v>199</v>
      </c>
      <c r="G3570" s="8">
        <v>0</v>
      </c>
      <c r="H3570" s="9" t="str">
        <f>INDEX(Products!$B$2:$B$37, MATCH(D3570, Products!$A$2:$A$37, 0))</f>
        <v>Bakhoor Gift Set</v>
      </c>
      <c r="I3570" t="str">
        <f>INDEX(Products!$C$2:$C$37, MATCH(D3570, Products!$A$2:$A$37, 0))</f>
        <v>Beauty</v>
      </c>
      <c r="J3570">
        <f>INDEX(Products!$E$2:$E$37, MATCH(D3570, Products!$A$2:$A$37, 0))</f>
        <v>90</v>
      </c>
      <c r="K3570" s="9">
        <f t="shared" si="220"/>
        <v>199</v>
      </c>
      <c r="L3570">
        <f t="shared" si="221"/>
        <v>90</v>
      </c>
      <c r="M3570" s="9">
        <f t="shared" si="222"/>
        <v>109</v>
      </c>
      <c r="N3570" t="str">
        <f t="shared" si="223"/>
        <v>Nov</v>
      </c>
    </row>
    <row r="3571" spans="1:14" x14ac:dyDescent="0.3">
      <c r="A3571" s="2" t="s">
        <v>3637</v>
      </c>
      <c r="B3571" s="6">
        <v>45968</v>
      </c>
      <c r="C3571" s="2" t="s">
        <v>44</v>
      </c>
      <c r="D3571" s="2" t="s">
        <v>37</v>
      </c>
      <c r="E3571" s="2">
        <v>2</v>
      </c>
      <c r="F3571" s="7">
        <v>249</v>
      </c>
      <c r="G3571" s="8">
        <v>0.2</v>
      </c>
      <c r="H3571" s="9" t="str">
        <f>INDEX(Products!$B$2:$B$37, MATCH(D3571, Products!$A$2:$A$37, 0))</f>
        <v>Sunglasses Polarised</v>
      </c>
      <c r="I3571" t="str">
        <f>INDEX(Products!$C$2:$C$37, MATCH(D3571, Products!$A$2:$A$37, 0))</f>
        <v>Fashion</v>
      </c>
      <c r="J3571">
        <f>INDEX(Products!$E$2:$E$37, MATCH(D3571, Products!$A$2:$A$37, 0))</f>
        <v>95</v>
      </c>
      <c r="K3571" s="9">
        <f t="shared" si="220"/>
        <v>398.40000000000003</v>
      </c>
      <c r="L3571">
        <f t="shared" si="221"/>
        <v>190</v>
      </c>
      <c r="M3571" s="9">
        <f t="shared" si="222"/>
        <v>208.40000000000003</v>
      </c>
      <c r="N3571" t="str">
        <f t="shared" si="223"/>
        <v>Nov</v>
      </c>
    </row>
    <row r="3572" spans="1:14" x14ac:dyDescent="0.3">
      <c r="A3572" s="2" t="s">
        <v>3638</v>
      </c>
      <c r="B3572" s="6">
        <v>45968</v>
      </c>
      <c r="C3572" s="2" t="s">
        <v>44</v>
      </c>
      <c r="D3572" s="2" t="s">
        <v>46</v>
      </c>
      <c r="E3572" s="2">
        <v>1</v>
      </c>
      <c r="F3572" s="7">
        <v>189</v>
      </c>
      <c r="G3572" s="8">
        <v>0.1</v>
      </c>
      <c r="H3572" s="9" t="str">
        <f>INDEX(Products!$B$2:$B$37, MATCH(D3572, Products!$A$2:$A$37, 0))</f>
        <v>Makeup Palette</v>
      </c>
      <c r="I3572" t="str">
        <f>INDEX(Products!$C$2:$C$37, MATCH(D3572, Products!$A$2:$A$37, 0))</f>
        <v>Beauty</v>
      </c>
      <c r="J3572">
        <f>INDEX(Products!$E$2:$E$37, MATCH(D3572, Products!$A$2:$A$37, 0))</f>
        <v>85</v>
      </c>
      <c r="K3572" s="9">
        <f t="shared" si="220"/>
        <v>170.1</v>
      </c>
      <c r="L3572">
        <f t="shared" si="221"/>
        <v>85</v>
      </c>
      <c r="M3572" s="9">
        <f t="shared" si="222"/>
        <v>85.1</v>
      </c>
      <c r="N3572" t="str">
        <f t="shared" si="223"/>
        <v>Nov</v>
      </c>
    </row>
    <row r="3573" spans="1:14" x14ac:dyDescent="0.3">
      <c r="A3573" s="2" t="s">
        <v>3639</v>
      </c>
      <c r="B3573" s="6">
        <v>45968</v>
      </c>
      <c r="C3573" s="2" t="s">
        <v>41</v>
      </c>
      <c r="D3573" s="2" t="s">
        <v>113</v>
      </c>
      <c r="E3573" s="2">
        <v>1</v>
      </c>
      <c r="F3573" s="7">
        <v>1199</v>
      </c>
      <c r="G3573" s="8">
        <v>0.25</v>
      </c>
      <c r="H3573" s="9" t="str">
        <f>INDEX(Products!$B$2:$B$37, MATCH(D3573, Products!$A$2:$A$37, 0))</f>
        <v>Robot Vacuum S3</v>
      </c>
      <c r="I3573" t="str">
        <f>INDEX(Products!$C$2:$C$37, MATCH(D3573, Products!$A$2:$A$37, 0))</f>
        <v>Home &amp; Kitchen</v>
      </c>
      <c r="J3573">
        <f>INDEX(Products!$E$2:$E$37, MATCH(D3573, Products!$A$2:$A$37, 0))</f>
        <v>1080</v>
      </c>
      <c r="K3573" s="9">
        <f t="shared" si="220"/>
        <v>899.25</v>
      </c>
      <c r="L3573">
        <f t="shared" si="221"/>
        <v>1080</v>
      </c>
      <c r="M3573" s="9">
        <f t="shared" si="222"/>
        <v>-180.75</v>
      </c>
      <c r="N3573" t="str">
        <f t="shared" si="223"/>
        <v>Nov</v>
      </c>
    </row>
    <row r="3574" spans="1:14" x14ac:dyDescent="0.3">
      <c r="A3574" s="2" t="s">
        <v>3640</v>
      </c>
      <c r="B3574" s="6">
        <v>45968</v>
      </c>
      <c r="C3574" s="2" t="s">
        <v>28</v>
      </c>
      <c r="D3574" s="2" t="s">
        <v>33</v>
      </c>
      <c r="E3574" s="2">
        <v>1</v>
      </c>
      <c r="F3574" s="7">
        <v>199</v>
      </c>
      <c r="G3574" s="8">
        <v>0.2</v>
      </c>
      <c r="H3574" s="9" t="str">
        <f>INDEX(Products!$B$2:$B$37, MATCH(D3574, Products!$A$2:$A$37, 0))</f>
        <v>Fitness Band Lite</v>
      </c>
      <c r="I3574" t="str">
        <f>INDEX(Products!$C$2:$C$37, MATCH(D3574, Products!$A$2:$A$37, 0))</f>
        <v>Electronics</v>
      </c>
      <c r="J3574">
        <f>INDEX(Products!$E$2:$E$37, MATCH(D3574, Products!$A$2:$A$37, 0))</f>
        <v>175</v>
      </c>
      <c r="K3574" s="9">
        <f t="shared" si="220"/>
        <v>159.20000000000002</v>
      </c>
      <c r="L3574">
        <f t="shared" si="221"/>
        <v>175</v>
      </c>
      <c r="M3574" s="9">
        <f t="shared" si="222"/>
        <v>-15.799999999999983</v>
      </c>
      <c r="N3574" t="str">
        <f t="shared" si="223"/>
        <v>Nov</v>
      </c>
    </row>
    <row r="3575" spans="1:14" x14ac:dyDescent="0.3">
      <c r="A3575" s="2" t="s">
        <v>3641</v>
      </c>
      <c r="B3575" s="6">
        <v>45968</v>
      </c>
      <c r="C3575" s="2" t="s">
        <v>31</v>
      </c>
      <c r="D3575" s="2" t="s">
        <v>46</v>
      </c>
      <c r="E3575" s="2">
        <v>1</v>
      </c>
      <c r="F3575" s="7">
        <v>189</v>
      </c>
      <c r="G3575" s="8">
        <v>0</v>
      </c>
      <c r="H3575" s="9" t="str">
        <f>INDEX(Products!$B$2:$B$37, MATCH(D3575, Products!$A$2:$A$37, 0))</f>
        <v>Makeup Palette</v>
      </c>
      <c r="I3575" t="str">
        <f>INDEX(Products!$C$2:$C$37, MATCH(D3575, Products!$A$2:$A$37, 0))</f>
        <v>Beauty</v>
      </c>
      <c r="J3575">
        <f>INDEX(Products!$E$2:$E$37, MATCH(D3575, Products!$A$2:$A$37, 0))</f>
        <v>85</v>
      </c>
      <c r="K3575" s="9">
        <f t="shared" si="220"/>
        <v>189</v>
      </c>
      <c r="L3575">
        <f t="shared" si="221"/>
        <v>85</v>
      </c>
      <c r="M3575" s="9">
        <f t="shared" si="222"/>
        <v>104</v>
      </c>
      <c r="N3575" t="str">
        <f t="shared" si="223"/>
        <v>Nov</v>
      </c>
    </row>
    <row r="3576" spans="1:14" x14ac:dyDescent="0.3">
      <c r="A3576" s="2" t="s">
        <v>3642</v>
      </c>
      <c r="B3576" s="6">
        <v>45968</v>
      </c>
      <c r="C3576" s="2" t="s">
        <v>31</v>
      </c>
      <c r="D3576" s="2" t="s">
        <v>49</v>
      </c>
      <c r="E3576" s="2">
        <v>1</v>
      </c>
      <c r="F3576" s="7">
        <v>149</v>
      </c>
      <c r="G3576" s="8">
        <v>0.2</v>
      </c>
      <c r="H3576" s="9" t="str">
        <f>INDEX(Products!$B$2:$B$37, MATCH(D3576, Products!$A$2:$A$37, 0))</f>
        <v>Kids' Sneakers</v>
      </c>
      <c r="I3576" t="str">
        <f>INDEX(Products!$C$2:$C$37, MATCH(D3576, Products!$A$2:$A$37, 0))</f>
        <v>Fashion</v>
      </c>
      <c r="J3576">
        <f>INDEX(Products!$E$2:$E$37, MATCH(D3576, Products!$A$2:$A$37, 0))</f>
        <v>80</v>
      </c>
      <c r="K3576" s="9">
        <f t="shared" si="220"/>
        <v>119.2</v>
      </c>
      <c r="L3576">
        <f t="shared" si="221"/>
        <v>80</v>
      </c>
      <c r="M3576" s="9">
        <f t="shared" si="222"/>
        <v>39.200000000000003</v>
      </c>
      <c r="N3576" t="str">
        <f t="shared" si="223"/>
        <v>Nov</v>
      </c>
    </row>
    <row r="3577" spans="1:14" x14ac:dyDescent="0.3">
      <c r="A3577" s="2" t="s">
        <v>3643</v>
      </c>
      <c r="B3577" s="6">
        <v>45968</v>
      </c>
      <c r="C3577" s="2" t="s">
        <v>31</v>
      </c>
      <c r="D3577" s="2" t="s">
        <v>56</v>
      </c>
      <c r="E3577" s="2">
        <v>3</v>
      </c>
      <c r="F3577" s="7">
        <v>289</v>
      </c>
      <c r="G3577" s="8">
        <v>0.2</v>
      </c>
      <c r="H3577" s="9" t="str">
        <f>INDEX(Products!$B$2:$B$37, MATCH(D3577, Products!$A$2:$A$37, 0))</f>
        <v>Ceramic Dinner Set</v>
      </c>
      <c r="I3577" t="str">
        <f>INDEX(Products!$C$2:$C$37, MATCH(D3577, Products!$A$2:$A$37, 0))</f>
        <v>Home &amp; Kitchen</v>
      </c>
      <c r="J3577">
        <f>INDEX(Products!$E$2:$E$37, MATCH(D3577, Products!$A$2:$A$37, 0))</f>
        <v>140</v>
      </c>
      <c r="K3577" s="9">
        <f t="shared" si="220"/>
        <v>693.6</v>
      </c>
      <c r="L3577">
        <f t="shared" si="221"/>
        <v>420</v>
      </c>
      <c r="M3577" s="9">
        <f t="shared" si="222"/>
        <v>273.60000000000002</v>
      </c>
      <c r="N3577" t="str">
        <f t="shared" si="223"/>
        <v>Nov</v>
      </c>
    </row>
    <row r="3578" spans="1:14" x14ac:dyDescent="0.3">
      <c r="A3578" s="2" t="s">
        <v>3644</v>
      </c>
      <c r="B3578" s="6">
        <v>45968</v>
      </c>
      <c r="C3578" s="2" t="s">
        <v>44</v>
      </c>
      <c r="D3578" s="2" t="s">
        <v>35</v>
      </c>
      <c r="E3578" s="2">
        <v>3</v>
      </c>
      <c r="F3578" s="7">
        <v>179</v>
      </c>
      <c r="G3578" s="8">
        <v>0</v>
      </c>
      <c r="H3578" s="9" t="str">
        <f>INDEX(Products!$B$2:$B$37, MATCH(D3578, Products!$A$2:$A$37, 0))</f>
        <v>Men's Linen Shirt</v>
      </c>
      <c r="I3578" t="str">
        <f>INDEX(Products!$C$2:$C$37, MATCH(D3578, Products!$A$2:$A$37, 0))</f>
        <v>Fashion</v>
      </c>
      <c r="J3578">
        <f>INDEX(Products!$E$2:$E$37, MATCH(D3578, Products!$A$2:$A$37, 0))</f>
        <v>70</v>
      </c>
      <c r="K3578" s="9">
        <f t="shared" si="220"/>
        <v>537</v>
      </c>
      <c r="L3578">
        <f t="shared" si="221"/>
        <v>210</v>
      </c>
      <c r="M3578" s="9">
        <f t="shared" si="222"/>
        <v>327</v>
      </c>
      <c r="N3578" t="str">
        <f t="shared" si="223"/>
        <v>Nov</v>
      </c>
    </row>
    <row r="3579" spans="1:14" x14ac:dyDescent="0.3">
      <c r="A3579" s="2" t="s">
        <v>3645</v>
      </c>
      <c r="B3579" s="6">
        <v>45969</v>
      </c>
      <c r="C3579" s="2" t="s">
        <v>41</v>
      </c>
      <c r="D3579" s="2" t="s">
        <v>52</v>
      </c>
      <c r="E3579" s="2">
        <v>1</v>
      </c>
      <c r="F3579" s="7">
        <v>299</v>
      </c>
      <c r="G3579" s="8">
        <v>0.25</v>
      </c>
      <c r="H3579" s="9" t="str">
        <f>INDEX(Products!$B$2:$B$37, MATCH(D3579, Products!$A$2:$A$37, 0))</f>
        <v>Hair Dryer Ionic</v>
      </c>
      <c r="I3579" t="str">
        <f>INDEX(Products!$C$2:$C$37, MATCH(D3579, Products!$A$2:$A$37, 0))</f>
        <v>Beauty</v>
      </c>
      <c r="J3579">
        <f>INDEX(Products!$E$2:$E$37, MATCH(D3579, Products!$A$2:$A$37, 0))</f>
        <v>240</v>
      </c>
      <c r="K3579" s="9">
        <f t="shared" si="220"/>
        <v>224.25</v>
      </c>
      <c r="L3579">
        <f t="shared" si="221"/>
        <v>240</v>
      </c>
      <c r="M3579" s="9">
        <f t="shared" si="222"/>
        <v>-15.75</v>
      </c>
      <c r="N3579" t="str">
        <f t="shared" si="223"/>
        <v>Nov</v>
      </c>
    </row>
    <row r="3580" spans="1:14" x14ac:dyDescent="0.3">
      <c r="A3580" s="2" t="s">
        <v>3646</v>
      </c>
      <c r="B3580" s="6">
        <v>45969</v>
      </c>
      <c r="C3580" s="2" t="s">
        <v>48</v>
      </c>
      <c r="D3580" s="2" t="s">
        <v>56</v>
      </c>
      <c r="E3580" s="2">
        <v>1</v>
      </c>
      <c r="F3580" s="7">
        <v>289</v>
      </c>
      <c r="G3580" s="8">
        <v>0.2</v>
      </c>
      <c r="H3580" s="9" t="str">
        <f>INDEX(Products!$B$2:$B$37, MATCH(D3580, Products!$A$2:$A$37, 0))</f>
        <v>Ceramic Dinner Set</v>
      </c>
      <c r="I3580" t="str">
        <f>INDEX(Products!$C$2:$C$37, MATCH(D3580, Products!$A$2:$A$37, 0))</f>
        <v>Home &amp; Kitchen</v>
      </c>
      <c r="J3580">
        <f>INDEX(Products!$E$2:$E$37, MATCH(D3580, Products!$A$2:$A$37, 0))</f>
        <v>140</v>
      </c>
      <c r="K3580" s="9">
        <f t="shared" si="220"/>
        <v>231.20000000000002</v>
      </c>
      <c r="L3580">
        <f t="shared" si="221"/>
        <v>140</v>
      </c>
      <c r="M3580" s="9">
        <f t="shared" si="222"/>
        <v>91.200000000000017</v>
      </c>
      <c r="N3580" t="str">
        <f t="shared" si="223"/>
        <v>Nov</v>
      </c>
    </row>
    <row r="3581" spans="1:14" x14ac:dyDescent="0.3">
      <c r="A3581" s="2" t="s">
        <v>3647</v>
      </c>
      <c r="B3581" s="6">
        <v>45969</v>
      </c>
      <c r="C3581" s="2" t="s">
        <v>41</v>
      </c>
      <c r="D3581" s="2" t="s">
        <v>37</v>
      </c>
      <c r="E3581" s="2">
        <v>1</v>
      </c>
      <c r="F3581" s="7">
        <v>249</v>
      </c>
      <c r="G3581" s="8">
        <v>0.2</v>
      </c>
      <c r="H3581" s="9" t="str">
        <f>INDEX(Products!$B$2:$B$37, MATCH(D3581, Products!$A$2:$A$37, 0))</f>
        <v>Sunglasses Polarised</v>
      </c>
      <c r="I3581" t="str">
        <f>INDEX(Products!$C$2:$C$37, MATCH(D3581, Products!$A$2:$A$37, 0))</f>
        <v>Fashion</v>
      </c>
      <c r="J3581">
        <f>INDEX(Products!$E$2:$E$37, MATCH(D3581, Products!$A$2:$A$37, 0))</f>
        <v>95</v>
      </c>
      <c r="K3581" s="9">
        <f t="shared" si="220"/>
        <v>199.20000000000002</v>
      </c>
      <c r="L3581">
        <f t="shared" si="221"/>
        <v>95</v>
      </c>
      <c r="M3581" s="9">
        <f t="shared" si="222"/>
        <v>104.20000000000002</v>
      </c>
      <c r="N3581" t="str">
        <f t="shared" si="223"/>
        <v>Nov</v>
      </c>
    </row>
    <row r="3582" spans="1:14" x14ac:dyDescent="0.3">
      <c r="A3582" s="2" t="s">
        <v>3648</v>
      </c>
      <c r="B3582" s="6">
        <v>45969</v>
      </c>
      <c r="C3582" s="2" t="s">
        <v>41</v>
      </c>
      <c r="D3582" s="2" t="s">
        <v>68</v>
      </c>
      <c r="E3582" s="2">
        <v>2</v>
      </c>
      <c r="F3582" s="7">
        <v>249</v>
      </c>
      <c r="G3582" s="8">
        <v>0.2</v>
      </c>
      <c r="H3582" s="9" t="str">
        <f>INDEX(Products!$B$2:$B$37, MATCH(D3582, Products!$A$2:$A$37, 0))</f>
        <v>Bluetooth Speaker Mini</v>
      </c>
      <c r="I3582" t="str">
        <f>INDEX(Products!$C$2:$C$37, MATCH(D3582, Products!$A$2:$A$37, 0))</f>
        <v>Electronics</v>
      </c>
      <c r="J3582">
        <f>INDEX(Products!$E$2:$E$37, MATCH(D3582, Products!$A$2:$A$37, 0))</f>
        <v>150</v>
      </c>
      <c r="K3582" s="9">
        <f t="shared" si="220"/>
        <v>398.40000000000003</v>
      </c>
      <c r="L3582">
        <f t="shared" si="221"/>
        <v>300</v>
      </c>
      <c r="M3582" s="9">
        <f t="shared" si="222"/>
        <v>98.400000000000034</v>
      </c>
      <c r="N3582" t="str">
        <f t="shared" si="223"/>
        <v>Nov</v>
      </c>
    </row>
    <row r="3583" spans="1:14" x14ac:dyDescent="0.3">
      <c r="A3583" s="2" t="s">
        <v>3649</v>
      </c>
      <c r="B3583" s="6">
        <v>45969</v>
      </c>
      <c r="C3583" s="2" t="s">
        <v>41</v>
      </c>
      <c r="D3583" s="2" t="s">
        <v>29</v>
      </c>
      <c r="E3583" s="2">
        <v>3</v>
      </c>
      <c r="F3583" s="7">
        <v>229</v>
      </c>
      <c r="G3583" s="8">
        <v>0.2</v>
      </c>
      <c r="H3583" s="9" t="str">
        <f>INDEX(Products!$B$2:$B$37, MATCH(D3583, Products!$A$2:$A$37, 0))</f>
        <v>Women's Summer Dress</v>
      </c>
      <c r="I3583" t="str">
        <f>INDEX(Products!$C$2:$C$37, MATCH(D3583, Products!$A$2:$A$37, 0))</f>
        <v>Fashion</v>
      </c>
      <c r="J3583">
        <f>INDEX(Products!$E$2:$E$37, MATCH(D3583, Products!$A$2:$A$37, 0))</f>
        <v>120</v>
      </c>
      <c r="K3583" s="9">
        <f t="shared" si="220"/>
        <v>549.6</v>
      </c>
      <c r="L3583">
        <f t="shared" si="221"/>
        <v>360</v>
      </c>
      <c r="M3583" s="9">
        <f t="shared" si="222"/>
        <v>189.60000000000002</v>
      </c>
      <c r="N3583" t="str">
        <f t="shared" si="223"/>
        <v>Nov</v>
      </c>
    </row>
    <row r="3584" spans="1:14" x14ac:dyDescent="0.3">
      <c r="A3584" s="2" t="s">
        <v>3650</v>
      </c>
      <c r="B3584" s="6">
        <v>45970</v>
      </c>
      <c r="C3584" s="2" t="s">
        <v>28</v>
      </c>
      <c r="D3584" s="2" t="s">
        <v>56</v>
      </c>
      <c r="E3584" s="2">
        <v>1</v>
      </c>
      <c r="F3584" s="7">
        <v>289</v>
      </c>
      <c r="G3584" s="8">
        <v>0</v>
      </c>
      <c r="H3584" s="9" t="str">
        <f>INDEX(Products!$B$2:$B$37, MATCH(D3584, Products!$A$2:$A$37, 0))</f>
        <v>Ceramic Dinner Set</v>
      </c>
      <c r="I3584" t="str">
        <f>INDEX(Products!$C$2:$C$37, MATCH(D3584, Products!$A$2:$A$37, 0))</f>
        <v>Home &amp; Kitchen</v>
      </c>
      <c r="J3584">
        <f>INDEX(Products!$E$2:$E$37, MATCH(D3584, Products!$A$2:$A$37, 0))</f>
        <v>140</v>
      </c>
      <c r="K3584" s="9">
        <f t="shared" si="220"/>
        <v>289</v>
      </c>
      <c r="L3584">
        <f t="shared" si="221"/>
        <v>140</v>
      </c>
      <c r="M3584" s="9">
        <f t="shared" si="222"/>
        <v>149</v>
      </c>
      <c r="N3584" t="str">
        <f t="shared" si="223"/>
        <v>Nov</v>
      </c>
    </row>
    <row r="3585" spans="1:14" x14ac:dyDescent="0.3">
      <c r="A3585" s="2" t="s">
        <v>3651</v>
      </c>
      <c r="B3585" s="6">
        <v>45970</v>
      </c>
      <c r="C3585" s="2" t="s">
        <v>41</v>
      </c>
      <c r="D3585" s="2" t="s">
        <v>126</v>
      </c>
      <c r="E3585" s="2">
        <v>4</v>
      </c>
      <c r="F3585" s="7">
        <v>89</v>
      </c>
      <c r="G3585" s="8">
        <v>0.05</v>
      </c>
      <c r="H3585" s="9" t="str">
        <f>INDEX(Products!$B$2:$B$37, MATCH(D3585, Products!$A$2:$A$37, 0))</f>
        <v>USB-C Fast Charger</v>
      </c>
      <c r="I3585" t="str">
        <f>INDEX(Products!$C$2:$C$37, MATCH(D3585, Products!$A$2:$A$37, 0))</f>
        <v>Electronics</v>
      </c>
      <c r="J3585">
        <f>INDEX(Products!$E$2:$E$37, MATCH(D3585, Products!$A$2:$A$37, 0))</f>
        <v>35</v>
      </c>
      <c r="K3585" s="9">
        <f t="shared" si="220"/>
        <v>338.2</v>
      </c>
      <c r="L3585">
        <f t="shared" si="221"/>
        <v>140</v>
      </c>
      <c r="M3585" s="9">
        <f t="shared" si="222"/>
        <v>198.2</v>
      </c>
      <c r="N3585" t="str">
        <f t="shared" si="223"/>
        <v>Nov</v>
      </c>
    </row>
    <row r="3586" spans="1:14" x14ac:dyDescent="0.3">
      <c r="A3586" s="2" t="s">
        <v>3652</v>
      </c>
      <c r="B3586" s="6">
        <v>45970</v>
      </c>
      <c r="C3586" s="2" t="s">
        <v>44</v>
      </c>
      <c r="D3586" s="2" t="s">
        <v>115</v>
      </c>
      <c r="E3586" s="2">
        <v>1</v>
      </c>
      <c r="F3586" s="7">
        <v>129</v>
      </c>
      <c r="G3586" s="8">
        <v>0</v>
      </c>
      <c r="H3586" s="9" t="str">
        <f>INDEX(Products!$B$2:$B$37, MATCH(D3586, Products!$A$2:$A$37, 0))</f>
        <v>Electric Kettle</v>
      </c>
      <c r="I3586" t="str">
        <f>INDEX(Products!$C$2:$C$37, MATCH(D3586, Products!$A$2:$A$37, 0))</f>
        <v>Home &amp; Kitchen</v>
      </c>
      <c r="J3586">
        <f>INDEX(Products!$E$2:$E$37, MATCH(D3586, Products!$A$2:$A$37, 0))</f>
        <v>60</v>
      </c>
      <c r="K3586" s="9">
        <f t="shared" ref="K3586:K3649" si="224">E3586*F3586*(1-G3586)</f>
        <v>129</v>
      </c>
      <c r="L3586">
        <f t="shared" ref="L3586:L3649" si="225">E3586*J3586</f>
        <v>60</v>
      </c>
      <c r="M3586" s="9">
        <f t="shared" ref="M3586:M3649" si="226">K3586-L3586</f>
        <v>69</v>
      </c>
      <c r="N3586" t="str">
        <f t="shared" ref="N3586:N3649" si="227">TEXT(B3586,"mmm")</f>
        <v>Nov</v>
      </c>
    </row>
    <row r="3587" spans="1:14" x14ac:dyDescent="0.3">
      <c r="A3587" s="2" t="s">
        <v>3653</v>
      </c>
      <c r="B3587" s="6">
        <v>45970</v>
      </c>
      <c r="C3587" s="2" t="s">
        <v>41</v>
      </c>
      <c r="D3587" s="2" t="s">
        <v>29</v>
      </c>
      <c r="E3587" s="2">
        <v>4</v>
      </c>
      <c r="F3587" s="7">
        <v>229</v>
      </c>
      <c r="G3587" s="8">
        <v>0.2</v>
      </c>
      <c r="H3587" s="9" t="str">
        <f>INDEX(Products!$B$2:$B$37, MATCH(D3587, Products!$A$2:$A$37, 0))</f>
        <v>Women's Summer Dress</v>
      </c>
      <c r="I3587" t="str">
        <f>INDEX(Products!$C$2:$C$37, MATCH(D3587, Products!$A$2:$A$37, 0))</f>
        <v>Fashion</v>
      </c>
      <c r="J3587">
        <f>INDEX(Products!$E$2:$E$37, MATCH(D3587, Products!$A$2:$A$37, 0))</f>
        <v>120</v>
      </c>
      <c r="K3587" s="9">
        <f t="shared" si="224"/>
        <v>732.80000000000007</v>
      </c>
      <c r="L3587">
        <f t="shared" si="225"/>
        <v>480</v>
      </c>
      <c r="M3587" s="9">
        <f t="shared" si="226"/>
        <v>252.80000000000007</v>
      </c>
      <c r="N3587" t="str">
        <f t="shared" si="227"/>
        <v>Nov</v>
      </c>
    </row>
    <row r="3588" spans="1:14" x14ac:dyDescent="0.3">
      <c r="A3588" s="2" t="s">
        <v>3654</v>
      </c>
      <c r="B3588" s="6">
        <v>45970</v>
      </c>
      <c r="C3588" s="2" t="s">
        <v>41</v>
      </c>
      <c r="D3588" s="2" t="s">
        <v>56</v>
      </c>
      <c r="E3588" s="2">
        <v>2</v>
      </c>
      <c r="F3588" s="7">
        <v>289</v>
      </c>
      <c r="G3588" s="8">
        <v>0.2</v>
      </c>
      <c r="H3588" s="9" t="str">
        <f>INDEX(Products!$B$2:$B$37, MATCH(D3588, Products!$A$2:$A$37, 0))</f>
        <v>Ceramic Dinner Set</v>
      </c>
      <c r="I3588" t="str">
        <f>INDEX(Products!$C$2:$C$37, MATCH(D3588, Products!$A$2:$A$37, 0))</f>
        <v>Home &amp; Kitchen</v>
      </c>
      <c r="J3588">
        <f>INDEX(Products!$E$2:$E$37, MATCH(D3588, Products!$A$2:$A$37, 0))</f>
        <v>140</v>
      </c>
      <c r="K3588" s="9">
        <f t="shared" si="224"/>
        <v>462.40000000000003</v>
      </c>
      <c r="L3588">
        <f t="shared" si="225"/>
        <v>280</v>
      </c>
      <c r="M3588" s="9">
        <f t="shared" si="226"/>
        <v>182.40000000000003</v>
      </c>
      <c r="N3588" t="str">
        <f t="shared" si="227"/>
        <v>Nov</v>
      </c>
    </row>
    <row r="3589" spans="1:14" x14ac:dyDescent="0.3">
      <c r="A3589" s="2" t="s">
        <v>3655</v>
      </c>
      <c r="B3589" s="6">
        <v>45970</v>
      </c>
      <c r="C3589" s="2" t="s">
        <v>41</v>
      </c>
      <c r="D3589" s="2" t="s">
        <v>129</v>
      </c>
      <c r="E3589" s="2">
        <v>4</v>
      </c>
      <c r="F3589" s="7">
        <v>149</v>
      </c>
      <c r="G3589" s="8">
        <v>0</v>
      </c>
      <c r="H3589" s="9" t="str">
        <f>INDEX(Products!$B$2:$B$37, MATCH(D3589, Products!$A$2:$A$37, 0))</f>
        <v>Power Bank 20000mAh</v>
      </c>
      <c r="I3589" t="str">
        <f>INDEX(Products!$C$2:$C$37, MATCH(D3589, Products!$A$2:$A$37, 0))</f>
        <v>Electronics</v>
      </c>
      <c r="J3589">
        <f>INDEX(Products!$E$2:$E$37, MATCH(D3589, Products!$A$2:$A$37, 0))</f>
        <v>70</v>
      </c>
      <c r="K3589" s="9">
        <f t="shared" si="224"/>
        <v>596</v>
      </c>
      <c r="L3589">
        <f t="shared" si="225"/>
        <v>280</v>
      </c>
      <c r="M3589" s="9">
        <f t="shared" si="226"/>
        <v>316</v>
      </c>
      <c r="N3589" t="str">
        <f t="shared" si="227"/>
        <v>Nov</v>
      </c>
    </row>
    <row r="3590" spans="1:14" x14ac:dyDescent="0.3">
      <c r="A3590" s="2" t="s">
        <v>3656</v>
      </c>
      <c r="B3590" s="6">
        <v>45970</v>
      </c>
      <c r="C3590" s="2" t="s">
        <v>28</v>
      </c>
      <c r="D3590" s="2" t="s">
        <v>33</v>
      </c>
      <c r="E3590" s="2">
        <v>2</v>
      </c>
      <c r="F3590" s="7">
        <v>199</v>
      </c>
      <c r="G3590" s="8">
        <v>0.2</v>
      </c>
      <c r="H3590" s="9" t="str">
        <f>INDEX(Products!$B$2:$B$37, MATCH(D3590, Products!$A$2:$A$37, 0))</f>
        <v>Fitness Band Lite</v>
      </c>
      <c r="I3590" t="str">
        <f>INDEX(Products!$C$2:$C$37, MATCH(D3590, Products!$A$2:$A$37, 0))</f>
        <v>Electronics</v>
      </c>
      <c r="J3590">
        <f>INDEX(Products!$E$2:$E$37, MATCH(D3590, Products!$A$2:$A$37, 0))</f>
        <v>175</v>
      </c>
      <c r="K3590" s="9">
        <f t="shared" si="224"/>
        <v>318.40000000000003</v>
      </c>
      <c r="L3590">
        <f t="shared" si="225"/>
        <v>350</v>
      </c>
      <c r="M3590" s="9">
        <f t="shared" si="226"/>
        <v>-31.599999999999966</v>
      </c>
      <c r="N3590" t="str">
        <f t="shared" si="227"/>
        <v>Nov</v>
      </c>
    </row>
    <row r="3591" spans="1:14" x14ac:dyDescent="0.3">
      <c r="A3591" s="2" t="s">
        <v>3657</v>
      </c>
      <c r="B3591" s="6">
        <v>45970</v>
      </c>
      <c r="C3591" s="2" t="s">
        <v>31</v>
      </c>
      <c r="D3591" s="2" t="s">
        <v>95</v>
      </c>
      <c r="E3591" s="2">
        <v>2</v>
      </c>
      <c r="F3591" s="7">
        <v>259</v>
      </c>
      <c r="G3591" s="8">
        <v>0.2</v>
      </c>
      <c r="H3591" s="9" t="str">
        <f>INDEX(Products!$B$2:$B$37, MATCH(D3591, Products!$A$2:$A$37, 0))</f>
        <v>Bed Linen Set (King)</v>
      </c>
      <c r="I3591" t="str">
        <f>INDEX(Products!$C$2:$C$37, MATCH(D3591, Products!$A$2:$A$37, 0))</f>
        <v>Home &amp; Kitchen</v>
      </c>
      <c r="J3591">
        <f>INDEX(Products!$E$2:$E$37, MATCH(D3591, Products!$A$2:$A$37, 0))</f>
        <v>115</v>
      </c>
      <c r="K3591" s="9">
        <f t="shared" si="224"/>
        <v>414.40000000000003</v>
      </c>
      <c r="L3591">
        <f t="shared" si="225"/>
        <v>230</v>
      </c>
      <c r="M3591" s="9">
        <f t="shared" si="226"/>
        <v>184.40000000000003</v>
      </c>
      <c r="N3591" t="str">
        <f t="shared" si="227"/>
        <v>Nov</v>
      </c>
    </row>
    <row r="3592" spans="1:14" x14ac:dyDescent="0.3">
      <c r="A3592" s="2" t="s">
        <v>3658</v>
      </c>
      <c r="B3592" s="6">
        <v>45970</v>
      </c>
      <c r="C3592" s="2" t="s">
        <v>44</v>
      </c>
      <c r="D3592" s="2" t="s">
        <v>163</v>
      </c>
      <c r="E3592" s="2">
        <v>1</v>
      </c>
      <c r="F3592" s="7">
        <v>2499</v>
      </c>
      <c r="G3592" s="8">
        <v>0.1</v>
      </c>
      <c r="H3592" s="9" t="str">
        <f>INDEX(Products!$B$2:$B$37, MATCH(D3592, Products!$A$2:$A$37, 0))</f>
        <v>Treadmill Compact</v>
      </c>
      <c r="I3592" t="str">
        <f>INDEX(Products!$C$2:$C$37, MATCH(D3592, Products!$A$2:$A$37, 0))</f>
        <v>Sports</v>
      </c>
      <c r="J3592">
        <f>INDEX(Products!$E$2:$E$37, MATCH(D3592, Products!$A$2:$A$37, 0))</f>
        <v>2150</v>
      </c>
      <c r="K3592" s="9">
        <f t="shared" si="224"/>
        <v>2249.1</v>
      </c>
      <c r="L3592">
        <f t="shared" si="225"/>
        <v>2150</v>
      </c>
      <c r="M3592" s="9">
        <f t="shared" si="226"/>
        <v>99.099999999999909</v>
      </c>
      <c r="N3592" t="str">
        <f t="shared" si="227"/>
        <v>Nov</v>
      </c>
    </row>
    <row r="3593" spans="1:14" x14ac:dyDescent="0.3">
      <c r="A3593" s="2" t="s">
        <v>3659</v>
      </c>
      <c r="B3593" s="6">
        <v>45970</v>
      </c>
      <c r="C3593" s="2" t="s">
        <v>48</v>
      </c>
      <c r="D3593" s="2" t="s">
        <v>39</v>
      </c>
      <c r="E3593" s="2">
        <v>2</v>
      </c>
      <c r="F3593" s="7">
        <v>199</v>
      </c>
      <c r="G3593" s="8">
        <v>0.2</v>
      </c>
      <c r="H3593" s="9" t="str">
        <f>INDEX(Products!$B$2:$B$37, MATCH(D3593, Products!$A$2:$A$37, 0))</f>
        <v>Bakhoor Gift Set</v>
      </c>
      <c r="I3593" t="str">
        <f>INDEX(Products!$C$2:$C$37, MATCH(D3593, Products!$A$2:$A$37, 0))</f>
        <v>Beauty</v>
      </c>
      <c r="J3593">
        <f>INDEX(Products!$E$2:$E$37, MATCH(D3593, Products!$A$2:$A$37, 0))</f>
        <v>90</v>
      </c>
      <c r="K3593" s="9">
        <f t="shared" si="224"/>
        <v>318.40000000000003</v>
      </c>
      <c r="L3593">
        <f t="shared" si="225"/>
        <v>180</v>
      </c>
      <c r="M3593" s="9">
        <f t="shared" si="226"/>
        <v>138.40000000000003</v>
      </c>
      <c r="N3593" t="str">
        <f t="shared" si="227"/>
        <v>Nov</v>
      </c>
    </row>
    <row r="3594" spans="1:14" x14ac:dyDescent="0.3">
      <c r="A3594" s="2" t="s">
        <v>3660</v>
      </c>
      <c r="B3594" s="6">
        <v>45970</v>
      </c>
      <c r="C3594" s="2" t="s">
        <v>41</v>
      </c>
      <c r="D3594" s="2" t="s">
        <v>39</v>
      </c>
      <c r="E3594" s="2">
        <v>1</v>
      </c>
      <c r="F3594" s="7">
        <v>199</v>
      </c>
      <c r="G3594" s="8">
        <v>0.2</v>
      </c>
      <c r="H3594" s="9" t="str">
        <f>INDEX(Products!$B$2:$B$37, MATCH(D3594, Products!$A$2:$A$37, 0))</f>
        <v>Bakhoor Gift Set</v>
      </c>
      <c r="I3594" t="str">
        <f>INDEX(Products!$C$2:$C$37, MATCH(D3594, Products!$A$2:$A$37, 0))</f>
        <v>Beauty</v>
      </c>
      <c r="J3594">
        <f>INDEX(Products!$E$2:$E$37, MATCH(D3594, Products!$A$2:$A$37, 0))</f>
        <v>90</v>
      </c>
      <c r="K3594" s="9">
        <f t="shared" si="224"/>
        <v>159.20000000000002</v>
      </c>
      <c r="L3594">
        <f t="shared" si="225"/>
        <v>90</v>
      </c>
      <c r="M3594" s="9">
        <f t="shared" si="226"/>
        <v>69.200000000000017</v>
      </c>
      <c r="N3594" t="str">
        <f t="shared" si="227"/>
        <v>Nov</v>
      </c>
    </row>
    <row r="3595" spans="1:14" x14ac:dyDescent="0.3">
      <c r="A3595" s="2" t="s">
        <v>3661</v>
      </c>
      <c r="B3595" s="6">
        <v>45970</v>
      </c>
      <c r="C3595" s="2" t="s">
        <v>44</v>
      </c>
      <c r="D3595" s="2" t="s">
        <v>106</v>
      </c>
      <c r="E3595" s="2">
        <v>2</v>
      </c>
      <c r="F3595" s="7">
        <v>1299</v>
      </c>
      <c r="G3595" s="8">
        <v>0</v>
      </c>
      <c r="H3595" s="9" t="str">
        <f>INDEX(Products!$B$2:$B$37, MATCH(D3595, Products!$A$2:$A$37, 0))</f>
        <v>Smart Watch Series 5</v>
      </c>
      <c r="I3595" t="str">
        <f>INDEX(Products!$C$2:$C$37, MATCH(D3595, Products!$A$2:$A$37, 0))</f>
        <v>Electronics</v>
      </c>
      <c r="J3595">
        <f>INDEX(Products!$E$2:$E$37, MATCH(D3595, Products!$A$2:$A$37, 0))</f>
        <v>820</v>
      </c>
      <c r="K3595" s="9">
        <f t="shared" si="224"/>
        <v>2598</v>
      </c>
      <c r="L3595">
        <f t="shared" si="225"/>
        <v>1640</v>
      </c>
      <c r="M3595" s="9">
        <f t="shared" si="226"/>
        <v>958</v>
      </c>
      <c r="N3595" t="str">
        <f t="shared" si="227"/>
        <v>Nov</v>
      </c>
    </row>
    <row r="3596" spans="1:14" x14ac:dyDescent="0.3">
      <c r="A3596" s="2" t="s">
        <v>3662</v>
      </c>
      <c r="B3596" s="6">
        <v>45971</v>
      </c>
      <c r="C3596" s="2" t="s">
        <v>44</v>
      </c>
      <c r="D3596" s="2" t="s">
        <v>49</v>
      </c>
      <c r="E3596" s="2">
        <v>2</v>
      </c>
      <c r="F3596" s="7">
        <v>149</v>
      </c>
      <c r="G3596" s="8">
        <v>0.3</v>
      </c>
      <c r="H3596" s="9" t="str">
        <f>INDEX(Products!$B$2:$B$37, MATCH(D3596, Products!$A$2:$A$37, 0))</f>
        <v>Kids' Sneakers</v>
      </c>
      <c r="I3596" t="str">
        <f>INDEX(Products!$C$2:$C$37, MATCH(D3596, Products!$A$2:$A$37, 0))</f>
        <v>Fashion</v>
      </c>
      <c r="J3596">
        <f>INDEX(Products!$E$2:$E$37, MATCH(D3596, Products!$A$2:$A$37, 0))</f>
        <v>80</v>
      </c>
      <c r="K3596" s="9">
        <f t="shared" si="224"/>
        <v>208.6</v>
      </c>
      <c r="L3596">
        <f t="shared" si="225"/>
        <v>160</v>
      </c>
      <c r="M3596" s="9">
        <f t="shared" si="226"/>
        <v>48.599999999999994</v>
      </c>
      <c r="N3596" t="str">
        <f t="shared" si="227"/>
        <v>Nov</v>
      </c>
    </row>
    <row r="3597" spans="1:14" x14ac:dyDescent="0.3">
      <c r="A3597" s="2" t="s">
        <v>3663</v>
      </c>
      <c r="B3597" s="6">
        <v>45971</v>
      </c>
      <c r="C3597" s="2" t="s">
        <v>44</v>
      </c>
      <c r="D3597" s="2" t="s">
        <v>99</v>
      </c>
      <c r="E3597" s="2">
        <v>1</v>
      </c>
      <c r="F3597" s="7">
        <v>459</v>
      </c>
      <c r="G3597" s="8">
        <v>0</v>
      </c>
      <c r="H3597" s="9" t="str">
        <f>INDEX(Products!$B$2:$B$37, MATCH(D3597, Products!$A$2:$A$37, 0))</f>
        <v>Gaming Headset X</v>
      </c>
      <c r="I3597" t="str">
        <f>INDEX(Products!$C$2:$C$37, MATCH(D3597, Products!$A$2:$A$37, 0))</f>
        <v>Electronics</v>
      </c>
      <c r="J3597">
        <f>INDEX(Products!$E$2:$E$37, MATCH(D3597, Products!$A$2:$A$37, 0))</f>
        <v>300</v>
      </c>
      <c r="K3597" s="9">
        <f t="shared" si="224"/>
        <v>459</v>
      </c>
      <c r="L3597">
        <f t="shared" si="225"/>
        <v>300</v>
      </c>
      <c r="M3597" s="9">
        <f t="shared" si="226"/>
        <v>159</v>
      </c>
      <c r="N3597" t="str">
        <f t="shared" si="227"/>
        <v>Nov</v>
      </c>
    </row>
    <row r="3598" spans="1:14" x14ac:dyDescent="0.3">
      <c r="A3598" s="2" t="s">
        <v>3664</v>
      </c>
      <c r="B3598" s="6">
        <v>45971</v>
      </c>
      <c r="C3598" s="2" t="s">
        <v>44</v>
      </c>
      <c r="D3598" s="2" t="s">
        <v>56</v>
      </c>
      <c r="E3598" s="2">
        <v>2</v>
      </c>
      <c r="F3598" s="7">
        <v>289</v>
      </c>
      <c r="G3598" s="8">
        <v>0</v>
      </c>
      <c r="H3598" s="9" t="str">
        <f>INDEX(Products!$B$2:$B$37, MATCH(D3598, Products!$A$2:$A$37, 0))</f>
        <v>Ceramic Dinner Set</v>
      </c>
      <c r="I3598" t="str">
        <f>INDEX(Products!$C$2:$C$37, MATCH(D3598, Products!$A$2:$A$37, 0))</f>
        <v>Home &amp; Kitchen</v>
      </c>
      <c r="J3598">
        <f>INDEX(Products!$E$2:$E$37, MATCH(D3598, Products!$A$2:$A$37, 0))</f>
        <v>140</v>
      </c>
      <c r="K3598" s="9">
        <f t="shared" si="224"/>
        <v>578</v>
      </c>
      <c r="L3598">
        <f t="shared" si="225"/>
        <v>280</v>
      </c>
      <c r="M3598" s="9">
        <f t="shared" si="226"/>
        <v>298</v>
      </c>
      <c r="N3598" t="str">
        <f t="shared" si="227"/>
        <v>Nov</v>
      </c>
    </row>
    <row r="3599" spans="1:14" x14ac:dyDescent="0.3">
      <c r="A3599" s="2" t="s">
        <v>3665</v>
      </c>
      <c r="B3599" s="6">
        <v>45971</v>
      </c>
      <c r="C3599" s="2" t="s">
        <v>28</v>
      </c>
      <c r="D3599" s="2" t="s">
        <v>89</v>
      </c>
      <c r="E3599" s="2">
        <v>1</v>
      </c>
      <c r="F3599" s="7">
        <v>399</v>
      </c>
      <c r="G3599" s="8">
        <v>0.2</v>
      </c>
      <c r="H3599" s="9" t="str">
        <f>INDEX(Products!$B$2:$B$37, MATCH(D3599, Products!$A$2:$A$37, 0))</f>
        <v>Men's Kandura Premium</v>
      </c>
      <c r="I3599" t="str">
        <f>INDEX(Products!$C$2:$C$37, MATCH(D3599, Products!$A$2:$A$37, 0))</f>
        <v>Fashion</v>
      </c>
      <c r="J3599">
        <f>INDEX(Products!$E$2:$E$37, MATCH(D3599, Products!$A$2:$A$37, 0))</f>
        <v>210</v>
      </c>
      <c r="K3599" s="9">
        <f t="shared" si="224"/>
        <v>319.20000000000005</v>
      </c>
      <c r="L3599">
        <f t="shared" si="225"/>
        <v>210</v>
      </c>
      <c r="M3599" s="9">
        <f t="shared" si="226"/>
        <v>109.20000000000005</v>
      </c>
      <c r="N3599" t="str">
        <f t="shared" si="227"/>
        <v>Nov</v>
      </c>
    </row>
    <row r="3600" spans="1:14" x14ac:dyDescent="0.3">
      <c r="A3600" s="2" t="s">
        <v>3666</v>
      </c>
      <c r="B3600" s="6">
        <v>45971</v>
      </c>
      <c r="C3600" s="2" t="s">
        <v>44</v>
      </c>
      <c r="D3600" s="2" t="s">
        <v>33</v>
      </c>
      <c r="E3600" s="2">
        <v>1</v>
      </c>
      <c r="F3600" s="7">
        <v>199</v>
      </c>
      <c r="G3600" s="8">
        <v>0.2</v>
      </c>
      <c r="H3600" s="9" t="str">
        <f>INDEX(Products!$B$2:$B$37, MATCH(D3600, Products!$A$2:$A$37, 0))</f>
        <v>Fitness Band Lite</v>
      </c>
      <c r="I3600" t="str">
        <f>INDEX(Products!$C$2:$C$37, MATCH(D3600, Products!$A$2:$A$37, 0))</f>
        <v>Electronics</v>
      </c>
      <c r="J3600">
        <f>INDEX(Products!$E$2:$E$37, MATCH(D3600, Products!$A$2:$A$37, 0))</f>
        <v>175</v>
      </c>
      <c r="K3600" s="9">
        <f t="shared" si="224"/>
        <v>159.20000000000002</v>
      </c>
      <c r="L3600">
        <f t="shared" si="225"/>
        <v>175</v>
      </c>
      <c r="M3600" s="9">
        <f t="shared" si="226"/>
        <v>-15.799999999999983</v>
      </c>
      <c r="N3600" t="str">
        <f t="shared" si="227"/>
        <v>Nov</v>
      </c>
    </row>
    <row r="3601" spans="1:14" x14ac:dyDescent="0.3">
      <c r="A3601" s="2" t="s">
        <v>3667</v>
      </c>
      <c r="B3601" s="6">
        <v>45971</v>
      </c>
      <c r="C3601" s="2" t="s">
        <v>44</v>
      </c>
      <c r="D3601" s="2" t="s">
        <v>126</v>
      </c>
      <c r="E3601" s="2">
        <v>1</v>
      </c>
      <c r="F3601" s="7">
        <v>89</v>
      </c>
      <c r="G3601" s="8">
        <v>0.2</v>
      </c>
      <c r="H3601" s="9" t="str">
        <f>INDEX(Products!$B$2:$B$37, MATCH(D3601, Products!$A$2:$A$37, 0))</f>
        <v>USB-C Fast Charger</v>
      </c>
      <c r="I3601" t="str">
        <f>INDEX(Products!$C$2:$C$37, MATCH(D3601, Products!$A$2:$A$37, 0))</f>
        <v>Electronics</v>
      </c>
      <c r="J3601">
        <f>INDEX(Products!$E$2:$E$37, MATCH(D3601, Products!$A$2:$A$37, 0))</f>
        <v>35</v>
      </c>
      <c r="K3601" s="9">
        <f t="shared" si="224"/>
        <v>71.2</v>
      </c>
      <c r="L3601">
        <f t="shared" si="225"/>
        <v>35</v>
      </c>
      <c r="M3601" s="9">
        <f t="shared" si="226"/>
        <v>36.200000000000003</v>
      </c>
      <c r="N3601" t="str">
        <f t="shared" si="227"/>
        <v>Nov</v>
      </c>
    </row>
    <row r="3602" spans="1:14" x14ac:dyDescent="0.3">
      <c r="A3602" s="2" t="s">
        <v>3668</v>
      </c>
      <c r="B3602" s="6">
        <v>45971</v>
      </c>
      <c r="C3602" s="2" t="s">
        <v>41</v>
      </c>
      <c r="D3602" s="2" t="s">
        <v>33</v>
      </c>
      <c r="E3602" s="2">
        <v>2</v>
      </c>
      <c r="F3602" s="7">
        <v>199</v>
      </c>
      <c r="G3602" s="8">
        <v>0.2</v>
      </c>
      <c r="H3602" s="9" t="str">
        <f>INDEX(Products!$B$2:$B$37, MATCH(D3602, Products!$A$2:$A$37, 0))</f>
        <v>Fitness Band Lite</v>
      </c>
      <c r="I3602" t="str">
        <f>INDEX(Products!$C$2:$C$37, MATCH(D3602, Products!$A$2:$A$37, 0))</f>
        <v>Electronics</v>
      </c>
      <c r="J3602">
        <f>INDEX(Products!$E$2:$E$37, MATCH(D3602, Products!$A$2:$A$37, 0))</f>
        <v>175</v>
      </c>
      <c r="K3602" s="9">
        <f t="shared" si="224"/>
        <v>318.40000000000003</v>
      </c>
      <c r="L3602">
        <f t="shared" si="225"/>
        <v>350</v>
      </c>
      <c r="M3602" s="9">
        <f t="shared" si="226"/>
        <v>-31.599999999999966</v>
      </c>
      <c r="N3602" t="str">
        <f t="shared" si="227"/>
        <v>Nov</v>
      </c>
    </row>
    <row r="3603" spans="1:14" x14ac:dyDescent="0.3">
      <c r="A3603" s="2" t="s">
        <v>3669</v>
      </c>
      <c r="B3603" s="6">
        <v>45971</v>
      </c>
      <c r="C3603" s="2" t="s">
        <v>31</v>
      </c>
      <c r="D3603" s="2" t="s">
        <v>46</v>
      </c>
      <c r="E3603" s="2">
        <v>1</v>
      </c>
      <c r="F3603" s="7">
        <v>189</v>
      </c>
      <c r="G3603" s="8">
        <v>0.2</v>
      </c>
      <c r="H3603" s="9" t="str">
        <f>INDEX(Products!$B$2:$B$37, MATCH(D3603, Products!$A$2:$A$37, 0))</f>
        <v>Makeup Palette</v>
      </c>
      <c r="I3603" t="str">
        <f>INDEX(Products!$C$2:$C$37, MATCH(D3603, Products!$A$2:$A$37, 0))</f>
        <v>Beauty</v>
      </c>
      <c r="J3603">
        <f>INDEX(Products!$E$2:$E$37, MATCH(D3603, Products!$A$2:$A$37, 0))</f>
        <v>85</v>
      </c>
      <c r="K3603" s="9">
        <f t="shared" si="224"/>
        <v>151.20000000000002</v>
      </c>
      <c r="L3603">
        <f t="shared" si="225"/>
        <v>85</v>
      </c>
      <c r="M3603" s="9">
        <f t="shared" si="226"/>
        <v>66.200000000000017</v>
      </c>
      <c r="N3603" t="str">
        <f t="shared" si="227"/>
        <v>Nov</v>
      </c>
    </row>
    <row r="3604" spans="1:14" x14ac:dyDescent="0.3">
      <c r="A3604" s="2" t="s">
        <v>3670</v>
      </c>
      <c r="B3604" s="6">
        <v>45971</v>
      </c>
      <c r="C3604" s="2" t="s">
        <v>44</v>
      </c>
      <c r="D3604" s="2" t="s">
        <v>42</v>
      </c>
      <c r="E3604" s="2">
        <v>1</v>
      </c>
      <c r="F3604" s="7">
        <v>399</v>
      </c>
      <c r="G3604" s="8">
        <v>0.2</v>
      </c>
      <c r="H3604" s="9" t="str">
        <f>INDEX(Products!$B$2:$B$37, MATCH(D3604, Products!$A$2:$A$37, 0))</f>
        <v>Wireless Earbuds Pro</v>
      </c>
      <c r="I3604" t="str">
        <f>INDEX(Products!$C$2:$C$37, MATCH(D3604, Products!$A$2:$A$37, 0))</f>
        <v>Electronics</v>
      </c>
      <c r="J3604">
        <f>INDEX(Products!$E$2:$E$37, MATCH(D3604, Products!$A$2:$A$37, 0))</f>
        <v>230</v>
      </c>
      <c r="K3604" s="9">
        <f t="shared" si="224"/>
        <v>319.20000000000005</v>
      </c>
      <c r="L3604">
        <f t="shared" si="225"/>
        <v>230</v>
      </c>
      <c r="M3604" s="9">
        <f t="shared" si="226"/>
        <v>89.200000000000045</v>
      </c>
      <c r="N3604" t="str">
        <f t="shared" si="227"/>
        <v>Nov</v>
      </c>
    </row>
    <row r="3605" spans="1:14" x14ac:dyDescent="0.3">
      <c r="A3605" s="2" t="s">
        <v>3671</v>
      </c>
      <c r="B3605" s="6">
        <v>45971</v>
      </c>
      <c r="C3605" s="2" t="s">
        <v>41</v>
      </c>
      <c r="D3605" s="2" t="s">
        <v>35</v>
      </c>
      <c r="E3605" s="2">
        <v>1</v>
      </c>
      <c r="F3605" s="7">
        <v>179</v>
      </c>
      <c r="G3605" s="8">
        <v>0.2</v>
      </c>
      <c r="H3605" s="9" t="str">
        <f>INDEX(Products!$B$2:$B$37, MATCH(D3605, Products!$A$2:$A$37, 0))</f>
        <v>Men's Linen Shirt</v>
      </c>
      <c r="I3605" t="str">
        <f>INDEX(Products!$C$2:$C$37, MATCH(D3605, Products!$A$2:$A$37, 0))</f>
        <v>Fashion</v>
      </c>
      <c r="J3605">
        <f>INDEX(Products!$E$2:$E$37, MATCH(D3605, Products!$A$2:$A$37, 0))</f>
        <v>70</v>
      </c>
      <c r="K3605" s="9">
        <f t="shared" si="224"/>
        <v>143.20000000000002</v>
      </c>
      <c r="L3605">
        <f t="shared" si="225"/>
        <v>70</v>
      </c>
      <c r="M3605" s="9">
        <f t="shared" si="226"/>
        <v>73.200000000000017</v>
      </c>
      <c r="N3605" t="str">
        <f t="shared" si="227"/>
        <v>Nov</v>
      </c>
    </row>
    <row r="3606" spans="1:14" x14ac:dyDescent="0.3">
      <c r="A3606" s="2" t="s">
        <v>3672</v>
      </c>
      <c r="B3606" s="6">
        <v>45971</v>
      </c>
      <c r="C3606" s="2" t="s">
        <v>28</v>
      </c>
      <c r="D3606" s="2" t="s">
        <v>80</v>
      </c>
      <c r="E3606" s="2">
        <v>2</v>
      </c>
      <c r="F3606" s="7">
        <v>149</v>
      </c>
      <c r="G3606" s="8">
        <v>0.2</v>
      </c>
      <c r="H3606" s="9" t="str">
        <f>INDEX(Products!$B$2:$B$37, MATCH(D3606, Products!$A$2:$A$37, 0))</f>
        <v>Vitamin C Serum</v>
      </c>
      <c r="I3606" t="str">
        <f>INDEX(Products!$C$2:$C$37, MATCH(D3606, Products!$A$2:$A$37, 0))</f>
        <v>Beauty</v>
      </c>
      <c r="J3606">
        <f>INDEX(Products!$E$2:$E$37, MATCH(D3606, Products!$A$2:$A$37, 0))</f>
        <v>55</v>
      </c>
      <c r="K3606" s="9">
        <f t="shared" si="224"/>
        <v>238.4</v>
      </c>
      <c r="L3606">
        <f t="shared" si="225"/>
        <v>110</v>
      </c>
      <c r="M3606" s="9">
        <f t="shared" si="226"/>
        <v>128.4</v>
      </c>
      <c r="N3606" t="str">
        <f t="shared" si="227"/>
        <v>Nov</v>
      </c>
    </row>
    <row r="3607" spans="1:14" x14ac:dyDescent="0.3">
      <c r="A3607" s="2" t="s">
        <v>3673</v>
      </c>
      <c r="B3607" s="6">
        <v>45971</v>
      </c>
      <c r="C3607" s="2" t="s">
        <v>48</v>
      </c>
      <c r="D3607" s="2" t="s">
        <v>75</v>
      </c>
      <c r="E3607" s="2">
        <v>1</v>
      </c>
      <c r="F3607" s="7">
        <v>549</v>
      </c>
      <c r="G3607" s="8">
        <v>0</v>
      </c>
      <c r="H3607" s="9" t="str">
        <f>INDEX(Products!$B$2:$B$37, MATCH(D3607, Products!$A$2:$A$37, 0))</f>
        <v>Oud Perfume 100ml</v>
      </c>
      <c r="I3607" t="str">
        <f>INDEX(Products!$C$2:$C$37, MATCH(D3607, Products!$A$2:$A$37, 0))</f>
        <v>Beauty</v>
      </c>
      <c r="J3607">
        <f>INDEX(Products!$E$2:$E$37, MATCH(D3607, Products!$A$2:$A$37, 0))</f>
        <v>250</v>
      </c>
      <c r="K3607" s="9">
        <f t="shared" si="224"/>
        <v>549</v>
      </c>
      <c r="L3607">
        <f t="shared" si="225"/>
        <v>250</v>
      </c>
      <c r="M3607" s="9">
        <f t="shared" si="226"/>
        <v>299</v>
      </c>
      <c r="N3607" t="str">
        <f t="shared" si="227"/>
        <v>Nov</v>
      </c>
    </row>
    <row r="3608" spans="1:14" x14ac:dyDescent="0.3">
      <c r="A3608" s="2" t="s">
        <v>3674</v>
      </c>
      <c r="B3608" s="6">
        <v>45971</v>
      </c>
      <c r="C3608" s="2" t="s">
        <v>31</v>
      </c>
      <c r="D3608" s="2" t="s">
        <v>39</v>
      </c>
      <c r="E3608" s="2">
        <v>2</v>
      </c>
      <c r="F3608" s="7">
        <v>199</v>
      </c>
      <c r="G3608" s="8">
        <v>0.2</v>
      </c>
      <c r="H3608" s="9" t="str">
        <f>INDEX(Products!$B$2:$B$37, MATCH(D3608, Products!$A$2:$A$37, 0))</f>
        <v>Bakhoor Gift Set</v>
      </c>
      <c r="I3608" t="str">
        <f>INDEX(Products!$C$2:$C$37, MATCH(D3608, Products!$A$2:$A$37, 0))</f>
        <v>Beauty</v>
      </c>
      <c r="J3608">
        <f>INDEX(Products!$E$2:$E$37, MATCH(D3608, Products!$A$2:$A$37, 0))</f>
        <v>90</v>
      </c>
      <c r="K3608" s="9">
        <f t="shared" si="224"/>
        <v>318.40000000000003</v>
      </c>
      <c r="L3608">
        <f t="shared" si="225"/>
        <v>180</v>
      </c>
      <c r="M3608" s="9">
        <f t="shared" si="226"/>
        <v>138.40000000000003</v>
      </c>
      <c r="N3608" t="str">
        <f t="shared" si="227"/>
        <v>Nov</v>
      </c>
    </row>
    <row r="3609" spans="1:14" x14ac:dyDescent="0.3">
      <c r="A3609" s="2" t="s">
        <v>3675</v>
      </c>
      <c r="B3609" s="6">
        <v>45971</v>
      </c>
      <c r="C3609" s="2" t="s">
        <v>41</v>
      </c>
      <c r="D3609" s="2" t="s">
        <v>35</v>
      </c>
      <c r="E3609" s="2">
        <v>2</v>
      </c>
      <c r="F3609" s="7">
        <v>179</v>
      </c>
      <c r="G3609" s="8">
        <v>0.2</v>
      </c>
      <c r="H3609" s="9" t="str">
        <f>INDEX(Products!$B$2:$B$37, MATCH(D3609, Products!$A$2:$A$37, 0))</f>
        <v>Men's Linen Shirt</v>
      </c>
      <c r="I3609" t="str">
        <f>INDEX(Products!$C$2:$C$37, MATCH(D3609, Products!$A$2:$A$37, 0))</f>
        <v>Fashion</v>
      </c>
      <c r="J3609">
        <f>INDEX(Products!$E$2:$E$37, MATCH(D3609, Products!$A$2:$A$37, 0))</f>
        <v>70</v>
      </c>
      <c r="K3609" s="9">
        <f t="shared" si="224"/>
        <v>286.40000000000003</v>
      </c>
      <c r="L3609">
        <f t="shared" si="225"/>
        <v>140</v>
      </c>
      <c r="M3609" s="9">
        <f t="shared" si="226"/>
        <v>146.40000000000003</v>
      </c>
      <c r="N3609" t="str">
        <f t="shared" si="227"/>
        <v>Nov</v>
      </c>
    </row>
    <row r="3610" spans="1:14" x14ac:dyDescent="0.3">
      <c r="A3610" s="2" t="s">
        <v>3676</v>
      </c>
      <c r="B3610" s="6">
        <v>45972</v>
      </c>
      <c r="C3610" s="2" t="s">
        <v>41</v>
      </c>
      <c r="D3610" s="2" t="s">
        <v>149</v>
      </c>
      <c r="E3610" s="2">
        <v>2</v>
      </c>
      <c r="F3610" s="7">
        <v>399</v>
      </c>
      <c r="G3610" s="8">
        <v>0.2</v>
      </c>
      <c r="H3610" s="9" t="str">
        <f>INDEX(Products!$B$2:$B$37, MATCH(D3610, Products!$A$2:$A$37, 0))</f>
        <v>Blender Pro 1200W</v>
      </c>
      <c r="I3610" t="str">
        <f>INDEX(Products!$C$2:$C$37, MATCH(D3610, Products!$A$2:$A$37, 0))</f>
        <v>Home &amp; Kitchen</v>
      </c>
      <c r="J3610">
        <f>INDEX(Products!$E$2:$E$37, MATCH(D3610, Products!$A$2:$A$37, 0))</f>
        <v>250</v>
      </c>
      <c r="K3610" s="9">
        <f t="shared" si="224"/>
        <v>638.40000000000009</v>
      </c>
      <c r="L3610">
        <f t="shared" si="225"/>
        <v>500</v>
      </c>
      <c r="M3610" s="9">
        <f t="shared" si="226"/>
        <v>138.40000000000009</v>
      </c>
      <c r="N3610" t="str">
        <f t="shared" si="227"/>
        <v>Nov</v>
      </c>
    </row>
    <row r="3611" spans="1:14" x14ac:dyDescent="0.3">
      <c r="A3611" s="2" t="s">
        <v>3677</v>
      </c>
      <c r="B3611" s="6">
        <v>45972</v>
      </c>
      <c r="C3611" s="2" t="s">
        <v>41</v>
      </c>
      <c r="D3611" s="2" t="s">
        <v>126</v>
      </c>
      <c r="E3611" s="2">
        <v>1</v>
      </c>
      <c r="F3611" s="7">
        <v>89</v>
      </c>
      <c r="G3611" s="8">
        <v>0.1</v>
      </c>
      <c r="H3611" s="9" t="str">
        <f>INDEX(Products!$B$2:$B$37, MATCH(D3611, Products!$A$2:$A$37, 0))</f>
        <v>USB-C Fast Charger</v>
      </c>
      <c r="I3611" t="str">
        <f>INDEX(Products!$C$2:$C$37, MATCH(D3611, Products!$A$2:$A$37, 0))</f>
        <v>Electronics</v>
      </c>
      <c r="J3611">
        <f>INDEX(Products!$E$2:$E$37, MATCH(D3611, Products!$A$2:$A$37, 0))</f>
        <v>35</v>
      </c>
      <c r="K3611" s="9">
        <f t="shared" si="224"/>
        <v>80.100000000000009</v>
      </c>
      <c r="L3611">
        <f t="shared" si="225"/>
        <v>35</v>
      </c>
      <c r="M3611" s="9">
        <f t="shared" si="226"/>
        <v>45.100000000000009</v>
      </c>
      <c r="N3611" t="str">
        <f t="shared" si="227"/>
        <v>Nov</v>
      </c>
    </row>
    <row r="3612" spans="1:14" x14ac:dyDescent="0.3">
      <c r="A3612" s="2" t="s">
        <v>3678</v>
      </c>
      <c r="B3612" s="6">
        <v>45972</v>
      </c>
      <c r="C3612" s="2" t="s">
        <v>28</v>
      </c>
      <c r="D3612" s="2" t="s">
        <v>75</v>
      </c>
      <c r="E3612" s="2">
        <v>3</v>
      </c>
      <c r="F3612" s="7">
        <v>549</v>
      </c>
      <c r="G3612" s="8">
        <v>0.2</v>
      </c>
      <c r="H3612" s="9" t="str">
        <f>INDEX(Products!$B$2:$B$37, MATCH(D3612, Products!$A$2:$A$37, 0))</f>
        <v>Oud Perfume 100ml</v>
      </c>
      <c r="I3612" t="str">
        <f>INDEX(Products!$C$2:$C$37, MATCH(D3612, Products!$A$2:$A$37, 0))</f>
        <v>Beauty</v>
      </c>
      <c r="J3612">
        <f>INDEX(Products!$E$2:$E$37, MATCH(D3612, Products!$A$2:$A$37, 0))</f>
        <v>250</v>
      </c>
      <c r="K3612" s="9">
        <f t="shared" si="224"/>
        <v>1317.6000000000001</v>
      </c>
      <c r="L3612">
        <f t="shared" si="225"/>
        <v>750</v>
      </c>
      <c r="M3612" s="9">
        <f t="shared" si="226"/>
        <v>567.60000000000014</v>
      </c>
      <c r="N3612" t="str">
        <f t="shared" si="227"/>
        <v>Nov</v>
      </c>
    </row>
    <row r="3613" spans="1:14" x14ac:dyDescent="0.3">
      <c r="A3613" s="2" t="s">
        <v>3679</v>
      </c>
      <c r="B3613" s="6">
        <v>45972</v>
      </c>
      <c r="C3613" s="2" t="s">
        <v>44</v>
      </c>
      <c r="D3613" s="2" t="s">
        <v>115</v>
      </c>
      <c r="E3613" s="2">
        <v>1</v>
      </c>
      <c r="F3613" s="7">
        <v>129</v>
      </c>
      <c r="G3613" s="8">
        <v>0</v>
      </c>
      <c r="H3613" s="9" t="str">
        <f>INDEX(Products!$B$2:$B$37, MATCH(D3613, Products!$A$2:$A$37, 0))</f>
        <v>Electric Kettle</v>
      </c>
      <c r="I3613" t="str">
        <f>INDEX(Products!$C$2:$C$37, MATCH(D3613, Products!$A$2:$A$37, 0))</f>
        <v>Home &amp; Kitchen</v>
      </c>
      <c r="J3613">
        <f>INDEX(Products!$E$2:$E$37, MATCH(D3613, Products!$A$2:$A$37, 0))</f>
        <v>60</v>
      </c>
      <c r="K3613" s="9">
        <f t="shared" si="224"/>
        <v>129</v>
      </c>
      <c r="L3613">
        <f t="shared" si="225"/>
        <v>60</v>
      </c>
      <c r="M3613" s="9">
        <f t="shared" si="226"/>
        <v>69</v>
      </c>
      <c r="N3613" t="str">
        <f t="shared" si="227"/>
        <v>Nov</v>
      </c>
    </row>
    <row r="3614" spans="1:14" x14ac:dyDescent="0.3">
      <c r="A3614" s="2" t="s">
        <v>3680</v>
      </c>
      <c r="B3614" s="6">
        <v>45972</v>
      </c>
      <c r="C3614" s="2" t="s">
        <v>48</v>
      </c>
      <c r="D3614" s="2" t="s">
        <v>80</v>
      </c>
      <c r="E3614" s="2">
        <v>1</v>
      </c>
      <c r="F3614" s="7">
        <v>149</v>
      </c>
      <c r="G3614" s="8">
        <v>0</v>
      </c>
      <c r="H3614" s="9" t="str">
        <f>INDEX(Products!$B$2:$B$37, MATCH(D3614, Products!$A$2:$A$37, 0))</f>
        <v>Vitamin C Serum</v>
      </c>
      <c r="I3614" t="str">
        <f>INDEX(Products!$C$2:$C$37, MATCH(D3614, Products!$A$2:$A$37, 0))</f>
        <v>Beauty</v>
      </c>
      <c r="J3614">
        <f>INDEX(Products!$E$2:$E$37, MATCH(D3614, Products!$A$2:$A$37, 0))</f>
        <v>55</v>
      </c>
      <c r="K3614" s="9">
        <f t="shared" si="224"/>
        <v>149</v>
      </c>
      <c r="L3614">
        <f t="shared" si="225"/>
        <v>55</v>
      </c>
      <c r="M3614" s="9">
        <f t="shared" si="226"/>
        <v>94</v>
      </c>
      <c r="N3614" t="str">
        <f t="shared" si="227"/>
        <v>Nov</v>
      </c>
    </row>
    <row r="3615" spans="1:14" x14ac:dyDescent="0.3">
      <c r="A3615" s="2" t="s">
        <v>3681</v>
      </c>
      <c r="B3615" s="6">
        <v>45972</v>
      </c>
      <c r="C3615" s="2" t="s">
        <v>41</v>
      </c>
      <c r="D3615" s="2" t="s">
        <v>29</v>
      </c>
      <c r="E3615" s="2">
        <v>2</v>
      </c>
      <c r="F3615" s="7">
        <v>229</v>
      </c>
      <c r="G3615" s="8">
        <v>0.05</v>
      </c>
      <c r="H3615" s="9" t="str">
        <f>INDEX(Products!$B$2:$B$37, MATCH(D3615, Products!$A$2:$A$37, 0))</f>
        <v>Women's Summer Dress</v>
      </c>
      <c r="I3615" t="str">
        <f>INDEX(Products!$C$2:$C$37, MATCH(D3615, Products!$A$2:$A$37, 0))</f>
        <v>Fashion</v>
      </c>
      <c r="J3615">
        <f>INDEX(Products!$E$2:$E$37, MATCH(D3615, Products!$A$2:$A$37, 0))</f>
        <v>120</v>
      </c>
      <c r="K3615" s="9">
        <f t="shared" si="224"/>
        <v>435.09999999999997</v>
      </c>
      <c r="L3615">
        <f t="shared" si="225"/>
        <v>240</v>
      </c>
      <c r="M3615" s="9">
        <f t="shared" si="226"/>
        <v>195.09999999999997</v>
      </c>
      <c r="N3615" t="str">
        <f t="shared" si="227"/>
        <v>Nov</v>
      </c>
    </row>
    <row r="3616" spans="1:14" x14ac:dyDescent="0.3">
      <c r="A3616" s="2" t="s">
        <v>3682</v>
      </c>
      <c r="B3616" s="6">
        <v>45972</v>
      </c>
      <c r="C3616" s="2" t="s">
        <v>41</v>
      </c>
      <c r="D3616" s="2" t="s">
        <v>129</v>
      </c>
      <c r="E3616" s="2">
        <v>2</v>
      </c>
      <c r="F3616" s="7">
        <v>149</v>
      </c>
      <c r="G3616" s="8">
        <v>0.2</v>
      </c>
      <c r="H3616" s="9" t="str">
        <f>INDEX(Products!$B$2:$B$37, MATCH(D3616, Products!$A$2:$A$37, 0))</f>
        <v>Power Bank 20000mAh</v>
      </c>
      <c r="I3616" t="str">
        <f>INDEX(Products!$C$2:$C$37, MATCH(D3616, Products!$A$2:$A$37, 0))</f>
        <v>Electronics</v>
      </c>
      <c r="J3616">
        <f>INDEX(Products!$E$2:$E$37, MATCH(D3616, Products!$A$2:$A$37, 0))</f>
        <v>70</v>
      </c>
      <c r="K3616" s="9">
        <f t="shared" si="224"/>
        <v>238.4</v>
      </c>
      <c r="L3616">
        <f t="shared" si="225"/>
        <v>140</v>
      </c>
      <c r="M3616" s="9">
        <f t="shared" si="226"/>
        <v>98.4</v>
      </c>
      <c r="N3616" t="str">
        <f t="shared" si="227"/>
        <v>Nov</v>
      </c>
    </row>
    <row r="3617" spans="1:14" x14ac:dyDescent="0.3">
      <c r="A3617" s="2" t="s">
        <v>3683</v>
      </c>
      <c r="B3617" s="6">
        <v>45972</v>
      </c>
      <c r="C3617" s="2" t="s">
        <v>28</v>
      </c>
      <c r="D3617" s="2" t="s">
        <v>83</v>
      </c>
      <c r="E3617" s="2">
        <v>1</v>
      </c>
      <c r="F3617" s="7">
        <v>229</v>
      </c>
      <c r="G3617" s="8">
        <v>0.05</v>
      </c>
      <c r="H3617" s="9" t="str">
        <f>INDEX(Products!$B$2:$B$37, MATCH(D3617, Products!$A$2:$A$37, 0))</f>
        <v>Cycling Helmet</v>
      </c>
      <c r="I3617" t="str">
        <f>INDEX(Products!$C$2:$C$37, MATCH(D3617, Products!$A$2:$A$37, 0))</f>
        <v>Sports</v>
      </c>
      <c r="J3617">
        <f>INDEX(Products!$E$2:$E$37, MATCH(D3617, Products!$A$2:$A$37, 0))</f>
        <v>120</v>
      </c>
      <c r="K3617" s="9">
        <f t="shared" si="224"/>
        <v>217.54999999999998</v>
      </c>
      <c r="L3617">
        <f t="shared" si="225"/>
        <v>120</v>
      </c>
      <c r="M3617" s="9">
        <f t="shared" si="226"/>
        <v>97.549999999999983</v>
      </c>
      <c r="N3617" t="str">
        <f t="shared" si="227"/>
        <v>Nov</v>
      </c>
    </row>
    <row r="3618" spans="1:14" x14ac:dyDescent="0.3">
      <c r="A3618" s="2" t="s">
        <v>3684</v>
      </c>
      <c r="B3618" s="6">
        <v>45972</v>
      </c>
      <c r="C3618" s="2" t="s">
        <v>28</v>
      </c>
      <c r="D3618" s="2" t="s">
        <v>103</v>
      </c>
      <c r="E3618" s="2">
        <v>1</v>
      </c>
      <c r="F3618" s="7">
        <v>89</v>
      </c>
      <c r="G3618" s="8">
        <v>0.2</v>
      </c>
      <c r="H3618" s="9" t="str">
        <f>INDEX(Products!$B$2:$B$37, MATCH(D3618, Products!$A$2:$A$37, 0))</f>
        <v>Sunscreen SPF50</v>
      </c>
      <c r="I3618" t="str">
        <f>INDEX(Products!$C$2:$C$37, MATCH(D3618, Products!$A$2:$A$37, 0))</f>
        <v>Beauty</v>
      </c>
      <c r="J3618">
        <f>INDEX(Products!$E$2:$E$37, MATCH(D3618, Products!$A$2:$A$37, 0))</f>
        <v>40</v>
      </c>
      <c r="K3618" s="9">
        <f t="shared" si="224"/>
        <v>71.2</v>
      </c>
      <c r="L3618">
        <f t="shared" si="225"/>
        <v>40</v>
      </c>
      <c r="M3618" s="9">
        <f t="shared" si="226"/>
        <v>31.200000000000003</v>
      </c>
      <c r="N3618" t="str">
        <f t="shared" si="227"/>
        <v>Nov</v>
      </c>
    </row>
    <row r="3619" spans="1:14" x14ac:dyDescent="0.3">
      <c r="A3619" s="2" t="s">
        <v>3685</v>
      </c>
      <c r="B3619" s="6">
        <v>45972</v>
      </c>
      <c r="C3619" s="2" t="s">
        <v>28</v>
      </c>
      <c r="D3619" s="2" t="s">
        <v>56</v>
      </c>
      <c r="E3619" s="2">
        <v>4</v>
      </c>
      <c r="F3619" s="7">
        <v>289</v>
      </c>
      <c r="G3619" s="8">
        <v>0.05</v>
      </c>
      <c r="H3619" s="9" t="str">
        <f>INDEX(Products!$B$2:$B$37, MATCH(D3619, Products!$A$2:$A$37, 0))</f>
        <v>Ceramic Dinner Set</v>
      </c>
      <c r="I3619" t="str">
        <f>INDEX(Products!$C$2:$C$37, MATCH(D3619, Products!$A$2:$A$37, 0))</f>
        <v>Home &amp; Kitchen</v>
      </c>
      <c r="J3619">
        <f>INDEX(Products!$E$2:$E$37, MATCH(D3619, Products!$A$2:$A$37, 0))</f>
        <v>140</v>
      </c>
      <c r="K3619" s="9">
        <f t="shared" si="224"/>
        <v>1098.2</v>
      </c>
      <c r="L3619">
        <f t="shared" si="225"/>
        <v>560</v>
      </c>
      <c r="M3619" s="9">
        <f t="shared" si="226"/>
        <v>538.20000000000005</v>
      </c>
      <c r="N3619" t="str">
        <f t="shared" si="227"/>
        <v>Nov</v>
      </c>
    </row>
    <row r="3620" spans="1:14" x14ac:dyDescent="0.3">
      <c r="A3620" s="2" t="s">
        <v>3686</v>
      </c>
      <c r="B3620" s="6">
        <v>45972</v>
      </c>
      <c r="C3620" s="2" t="s">
        <v>28</v>
      </c>
      <c r="D3620" s="2" t="s">
        <v>126</v>
      </c>
      <c r="E3620" s="2">
        <v>1</v>
      </c>
      <c r="F3620" s="7">
        <v>89</v>
      </c>
      <c r="G3620" s="8">
        <v>0.1</v>
      </c>
      <c r="H3620" s="9" t="str">
        <f>INDEX(Products!$B$2:$B$37, MATCH(D3620, Products!$A$2:$A$37, 0))</f>
        <v>USB-C Fast Charger</v>
      </c>
      <c r="I3620" t="str">
        <f>INDEX(Products!$C$2:$C$37, MATCH(D3620, Products!$A$2:$A$37, 0))</f>
        <v>Electronics</v>
      </c>
      <c r="J3620">
        <f>INDEX(Products!$E$2:$E$37, MATCH(D3620, Products!$A$2:$A$37, 0))</f>
        <v>35</v>
      </c>
      <c r="K3620" s="9">
        <f t="shared" si="224"/>
        <v>80.100000000000009</v>
      </c>
      <c r="L3620">
        <f t="shared" si="225"/>
        <v>35</v>
      </c>
      <c r="M3620" s="9">
        <f t="shared" si="226"/>
        <v>45.100000000000009</v>
      </c>
      <c r="N3620" t="str">
        <f t="shared" si="227"/>
        <v>Nov</v>
      </c>
    </row>
    <row r="3621" spans="1:14" x14ac:dyDescent="0.3">
      <c r="A3621" s="2" t="s">
        <v>3687</v>
      </c>
      <c r="B3621" s="6">
        <v>45972</v>
      </c>
      <c r="C3621" s="2" t="s">
        <v>28</v>
      </c>
      <c r="D3621" s="2" t="s">
        <v>129</v>
      </c>
      <c r="E3621" s="2">
        <v>2</v>
      </c>
      <c r="F3621" s="7">
        <v>149</v>
      </c>
      <c r="G3621" s="8">
        <v>0.2</v>
      </c>
      <c r="H3621" s="9" t="str">
        <f>INDEX(Products!$B$2:$B$37, MATCH(D3621, Products!$A$2:$A$37, 0))</f>
        <v>Power Bank 20000mAh</v>
      </c>
      <c r="I3621" t="str">
        <f>INDEX(Products!$C$2:$C$37, MATCH(D3621, Products!$A$2:$A$37, 0))</f>
        <v>Electronics</v>
      </c>
      <c r="J3621">
        <f>INDEX(Products!$E$2:$E$37, MATCH(D3621, Products!$A$2:$A$37, 0))</f>
        <v>70</v>
      </c>
      <c r="K3621" s="9">
        <f t="shared" si="224"/>
        <v>238.4</v>
      </c>
      <c r="L3621">
        <f t="shared" si="225"/>
        <v>140</v>
      </c>
      <c r="M3621" s="9">
        <f t="shared" si="226"/>
        <v>98.4</v>
      </c>
      <c r="N3621" t="str">
        <f t="shared" si="227"/>
        <v>Nov</v>
      </c>
    </row>
    <row r="3622" spans="1:14" x14ac:dyDescent="0.3">
      <c r="A3622" s="2" t="s">
        <v>3688</v>
      </c>
      <c r="B3622" s="6">
        <v>45972</v>
      </c>
      <c r="C3622" s="2" t="s">
        <v>44</v>
      </c>
      <c r="D3622" s="2" t="s">
        <v>165</v>
      </c>
      <c r="E3622" s="2">
        <v>2</v>
      </c>
      <c r="F3622" s="7">
        <v>69</v>
      </c>
      <c r="G3622" s="8">
        <v>0.2</v>
      </c>
      <c r="H3622" s="9" t="str">
        <f>INDEX(Products!$B$2:$B$37, MATCH(D3622, Products!$A$2:$A$37, 0))</f>
        <v>Swim Goggles</v>
      </c>
      <c r="I3622" t="str">
        <f>INDEX(Products!$C$2:$C$37, MATCH(D3622, Products!$A$2:$A$37, 0))</f>
        <v>Sports</v>
      </c>
      <c r="J3622">
        <f>INDEX(Products!$E$2:$E$37, MATCH(D3622, Products!$A$2:$A$37, 0))</f>
        <v>25</v>
      </c>
      <c r="K3622" s="9">
        <f t="shared" si="224"/>
        <v>110.4</v>
      </c>
      <c r="L3622">
        <f t="shared" si="225"/>
        <v>50</v>
      </c>
      <c r="M3622" s="9">
        <f t="shared" si="226"/>
        <v>60.400000000000006</v>
      </c>
      <c r="N3622" t="str">
        <f t="shared" si="227"/>
        <v>Nov</v>
      </c>
    </row>
    <row r="3623" spans="1:14" x14ac:dyDescent="0.3">
      <c r="A3623" s="2" t="s">
        <v>3689</v>
      </c>
      <c r="B3623" s="6">
        <v>45972</v>
      </c>
      <c r="C3623" s="2" t="s">
        <v>31</v>
      </c>
      <c r="D3623" s="2" t="s">
        <v>49</v>
      </c>
      <c r="E3623" s="2">
        <v>1</v>
      </c>
      <c r="F3623" s="7">
        <v>149</v>
      </c>
      <c r="G3623" s="8">
        <v>0.2</v>
      </c>
      <c r="H3623" s="9" t="str">
        <f>INDEX(Products!$B$2:$B$37, MATCH(D3623, Products!$A$2:$A$37, 0))</f>
        <v>Kids' Sneakers</v>
      </c>
      <c r="I3623" t="str">
        <f>INDEX(Products!$C$2:$C$37, MATCH(D3623, Products!$A$2:$A$37, 0))</f>
        <v>Fashion</v>
      </c>
      <c r="J3623">
        <f>INDEX(Products!$E$2:$E$37, MATCH(D3623, Products!$A$2:$A$37, 0))</f>
        <v>80</v>
      </c>
      <c r="K3623" s="9">
        <f t="shared" si="224"/>
        <v>119.2</v>
      </c>
      <c r="L3623">
        <f t="shared" si="225"/>
        <v>80</v>
      </c>
      <c r="M3623" s="9">
        <f t="shared" si="226"/>
        <v>39.200000000000003</v>
      </c>
      <c r="N3623" t="str">
        <f t="shared" si="227"/>
        <v>Nov</v>
      </c>
    </row>
    <row r="3624" spans="1:14" x14ac:dyDescent="0.3">
      <c r="A3624" s="2" t="s">
        <v>3690</v>
      </c>
      <c r="B3624" s="6">
        <v>45972</v>
      </c>
      <c r="C3624" s="2" t="s">
        <v>28</v>
      </c>
      <c r="D3624" s="2" t="s">
        <v>65</v>
      </c>
      <c r="E3624" s="2">
        <v>3</v>
      </c>
      <c r="F3624" s="7">
        <v>129</v>
      </c>
      <c r="G3624" s="8">
        <v>0</v>
      </c>
      <c r="H3624" s="9" t="str">
        <f>INDEX(Products!$B$2:$B$37, MATCH(D3624, Products!$A$2:$A$37, 0))</f>
        <v>Yoga Mat Premium</v>
      </c>
      <c r="I3624" t="str">
        <f>INDEX(Products!$C$2:$C$37, MATCH(D3624, Products!$A$2:$A$37, 0))</f>
        <v>Sports</v>
      </c>
      <c r="J3624">
        <f>INDEX(Products!$E$2:$E$37, MATCH(D3624, Products!$A$2:$A$37, 0))</f>
        <v>60</v>
      </c>
      <c r="K3624" s="9">
        <f t="shared" si="224"/>
        <v>387</v>
      </c>
      <c r="L3624">
        <f t="shared" si="225"/>
        <v>180</v>
      </c>
      <c r="M3624" s="9">
        <f t="shared" si="226"/>
        <v>207</v>
      </c>
      <c r="N3624" t="str">
        <f t="shared" si="227"/>
        <v>Nov</v>
      </c>
    </row>
    <row r="3625" spans="1:14" x14ac:dyDescent="0.3">
      <c r="A3625" s="2" t="s">
        <v>3691</v>
      </c>
      <c r="B3625" s="6">
        <v>45973</v>
      </c>
      <c r="C3625" s="2" t="s">
        <v>44</v>
      </c>
      <c r="D3625" s="2" t="s">
        <v>33</v>
      </c>
      <c r="E3625" s="2">
        <v>1</v>
      </c>
      <c r="F3625" s="7">
        <v>199</v>
      </c>
      <c r="G3625" s="8">
        <v>0.25</v>
      </c>
      <c r="H3625" s="9" t="str">
        <f>INDEX(Products!$B$2:$B$37, MATCH(D3625, Products!$A$2:$A$37, 0))</f>
        <v>Fitness Band Lite</v>
      </c>
      <c r="I3625" t="str">
        <f>INDEX(Products!$C$2:$C$37, MATCH(D3625, Products!$A$2:$A$37, 0))</f>
        <v>Electronics</v>
      </c>
      <c r="J3625">
        <f>INDEX(Products!$E$2:$E$37, MATCH(D3625, Products!$A$2:$A$37, 0))</f>
        <v>175</v>
      </c>
      <c r="K3625" s="9">
        <f t="shared" si="224"/>
        <v>149.25</v>
      </c>
      <c r="L3625">
        <f t="shared" si="225"/>
        <v>175</v>
      </c>
      <c r="M3625" s="9">
        <f t="shared" si="226"/>
        <v>-25.75</v>
      </c>
      <c r="N3625" t="str">
        <f t="shared" si="227"/>
        <v>Nov</v>
      </c>
    </row>
    <row r="3626" spans="1:14" x14ac:dyDescent="0.3">
      <c r="A3626" s="2" t="s">
        <v>3692</v>
      </c>
      <c r="B3626" s="6">
        <v>45973</v>
      </c>
      <c r="C3626" s="2" t="s">
        <v>41</v>
      </c>
      <c r="D3626" s="2" t="s">
        <v>115</v>
      </c>
      <c r="E3626" s="2">
        <v>1</v>
      </c>
      <c r="F3626" s="7">
        <v>129</v>
      </c>
      <c r="G3626" s="8">
        <v>0.2</v>
      </c>
      <c r="H3626" s="9" t="str">
        <f>INDEX(Products!$B$2:$B$37, MATCH(D3626, Products!$A$2:$A$37, 0))</f>
        <v>Electric Kettle</v>
      </c>
      <c r="I3626" t="str">
        <f>INDEX(Products!$C$2:$C$37, MATCH(D3626, Products!$A$2:$A$37, 0))</f>
        <v>Home &amp; Kitchen</v>
      </c>
      <c r="J3626">
        <f>INDEX(Products!$E$2:$E$37, MATCH(D3626, Products!$A$2:$A$37, 0))</f>
        <v>60</v>
      </c>
      <c r="K3626" s="9">
        <f t="shared" si="224"/>
        <v>103.2</v>
      </c>
      <c r="L3626">
        <f t="shared" si="225"/>
        <v>60</v>
      </c>
      <c r="M3626" s="9">
        <f t="shared" si="226"/>
        <v>43.2</v>
      </c>
      <c r="N3626" t="str">
        <f t="shared" si="227"/>
        <v>Nov</v>
      </c>
    </row>
    <row r="3627" spans="1:14" x14ac:dyDescent="0.3">
      <c r="A3627" s="2" t="s">
        <v>3693</v>
      </c>
      <c r="B3627" s="6">
        <v>45973</v>
      </c>
      <c r="C3627" s="2" t="s">
        <v>48</v>
      </c>
      <c r="D3627" s="2" t="s">
        <v>194</v>
      </c>
      <c r="E3627" s="2">
        <v>3</v>
      </c>
      <c r="F3627" s="7">
        <v>699</v>
      </c>
      <c r="G3627" s="8">
        <v>0.2</v>
      </c>
      <c r="H3627" s="9" t="str">
        <f>INDEX(Products!$B$2:$B$37, MATCH(D3627, Products!$A$2:$A$37, 0))</f>
        <v>Leather Handbag</v>
      </c>
      <c r="I3627" t="str">
        <f>INDEX(Products!$C$2:$C$37, MATCH(D3627, Products!$A$2:$A$37, 0))</f>
        <v>Fashion</v>
      </c>
      <c r="J3627">
        <f>INDEX(Products!$E$2:$E$37, MATCH(D3627, Products!$A$2:$A$37, 0))</f>
        <v>380</v>
      </c>
      <c r="K3627" s="9">
        <f t="shared" si="224"/>
        <v>1677.6000000000001</v>
      </c>
      <c r="L3627">
        <f t="shared" si="225"/>
        <v>1140</v>
      </c>
      <c r="M3627" s="9">
        <f t="shared" si="226"/>
        <v>537.60000000000014</v>
      </c>
      <c r="N3627" t="str">
        <f t="shared" si="227"/>
        <v>Nov</v>
      </c>
    </row>
    <row r="3628" spans="1:14" x14ac:dyDescent="0.3">
      <c r="A3628" s="2" t="s">
        <v>3694</v>
      </c>
      <c r="B3628" s="6">
        <v>45973</v>
      </c>
      <c r="C3628" s="2" t="s">
        <v>41</v>
      </c>
      <c r="D3628" s="2" t="s">
        <v>78</v>
      </c>
      <c r="E3628" s="2">
        <v>1</v>
      </c>
      <c r="F3628" s="7">
        <v>499</v>
      </c>
      <c r="G3628" s="8">
        <v>0</v>
      </c>
      <c r="H3628" s="9" t="str">
        <f>INDEX(Products!$B$2:$B$37, MATCH(D3628, Products!$A$2:$A$37, 0))</f>
        <v>Air Fryer 5L</v>
      </c>
      <c r="I3628" t="str">
        <f>INDEX(Products!$C$2:$C$37, MATCH(D3628, Products!$A$2:$A$37, 0))</f>
        <v>Home &amp; Kitchen</v>
      </c>
      <c r="J3628">
        <f>INDEX(Products!$E$2:$E$37, MATCH(D3628, Products!$A$2:$A$37, 0))</f>
        <v>290</v>
      </c>
      <c r="K3628" s="9">
        <f t="shared" si="224"/>
        <v>499</v>
      </c>
      <c r="L3628">
        <f t="shared" si="225"/>
        <v>290</v>
      </c>
      <c r="M3628" s="9">
        <f t="shared" si="226"/>
        <v>209</v>
      </c>
      <c r="N3628" t="str">
        <f t="shared" si="227"/>
        <v>Nov</v>
      </c>
    </row>
    <row r="3629" spans="1:14" x14ac:dyDescent="0.3">
      <c r="A3629" s="2" t="s">
        <v>3695</v>
      </c>
      <c r="B3629" s="6">
        <v>45973</v>
      </c>
      <c r="C3629" s="2" t="s">
        <v>41</v>
      </c>
      <c r="D3629" s="2" t="s">
        <v>89</v>
      </c>
      <c r="E3629" s="2">
        <v>1</v>
      </c>
      <c r="F3629" s="7">
        <v>399</v>
      </c>
      <c r="G3629" s="8">
        <v>0.2</v>
      </c>
      <c r="H3629" s="9" t="str">
        <f>INDEX(Products!$B$2:$B$37, MATCH(D3629, Products!$A$2:$A$37, 0))</f>
        <v>Men's Kandura Premium</v>
      </c>
      <c r="I3629" t="str">
        <f>INDEX(Products!$C$2:$C$37, MATCH(D3629, Products!$A$2:$A$37, 0))</f>
        <v>Fashion</v>
      </c>
      <c r="J3629">
        <f>INDEX(Products!$E$2:$E$37, MATCH(D3629, Products!$A$2:$A$37, 0))</f>
        <v>210</v>
      </c>
      <c r="K3629" s="9">
        <f t="shared" si="224"/>
        <v>319.20000000000005</v>
      </c>
      <c r="L3629">
        <f t="shared" si="225"/>
        <v>210</v>
      </c>
      <c r="M3629" s="9">
        <f t="shared" si="226"/>
        <v>109.20000000000005</v>
      </c>
      <c r="N3629" t="str">
        <f t="shared" si="227"/>
        <v>Nov</v>
      </c>
    </row>
    <row r="3630" spans="1:14" x14ac:dyDescent="0.3">
      <c r="A3630" s="2" t="s">
        <v>3696</v>
      </c>
      <c r="B3630" s="6">
        <v>45973</v>
      </c>
      <c r="C3630" s="2" t="s">
        <v>41</v>
      </c>
      <c r="D3630" s="2" t="s">
        <v>68</v>
      </c>
      <c r="E3630" s="2">
        <v>1</v>
      </c>
      <c r="F3630" s="7">
        <v>249</v>
      </c>
      <c r="G3630" s="8">
        <v>0</v>
      </c>
      <c r="H3630" s="9" t="str">
        <f>INDEX(Products!$B$2:$B$37, MATCH(D3630, Products!$A$2:$A$37, 0))</f>
        <v>Bluetooth Speaker Mini</v>
      </c>
      <c r="I3630" t="str">
        <f>INDEX(Products!$C$2:$C$37, MATCH(D3630, Products!$A$2:$A$37, 0))</f>
        <v>Electronics</v>
      </c>
      <c r="J3630">
        <f>INDEX(Products!$E$2:$E$37, MATCH(D3630, Products!$A$2:$A$37, 0))</f>
        <v>150</v>
      </c>
      <c r="K3630" s="9">
        <f t="shared" si="224"/>
        <v>249</v>
      </c>
      <c r="L3630">
        <f t="shared" si="225"/>
        <v>150</v>
      </c>
      <c r="M3630" s="9">
        <f t="shared" si="226"/>
        <v>99</v>
      </c>
      <c r="N3630" t="str">
        <f t="shared" si="227"/>
        <v>Nov</v>
      </c>
    </row>
    <row r="3631" spans="1:14" x14ac:dyDescent="0.3">
      <c r="A3631" s="2" t="s">
        <v>3697</v>
      </c>
      <c r="B3631" s="6">
        <v>45973</v>
      </c>
      <c r="C3631" s="2" t="s">
        <v>48</v>
      </c>
      <c r="D3631" s="2" t="s">
        <v>78</v>
      </c>
      <c r="E3631" s="2">
        <v>1</v>
      </c>
      <c r="F3631" s="7">
        <v>499</v>
      </c>
      <c r="G3631" s="8">
        <v>0.2</v>
      </c>
      <c r="H3631" s="9" t="str">
        <f>INDEX(Products!$B$2:$B$37, MATCH(D3631, Products!$A$2:$A$37, 0))</f>
        <v>Air Fryer 5L</v>
      </c>
      <c r="I3631" t="str">
        <f>INDEX(Products!$C$2:$C$37, MATCH(D3631, Products!$A$2:$A$37, 0))</f>
        <v>Home &amp; Kitchen</v>
      </c>
      <c r="J3631">
        <f>INDEX(Products!$E$2:$E$37, MATCH(D3631, Products!$A$2:$A$37, 0))</f>
        <v>290</v>
      </c>
      <c r="K3631" s="9">
        <f t="shared" si="224"/>
        <v>399.20000000000005</v>
      </c>
      <c r="L3631">
        <f t="shared" si="225"/>
        <v>290</v>
      </c>
      <c r="M3631" s="9">
        <f t="shared" si="226"/>
        <v>109.20000000000005</v>
      </c>
      <c r="N3631" t="str">
        <f t="shared" si="227"/>
        <v>Nov</v>
      </c>
    </row>
    <row r="3632" spans="1:14" x14ac:dyDescent="0.3">
      <c r="A3632" s="2" t="s">
        <v>3698</v>
      </c>
      <c r="B3632" s="6">
        <v>45973</v>
      </c>
      <c r="C3632" s="2" t="s">
        <v>41</v>
      </c>
      <c r="D3632" s="2" t="s">
        <v>89</v>
      </c>
      <c r="E3632" s="2">
        <v>3</v>
      </c>
      <c r="F3632" s="7">
        <v>399</v>
      </c>
      <c r="G3632" s="8">
        <v>0.15</v>
      </c>
      <c r="H3632" s="9" t="str">
        <f>INDEX(Products!$B$2:$B$37, MATCH(D3632, Products!$A$2:$A$37, 0))</f>
        <v>Men's Kandura Premium</v>
      </c>
      <c r="I3632" t="str">
        <f>INDEX(Products!$C$2:$C$37, MATCH(D3632, Products!$A$2:$A$37, 0))</f>
        <v>Fashion</v>
      </c>
      <c r="J3632">
        <f>INDEX(Products!$E$2:$E$37, MATCH(D3632, Products!$A$2:$A$37, 0))</f>
        <v>210</v>
      </c>
      <c r="K3632" s="9">
        <f t="shared" si="224"/>
        <v>1017.4499999999999</v>
      </c>
      <c r="L3632">
        <f t="shared" si="225"/>
        <v>630</v>
      </c>
      <c r="M3632" s="9">
        <f t="shared" si="226"/>
        <v>387.44999999999993</v>
      </c>
      <c r="N3632" t="str">
        <f t="shared" si="227"/>
        <v>Nov</v>
      </c>
    </row>
    <row r="3633" spans="1:14" x14ac:dyDescent="0.3">
      <c r="A3633" s="2" t="s">
        <v>3699</v>
      </c>
      <c r="B3633" s="6">
        <v>45973</v>
      </c>
      <c r="C3633" s="2" t="s">
        <v>28</v>
      </c>
      <c r="D3633" s="2" t="s">
        <v>33</v>
      </c>
      <c r="E3633" s="2">
        <v>1</v>
      </c>
      <c r="F3633" s="7">
        <v>199</v>
      </c>
      <c r="G3633" s="8">
        <v>0.1</v>
      </c>
      <c r="H3633" s="9" t="str">
        <f>INDEX(Products!$B$2:$B$37, MATCH(D3633, Products!$A$2:$A$37, 0))</f>
        <v>Fitness Band Lite</v>
      </c>
      <c r="I3633" t="str">
        <f>INDEX(Products!$C$2:$C$37, MATCH(D3633, Products!$A$2:$A$37, 0))</f>
        <v>Electronics</v>
      </c>
      <c r="J3633">
        <f>INDEX(Products!$E$2:$E$37, MATCH(D3633, Products!$A$2:$A$37, 0))</f>
        <v>175</v>
      </c>
      <c r="K3633" s="9">
        <f t="shared" si="224"/>
        <v>179.1</v>
      </c>
      <c r="L3633">
        <f t="shared" si="225"/>
        <v>175</v>
      </c>
      <c r="M3633" s="9">
        <f t="shared" si="226"/>
        <v>4.0999999999999943</v>
      </c>
      <c r="N3633" t="str">
        <f t="shared" si="227"/>
        <v>Nov</v>
      </c>
    </row>
    <row r="3634" spans="1:14" x14ac:dyDescent="0.3">
      <c r="A3634" s="2" t="s">
        <v>3700</v>
      </c>
      <c r="B3634" s="6">
        <v>45973</v>
      </c>
      <c r="C3634" s="2" t="s">
        <v>31</v>
      </c>
      <c r="D3634" s="2" t="s">
        <v>52</v>
      </c>
      <c r="E3634" s="2">
        <v>1</v>
      </c>
      <c r="F3634" s="7">
        <v>299</v>
      </c>
      <c r="G3634" s="8">
        <v>0.2</v>
      </c>
      <c r="H3634" s="9" t="str">
        <f>INDEX(Products!$B$2:$B$37, MATCH(D3634, Products!$A$2:$A$37, 0))</f>
        <v>Hair Dryer Ionic</v>
      </c>
      <c r="I3634" t="str">
        <f>INDEX(Products!$C$2:$C$37, MATCH(D3634, Products!$A$2:$A$37, 0))</f>
        <v>Beauty</v>
      </c>
      <c r="J3634">
        <f>INDEX(Products!$E$2:$E$37, MATCH(D3634, Products!$A$2:$A$37, 0))</f>
        <v>240</v>
      </c>
      <c r="K3634" s="9">
        <f t="shared" si="224"/>
        <v>239.20000000000002</v>
      </c>
      <c r="L3634">
        <f t="shared" si="225"/>
        <v>240</v>
      </c>
      <c r="M3634" s="9">
        <f t="shared" si="226"/>
        <v>-0.79999999999998295</v>
      </c>
      <c r="N3634" t="str">
        <f t="shared" si="227"/>
        <v>Nov</v>
      </c>
    </row>
    <row r="3635" spans="1:14" x14ac:dyDescent="0.3">
      <c r="A3635" s="2" t="s">
        <v>3701</v>
      </c>
      <c r="B3635" s="6">
        <v>45973</v>
      </c>
      <c r="C3635" s="2" t="s">
        <v>28</v>
      </c>
      <c r="D3635" s="2" t="s">
        <v>70</v>
      </c>
      <c r="E3635" s="2">
        <v>1</v>
      </c>
      <c r="F3635" s="7">
        <v>429</v>
      </c>
      <c r="G3635" s="8">
        <v>0.2</v>
      </c>
      <c r="H3635" s="9" t="str">
        <f>INDEX(Products!$B$2:$B$37, MATCH(D3635, Products!$A$2:$A$37, 0))</f>
        <v>Running Shoes Elite</v>
      </c>
      <c r="I3635" t="str">
        <f>INDEX(Products!$C$2:$C$37, MATCH(D3635, Products!$A$2:$A$37, 0))</f>
        <v>Fashion</v>
      </c>
      <c r="J3635">
        <f>INDEX(Products!$E$2:$E$37, MATCH(D3635, Products!$A$2:$A$37, 0))</f>
        <v>300</v>
      </c>
      <c r="K3635" s="9">
        <f t="shared" si="224"/>
        <v>343.20000000000005</v>
      </c>
      <c r="L3635">
        <f t="shared" si="225"/>
        <v>300</v>
      </c>
      <c r="M3635" s="9">
        <f t="shared" si="226"/>
        <v>43.200000000000045</v>
      </c>
      <c r="N3635" t="str">
        <f t="shared" si="227"/>
        <v>Nov</v>
      </c>
    </row>
    <row r="3636" spans="1:14" x14ac:dyDescent="0.3">
      <c r="A3636" s="2" t="s">
        <v>3702</v>
      </c>
      <c r="B3636" s="6">
        <v>45973</v>
      </c>
      <c r="C3636" s="2" t="s">
        <v>31</v>
      </c>
      <c r="D3636" s="2" t="s">
        <v>149</v>
      </c>
      <c r="E3636" s="2">
        <v>1</v>
      </c>
      <c r="F3636" s="7">
        <v>399</v>
      </c>
      <c r="G3636" s="8">
        <v>0.2</v>
      </c>
      <c r="H3636" s="9" t="str">
        <f>INDEX(Products!$B$2:$B$37, MATCH(D3636, Products!$A$2:$A$37, 0))</f>
        <v>Blender Pro 1200W</v>
      </c>
      <c r="I3636" t="str">
        <f>INDEX(Products!$C$2:$C$37, MATCH(D3636, Products!$A$2:$A$37, 0))</f>
        <v>Home &amp; Kitchen</v>
      </c>
      <c r="J3636">
        <f>INDEX(Products!$E$2:$E$37, MATCH(D3636, Products!$A$2:$A$37, 0))</f>
        <v>250</v>
      </c>
      <c r="K3636" s="9">
        <f t="shared" si="224"/>
        <v>319.20000000000005</v>
      </c>
      <c r="L3636">
        <f t="shared" si="225"/>
        <v>250</v>
      </c>
      <c r="M3636" s="9">
        <f t="shared" si="226"/>
        <v>69.200000000000045</v>
      </c>
      <c r="N3636" t="str">
        <f t="shared" si="227"/>
        <v>Nov</v>
      </c>
    </row>
    <row r="3637" spans="1:14" x14ac:dyDescent="0.3">
      <c r="A3637" s="2" t="s">
        <v>3703</v>
      </c>
      <c r="B3637" s="6">
        <v>45973</v>
      </c>
      <c r="C3637" s="2" t="s">
        <v>44</v>
      </c>
      <c r="D3637" s="2" t="s">
        <v>126</v>
      </c>
      <c r="E3637" s="2">
        <v>1</v>
      </c>
      <c r="F3637" s="7">
        <v>89</v>
      </c>
      <c r="G3637" s="8">
        <v>0.2</v>
      </c>
      <c r="H3637" s="9" t="str">
        <f>INDEX(Products!$B$2:$B$37, MATCH(D3637, Products!$A$2:$A$37, 0))</f>
        <v>USB-C Fast Charger</v>
      </c>
      <c r="I3637" t="str">
        <f>INDEX(Products!$C$2:$C$37, MATCH(D3637, Products!$A$2:$A$37, 0))</f>
        <v>Electronics</v>
      </c>
      <c r="J3637">
        <f>INDEX(Products!$E$2:$E$37, MATCH(D3637, Products!$A$2:$A$37, 0))</f>
        <v>35</v>
      </c>
      <c r="K3637" s="9">
        <f t="shared" si="224"/>
        <v>71.2</v>
      </c>
      <c r="L3637">
        <f t="shared" si="225"/>
        <v>35</v>
      </c>
      <c r="M3637" s="9">
        <f t="shared" si="226"/>
        <v>36.200000000000003</v>
      </c>
      <c r="N3637" t="str">
        <f t="shared" si="227"/>
        <v>Nov</v>
      </c>
    </row>
    <row r="3638" spans="1:14" x14ac:dyDescent="0.3">
      <c r="A3638" s="2" t="s">
        <v>3704</v>
      </c>
      <c r="B3638" s="6">
        <v>45973</v>
      </c>
      <c r="C3638" s="2" t="s">
        <v>41</v>
      </c>
      <c r="D3638" s="2" t="s">
        <v>37</v>
      </c>
      <c r="E3638" s="2">
        <v>2</v>
      </c>
      <c r="F3638" s="7">
        <v>249</v>
      </c>
      <c r="G3638" s="8">
        <v>0</v>
      </c>
      <c r="H3638" s="9" t="str">
        <f>INDEX(Products!$B$2:$B$37, MATCH(D3638, Products!$A$2:$A$37, 0))</f>
        <v>Sunglasses Polarised</v>
      </c>
      <c r="I3638" t="str">
        <f>INDEX(Products!$C$2:$C$37, MATCH(D3638, Products!$A$2:$A$37, 0))</f>
        <v>Fashion</v>
      </c>
      <c r="J3638">
        <f>INDEX(Products!$E$2:$E$37, MATCH(D3638, Products!$A$2:$A$37, 0))</f>
        <v>95</v>
      </c>
      <c r="K3638" s="9">
        <f t="shared" si="224"/>
        <v>498</v>
      </c>
      <c r="L3638">
        <f t="shared" si="225"/>
        <v>190</v>
      </c>
      <c r="M3638" s="9">
        <f t="shared" si="226"/>
        <v>308</v>
      </c>
      <c r="N3638" t="str">
        <f t="shared" si="227"/>
        <v>Nov</v>
      </c>
    </row>
    <row r="3639" spans="1:14" x14ac:dyDescent="0.3">
      <c r="A3639" s="2" t="s">
        <v>3705</v>
      </c>
      <c r="B3639" s="6">
        <v>45974</v>
      </c>
      <c r="C3639" s="2" t="s">
        <v>44</v>
      </c>
      <c r="D3639" s="2" t="s">
        <v>65</v>
      </c>
      <c r="E3639" s="2">
        <v>3</v>
      </c>
      <c r="F3639" s="7">
        <v>129</v>
      </c>
      <c r="G3639" s="8">
        <v>0</v>
      </c>
      <c r="H3639" s="9" t="str">
        <f>INDEX(Products!$B$2:$B$37, MATCH(D3639, Products!$A$2:$A$37, 0))</f>
        <v>Yoga Mat Premium</v>
      </c>
      <c r="I3639" t="str">
        <f>INDEX(Products!$C$2:$C$37, MATCH(D3639, Products!$A$2:$A$37, 0))</f>
        <v>Sports</v>
      </c>
      <c r="J3639">
        <f>INDEX(Products!$E$2:$E$37, MATCH(D3639, Products!$A$2:$A$37, 0))</f>
        <v>60</v>
      </c>
      <c r="K3639" s="9">
        <f t="shared" si="224"/>
        <v>387</v>
      </c>
      <c r="L3639">
        <f t="shared" si="225"/>
        <v>180</v>
      </c>
      <c r="M3639" s="9">
        <f t="shared" si="226"/>
        <v>207</v>
      </c>
      <c r="N3639" t="str">
        <f t="shared" si="227"/>
        <v>Nov</v>
      </c>
    </row>
    <row r="3640" spans="1:14" x14ac:dyDescent="0.3">
      <c r="A3640" s="2" t="s">
        <v>3706</v>
      </c>
      <c r="B3640" s="6">
        <v>45974</v>
      </c>
      <c r="C3640" s="2" t="s">
        <v>48</v>
      </c>
      <c r="D3640" s="2" t="s">
        <v>92</v>
      </c>
      <c r="E3640" s="2">
        <v>1</v>
      </c>
      <c r="F3640" s="7">
        <v>349</v>
      </c>
      <c r="G3640" s="8">
        <v>0.3</v>
      </c>
      <c r="H3640" s="9" t="str">
        <f>INDEX(Products!$B$2:$B$37, MATCH(D3640, Products!$A$2:$A$37, 0))</f>
        <v>Non-stick Cookware Set</v>
      </c>
      <c r="I3640" t="str">
        <f>INDEX(Products!$C$2:$C$37, MATCH(D3640, Products!$A$2:$A$37, 0))</f>
        <v>Home &amp; Kitchen</v>
      </c>
      <c r="J3640">
        <f>INDEX(Products!$E$2:$E$37, MATCH(D3640, Products!$A$2:$A$37, 0))</f>
        <v>170</v>
      </c>
      <c r="K3640" s="9">
        <f t="shared" si="224"/>
        <v>244.29999999999998</v>
      </c>
      <c r="L3640">
        <f t="shared" si="225"/>
        <v>170</v>
      </c>
      <c r="M3640" s="9">
        <f t="shared" si="226"/>
        <v>74.299999999999983</v>
      </c>
      <c r="N3640" t="str">
        <f t="shared" si="227"/>
        <v>Nov</v>
      </c>
    </row>
    <row r="3641" spans="1:14" x14ac:dyDescent="0.3">
      <c r="A3641" s="2" t="s">
        <v>3707</v>
      </c>
      <c r="B3641" s="6">
        <v>45974</v>
      </c>
      <c r="C3641" s="2" t="s">
        <v>44</v>
      </c>
      <c r="D3641" s="2" t="s">
        <v>194</v>
      </c>
      <c r="E3641" s="2">
        <v>1</v>
      </c>
      <c r="F3641" s="7">
        <v>699</v>
      </c>
      <c r="G3641" s="8">
        <v>0</v>
      </c>
      <c r="H3641" s="9" t="str">
        <f>INDEX(Products!$B$2:$B$37, MATCH(D3641, Products!$A$2:$A$37, 0))</f>
        <v>Leather Handbag</v>
      </c>
      <c r="I3641" t="str">
        <f>INDEX(Products!$C$2:$C$37, MATCH(D3641, Products!$A$2:$A$37, 0))</f>
        <v>Fashion</v>
      </c>
      <c r="J3641">
        <f>INDEX(Products!$E$2:$E$37, MATCH(D3641, Products!$A$2:$A$37, 0))</f>
        <v>380</v>
      </c>
      <c r="K3641" s="9">
        <f t="shared" si="224"/>
        <v>699</v>
      </c>
      <c r="L3641">
        <f t="shared" si="225"/>
        <v>380</v>
      </c>
      <c r="M3641" s="9">
        <f t="shared" si="226"/>
        <v>319</v>
      </c>
      <c r="N3641" t="str">
        <f t="shared" si="227"/>
        <v>Nov</v>
      </c>
    </row>
    <row r="3642" spans="1:14" x14ac:dyDescent="0.3">
      <c r="A3642" s="2" t="s">
        <v>3708</v>
      </c>
      <c r="B3642" s="6">
        <v>45974</v>
      </c>
      <c r="C3642" s="2" t="s">
        <v>41</v>
      </c>
      <c r="D3642" s="2" t="s">
        <v>95</v>
      </c>
      <c r="E3642" s="2">
        <v>2</v>
      </c>
      <c r="F3642" s="7">
        <v>259</v>
      </c>
      <c r="G3642" s="8">
        <v>0.2</v>
      </c>
      <c r="H3642" s="9" t="str">
        <f>INDEX(Products!$B$2:$B$37, MATCH(D3642, Products!$A$2:$A$37, 0))</f>
        <v>Bed Linen Set (King)</v>
      </c>
      <c r="I3642" t="str">
        <f>INDEX(Products!$C$2:$C$37, MATCH(D3642, Products!$A$2:$A$37, 0))</f>
        <v>Home &amp; Kitchen</v>
      </c>
      <c r="J3642">
        <f>INDEX(Products!$E$2:$E$37, MATCH(D3642, Products!$A$2:$A$37, 0))</f>
        <v>115</v>
      </c>
      <c r="K3642" s="9">
        <f t="shared" si="224"/>
        <v>414.40000000000003</v>
      </c>
      <c r="L3642">
        <f t="shared" si="225"/>
        <v>230</v>
      </c>
      <c r="M3642" s="9">
        <f t="shared" si="226"/>
        <v>184.40000000000003</v>
      </c>
      <c r="N3642" t="str">
        <f t="shared" si="227"/>
        <v>Nov</v>
      </c>
    </row>
    <row r="3643" spans="1:14" x14ac:dyDescent="0.3">
      <c r="A3643" s="2" t="s">
        <v>3709</v>
      </c>
      <c r="B3643" s="6">
        <v>45974</v>
      </c>
      <c r="C3643" s="2" t="s">
        <v>28</v>
      </c>
      <c r="D3643" s="2" t="s">
        <v>113</v>
      </c>
      <c r="E3643" s="2">
        <v>1</v>
      </c>
      <c r="F3643" s="7">
        <v>1199</v>
      </c>
      <c r="G3643" s="8">
        <v>0.25</v>
      </c>
      <c r="H3643" s="9" t="str">
        <f>INDEX(Products!$B$2:$B$37, MATCH(D3643, Products!$A$2:$A$37, 0))</f>
        <v>Robot Vacuum S3</v>
      </c>
      <c r="I3643" t="str">
        <f>INDEX(Products!$C$2:$C$37, MATCH(D3643, Products!$A$2:$A$37, 0))</f>
        <v>Home &amp; Kitchen</v>
      </c>
      <c r="J3643">
        <f>INDEX(Products!$E$2:$E$37, MATCH(D3643, Products!$A$2:$A$37, 0))</f>
        <v>1080</v>
      </c>
      <c r="K3643" s="9">
        <f t="shared" si="224"/>
        <v>899.25</v>
      </c>
      <c r="L3643">
        <f t="shared" si="225"/>
        <v>1080</v>
      </c>
      <c r="M3643" s="9">
        <f t="shared" si="226"/>
        <v>-180.75</v>
      </c>
      <c r="N3643" t="str">
        <f t="shared" si="227"/>
        <v>Nov</v>
      </c>
    </row>
    <row r="3644" spans="1:14" x14ac:dyDescent="0.3">
      <c r="A3644" s="2" t="s">
        <v>3710</v>
      </c>
      <c r="B3644" s="6">
        <v>45974</v>
      </c>
      <c r="C3644" s="2" t="s">
        <v>28</v>
      </c>
      <c r="D3644" s="2" t="s">
        <v>78</v>
      </c>
      <c r="E3644" s="2">
        <v>1</v>
      </c>
      <c r="F3644" s="7">
        <v>499</v>
      </c>
      <c r="G3644" s="8">
        <v>0.1</v>
      </c>
      <c r="H3644" s="9" t="str">
        <f>INDEX(Products!$B$2:$B$37, MATCH(D3644, Products!$A$2:$A$37, 0))</f>
        <v>Air Fryer 5L</v>
      </c>
      <c r="I3644" t="str">
        <f>INDEX(Products!$C$2:$C$37, MATCH(D3644, Products!$A$2:$A$37, 0))</f>
        <v>Home &amp; Kitchen</v>
      </c>
      <c r="J3644">
        <f>INDEX(Products!$E$2:$E$37, MATCH(D3644, Products!$A$2:$A$37, 0))</f>
        <v>290</v>
      </c>
      <c r="K3644" s="9">
        <f t="shared" si="224"/>
        <v>449.1</v>
      </c>
      <c r="L3644">
        <f t="shared" si="225"/>
        <v>290</v>
      </c>
      <c r="M3644" s="9">
        <f t="shared" si="226"/>
        <v>159.10000000000002</v>
      </c>
      <c r="N3644" t="str">
        <f t="shared" si="227"/>
        <v>Nov</v>
      </c>
    </row>
    <row r="3645" spans="1:14" x14ac:dyDescent="0.3">
      <c r="A3645" s="2" t="s">
        <v>3711</v>
      </c>
      <c r="B3645" s="6">
        <v>45974</v>
      </c>
      <c r="C3645" s="2" t="s">
        <v>48</v>
      </c>
      <c r="D3645" s="2" t="s">
        <v>129</v>
      </c>
      <c r="E3645" s="2">
        <v>1</v>
      </c>
      <c r="F3645" s="7">
        <v>149</v>
      </c>
      <c r="G3645" s="8">
        <v>0</v>
      </c>
      <c r="H3645" s="9" t="str">
        <f>INDEX(Products!$B$2:$B$37, MATCH(D3645, Products!$A$2:$A$37, 0))</f>
        <v>Power Bank 20000mAh</v>
      </c>
      <c r="I3645" t="str">
        <f>INDEX(Products!$C$2:$C$37, MATCH(D3645, Products!$A$2:$A$37, 0))</f>
        <v>Electronics</v>
      </c>
      <c r="J3645">
        <f>INDEX(Products!$E$2:$E$37, MATCH(D3645, Products!$A$2:$A$37, 0))</f>
        <v>70</v>
      </c>
      <c r="K3645" s="9">
        <f t="shared" si="224"/>
        <v>149</v>
      </c>
      <c r="L3645">
        <f t="shared" si="225"/>
        <v>70</v>
      </c>
      <c r="M3645" s="9">
        <f t="shared" si="226"/>
        <v>79</v>
      </c>
      <c r="N3645" t="str">
        <f t="shared" si="227"/>
        <v>Nov</v>
      </c>
    </row>
    <row r="3646" spans="1:14" x14ac:dyDescent="0.3">
      <c r="A3646" s="2" t="s">
        <v>3712</v>
      </c>
      <c r="B3646" s="6">
        <v>45974</v>
      </c>
      <c r="C3646" s="2" t="s">
        <v>44</v>
      </c>
      <c r="D3646" s="2" t="s">
        <v>80</v>
      </c>
      <c r="E3646" s="2">
        <v>1</v>
      </c>
      <c r="F3646" s="7">
        <v>149</v>
      </c>
      <c r="G3646" s="8">
        <v>0</v>
      </c>
      <c r="H3646" s="9" t="str">
        <f>INDEX(Products!$B$2:$B$37, MATCH(D3646, Products!$A$2:$A$37, 0))</f>
        <v>Vitamin C Serum</v>
      </c>
      <c r="I3646" t="str">
        <f>INDEX(Products!$C$2:$C$37, MATCH(D3646, Products!$A$2:$A$37, 0))</f>
        <v>Beauty</v>
      </c>
      <c r="J3646">
        <f>INDEX(Products!$E$2:$E$37, MATCH(D3646, Products!$A$2:$A$37, 0))</f>
        <v>55</v>
      </c>
      <c r="K3646" s="9">
        <f t="shared" si="224"/>
        <v>149</v>
      </c>
      <c r="L3646">
        <f t="shared" si="225"/>
        <v>55</v>
      </c>
      <c r="M3646" s="9">
        <f t="shared" si="226"/>
        <v>94</v>
      </c>
      <c r="N3646" t="str">
        <f t="shared" si="227"/>
        <v>Nov</v>
      </c>
    </row>
    <row r="3647" spans="1:14" x14ac:dyDescent="0.3">
      <c r="A3647" s="2" t="s">
        <v>3713</v>
      </c>
      <c r="B3647" s="6">
        <v>45974</v>
      </c>
      <c r="C3647" s="2" t="s">
        <v>44</v>
      </c>
      <c r="D3647" s="2" t="s">
        <v>95</v>
      </c>
      <c r="E3647" s="2">
        <v>1</v>
      </c>
      <c r="F3647" s="7">
        <v>259</v>
      </c>
      <c r="G3647" s="8">
        <v>0.2</v>
      </c>
      <c r="H3647" s="9" t="str">
        <f>INDEX(Products!$B$2:$B$37, MATCH(D3647, Products!$A$2:$A$37, 0))</f>
        <v>Bed Linen Set (King)</v>
      </c>
      <c r="I3647" t="str">
        <f>INDEX(Products!$C$2:$C$37, MATCH(D3647, Products!$A$2:$A$37, 0))</f>
        <v>Home &amp; Kitchen</v>
      </c>
      <c r="J3647">
        <f>INDEX(Products!$E$2:$E$37, MATCH(D3647, Products!$A$2:$A$37, 0))</f>
        <v>115</v>
      </c>
      <c r="K3647" s="9">
        <f t="shared" si="224"/>
        <v>207.20000000000002</v>
      </c>
      <c r="L3647">
        <f t="shared" si="225"/>
        <v>115</v>
      </c>
      <c r="M3647" s="9">
        <f t="shared" si="226"/>
        <v>92.200000000000017</v>
      </c>
      <c r="N3647" t="str">
        <f t="shared" si="227"/>
        <v>Nov</v>
      </c>
    </row>
    <row r="3648" spans="1:14" x14ac:dyDescent="0.3">
      <c r="A3648" s="2" t="s">
        <v>3714</v>
      </c>
      <c r="B3648" s="6">
        <v>45974</v>
      </c>
      <c r="C3648" s="2" t="s">
        <v>48</v>
      </c>
      <c r="D3648" s="2" t="s">
        <v>58</v>
      </c>
      <c r="E3648" s="2">
        <v>1</v>
      </c>
      <c r="F3648" s="7">
        <v>459</v>
      </c>
      <c r="G3648" s="8">
        <v>0</v>
      </c>
      <c r="H3648" s="9" t="str">
        <f>INDEX(Products!$B$2:$B$37, MATCH(D3648, Products!$A$2:$A$37, 0))</f>
        <v>Women's Abaya Classic</v>
      </c>
      <c r="I3648" t="str">
        <f>INDEX(Products!$C$2:$C$37, MATCH(D3648, Products!$A$2:$A$37, 0))</f>
        <v>Fashion</v>
      </c>
      <c r="J3648">
        <f>INDEX(Products!$E$2:$E$37, MATCH(D3648, Products!$A$2:$A$37, 0))</f>
        <v>190</v>
      </c>
      <c r="K3648" s="9">
        <f t="shared" si="224"/>
        <v>459</v>
      </c>
      <c r="L3648">
        <f t="shared" si="225"/>
        <v>190</v>
      </c>
      <c r="M3648" s="9">
        <f t="shared" si="226"/>
        <v>269</v>
      </c>
      <c r="N3648" t="str">
        <f t="shared" si="227"/>
        <v>Nov</v>
      </c>
    </row>
    <row r="3649" spans="1:14" x14ac:dyDescent="0.3">
      <c r="A3649" s="2" t="s">
        <v>3715</v>
      </c>
      <c r="B3649" s="6">
        <v>45974</v>
      </c>
      <c r="C3649" s="2" t="s">
        <v>41</v>
      </c>
      <c r="D3649" s="2" t="s">
        <v>33</v>
      </c>
      <c r="E3649" s="2">
        <v>1</v>
      </c>
      <c r="F3649" s="7">
        <v>199</v>
      </c>
      <c r="G3649" s="8">
        <v>0.15</v>
      </c>
      <c r="H3649" s="9" t="str">
        <f>INDEX(Products!$B$2:$B$37, MATCH(D3649, Products!$A$2:$A$37, 0))</f>
        <v>Fitness Band Lite</v>
      </c>
      <c r="I3649" t="str">
        <f>INDEX(Products!$C$2:$C$37, MATCH(D3649, Products!$A$2:$A$37, 0))</f>
        <v>Electronics</v>
      </c>
      <c r="J3649">
        <f>INDEX(Products!$E$2:$E$37, MATCH(D3649, Products!$A$2:$A$37, 0))</f>
        <v>175</v>
      </c>
      <c r="K3649" s="9">
        <f t="shared" si="224"/>
        <v>169.15</v>
      </c>
      <c r="L3649">
        <f t="shared" si="225"/>
        <v>175</v>
      </c>
      <c r="M3649" s="9">
        <f t="shared" si="226"/>
        <v>-5.8499999999999943</v>
      </c>
      <c r="N3649" t="str">
        <f t="shared" si="227"/>
        <v>Nov</v>
      </c>
    </row>
    <row r="3650" spans="1:14" x14ac:dyDescent="0.3">
      <c r="A3650" s="2" t="s">
        <v>3716</v>
      </c>
      <c r="B3650" s="6">
        <v>45974</v>
      </c>
      <c r="C3650" s="2" t="s">
        <v>48</v>
      </c>
      <c r="D3650" s="2" t="s">
        <v>75</v>
      </c>
      <c r="E3650" s="2">
        <v>4</v>
      </c>
      <c r="F3650" s="7">
        <v>549</v>
      </c>
      <c r="G3650" s="8">
        <v>0.05</v>
      </c>
      <c r="H3650" s="9" t="str">
        <f>INDEX(Products!$B$2:$B$37, MATCH(D3650, Products!$A$2:$A$37, 0))</f>
        <v>Oud Perfume 100ml</v>
      </c>
      <c r="I3650" t="str">
        <f>INDEX(Products!$C$2:$C$37, MATCH(D3650, Products!$A$2:$A$37, 0))</f>
        <v>Beauty</v>
      </c>
      <c r="J3650">
        <f>INDEX(Products!$E$2:$E$37, MATCH(D3650, Products!$A$2:$A$37, 0))</f>
        <v>250</v>
      </c>
      <c r="K3650" s="9">
        <f t="shared" ref="K3650:K3713" si="228">E3650*F3650*(1-G3650)</f>
        <v>2086.1999999999998</v>
      </c>
      <c r="L3650">
        <f t="shared" ref="L3650:L3713" si="229">E3650*J3650</f>
        <v>1000</v>
      </c>
      <c r="M3650" s="9">
        <f t="shared" ref="M3650:M3713" si="230">K3650-L3650</f>
        <v>1086.1999999999998</v>
      </c>
      <c r="N3650" t="str">
        <f t="shared" ref="N3650:N3713" si="231">TEXT(B3650,"mmm")</f>
        <v>Nov</v>
      </c>
    </row>
    <row r="3651" spans="1:14" x14ac:dyDescent="0.3">
      <c r="A3651" s="2" t="s">
        <v>3717</v>
      </c>
      <c r="B3651" s="6">
        <v>45974</v>
      </c>
      <c r="C3651" s="2" t="s">
        <v>44</v>
      </c>
      <c r="D3651" s="2" t="s">
        <v>106</v>
      </c>
      <c r="E3651" s="2">
        <v>1</v>
      </c>
      <c r="F3651" s="7">
        <v>1299</v>
      </c>
      <c r="G3651" s="8">
        <v>0</v>
      </c>
      <c r="H3651" s="9" t="str">
        <f>INDEX(Products!$B$2:$B$37, MATCH(D3651, Products!$A$2:$A$37, 0))</f>
        <v>Smart Watch Series 5</v>
      </c>
      <c r="I3651" t="str">
        <f>INDEX(Products!$C$2:$C$37, MATCH(D3651, Products!$A$2:$A$37, 0))</f>
        <v>Electronics</v>
      </c>
      <c r="J3651">
        <f>INDEX(Products!$E$2:$E$37, MATCH(D3651, Products!$A$2:$A$37, 0))</f>
        <v>820</v>
      </c>
      <c r="K3651" s="9">
        <f t="shared" si="228"/>
        <v>1299</v>
      </c>
      <c r="L3651">
        <f t="shared" si="229"/>
        <v>820</v>
      </c>
      <c r="M3651" s="9">
        <f t="shared" si="230"/>
        <v>479</v>
      </c>
      <c r="N3651" t="str">
        <f t="shared" si="231"/>
        <v>Nov</v>
      </c>
    </row>
    <row r="3652" spans="1:14" x14ac:dyDescent="0.3">
      <c r="A3652" s="2" t="s">
        <v>3718</v>
      </c>
      <c r="B3652" s="6">
        <v>45974</v>
      </c>
      <c r="C3652" s="2" t="s">
        <v>28</v>
      </c>
      <c r="D3652" s="2" t="s">
        <v>35</v>
      </c>
      <c r="E3652" s="2">
        <v>1</v>
      </c>
      <c r="F3652" s="7">
        <v>179</v>
      </c>
      <c r="G3652" s="8">
        <v>0.2</v>
      </c>
      <c r="H3652" s="9" t="str">
        <f>INDEX(Products!$B$2:$B$37, MATCH(D3652, Products!$A$2:$A$37, 0))</f>
        <v>Men's Linen Shirt</v>
      </c>
      <c r="I3652" t="str">
        <f>INDEX(Products!$C$2:$C$37, MATCH(D3652, Products!$A$2:$A$37, 0))</f>
        <v>Fashion</v>
      </c>
      <c r="J3652">
        <f>INDEX(Products!$E$2:$E$37, MATCH(D3652, Products!$A$2:$A$37, 0))</f>
        <v>70</v>
      </c>
      <c r="K3652" s="9">
        <f t="shared" si="228"/>
        <v>143.20000000000002</v>
      </c>
      <c r="L3652">
        <f t="shared" si="229"/>
        <v>70</v>
      </c>
      <c r="M3652" s="9">
        <f t="shared" si="230"/>
        <v>73.200000000000017</v>
      </c>
      <c r="N3652" t="str">
        <f t="shared" si="231"/>
        <v>Nov</v>
      </c>
    </row>
    <row r="3653" spans="1:14" x14ac:dyDescent="0.3">
      <c r="A3653" s="2" t="s">
        <v>3719</v>
      </c>
      <c r="B3653" s="6">
        <v>45975</v>
      </c>
      <c r="C3653" s="2" t="s">
        <v>48</v>
      </c>
      <c r="D3653" s="2" t="s">
        <v>78</v>
      </c>
      <c r="E3653" s="2">
        <v>1</v>
      </c>
      <c r="F3653" s="7">
        <v>499</v>
      </c>
      <c r="G3653" s="8">
        <v>0.2</v>
      </c>
      <c r="H3653" s="9" t="str">
        <f>INDEX(Products!$B$2:$B$37, MATCH(D3653, Products!$A$2:$A$37, 0))</f>
        <v>Air Fryer 5L</v>
      </c>
      <c r="I3653" t="str">
        <f>INDEX(Products!$C$2:$C$37, MATCH(D3653, Products!$A$2:$A$37, 0))</f>
        <v>Home &amp; Kitchen</v>
      </c>
      <c r="J3653">
        <f>INDEX(Products!$E$2:$E$37, MATCH(D3653, Products!$A$2:$A$37, 0))</f>
        <v>290</v>
      </c>
      <c r="K3653" s="9">
        <f t="shared" si="228"/>
        <v>399.20000000000005</v>
      </c>
      <c r="L3653">
        <f t="shared" si="229"/>
        <v>290</v>
      </c>
      <c r="M3653" s="9">
        <f t="shared" si="230"/>
        <v>109.20000000000005</v>
      </c>
      <c r="N3653" t="str">
        <f t="shared" si="231"/>
        <v>Nov</v>
      </c>
    </row>
    <row r="3654" spans="1:14" x14ac:dyDescent="0.3">
      <c r="A3654" s="2" t="s">
        <v>3720</v>
      </c>
      <c r="B3654" s="6">
        <v>45975</v>
      </c>
      <c r="C3654" s="2" t="s">
        <v>48</v>
      </c>
      <c r="D3654" s="2" t="s">
        <v>129</v>
      </c>
      <c r="E3654" s="2">
        <v>1</v>
      </c>
      <c r="F3654" s="7">
        <v>149</v>
      </c>
      <c r="G3654" s="8">
        <v>0.2</v>
      </c>
      <c r="H3654" s="9" t="str">
        <f>INDEX(Products!$B$2:$B$37, MATCH(D3654, Products!$A$2:$A$37, 0))</f>
        <v>Power Bank 20000mAh</v>
      </c>
      <c r="I3654" t="str">
        <f>INDEX(Products!$C$2:$C$37, MATCH(D3654, Products!$A$2:$A$37, 0))</f>
        <v>Electronics</v>
      </c>
      <c r="J3654">
        <f>INDEX(Products!$E$2:$E$37, MATCH(D3654, Products!$A$2:$A$37, 0))</f>
        <v>70</v>
      </c>
      <c r="K3654" s="9">
        <f t="shared" si="228"/>
        <v>119.2</v>
      </c>
      <c r="L3654">
        <f t="shared" si="229"/>
        <v>70</v>
      </c>
      <c r="M3654" s="9">
        <f t="shared" si="230"/>
        <v>49.2</v>
      </c>
      <c r="N3654" t="str">
        <f t="shared" si="231"/>
        <v>Nov</v>
      </c>
    </row>
    <row r="3655" spans="1:14" x14ac:dyDescent="0.3">
      <c r="A3655" s="2" t="s">
        <v>3721</v>
      </c>
      <c r="B3655" s="6">
        <v>45975</v>
      </c>
      <c r="C3655" s="2" t="s">
        <v>31</v>
      </c>
      <c r="D3655" s="2" t="s">
        <v>89</v>
      </c>
      <c r="E3655" s="2">
        <v>3</v>
      </c>
      <c r="F3655" s="7">
        <v>399</v>
      </c>
      <c r="G3655" s="8">
        <v>0</v>
      </c>
      <c r="H3655" s="9" t="str">
        <f>INDEX(Products!$B$2:$B$37, MATCH(D3655, Products!$A$2:$A$37, 0))</f>
        <v>Men's Kandura Premium</v>
      </c>
      <c r="I3655" t="str">
        <f>INDEX(Products!$C$2:$C$37, MATCH(D3655, Products!$A$2:$A$37, 0))</f>
        <v>Fashion</v>
      </c>
      <c r="J3655">
        <f>INDEX(Products!$E$2:$E$37, MATCH(D3655, Products!$A$2:$A$37, 0))</f>
        <v>210</v>
      </c>
      <c r="K3655" s="9">
        <f t="shared" si="228"/>
        <v>1197</v>
      </c>
      <c r="L3655">
        <f t="shared" si="229"/>
        <v>630</v>
      </c>
      <c r="M3655" s="9">
        <f t="shared" si="230"/>
        <v>567</v>
      </c>
      <c r="N3655" t="str">
        <f t="shared" si="231"/>
        <v>Nov</v>
      </c>
    </row>
    <row r="3656" spans="1:14" x14ac:dyDescent="0.3">
      <c r="A3656" s="2" t="s">
        <v>3722</v>
      </c>
      <c r="B3656" s="6">
        <v>45975</v>
      </c>
      <c r="C3656" s="2" t="s">
        <v>31</v>
      </c>
      <c r="D3656" s="2" t="s">
        <v>87</v>
      </c>
      <c r="E3656" s="2">
        <v>3</v>
      </c>
      <c r="F3656" s="7">
        <v>799</v>
      </c>
      <c r="G3656" s="8">
        <v>0.1</v>
      </c>
      <c r="H3656" s="9" t="str">
        <f>INDEX(Products!$B$2:$B$37, MATCH(D3656, Products!$A$2:$A$37, 0))</f>
        <v>Adjustable Dumbbells</v>
      </c>
      <c r="I3656" t="str">
        <f>INDEX(Products!$C$2:$C$37, MATCH(D3656, Products!$A$2:$A$37, 0))</f>
        <v>Sports</v>
      </c>
      <c r="J3656">
        <f>INDEX(Products!$E$2:$E$37, MATCH(D3656, Products!$A$2:$A$37, 0))</f>
        <v>700</v>
      </c>
      <c r="K3656" s="9">
        <f t="shared" si="228"/>
        <v>2157.3000000000002</v>
      </c>
      <c r="L3656">
        <f t="shared" si="229"/>
        <v>2100</v>
      </c>
      <c r="M3656" s="9">
        <f t="shared" si="230"/>
        <v>57.300000000000182</v>
      </c>
      <c r="N3656" t="str">
        <f t="shared" si="231"/>
        <v>Nov</v>
      </c>
    </row>
    <row r="3657" spans="1:14" x14ac:dyDescent="0.3">
      <c r="A3657" s="2" t="s">
        <v>3723</v>
      </c>
      <c r="B3657" s="6">
        <v>45975</v>
      </c>
      <c r="C3657" s="2" t="s">
        <v>41</v>
      </c>
      <c r="D3657" s="2" t="s">
        <v>68</v>
      </c>
      <c r="E3657" s="2">
        <v>1</v>
      </c>
      <c r="F3657" s="7">
        <v>249</v>
      </c>
      <c r="G3657" s="8">
        <v>0.2</v>
      </c>
      <c r="H3657" s="9" t="str">
        <f>INDEX(Products!$B$2:$B$37, MATCH(D3657, Products!$A$2:$A$37, 0))</f>
        <v>Bluetooth Speaker Mini</v>
      </c>
      <c r="I3657" t="str">
        <f>INDEX(Products!$C$2:$C$37, MATCH(D3657, Products!$A$2:$A$37, 0))</f>
        <v>Electronics</v>
      </c>
      <c r="J3657">
        <f>INDEX(Products!$E$2:$E$37, MATCH(D3657, Products!$A$2:$A$37, 0))</f>
        <v>150</v>
      </c>
      <c r="K3657" s="9">
        <f t="shared" si="228"/>
        <v>199.20000000000002</v>
      </c>
      <c r="L3657">
        <f t="shared" si="229"/>
        <v>150</v>
      </c>
      <c r="M3657" s="9">
        <f t="shared" si="230"/>
        <v>49.200000000000017</v>
      </c>
      <c r="N3657" t="str">
        <f t="shared" si="231"/>
        <v>Nov</v>
      </c>
    </row>
    <row r="3658" spans="1:14" x14ac:dyDescent="0.3">
      <c r="A3658" s="2" t="s">
        <v>3724</v>
      </c>
      <c r="B3658" s="6">
        <v>45975</v>
      </c>
      <c r="C3658" s="2" t="s">
        <v>28</v>
      </c>
      <c r="D3658" s="2" t="s">
        <v>115</v>
      </c>
      <c r="E3658" s="2">
        <v>2</v>
      </c>
      <c r="F3658" s="7">
        <v>129</v>
      </c>
      <c r="G3658" s="8">
        <v>0</v>
      </c>
      <c r="H3658" s="9" t="str">
        <f>INDEX(Products!$B$2:$B$37, MATCH(D3658, Products!$A$2:$A$37, 0))</f>
        <v>Electric Kettle</v>
      </c>
      <c r="I3658" t="str">
        <f>INDEX(Products!$C$2:$C$37, MATCH(D3658, Products!$A$2:$A$37, 0))</f>
        <v>Home &amp; Kitchen</v>
      </c>
      <c r="J3658">
        <f>INDEX(Products!$E$2:$E$37, MATCH(D3658, Products!$A$2:$A$37, 0))</f>
        <v>60</v>
      </c>
      <c r="K3658" s="9">
        <f t="shared" si="228"/>
        <v>258</v>
      </c>
      <c r="L3658">
        <f t="shared" si="229"/>
        <v>120</v>
      </c>
      <c r="M3658" s="9">
        <f t="shared" si="230"/>
        <v>138</v>
      </c>
      <c r="N3658" t="str">
        <f t="shared" si="231"/>
        <v>Nov</v>
      </c>
    </row>
    <row r="3659" spans="1:14" x14ac:dyDescent="0.3">
      <c r="A3659" s="2" t="s">
        <v>3725</v>
      </c>
      <c r="B3659" s="6">
        <v>45975</v>
      </c>
      <c r="C3659" s="2" t="s">
        <v>44</v>
      </c>
      <c r="D3659" s="2" t="s">
        <v>103</v>
      </c>
      <c r="E3659" s="2">
        <v>1</v>
      </c>
      <c r="F3659" s="7">
        <v>89</v>
      </c>
      <c r="G3659" s="8">
        <v>0.2</v>
      </c>
      <c r="H3659" s="9" t="str">
        <f>INDEX(Products!$B$2:$B$37, MATCH(D3659, Products!$A$2:$A$37, 0))</f>
        <v>Sunscreen SPF50</v>
      </c>
      <c r="I3659" t="str">
        <f>INDEX(Products!$C$2:$C$37, MATCH(D3659, Products!$A$2:$A$37, 0))</f>
        <v>Beauty</v>
      </c>
      <c r="J3659">
        <f>INDEX(Products!$E$2:$E$37, MATCH(D3659, Products!$A$2:$A$37, 0))</f>
        <v>40</v>
      </c>
      <c r="K3659" s="9">
        <f t="shared" si="228"/>
        <v>71.2</v>
      </c>
      <c r="L3659">
        <f t="shared" si="229"/>
        <v>40</v>
      </c>
      <c r="M3659" s="9">
        <f t="shared" si="230"/>
        <v>31.200000000000003</v>
      </c>
      <c r="N3659" t="str">
        <f t="shared" si="231"/>
        <v>Nov</v>
      </c>
    </row>
    <row r="3660" spans="1:14" x14ac:dyDescent="0.3">
      <c r="A3660" s="2" t="s">
        <v>3726</v>
      </c>
      <c r="B3660" s="6">
        <v>45975</v>
      </c>
      <c r="C3660" s="2" t="s">
        <v>44</v>
      </c>
      <c r="D3660" s="2" t="s">
        <v>29</v>
      </c>
      <c r="E3660" s="2">
        <v>3</v>
      </c>
      <c r="F3660" s="7">
        <v>229</v>
      </c>
      <c r="G3660" s="8">
        <v>0.15</v>
      </c>
      <c r="H3660" s="9" t="str">
        <f>INDEX(Products!$B$2:$B$37, MATCH(D3660, Products!$A$2:$A$37, 0))</f>
        <v>Women's Summer Dress</v>
      </c>
      <c r="I3660" t="str">
        <f>INDEX(Products!$C$2:$C$37, MATCH(D3660, Products!$A$2:$A$37, 0))</f>
        <v>Fashion</v>
      </c>
      <c r="J3660">
        <f>INDEX(Products!$E$2:$E$37, MATCH(D3660, Products!$A$2:$A$37, 0))</f>
        <v>120</v>
      </c>
      <c r="K3660" s="9">
        <f t="shared" si="228"/>
        <v>583.94999999999993</v>
      </c>
      <c r="L3660">
        <f t="shared" si="229"/>
        <v>360</v>
      </c>
      <c r="M3660" s="9">
        <f t="shared" si="230"/>
        <v>223.94999999999993</v>
      </c>
      <c r="N3660" t="str">
        <f t="shared" si="231"/>
        <v>Nov</v>
      </c>
    </row>
    <row r="3661" spans="1:14" x14ac:dyDescent="0.3">
      <c r="A3661" s="2" t="s">
        <v>3727</v>
      </c>
      <c r="B3661" s="6">
        <v>45975</v>
      </c>
      <c r="C3661" s="2" t="s">
        <v>41</v>
      </c>
      <c r="D3661" s="2" t="s">
        <v>129</v>
      </c>
      <c r="E3661" s="2">
        <v>1</v>
      </c>
      <c r="F3661" s="7">
        <v>149</v>
      </c>
      <c r="G3661" s="8">
        <v>0.2</v>
      </c>
      <c r="H3661" s="9" t="str">
        <f>INDEX(Products!$B$2:$B$37, MATCH(D3661, Products!$A$2:$A$37, 0))</f>
        <v>Power Bank 20000mAh</v>
      </c>
      <c r="I3661" t="str">
        <f>INDEX(Products!$C$2:$C$37, MATCH(D3661, Products!$A$2:$A$37, 0))</f>
        <v>Electronics</v>
      </c>
      <c r="J3661">
        <f>INDEX(Products!$E$2:$E$37, MATCH(D3661, Products!$A$2:$A$37, 0))</f>
        <v>70</v>
      </c>
      <c r="K3661" s="9">
        <f t="shared" si="228"/>
        <v>119.2</v>
      </c>
      <c r="L3661">
        <f t="shared" si="229"/>
        <v>70</v>
      </c>
      <c r="M3661" s="9">
        <f t="shared" si="230"/>
        <v>49.2</v>
      </c>
      <c r="N3661" t="str">
        <f t="shared" si="231"/>
        <v>Nov</v>
      </c>
    </row>
    <row r="3662" spans="1:14" x14ac:dyDescent="0.3">
      <c r="A3662" s="2" t="s">
        <v>3728</v>
      </c>
      <c r="B3662" s="6">
        <v>45975</v>
      </c>
      <c r="C3662" s="2" t="s">
        <v>48</v>
      </c>
      <c r="D3662" s="2" t="s">
        <v>92</v>
      </c>
      <c r="E3662" s="2">
        <v>2</v>
      </c>
      <c r="F3662" s="7">
        <v>349</v>
      </c>
      <c r="G3662" s="8">
        <v>0.2</v>
      </c>
      <c r="H3662" s="9" t="str">
        <f>INDEX(Products!$B$2:$B$37, MATCH(D3662, Products!$A$2:$A$37, 0))</f>
        <v>Non-stick Cookware Set</v>
      </c>
      <c r="I3662" t="str">
        <f>INDEX(Products!$C$2:$C$37, MATCH(D3662, Products!$A$2:$A$37, 0))</f>
        <v>Home &amp; Kitchen</v>
      </c>
      <c r="J3662">
        <f>INDEX(Products!$E$2:$E$37, MATCH(D3662, Products!$A$2:$A$37, 0))</f>
        <v>170</v>
      </c>
      <c r="K3662" s="9">
        <f t="shared" si="228"/>
        <v>558.4</v>
      </c>
      <c r="L3662">
        <f t="shared" si="229"/>
        <v>340</v>
      </c>
      <c r="M3662" s="9">
        <f t="shared" si="230"/>
        <v>218.39999999999998</v>
      </c>
      <c r="N3662" t="str">
        <f t="shared" si="231"/>
        <v>Nov</v>
      </c>
    </row>
    <row r="3663" spans="1:14" x14ac:dyDescent="0.3">
      <c r="A3663" s="2" t="s">
        <v>3729</v>
      </c>
      <c r="B3663" s="6">
        <v>45975</v>
      </c>
      <c r="C3663" s="2" t="s">
        <v>41</v>
      </c>
      <c r="D3663" s="2" t="s">
        <v>37</v>
      </c>
      <c r="E3663" s="2">
        <v>1</v>
      </c>
      <c r="F3663" s="7">
        <v>249</v>
      </c>
      <c r="G3663" s="8">
        <v>0</v>
      </c>
      <c r="H3663" s="9" t="str">
        <f>INDEX(Products!$B$2:$B$37, MATCH(D3663, Products!$A$2:$A$37, 0))</f>
        <v>Sunglasses Polarised</v>
      </c>
      <c r="I3663" t="str">
        <f>INDEX(Products!$C$2:$C$37, MATCH(D3663, Products!$A$2:$A$37, 0))</f>
        <v>Fashion</v>
      </c>
      <c r="J3663">
        <f>INDEX(Products!$E$2:$E$37, MATCH(D3663, Products!$A$2:$A$37, 0))</f>
        <v>95</v>
      </c>
      <c r="K3663" s="9">
        <f t="shared" si="228"/>
        <v>249</v>
      </c>
      <c r="L3663">
        <f t="shared" si="229"/>
        <v>95</v>
      </c>
      <c r="M3663" s="9">
        <f t="shared" si="230"/>
        <v>154</v>
      </c>
      <c r="N3663" t="str">
        <f t="shared" si="231"/>
        <v>Nov</v>
      </c>
    </row>
    <row r="3664" spans="1:14" x14ac:dyDescent="0.3">
      <c r="A3664" s="2" t="s">
        <v>3730</v>
      </c>
      <c r="B3664" s="6">
        <v>45976</v>
      </c>
      <c r="C3664" s="2" t="s">
        <v>28</v>
      </c>
      <c r="D3664" s="2" t="s">
        <v>52</v>
      </c>
      <c r="E3664" s="2">
        <v>1</v>
      </c>
      <c r="F3664" s="7">
        <v>299</v>
      </c>
      <c r="G3664" s="8">
        <v>0.2</v>
      </c>
      <c r="H3664" s="9" t="str">
        <f>INDEX(Products!$B$2:$B$37, MATCH(D3664, Products!$A$2:$A$37, 0))</f>
        <v>Hair Dryer Ionic</v>
      </c>
      <c r="I3664" t="str">
        <f>INDEX(Products!$C$2:$C$37, MATCH(D3664, Products!$A$2:$A$37, 0))</f>
        <v>Beauty</v>
      </c>
      <c r="J3664">
        <f>INDEX(Products!$E$2:$E$37, MATCH(D3664, Products!$A$2:$A$37, 0))</f>
        <v>240</v>
      </c>
      <c r="K3664" s="9">
        <f t="shared" si="228"/>
        <v>239.20000000000002</v>
      </c>
      <c r="L3664">
        <f t="shared" si="229"/>
        <v>240</v>
      </c>
      <c r="M3664" s="9">
        <f t="shared" si="230"/>
        <v>-0.79999999999998295</v>
      </c>
      <c r="N3664" t="str">
        <f t="shared" si="231"/>
        <v>Nov</v>
      </c>
    </row>
    <row r="3665" spans="1:14" x14ac:dyDescent="0.3">
      <c r="A3665" s="2" t="s">
        <v>3731</v>
      </c>
      <c r="B3665" s="6">
        <v>45976</v>
      </c>
      <c r="C3665" s="2" t="s">
        <v>28</v>
      </c>
      <c r="D3665" s="2" t="s">
        <v>46</v>
      </c>
      <c r="E3665" s="2">
        <v>2</v>
      </c>
      <c r="F3665" s="7">
        <v>189</v>
      </c>
      <c r="G3665" s="8">
        <v>0</v>
      </c>
      <c r="H3665" s="9" t="str">
        <f>INDEX(Products!$B$2:$B$37, MATCH(D3665, Products!$A$2:$A$37, 0))</f>
        <v>Makeup Palette</v>
      </c>
      <c r="I3665" t="str">
        <f>INDEX(Products!$C$2:$C$37, MATCH(D3665, Products!$A$2:$A$37, 0))</f>
        <v>Beauty</v>
      </c>
      <c r="J3665">
        <f>INDEX(Products!$E$2:$E$37, MATCH(D3665, Products!$A$2:$A$37, 0))</f>
        <v>85</v>
      </c>
      <c r="K3665" s="9">
        <f t="shared" si="228"/>
        <v>378</v>
      </c>
      <c r="L3665">
        <f t="shared" si="229"/>
        <v>170</v>
      </c>
      <c r="M3665" s="9">
        <f t="shared" si="230"/>
        <v>208</v>
      </c>
      <c r="N3665" t="str">
        <f t="shared" si="231"/>
        <v>Nov</v>
      </c>
    </row>
    <row r="3666" spans="1:14" x14ac:dyDescent="0.3">
      <c r="A3666" s="2" t="s">
        <v>3732</v>
      </c>
      <c r="B3666" s="6">
        <v>45976</v>
      </c>
      <c r="C3666" s="2" t="s">
        <v>31</v>
      </c>
      <c r="D3666" s="2" t="s">
        <v>68</v>
      </c>
      <c r="E3666" s="2">
        <v>1</v>
      </c>
      <c r="F3666" s="7">
        <v>249</v>
      </c>
      <c r="G3666" s="8">
        <v>0.2</v>
      </c>
      <c r="H3666" s="9" t="str">
        <f>INDEX(Products!$B$2:$B$37, MATCH(D3666, Products!$A$2:$A$37, 0))</f>
        <v>Bluetooth Speaker Mini</v>
      </c>
      <c r="I3666" t="str">
        <f>INDEX(Products!$C$2:$C$37, MATCH(D3666, Products!$A$2:$A$37, 0))</f>
        <v>Electronics</v>
      </c>
      <c r="J3666">
        <f>INDEX(Products!$E$2:$E$37, MATCH(D3666, Products!$A$2:$A$37, 0))</f>
        <v>150</v>
      </c>
      <c r="K3666" s="9">
        <f t="shared" si="228"/>
        <v>199.20000000000002</v>
      </c>
      <c r="L3666">
        <f t="shared" si="229"/>
        <v>150</v>
      </c>
      <c r="M3666" s="9">
        <f t="shared" si="230"/>
        <v>49.200000000000017</v>
      </c>
      <c r="N3666" t="str">
        <f t="shared" si="231"/>
        <v>Nov</v>
      </c>
    </row>
    <row r="3667" spans="1:14" x14ac:dyDescent="0.3">
      <c r="A3667" s="2" t="s">
        <v>3733</v>
      </c>
      <c r="B3667" s="6">
        <v>45976</v>
      </c>
      <c r="C3667" s="2" t="s">
        <v>44</v>
      </c>
      <c r="D3667" s="2" t="s">
        <v>70</v>
      </c>
      <c r="E3667" s="2">
        <v>1</v>
      </c>
      <c r="F3667" s="7">
        <v>429</v>
      </c>
      <c r="G3667" s="8">
        <v>0.2</v>
      </c>
      <c r="H3667" s="9" t="str">
        <f>INDEX(Products!$B$2:$B$37, MATCH(D3667, Products!$A$2:$A$37, 0))</f>
        <v>Running Shoes Elite</v>
      </c>
      <c r="I3667" t="str">
        <f>INDEX(Products!$C$2:$C$37, MATCH(D3667, Products!$A$2:$A$37, 0))</f>
        <v>Fashion</v>
      </c>
      <c r="J3667">
        <f>INDEX(Products!$E$2:$E$37, MATCH(D3667, Products!$A$2:$A$37, 0))</f>
        <v>300</v>
      </c>
      <c r="K3667" s="9">
        <f t="shared" si="228"/>
        <v>343.20000000000005</v>
      </c>
      <c r="L3667">
        <f t="shared" si="229"/>
        <v>300</v>
      </c>
      <c r="M3667" s="9">
        <f t="shared" si="230"/>
        <v>43.200000000000045</v>
      </c>
      <c r="N3667" t="str">
        <f t="shared" si="231"/>
        <v>Nov</v>
      </c>
    </row>
    <row r="3668" spans="1:14" x14ac:dyDescent="0.3">
      <c r="A3668" s="2" t="s">
        <v>3734</v>
      </c>
      <c r="B3668" s="6">
        <v>45976</v>
      </c>
      <c r="C3668" s="2" t="s">
        <v>44</v>
      </c>
      <c r="D3668" s="2" t="s">
        <v>129</v>
      </c>
      <c r="E3668" s="2">
        <v>1</v>
      </c>
      <c r="F3668" s="7">
        <v>149</v>
      </c>
      <c r="G3668" s="8">
        <v>0</v>
      </c>
      <c r="H3668" s="9" t="str">
        <f>INDEX(Products!$B$2:$B$37, MATCH(D3668, Products!$A$2:$A$37, 0))</f>
        <v>Power Bank 20000mAh</v>
      </c>
      <c r="I3668" t="str">
        <f>INDEX(Products!$C$2:$C$37, MATCH(D3668, Products!$A$2:$A$37, 0))</f>
        <v>Electronics</v>
      </c>
      <c r="J3668">
        <f>INDEX(Products!$E$2:$E$37, MATCH(D3668, Products!$A$2:$A$37, 0))</f>
        <v>70</v>
      </c>
      <c r="K3668" s="9">
        <f t="shared" si="228"/>
        <v>149</v>
      </c>
      <c r="L3668">
        <f t="shared" si="229"/>
        <v>70</v>
      </c>
      <c r="M3668" s="9">
        <f t="shared" si="230"/>
        <v>79</v>
      </c>
      <c r="N3668" t="str">
        <f t="shared" si="231"/>
        <v>Nov</v>
      </c>
    </row>
    <row r="3669" spans="1:14" x14ac:dyDescent="0.3">
      <c r="A3669" s="2" t="s">
        <v>3735</v>
      </c>
      <c r="B3669" s="6">
        <v>45976</v>
      </c>
      <c r="C3669" s="2" t="s">
        <v>31</v>
      </c>
      <c r="D3669" s="2" t="s">
        <v>80</v>
      </c>
      <c r="E3669" s="2">
        <v>1</v>
      </c>
      <c r="F3669" s="7">
        <v>149</v>
      </c>
      <c r="G3669" s="8">
        <v>0.2</v>
      </c>
      <c r="H3669" s="9" t="str">
        <f>INDEX(Products!$B$2:$B$37, MATCH(D3669, Products!$A$2:$A$37, 0))</f>
        <v>Vitamin C Serum</v>
      </c>
      <c r="I3669" t="str">
        <f>INDEX(Products!$C$2:$C$37, MATCH(D3669, Products!$A$2:$A$37, 0))</f>
        <v>Beauty</v>
      </c>
      <c r="J3669">
        <f>INDEX(Products!$E$2:$E$37, MATCH(D3669, Products!$A$2:$A$37, 0))</f>
        <v>55</v>
      </c>
      <c r="K3669" s="9">
        <f t="shared" si="228"/>
        <v>119.2</v>
      </c>
      <c r="L3669">
        <f t="shared" si="229"/>
        <v>55</v>
      </c>
      <c r="M3669" s="9">
        <f t="shared" si="230"/>
        <v>64.2</v>
      </c>
      <c r="N3669" t="str">
        <f t="shared" si="231"/>
        <v>Nov</v>
      </c>
    </row>
    <row r="3670" spans="1:14" x14ac:dyDescent="0.3">
      <c r="A3670" s="2" t="s">
        <v>3736</v>
      </c>
      <c r="B3670" s="6">
        <v>45976</v>
      </c>
      <c r="C3670" s="2" t="s">
        <v>31</v>
      </c>
      <c r="D3670" s="2" t="s">
        <v>95</v>
      </c>
      <c r="E3670" s="2">
        <v>3</v>
      </c>
      <c r="F3670" s="7">
        <v>259</v>
      </c>
      <c r="G3670" s="8">
        <v>0</v>
      </c>
      <c r="H3670" s="9" t="str">
        <f>INDEX(Products!$B$2:$B$37, MATCH(D3670, Products!$A$2:$A$37, 0))</f>
        <v>Bed Linen Set (King)</v>
      </c>
      <c r="I3670" t="str">
        <f>INDEX(Products!$C$2:$C$37, MATCH(D3670, Products!$A$2:$A$37, 0))</f>
        <v>Home &amp; Kitchen</v>
      </c>
      <c r="J3670">
        <f>INDEX(Products!$E$2:$E$37, MATCH(D3670, Products!$A$2:$A$37, 0))</f>
        <v>115</v>
      </c>
      <c r="K3670" s="9">
        <f t="shared" si="228"/>
        <v>777</v>
      </c>
      <c r="L3670">
        <f t="shared" si="229"/>
        <v>345</v>
      </c>
      <c r="M3670" s="9">
        <f t="shared" si="230"/>
        <v>432</v>
      </c>
      <c r="N3670" t="str">
        <f t="shared" si="231"/>
        <v>Nov</v>
      </c>
    </row>
    <row r="3671" spans="1:14" x14ac:dyDescent="0.3">
      <c r="A3671" s="2" t="s">
        <v>3737</v>
      </c>
      <c r="B3671" s="6">
        <v>45976</v>
      </c>
      <c r="C3671" s="2" t="s">
        <v>48</v>
      </c>
      <c r="D3671" s="2" t="s">
        <v>83</v>
      </c>
      <c r="E3671" s="2">
        <v>2</v>
      </c>
      <c r="F3671" s="7">
        <v>229</v>
      </c>
      <c r="G3671" s="8">
        <v>0.2</v>
      </c>
      <c r="H3671" s="9" t="str">
        <f>INDEX(Products!$B$2:$B$37, MATCH(D3671, Products!$A$2:$A$37, 0))</f>
        <v>Cycling Helmet</v>
      </c>
      <c r="I3671" t="str">
        <f>INDEX(Products!$C$2:$C$37, MATCH(D3671, Products!$A$2:$A$37, 0))</f>
        <v>Sports</v>
      </c>
      <c r="J3671">
        <f>INDEX(Products!$E$2:$E$37, MATCH(D3671, Products!$A$2:$A$37, 0))</f>
        <v>120</v>
      </c>
      <c r="K3671" s="9">
        <f t="shared" si="228"/>
        <v>366.40000000000003</v>
      </c>
      <c r="L3671">
        <f t="shared" si="229"/>
        <v>240</v>
      </c>
      <c r="M3671" s="9">
        <f t="shared" si="230"/>
        <v>126.40000000000003</v>
      </c>
      <c r="N3671" t="str">
        <f t="shared" si="231"/>
        <v>Nov</v>
      </c>
    </row>
    <row r="3672" spans="1:14" x14ac:dyDescent="0.3">
      <c r="A3672" s="2" t="s">
        <v>3738</v>
      </c>
      <c r="B3672" s="6">
        <v>45977</v>
      </c>
      <c r="C3672" s="2" t="s">
        <v>44</v>
      </c>
      <c r="D3672" s="2" t="s">
        <v>35</v>
      </c>
      <c r="E3672" s="2">
        <v>1</v>
      </c>
      <c r="F3672" s="7">
        <v>179</v>
      </c>
      <c r="G3672" s="8">
        <v>0.2</v>
      </c>
      <c r="H3672" s="9" t="str">
        <f>INDEX(Products!$B$2:$B$37, MATCH(D3672, Products!$A$2:$A$37, 0))</f>
        <v>Men's Linen Shirt</v>
      </c>
      <c r="I3672" t="str">
        <f>INDEX(Products!$C$2:$C$37, MATCH(D3672, Products!$A$2:$A$37, 0))</f>
        <v>Fashion</v>
      </c>
      <c r="J3672">
        <f>INDEX(Products!$E$2:$E$37, MATCH(D3672, Products!$A$2:$A$37, 0))</f>
        <v>70</v>
      </c>
      <c r="K3672" s="9">
        <f t="shared" si="228"/>
        <v>143.20000000000002</v>
      </c>
      <c r="L3672">
        <f t="shared" si="229"/>
        <v>70</v>
      </c>
      <c r="M3672" s="9">
        <f t="shared" si="230"/>
        <v>73.200000000000017</v>
      </c>
      <c r="N3672" t="str">
        <f t="shared" si="231"/>
        <v>Nov</v>
      </c>
    </row>
    <row r="3673" spans="1:14" x14ac:dyDescent="0.3">
      <c r="A3673" s="2" t="s">
        <v>3739</v>
      </c>
      <c r="B3673" s="6">
        <v>45977</v>
      </c>
      <c r="C3673" s="2" t="s">
        <v>48</v>
      </c>
      <c r="D3673" s="2" t="s">
        <v>65</v>
      </c>
      <c r="E3673" s="2">
        <v>1</v>
      </c>
      <c r="F3673" s="7">
        <v>129</v>
      </c>
      <c r="G3673" s="8">
        <v>0</v>
      </c>
      <c r="H3673" s="9" t="str">
        <f>INDEX(Products!$B$2:$B$37, MATCH(D3673, Products!$A$2:$A$37, 0))</f>
        <v>Yoga Mat Premium</v>
      </c>
      <c r="I3673" t="str">
        <f>INDEX(Products!$C$2:$C$37, MATCH(D3673, Products!$A$2:$A$37, 0))</f>
        <v>Sports</v>
      </c>
      <c r="J3673">
        <f>INDEX(Products!$E$2:$E$37, MATCH(D3673, Products!$A$2:$A$37, 0))</f>
        <v>60</v>
      </c>
      <c r="K3673" s="9">
        <f t="shared" si="228"/>
        <v>129</v>
      </c>
      <c r="L3673">
        <f t="shared" si="229"/>
        <v>60</v>
      </c>
      <c r="M3673" s="9">
        <f t="shared" si="230"/>
        <v>69</v>
      </c>
      <c r="N3673" t="str">
        <f t="shared" si="231"/>
        <v>Nov</v>
      </c>
    </row>
    <row r="3674" spans="1:14" x14ac:dyDescent="0.3">
      <c r="A3674" s="2" t="s">
        <v>3740</v>
      </c>
      <c r="B3674" s="6">
        <v>45977</v>
      </c>
      <c r="C3674" s="2" t="s">
        <v>48</v>
      </c>
      <c r="D3674" s="2" t="s">
        <v>42</v>
      </c>
      <c r="E3674" s="2">
        <v>1</v>
      </c>
      <c r="F3674" s="7">
        <v>399</v>
      </c>
      <c r="G3674" s="8">
        <v>0.2</v>
      </c>
      <c r="H3674" s="9" t="str">
        <f>INDEX(Products!$B$2:$B$37, MATCH(D3674, Products!$A$2:$A$37, 0))</f>
        <v>Wireless Earbuds Pro</v>
      </c>
      <c r="I3674" t="str">
        <f>INDEX(Products!$C$2:$C$37, MATCH(D3674, Products!$A$2:$A$37, 0))</f>
        <v>Electronics</v>
      </c>
      <c r="J3674">
        <f>INDEX(Products!$E$2:$E$37, MATCH(D3674, Products!$A$2:$A$37, 0))</f>
        <v>230</v>
      </c>
      <c r="K3674" s="9">
        <f t="shared" si="228"/>
        <v>319.20000000000005</v>
      </c>
      <c r="L3674">
        <f t="shared" si="229"/>
        <v>230</v>
      </c>
      <c r="M3674" s="9">
        <f t="shared" si="230"/>
        <v>89.200000000000045</v>
      </c>
      <c r="N3674" t="str">
        <f t="shared" si="231"/>
        <v>Nov</v>
      </c>
    </row>
    <row r="3675" spans="1:14" x14ac:dyDescent="0.3">
      <c r="A3675" s="2" t="s">
        <v>3741</v>
      </c>
      <c r="B3675" s="6">
        <v>45977</v>
      </c>
      <c r="C3675" s="2" t="s">
        <v>44</v>
      </c>
      <c r="D3675" s="2" t="s">
        <v>33</v>
      </c>
      <c r="E3675" s="2">
        <v>1</v>
      </c>
      <c r="F3675" s="7">
        <v>199</v>
      </c>
      <c r="G3675" s="8">
        <v>0.2</v>
      </c>
      <c r="H3675" s="9" t="str">
        <f>INDEX(Products!$B$2:$B$37, MATCH(D3675, Products!$A$2:$A$37, 0))</f>
        <v>Fitness Band Lite</v>
      </c>
      <c r="I3675" t="str">
        <f>INDEX(Products!$C$2:$C$37, MATCH(D3675, Products!$A$2:$A$37, 0))</f>
        <v>Electronics</v>
      </c>
      <c r="J3675">
        <f>INDEX(Products!$E$2:$E$37, MATCH(D3675, Products!$A$2:$A$37, 0))</f>
        <v>175</v>
      </c>
      <c r="K3675" s="9">
        <f t="shared" si="228"/>
        <v>159.20000000000002</v>
      </c>
      <c r="L3675">
        <f t="shared" si="229"/>
        <v>175</v>
      </c>
      <c r="M3675" s="9">
        <f t="shared" si="230"/>
        <v>-15.799999999999983</v>
      </c>
      <c r="N3675" t="str">
        <f t="shared" si="231"/>
        <v>Nov</v>
      </c>
    </row>
    <row r="3676" spans="1:14" x14ac:dyDescent="0.3">
      <c r="A3676" s="2" t="s">
        <v>3742</v>
      </c>
      <c r="B3676" s="6">
        <v>45977</v>
      </c>
      <c r="C3676" s="2" t="s">
        <v>28</v>
      </c>
      <c r="D3676" s="2" t="s">
        <v>129</v>
      </c>
      <c r="E3676" s="2">
        <v>4</v>
      </c>
      <c r="F3676" s="7">
        <v>149</v>
      </c>
      <c r="G3676" s="8">
        <v>0.1</v>
      </c>
      <c r="H3676" s="9" t="str">
        <f>INDEX(Products!$B$2:$B$37, MATCH(D3676, Products!$A$2:$A$37, 0))</f>
        <v>Power Bank 20000mAh</v>
      </c>
      <c r="I3676" t="str">
        <f>INDEX(Products!$C$2:$C$37, MATCH(D3676, Products!$A$2:$A$37, 0))</f>
        <v>Electronics</v>
      </c>
      <c r="J3676">
        <f>INDEX(Products!$E$2:$E$37, MATCH(D3676, Products!$A$2:$A$37, 0))</f>
        <v>70</v>
      </c>
      <c r="K3676" s="9">
        <f t="shared" si="228"/>
        <v>536.4</v>
      </c>
      <c r="L3676">
        <f t="shared" si="229"/>
        <v>280</v>
      </c>
      <c r="M3676" s="9">
        <f t="shared" si="230"/>
        <v>256.39999999999998</v>
      </c>
      <c r="N3676" t="str">
        <f t="shared" si="231"/>
        <v>Nov</v>
      </c>
    </row>
    <row r="3677" spans="1:14" x14ac:dyDescent="0.3">
      <c r="A3677" s="2" t="s">
        <v>3743</v>
      </c>
      <c r="B3677" s="6">
        <v>45977</v>
      </c>
      <c r="C3677" s="2" t="s">
        <v>28</v>
      </c>
      <c r="D3677" s="2" t="s">
        <v>70</v>
      </c>
      <c r="E3677" s="2">
        <v>1</v>
      </c>
      <c r="F3677" s="7">
        <v>429</v>
      </c>
      <c r="G3677" s="8">
        <v>0</v>
      </c>
      <c r="H3677" s="9" t="str">
        <f>INDEX(Products!$B$2:$B$37, MATCH(D3677, Products!$A$2:$A$37, 0))</f>
        <v>Running Shoes Elite</v>
      </c>
      <c r="I3677" t="str">
        <f>INDEX(Products!$C$2:$C$37, MATCH(D3677, Products!$A$2:$A$37, 0))</f>
        <v>Fashion</v>
      </c>
      <c r="J3677">
        <f>INDEX(Products!$E$2:$E$37, MATCH(D3677, Products!$A$2:$A$37, 0))</f>
        <v>300</v>
      </c>
      <c r="K3677" s="9">
        <f t="shared" si="228"/>
        <v>429</v>
      </c>
      <c r="L3677">
        <f t="shared" si="229"/>
        <v>300</v>
      </c>
      <c r="M3677" s="9">
        <f t="shared" si="230"/>
        <v>129</v>
      </c>
      <c r="N3677" t="str">
        <f t="shared" si="231"/>
        <v>Nov</v>
      </c>
    </row>
    <row r="3678" spans="1:14" x14ac:dyDescent="0.3">
      <c r="A3678" s="2" t="s">
        <v>3744</v>
      </c>
      <c r="B3678" s="6">
        <v>45977</v>
      </c>
      <c r="C3678" s="2" t="s">
        <v>28</v>
      </c>
      <c r="D3678" s="2" t="s">
        <v>29</v>
      </c>
      <c r="E3678" s="2">
        <v>1</v>
      </c>
      <c r="F3678" s="7">
        <v>229</v>
      </c>
      <c r="G3678" s="8">
        <v>0.1</v>
      </c>
      <c r="H3678" s="9" t="str">
        <f>INDEX(Products!$B$2:$B$37, MATCH(D3678, Products!$A$2:$A$37, 0))</f>
        <v>Women's Summer Dress</v>
      </c>
      <c r="I3678" t="str">
        <f>INDEX(Products!$C$2:$C$37, MATCH(D3678, Products!$A$2:$A$37, 0))</f>
        <v>Fashion</v>
      </c>
      <c r="J3678">
        <f>INDEX(Products!$E$2:$E$37, MATCH(D3678, Products!$A$2:$A$37, 0))</f>
        <v>120</v>
      </c>
      <c r="K3678" s="9">
        <f t="shared" si="228"/>
        <v>206.1</v>
      </c>
      <c r="L3678">
        <f t="shared" si="229"/>
        <v>120</v>
      </c>
      <c r="M3678" s="9">
        <f t="shared" si="230"/>
        <v>86.1</v>
      </c>
      <c r="N3678" t="str">
        <f t="shared" si="231"/>
        <v>Nov</v>
      </c>
    </row>
    <row r="3679" spans="1:14" x14ac:dyDescent="0.3">
      <c r="A3679" s="2" t="s">
        <v>3745</v>
      </c>
      <c r="B3679" s="6">
        <v>45977</v>
      </c>
      <c r="C3679" s="2" t="s">
        <v>44</v>
      </c>
      <c r="D3679" s="2" t="s">
        <v>149</v>
      </c>
      <c r="E3679" s="2">
        <v>2</v>
      </c>
      <c r="F3679" s="7">
        <v>399</v>
      </c>
      <c r="G3679" s="8">
        <v>0.2</v>
      </c>
      <c r="H3679" s="9" t="str">
        <f>INDEX(Products!$B$2:$B$37, MATCH(D3679, Products!$A$2:$A$37, 0))</f>
        <v>Blender Pro 1200W</v>
      </c>
      <c r="I3679" t="str">
        <f>INDEX(Products!$C$2:$C$37, MATCH(D3679, Products!$A$2:$A$37, 0))</f>
        <v>Home &amp; Kitchen</v>
      </c>
      <c r="J3679">
        <f>INDEX(Products!$E$2:$E$37, MATCH(D3679, Products!$A$2:$A$37, 0))</f>
        <v>250</v>
      </c>
      <c r="K3679" s="9">
        <f t="shared" si="228"/>
        <v>638.40000000000009</v>
      </c>
      <c r="L3679">
        <f t="shared" si="229"/>
        <v>500</v>
      </c>
      <c r="M3679" s="9">
        <f t="shared" si="230"/>
        <v>138.40000000000009</v>
      </c>
      <c r="N3679" t="str">
        <f t="shared" si="231"/>
        <v>Nov</v>
      </c>
    </row>
    <row r="3680" spans="1:14" x14ac:dyDescent="0.3">
      <c r="A3680" s="2" t="s">
        <v>3746</v>
      </c>
      <c r="B3680" s="6">
        <v>45977</v>
      </c>
      <c r="C3680" s="2" t="s">
        <v>31</v>
      </c>
      <c r="D3680" s="2" t="s">
        <v>58</v>
      </c>
      <c r="E3680" s="2">
        <v>1</v>
      </c>
      <c r="F3680" s="7">
        <v>459</v>
      </c>
      <c r="G3680" s="8">
        <v>0</v>
      </c>
      <c r="H3680" s="9" t="str">
        <f>INDEX(Products!$B$2:$B$37, MATCH(D3680, Products!$A$2:$A$37, 0))</f>
        <v>Women's Abaya Classic</v>
      </c>
      <c r="I3680" t="str">
        <f>INDEX(Products!$C$2:$C$37, MATCH(D3680, Products!$A$2:$A$37, 0))</f>
        <v>Fashion</v>
      </c>
      <c r="J3680">
        <f>INDEX(Products!$E$2:$E$37, MATCH(D3680, Products!$A$2:$A$37, 0))</f>
        <v>190</v>
      </c>
      <c r="K3680" s="9">
        <f t="shared" si="228"/>
        <v>459</v>
      </c>
      <c r="L3680">
        <f t="shared" si="229"/>
        <v>190</v>
      </c>
      <c r="M3680" s="9">
        <f t="shared" si="230"/>
        <v>269</v>
      </c>
      <c r="N3680" t="str">
        <f t="shared" si="231"/>
        <v>Nov</v>
      </c>
    </row>
    <row r="3681" spans="1:14" x14ac:dyDescent="0.3">
      <c r="A3681" s="2" t="s">
        <v>3747</v>
      </c>
      <c r="B3681" s="6">
        <v>45977</v>
      </c>
      <c r="C3681" s="2" t="s">
        <v>48</v>
      </c>
      <c r="D3681" s="2" t="s">
        <v>46</v>
      </c>
      <c r="E3681" s="2">
        <v>1</v>
      </c>
      <c r="F3681" s="7">
        <v>189</v>
      </c>
      <c r="G3681" s="8">
        <v>0.3</v>
      </c>
      <c r="H3681" s="9" t="str">
        <f>INDEX(Products!$B$2:$B$37, MATCH(D3681, Products!$A$2:$A$37, 0))</f>
        <v>Makeup Palette</v>
      </c>
      <c r="I3681" t="str">
        <f>INDEX(Products!$C$2:$C$37, MATCH(D3681, Products!$A$2:$A$37, 0))</f>
        <v>Beauty</v>
      </c>
      <c r="J3681">
        <f>INDEX(Products!$E$2:$E$37, MATCH(D3681, Products!$A$2:$A$37, 0))</f>
        <v>85</v>
      </c>
      <c r="K3681" s="9">
        <f t="shared" si="228"/>
        <v>132.29999999999998</v>
      </c>
      <c r="L3681">
        <f t="shared" si="229"/>
        <v>85</v>
      </c>
      <c r="M3681" s="9">
        <f t="shared" si="230"/>
        <v>47.299999999999983</v>
      </c>
      <c r="N3681" t="str">
        <f t="shared" si="231"/>
        <v>Nov</v>
      </c>
    </row>
    <row r="3682" spans="1:14" x14ac:dyDescent="0.3">
      <c r="A3682" s="2" t="s">
        <v>3748</v>
      </c>
      <c r="B3682" s="6">
        <v>45977</v>
      </c>
      <c r="C3682" s="2" t="s">
        <v>44</v>
      </c>
      <c r="D3682" s="2" t="s">
        <v>129</v>
      </c>
      <c r="E3682" s="2">
        <v>2</v>
      </c>
      <c r="F3682" s="7">
        <v>149</v>
      </c>
      <c r="G3682" s="8">
        <v>0.2</v>
      </c>
      <c r="H3682" s="9" t="str">
        <f>INDEX(Products!$B$2:$B$37, MATCH(D3682, Products!$A$2:$A$37, 0))</f>
        <v>Power Bank 20000mAh</v>
      </c>
      <c r="I3682" t="str">
        <f>INDEX(Products!$C$2:$C$37, MATCH(D3682, Products!$A$2:$A$37, 0))</f>
        <v>Electronics</v>
      </c>
      <c r="J3682">
        <f>INDEX(Products!$E$2:$E$37, MATCH(D3682, Products!$A$2:$A$37, 0))</f>
        <v>70</v>
      </c>
      <c r="K3682" s="9">
        <f t="shared" si="228"/>
        <v>238.4</v>
      </c>
      <c r="L3682">
        <f t="shared" si="229"/>
        <v>140</v>
      </c>
      <c r="M3682" s="9">
        <f t="shared" si="230"/>
        <v>98.4</v>
      </c>
      <c r="N3682" t="str">
        <f t="shared" si="231"/>
        <v>Nov</v>
      </c>
    </row>
    <row r="3683" spans="1:14" x14ac:dyDescent="0.3">
      <c r="A3683" s="2" t="s">
        <v>3749</v>
      </c>
      <c r="B3683" s="6">
        <v>45977</v>
      </c>
      <c r="C3683" s="2" t="s">
        <v>48</v>
      </c>
      <c r="D3683" s="2" t="s">
        <v>49</v>
      </c>
      <c r="E3683" s="2">
        <v>1</v>
      </c>
      <c r="F3683" s="7">
        <v>149</v>
      </c>
      <c r="G3683" s="8">
        <v>0.3</v>
      </c>
      <c r="H3683" s="9" t="str">
        <f>INDEX(Products!$B$2:$B$37, MATCH(D3683, Products!$A$2:$A$37, 0))</f>
        <v>Kids' Sneakers</v>
      </c>
      <c r="I3683" t="str">
        <f>INDEX(Products!$C$2:$C$37, MATCH(D3683, Products!$A$2:$A$37, 0))</f>
        <v>Fashion</v>
      </c>
      <c r="J3683">
        <f>INDEX(Products!$E$2:$E$37, MATCH(D3683, Products!$A$2:$A$37, 0))</f>
        <v>80</v>
      </c>
      <c r="K3683" s="9">
        <f t="shared" si="228"/>
        <v>104.3</v>
      </c>
      <c r="L3683">
        <f t="shared" si="229"/>
        <v>80</v>
      </c>
      <c r="M3683" s="9">
        <f t="shared" si="230"/>
        <v>24.299999999999997</v>
      </c>
      <c r="N3683" t="str">
        <f t="shared" si="231"/>
        <v>Nov</v>
      </c>
    </row>
    <row r="3684" spans="1:14" x14ac:dyDescent="0.3">
      <c r="A3684" s="2" t="s">
        <v>3750</v>
      </c>
      <c r="B3684" s="6">
        <v>45977</v>
      </c>
      <c r="C3684" s="2" t="s">
        <v>41</v>
      </c>
      <c r="D3684" s="2" t="s">
        <v>106</v>
      </c>
      <c r="E3684" s="2">
        <v>1</v>
      </c>
      <c r="F3684" s="7">
        <v>1299</v>
      </c>
      <c r="G3684" s="8">
        <v>0.3</v>
      </c>
      <c r="H3684" s="9" t="str">
        <f>INDEX(Products!$B$2:$B$37, MATCH(D3684, Products!$A$2:$A$37, 0))</f>
        <v>Smart Watch Series 5</v>
      </c>
      <c r="I3684" t="str">
        <f>INDEX(Products!$C$2:$C$37, MATCH(D3684, Products!$A$2:$A$37, 0))</f>
        <v>Electronics</v>
      </c>
      <c r="J3684">
        <f>INDEX(Products!$E$2:$E$37, MATCH(D3684, Products!$A$2:$A$37, 0))</f>
        <v>820</v>
      </c>
      <c r="K3684" s="9">
        <f t="shared" si="228"/>
        <v>909.3</v>
      </c>
      <c r="L3684">
        <f t="shared" si="229"/>
        <v>820</v>
      </c>
      <c r="M3684" s="9">
        <f t="shared" si="230"/>
        <v>89.299999999999955</v>
      </c>
      <c r="N3684" t="str">
        <f t="shared" si="231"/>
        <v>Nov</v>
      </c>
    </row>
    <row r="3685" spans="1:14" x14ac:dyDescent="0.3">
      <c r="A3685" s="2" t="s">
        <v>3751</v>
      </c>
      <c r="B3685" s="6">
        <v>45977</v>
      </c>
      <c r="C3685" s="2" t="s">
        <v>41</v>
      </c>
      <c r="D3685" s="2" t="s">
        <v>163</v>
      </c>
      <c r="E3685" s="2">
        <v>1</v>
      </c>
      <c r="F3685" s="7">
        <v>2499</v>
      </c>
      <c r="G3685" s="8">
        <v>0.2</v>
      </c>
      <c r="H3685" s="9" t="str">
        <f>INDEX(Products!$B$2:$B$37, MATCH(D3685, Products!$A$2:$A$37, 0))</f>
        <v>Treadmill Compact</v>
      </c>
      <c r="I3685" t="str">
        <f>INDEX(Products!$C$2:$C$37, MATCH(D3685, Products!$A$2:$A$37, 0))</f>
        <v>Sports</v>
      </c>
      <c r="J3685">
        <f>INDEX(Products!$E$2:$E$37, MATCH(D3685, Products!$A$2:$A$37, 0))</f>
        <v>2150</v>
      </c>
      <c r="K3685" s="9">
        <f t="shared" si="228"/>
        <v>1999.2</v>
      </c>
      <c r="L3685">
        <f t="shared" si="229"/>
        <v>2150</v>
      </c>
      <c r="M3685" s="9">
        <f t="shared" si="230"/>
        <v>-150.79999999999995</v>
      </c>
      <c r="N3685" t="str">
        <f t="shared" si="231"/>
        <v>Nov</v>
      </c>
    </row>
    <row r="3686" spans="1:14" x14ac:dyDescent="0.3">
      <c r="A3686" s="2" t="s">
        <v>3752</v>
      </c>
      <c r="B3686" s="6">
        <v>45977</v>
      </c>
      <c r="C3686" s="2" t="s">
        <v>31</v>
      </c>
      <c r="D3686" s="2" t="s">
        <v>68</v>
      </c>
      <c r="E3686" s="2">
        <v>1</v>
      </c>
      <c r="F3686" s="7">
        <v>249</v>
      </c>
      <c r="G3686" s="8">
        <v>0</v>
      </c>
      <c r="H3686" s="9" t="str">
        <f>INDEX(Products!$B$2:$B$37, MATCH(D3686, Products!$A$2:$A$37, 0))</f>
        <v>Bluetooth Speaker Mini</v>
      </c>
      <c r="I3686" t="str">
        <f>INDEX(Products!$C$2:$C$37, MATCH(D3686, Products!$A$2:$A$37, 0))</f>
        <v>Electronics</v>
      </c>
      <c r="J3686">
        <f>INDEX(Products!$E$2:$E$37, MATCH(D3686, Products!$A$2:$A$37, 0))</f>
        <v>150</v>
      </c>
      <c r="K3686" s="9">
        <f t="shared" si="228"/>
        <v>249</v>
      </c>
      <c r="L3686">
        <f t="shared" si="229"/>
        <v>150</v>
      </c>
      <c r="M3686" s="9">
        <f t="shared" si="230"/>
        <v>99</v>
      </c>
      <c r="N3686" t="str">
        <f t="shared" si="231"/>
        <v>Nov</v>
      </c>
    </row>
    <row r="3687" spans="1:14" x14ac:dyDescent="0.3">
      <c r="A3687" s="2" t="s">
        <v>3753</v>
      </c>
      <c r="B3687" s="6">
        <v>45977</v>
      </c>
      <c r="C3687" s="2" t="s">
        <v>41</v>
      </c>
      <c r="D3687" s="2" t="s">
        <v>68</v>
      </c>
      <c r="E3687" s="2">
        <v>1</v>
      </c>
      <c r="F3687" s="7">
        <v>249</v>
      </c>
      <c r="G3687" s="8">
        <v>0.2</v>
      </c>
      <c r="H3687" s="9" t="str">
        <f>INDEX(Products!$B$2:$B$37, MATCH(D3687, Products!$A$2:$A$37, 0))</f>
        <v>Bluetooth Speaker Mini</v>
      </c>
      <c r="I3687" t="str">
        <f>INDEX(Products!$C$2:$C$37, MATCH(D3687, Products!$A$2:$A$37, 0))</f>
        <v>Electronics</v>
      </c>
      <c r="J3687">
        <f>INDEX(Products!$E$2:$E$37, MATCH(D3687, Products!$A$2:$A$37, 0))</f>
        <v>150</v>
      </c>
      <c r="K3687" s="9">
        <f t="shared" si="228"/>
        <v>199.20000000000002</v>
      </c>
      <c r="L3687">
        <f t="shared" si="229"/>
        <v>150</v>
      </c>
      <c r="M3687" s="9">
        <f t="shared" si="230"/>
        <v>49.200000000000017</v>
      </c>
      <c r="N3687" t="str">
        <f t="shared" si="231"/>
        <v>Nov</v>
      </c>
    </row>
    <row r="3688" spans="1:14" x14ac:dyDescent="0.3">
      <c r="A3688" s="2" t="s">
        <v>3754</v>
      </c>
      <c r="B3688" s="6">
        <v>45978</v>
      </c>
      <c r="C3688" s="2" t="s">
        <v>41</v>
      </c>
      <c r="D3688" s="2" t="s">
        <v>39</v>
      </c>
      <c r="E3688" s="2">
        <v>1</v>
      </c>
      <c r="F3688" s="7">
        <v>199</v>
      </c>
      <c r="G3688" s="8">
        <v>0.2</v>
      </c>
      <c r="H3688" s="9" t="str">
        <f>INDEX(Products!$B$2:$B$37, MATCH(D3688, Products!$A$2:$A$37, 0))</f>
        <v>Bakhoor Gift Set</v>
      </c>
      <c r="I3688" t="str">
        <f>INDEX(Products!$C$2:$C$37, MATCH(D3688, Products!$A$2:$A$37, 0))</f>
        <v>Beauty</v>
      </c>
      <c r="J3688">
        <f>INDEX(Products!$E$2:$E$37, MATCH(D3688, Products!$A$2:$A$37, 0))</f>
        <v>90</v>
      </c>
      <c r="K3688" s="9">
        <f t="shared" si="228"/>
        <v>159.20000000000002</v>
      </c>
      <c r="L3688">
        <f t="shared" si="229"/>
        <v>90</v>
      </c>
      <c r="M3688" s="9">
        <f t="shared" si="230"/>
        <v>69.200000000000017</v>
      </c>
      <c r="N3688" t="str">
        <f t="shared" si="231"/>
        <v>Nov</v>
      </c>
    </row>
    <row r="3689" spans="1:14" x14ac:dyDescent="0.3">
      <c r="A3689" s="2" t="s">
        <v>3755</v>
      </c>
      <c r="B3689" s="6">
        <v>45978</v>
      </c>
      <c r="C3689" s="2" t="s">
        <v>41</v>
      </c>
      <c r="D3689" s="2" t="s">
        <v>35</v>
      </c>
      <c r="E3689" s="2">
        <v>2</v>
      </c>
      <c r="F3689" s="7">
        <v>179</v>
      </c>
      <c r="G3689" s="8">
        <v>0.2</v>
      </c>
      <c r="H3689" s="9" t="str">
        <f>INDEX(Products!$B$2:$B$37, MATCH(D3689, Products!$A$2:$A$37, 0))</f>
        <v>Men's Linen Shirt</v>
      </c>
      <c r="I3689" t="str">
        <f>INDEX(Products!$C$2:$C$37, MATCH(D3689, Products!$A$2:$A$37, 0))</f>
        <v>Fashion</v>
      </c>
      <c r="J3689">
        <f>INDEX(Products!$E$2:$E$37, MATCH(D3689, Products!$A$2:$A$37, 0))</f>
        <v>70</v>
      </c>
      <c r="K3689" s="9">
        <f t="shared" si="228"/>
        <v>286.40000000000003</v>
      </c>
      <c r="L3689">
        <f t="shared" si="229"/>
        <v>140</v>
      </c>
      <c r="M3689" s="9">
        <f t="shared" si="230"/>
        <v>146.40000000000003</v>
      </c>
      <c r="N3689" t="str">
        <f t="shared" si="231"/>
        <v>Nov</v>
      </c>
    </row>
    <row r="3690" spans="1:14" x14ac:dyDescent="0.3">
      <c r="A3690" s="2" t="s">
        <v>3756</v>
      </c>
      <c r="B3690" s="6">
        <v>45978</v>
      </c>
      <c r="C3690" s="2" t="s">
        <v>44</v>
      </c>
      <c r="D3690" s="2" t="s">
        <v>99</v>
      </c>
      <c r="E3690" s="2">
        <v>2</v>
      </c>
      <c r="F3690" s="7">
        <v>459</v>
      </c>
      <c r="G3690" s="8">
        <v>0</v>
      </c>
      <c r="H3690" s="9" t="str">
        <f>INDEX(Products!$B$2:$B$37, MATCH(D3690, Products!$A$2:$A$37, 0))</f>
        <v>Gaming Headset X</v>
      </c>
      <c r="I3690" t="str">
        <f>INDEX(Products!$C$2:$C$37, MATCH(D3690, Products!$A$2:$A$37, 0))</f>
        <v>Electronics</v>
      </c>
      <c r="J3690">
        <f>INDEX(Products!$E$2:$E$37, MATCH(D3690, Products!$A$2:$A$37, 0))</f>
        <v>300</v>
      </c>
      <c r="K3690" s="9">
        <f t="shared" si="228"/>
        <v>918</v>
      </c>
      <c r="L3690">
        <f t="shared" si="229"/>
        <v>600</v>
      </c>
      <c r="M3690" s="9">
        <f t="shared" si="230"/>
        <v>318</v>
      </c>
      <c r="N3690" t="str">
        <f t="shared" si="231"/>
        <v>Nov</v>
      </c>
    </row>
    <row r="3691" spans="1:14" x14ac:dyDescent="0.3">
      <c r="A3691" s="2" t="s">
        <v>3757</v>
      </c>
      <c r="B3691" s="6">
        <v>45978</v>
      </c>
      <c r="C3691" s="2" t="s">
        <v>41</v>
      </c>
      <c r="D3691" s="2" t="s">
        <v>42</v>
      </c>
      <c r="E3691" s="2">
        <v>1</v>
      </c>
      <c r="F3691" s="7">
        <v>399</v>
      </c>
      <c r="G3691" s="8">
        <v>0</v>
      </c>
      <c r="H3691" s="9" t="str">
        <f>INDEX(Products!$B$2:$B$37, MATCH(D3691, Products!$A$2:$A$37, 0))</f>
        <v>Wireless Earbuds Pro</v>
      </c>
      <c r="I3691" t="str">
        <f>INDEX(Products!$C$2:$C$37, MATCH(D3691, Products!$A$2:$A$37, 0))</f>
        <v>Electronics</v>
      </c>
      <c r="J3691">
        <f>INDEX(Products!$E$2:$E$37, MATCH(D3691, Products!$A$2:$A$37, 0))</f>
        <v>230</v>
      </c>
      <c r="K3691" s="9">
        <f t="shared" si="228"/>
        <v>399</v>
      </c>
      <c r="L3691">
        <f t="shared" si="229"/>
        <v>230</v>
      </c>
      <c r="M3691" s="9">
        <f t="shared" si="230"/>
        <v>169</v>
      </c>
      <c r="N3691" t="str">
        <f t="shared" si="231"/>
        <v>Nov</v>
      </c>
    </row>
    <row r="3692" spans="1:14" x14ac:dyDescent="0.3">
      <c r="A3692" s="2" t="s">
        <v>3758</v>
      </c>
      <c r="B3692" s="6">
        <v>45978</v>
      </c>
      <c r="C3692" s="2" t="s">
        <v>41</v>
      </c>
      <c r="D3692" s="2" t="s">
        <v>29</v>
      </c>
      <c r="E3692" s="2">
        <v>1</v>
      </c>
      <c r="F3692" s="7">
        <v>229</v>
      </c>
      <c r="G3692" s="8">
        <v>0.2</v>
      </c>
      <c r="H3692" s="9" t="str">
        <f>INDEX(Products!$B$2:$B$37, MATCH(D3692, Products!$A$2:$A$37, 0))</f>
        <v>Women's Summer Dress</v>
      </c>
      <c r="I3692" t="str">
        <f>INDEX(Products!$C$2:$C$37, MATCH(D3692, Products!$A$2:$A$37, 0))</f>
        <v>Fashion</v>
      </c>
      <c r="J3692">
        <f>INDEX(Products!$E$2:$E$37, MATCH(D3692, Products!$A$2:$A$37, 0))</f>
        <v>120</v>
      </c>
      <c r="K3692" s="9">
        <f t="shared" si="228"/>
        <v>183.20000000000002</v>
      </c>
      <c r="L3692">
        <f t="shared" si="229"/>
        <v>120</v>
      </c>
      <c r="M3692" s="9">
        <f t="shared" si="230"/>
        <v>63.200000000000017</v>
      </c>
      <c r="N3692" t="str">
        <f t="shared" si="231"/>
        <v>Nov</v>
      </c>
    </row>
    <row r="3693" spans="1:14" x14ac:dyDescent="0.3">
      <c r="A3693" s="2" t="s">
        <v>3759</v>
      </c>
      <c r="B3693" s="6">
        <v>45978</v>
      </c>
      <c r="C3693" s="2" t="s">
        <v>28</v>
      </c>
      <c r="D3693" s="2" t="s">
        <v>29</v>
      </c>
      <c r="E3693" s="2">
        <v>2</v>
      </c>
      <c r="F3693" s="7">
        <v>229</v>
      </c>
      <c r="G3693" s="8">
        <v>0.2</v>
      </c>
      <c r="H3693" s="9" t="str">
        <f>INDEX(Products!$B$2:$B$37, MATCH(D3693, Products!$A$2:$A$37, 0))</f>
        <v>Women's Summer Dress</v>
      </c>
      <c r="I3693" t="str">
        <f>INDEX(Products!$C$2:$C$37, MATCH(D3693, Products!$A$2:$A$37, 0))</f>
        <v>Fashion</v>
      </c>
      <c r="J3693">
        <f>INDEX(Products!$E$2:$E$37, MATCH(D3693, Products!$A$2:$A$37, 0))</f>
        <v>120</v>
      </c>
      <c r="K3693" s="9">
        <f t="shared" si="228"/>
        <v>366.40000000000003</v>
      </c>
      <c r="L3693">
        <f t="shared" si="229"/>
        <v>240</v>
      </c>
      <c r="M3693" s="9">
        <f t="shared" si="230"/>
        <v>126.40000000000003</v>
      </c>
      <c r="N3693" t="str">
        <f t="shared" si="231"/>
        <v>Nov</v>
      </c>
    </row>
    <row r="3694" spans="1:14" x14ac:dyDescent="0.3">
      <c r="A3694" s="2" t="s">
        <v>3760</v>
      </c>
      <c r="B3694" s="6">
        <v>45978</v>
      </c>
      <c r="C3694" s="2" t="s">
        <v>41</v>
      </c>
      <c r="D3694" s="2" t="s">
        <v>60</v>
      </c>
      <c r="E3694" s="2">
        <v>1</v>
      </c>
      <c r="F3694" s="7">
        <v>99</v>
      </c>
      <c r="G3694" s="8">
        <v>0</v>
      </c>
      <c r="H3694" s="9" t="str">
        <f>INDEX(Products!$B$2:$B$37, MATCH(D3694, Products!$A$2:$A$37, 0))</f>
        <v>Football Size 5</v>
      </c>
      <c r="I3694" t="str">
        <f>INDEX(Products!$C$2:$C$37, MATCH(D3694, Products!$A$2:$A$37, 0))</f>
        <v>Sports</v>
      </c>
      <c r="J3694">
        <f>INDEX(Products!$E$2:$E$37, MATCH(D3694, Products!$A$2:$A$37, 0))</f>
        <v>45</v>
      </c>
      <c r="K3694" s="9">
        <f t="shared" si="228"/>
        <v>99</v>
      </c>
      <c r="L3694">
        <f t="shared" si="229"/>
        <v>45</v>
      </c>
      <c r="M3694" s="9">
        <f t="shared" si="230"/>
        <v>54</v>
      </c>
      <c r="N3694" t="str">
        <f t="shared" si="231"/>
        <v>Nov</v>
      </c>
    </row>
    <row r="3695" spans="1:14" x14ac:dyDescent="0.3">
      <c r="A3695" s="2" t="s">
        <v>3761</v>
      </c>
      <c r="B3695" s="6">
        <v>45979</v>
      </c>
      <c r="C3695" s="2" t="s">
        <v>28</v>
      </c>
      <c r="D3695" s="2" t="s">
        <v>68</v>
      </c>
      <c r="E3695" s="2">
        <v>1</v>
      </c>
      <c r="F3695" s="7">
        <v>249</v>
      </c>
      <c r="G3695" s="8">
        <v>0.2</v>
      </c>
      <c r="H3695" s="9" t="str">
        <f>INDEX(Products!$B$2:$B$37, MATCH(D3695, Products!$A$2:$A$37, 0))</f>
        <v>Bluetooth Speaker Mini</v>
      </c>
      <c r="I3695" t="str">
        <f>INDEX(Products!$C$2:$C$37, MATCH(D3695, Products!$A$2:$A$37, 0))</f>
        <v>Electronics</v>
      </c>
      <c r="J3695">
        <f>INDEX(Products!$E$2:$E$37, MATCH(D3695, Products!$A$2:$A$37, 0))</f>
        <v>150</v>
      </c>
      <c r="K3695" s="9">
        <f t="shared" si="228"/>
        <v>199.20000000000002</v>
      </c>
      <c r="L3695">
        <f t="shared" si="229"/>
        <v>150</v>
      </c>
      <c r="M3695" s="9">
        <f t="shared" si="230"/>
        <v>49.200000000000017</v>
      </c>
      <c r="N3695" t="str">
        <f t="shared" si="231"/>
        <v>Nov</v>
      </c>
    </row>
    <row r="3696" spans="1:14" x14ac:dyDescent="0.3">
      <c r="A3696" s="2" t="s">
        <v>3762</v>
      </c>
      <c r="B3696" s="6">
        <v>45979</v>
      </c>
      <c r="C3696" s="2" t="s">
        <v>28</v>
      </c>
      <c r="D3696" s="2" t="s">
        <v>35</v>
      </c>
      <c r="E3696" s="2">
        <v>1</v>
      </c>
      <c r="F3696" s="7">
        <v>179</v>
      </c>
      <c r="G3696" s="8">
        <v>0.2</v>
      </c>
      <c r="H3696" s="9" t="str">
        <f>INDEX(Products!$B$2:$B$37, MATCH(D3696, Products!$A$2:$A$37, 0))</f>
        <v>Men's Linen Shirt</v>
      </c>
      <c r="I3696" t="str">
        <f>INDEX(Products!$C$2:$C$37, MATCH(D3696, Products!$A$2:$A$37, 0))</f>
        <v>Fashion</v>
      </c>
      <c r="J3696">
        <f>INDEX(Products!$E$2:$E$37, MATCH(D3696, Products!$A$2:$A$37, 0))</f>
        <v>70</v>
      </c>
      <c r="K3696" s="9">
        <f t="shared" si="228"/>
        <v>143.20000000000002</v>
      </c>
      <c r="L3696">
        <f t="shared" si="229"/>
        <v>70</v>
      </c>
      <c r="M3696" s="9">
        <f t="shared" si="230"/>
        <v>73.200000000000017</v>
      </c>
      <c r="N3696" t="str">
        <f t="shared" si="231"/>
        <v>Nov</v>
      </c>
    </row>
    <row r="3697" spans="1:14" x14ac:dyDescent="0.3">
      <c r="A3697" s="2" t="s">
        <v>3763</v>
      </c>
      <c r="B3697" s="6">
        <v>45979</v>
      </c>
      <c r="C3697" s="2" t="s">
        <v>31</v>
      </c>
      <c r="D3697" s="2" t="s">
        <v>95</v>
      </c>
      <c r="E3697" s="2">
        <v>1</v>
      </c>
      <c r="F3697" s="7">
        <v>259</v>
      </c>
      <c r="G3697" s="8">
        <v>0.2</v>
      </c>
      <c r="H3697" s="9" t="str">
        <f>INDEX(Products!$B$2:$B$37, MATCH(D3697, Products!$A$2:$A$37, 0))</f>
        <v>Bed Linen Set (King)</v>
      </c>
      <c r="I3697" t="str">
        <f>INDEX(Products!$C$2:$C$37, MATCH(D3697, Products!$A$2:$A$37, 0))</f>
        <v>Home &amp; Kitchen</v>
      </c>
      <c r="J3697">
        <f>INDEX(Products!$E$2:$E$37, MATCH(D3697, Products!$A$2:$A$37, 0))</f>
        <v>115</v>
      </c>
      <c r="K3697" s="9">
        <f t="shared" si="228"/>
        <v>207.20000000000002</v>
      </c>
      <c r="L3697">
        <f t="shared" si="229"/>
        <v>115</v>
      </c>
      <c r="M3697" s="9">
        <f t="shared" si="230"/>
        <v>92.200000000000017</v>
      </c>
      <c r="N3697" t="str">
        <f t="shared" si="231"/>
        <v>Nov</v>
      </c>
    </row>
    <row r="3698" spans="1:14" x14ac:dyDescent="0.3">
      <c r="A3698" s="2" t="s">
        <v>3764</v>
      </c>
      <c r="B3698" s="6">
        <v>45979</v>
      </c>
      <c r="C3698" s="2" t="s">
        <v>44</v>
      </c>
      <c r="D3698" s="2" t="s">
        <v>80</v>
      </c>
      <c r="E3698" s="2">
        <v>2</v>
      </c>
      <c r="F3698" s="7">
        <v>149</v>
      </c>
      <c r="G3698" s="8">
        <v>0.1</v>
      </c>
      <c r="H3698" s="9" t="str">
        <f>INDEX(Products!$B$2:$B$37, MATCH(D3698, Products!$A$2:$A$37, 0))</f>
        <v>Vitamin C Serum</v>
      </c>
      <c r="I3698" t="str">
        <f>INDEX(Products!$C$2:$C$37, MATCH(D3698, Products!$A$2:$A$37, 0))</f>
        <v>Beauty</v>
      </c>
      <c r="J3698">
        <f>INDEX(Products!$E$2:$E$37, MATCH(D3698, Products!$A$2:$A$37, 0))</f>
        <v>55</v>
      </c>
      <c r="K3698" s="9">
        <f t="shared" si="228"/>
        <v>268.2</v>
      </c>
      <c r="L3698">
        <f t="shared" si="229"/>
        <v>110</v>
      </c>
      <c r="M3698" s="9">
        <f t="shared" si="230"/>
        <v>158.19999999999999</v>
      </c>
      <c r="N3698" t="str">
        <f t="shared" si="231"/>
        <v>Nov</v>
      </c>
    </row>
    <row r="3699" spans="1:14" x14ac:dyDescent="0.3">
      <c r="A3699" s="2" t="s">
        <v>3765</v>
      </c>
      <c r="B3699" s="6">
        <v>45979</v>
      </c>
      <c r="C3699" s="2" t="s">
        <v>48</v>
      </c>
      <c r="D3699" s="2" t="s">
        <v>78</v>
      </c>
      <c r="E3699" s="2">
        <v>1</v>
      </c>
      <c r="F3699" s="7">
        <v>499</v>
      </c>
      <c r="G3699" s="8">
        <v>0.2</v>
      </c>
      <c r="H3699" s="9" t="str">
        <f>INDEX(Products!$B$2:$B$37, MATCH(D3699, Products!$A$2:$A$37, 0))</f>
        <v>Air Fryer 5L</v>
      </c>
      <c r="I3699" t="str">
        <f>INDEX(Products!$C$2:$C$37, MATCH(D3699, Products!$A$2:$A$37, 0))</f>
        <v>Home &amp; Kitchen</v>
      </c>
      <c r="J3699">
        <f>INDEX(Products!$E$2:$E$37, MATCH(D3699, Products!$A$2:$A$37, 0))</f>
        <v>290</v>
      </c>
      <c r="K3699" s="9">
        <f t="shared" si="228"/>
        <v>399.20000000000005</v>
      </c>
      <c r="L3699">
        <f t="shared" si="229"/>
        <v>290</v>
      </c>
      <c r="M3699" s="9">
        <f t="shared" si="230"/>
        <v>109.20000000000005</v>
      </c>
      <c r="N3699" t="str">
        <f t="shared" si="231"/>
        <v>Nov</v>
      </c>
    </row>
    <row r="3700" spans="1:14" x14ac:dyDescent="0.3">
      <c r="A3700" s="2" t="s">
        <v>3766</v>
      </c>
      <c r="B3700" s="6">
        <v>45979</v>
      </c>
      <c r="C3700" s="2" t="s">
        <v>44</v>
      </c>
      <c r="D3700" s="2" t="s">
        <v>194</v>
      </c>
      <c r="E3700" s="2">
        <v>1</v>
      </c>
      <c r="F3700" s="7">
        <v>699</v>
      </c>
      <c r="G3700" s="8">
        <v>0.3</v>
      </c>
      <c r="H3700" s="9" t="str">
        <f>INDEX(Products!$B$2:$B$37, MATCH(D3700, Products!$A$2:$A$37, 0))</f>
        <v>Leather Handbag</v>
      </c>
      <c r="I3700" t="str">
        <f>INDEX(Products!$C$2:$C$37, MATCH(D3700, Products!$A$2:$A$37, 0))</f>
        <v>Fashion</v>
      </c>
      <c r="J3700">
        <f>INDEX(Products!$E$2:$E$37, MATCH(D3700, Products!$A$2:$A$37, 0))</f>
        <v>380</v>
      </c>
      <c r="K3700" s="9">
        <f t="shared" si="228"/>
        <v>489.29999999999995</v>
      </c>
      <c r="L3700">
        <f t="shared" si="229"/>
        <v>380</v>
      </c>
      <c r="M3700" s="9">
        <f t="shared" si="230"/>
        <v>109.29999999999995</v>
      </c>
      <c r="N3700" t="str">
        <f t="shared" si="231"/>
        <v>Nov</v>
      </c>
    </row>
    <row r="3701" spans="1:14" x14ac:dyDescent="0.3">
      <c r="A3701" s="2" t="s">
        <v>3767</v>
      </c>
      <c r="B3701" s="6">
        <v>45979</v>
      </c>
      <c r="C3701" s="2" t="s">
        <v>44</v>
      </c>
      <c r="D3701" s="2" t="s">
        <v>39</v>
      </c>
      <c r="E3701" s="2">
        <v>1</v>
      </c>
      <c r="F3701" s="7">
        <v>199</v>
      </c>
      <c r="G3701" s="8">
        <v>0.2</v>
      </c>
      <c r="H3701" s="9" t="str">
        <f>INDEX(Products!$B$2:$B$37, MATCH(D3701, Products!$A$2:$A$37, 0))</f>
        <v>Bakhoor Gift Set</v>
      </c>
      <c r="I3701" t="str">
        <f>INDEX(Products!$C$2:$C$37, MATCH(D3701, Products!$A$2:$A$37, 0))</f>
        <v>Beauty</v>
      </c>
      <c r="J3701">
        <f>INDEX(Products!$E$2:$E$37, MATCH(D3701, Products!$A$2:$A$37, 0))</f>
        <v>90</v>
      </c>
      <c r="K3701" s="9">
        <f t="shared" si="228"/>
        <v>159.20000000000002</v>
      </c>
      <c r="L3701">
        <f t="shared" si="229"/>
        <v>90</v>
      </c>
      <c r="M3701" s="9">
        <f t="shared" si="230"/>
        <v>69.200000000000017</v>
      </c>
      <c r="N3701" t="str">
        <f t="shared" si="231"/>
        <v>Nov</v>
      </c>
    </row>
    <row r="3702" spans="1:14" x14ac:dyDescent="0.3">
      <c r="A3702" s="2" t="s">
        <v>3768</v>
      </c>
      <c r="B3702" s="6">
        <v>45979</v>
      </c>
      <c r="C3702" s="2" t="s">
        <v>41</v>
      </c>
      <c r="D3702" s="2" t="s">
        <v>194</v>
      </c>
      <c r="E3702" s="2">
        <v>1</v>
      </c>
      <c r="F3702" s="7">
        <v>699</v>
      </c>
      <c r="G3702" s="8">
        <v>0.2</v>
      </c>
      <c r="H3702" s="9" t="str">
        <f>INDEX(Products!$B$2:$B$37, MATCH(D3702, Products!$A$2:$A$37, 0))</f>
        <v>Leather Handbag</v>
      </c>
      <c r="I3702" t="str">
        <f>INDEX(Products!$C$2:$C$37, MATCH(D3702, Products!$A$2:$A$37, 0))</f>
        <v>Fashion</v>
      </c>
      <c r="J3702">
        <f>INDEX(Products!$E$2:$E$37, MATCH(D3702, Products!$A$2:$A$37, 0))</f>
        <v>380</v>
      </c>
      <c r="K3702" s="9">
        <f t="shared" si="228"/>
        <v>559.20000000000005</v>
      </c>
      <c r="L3702">
        <f t="shared" si="229"/>
        <v>380</v>
      </c>
      <c r="M3702" s="9">
        <f t="shared" si="230"/>
        <v>179.20000000000005</v>
      </c>
      <c r="N3702" t="str">
        <f t="shared" si="231"/>
        <v>Nov</v>
      </c>
    </row>
    <row r="3703" spans="1:14" x14ac:dyDescent="0.3">
      <c r="A3703" s="2" t="s">
        <v>3769</v>
      </c>
      <c r="B3703" s="6">
        <v>45980</v>
      </c>
      <c r="C3703" s="2" t="s">
        <v>31</v>
      </c>
      <c r="D3703" s="2" t="s">
        <v>126</v>
      </c>
      <c r="E3703" s="2">
        <v>1</v>
      </c>
      <c r="F3703" s="7">
        <v>89</v>
      </c>
      <c r="G3703" s="8">
        <v>0.2</v>
      </c>
      <c r="H3703" s="9" t="str">
        <f>INDEX(Products!$B$2:$B$37, MATCH(D3703, Products!$A$2:$A$37, 0))</f>
        <v>USB-C Fast Charger</v>
      </c>
      <c r="I3703" t="str">
        <f>INDEX(Products!$C$2:$C$37, MATCH(D3703, Products!$A$2:$A$37, 0))</f>
        <v>Electronics</v>
      </c>
      <c r="J3703">
        <f>INDEX(Products!$E$2:$E$37, MATCH(D3703, Products!$A$2:$A$37, 0))</f>
        <v>35</v>
      </c>
      <c r="K3703" s="9">
        <f t="shared" si="228"/>
        <v>71.2</v>
      </c>
      <c r="L3703">
        <f t="shared" si="229"/>
        <v>35</v>
      </c>
      <c r="M3703" s="9">
        <f t="shared" si="230"/>
        <v>36.200000000000003</v>
      </c>
      <c r="N3703" t="str">
        <f t="shared" si="231"/>
        <v>Nov</v>
      </c>
    </row>
    <row r="3704" spans="1:14" x14ac:dyDescent="0.3">
      <c r="A3704" s="2" t="s">
        <v>3770</v>
      </c>
      <c r="B3704" s="6">
        <v>45980</v>
      </c>
      <c r="C3704" s="2" t="s">
        <v>48</v>
      </c>
      <c r="D3704" s="2" t="s">
        <v>83</v>
      </c>
      <c r="E3704" s="2">
        <v>1</v>
      </c>
      <c r="F3704" s="7">
        <v>229</v>
      </c>
      <c r="G3704" s="8">
        <v>0.2</v>
      </c>
      <c r="H3704" s="9" t="str">
        <f>INDEX(Products!$B$2:$B$37, MATCH(D3704, Products!$A$2:$A$37, 0))</f>
        <v>Cycling Helmet</v>
      </c>
      <c r="I3704" t="str">
        <f>INDEX(Products!$C$2:$C$37, MATCH(D3704, Products!$A$2:$A$37, 0))</f>
        <v>Sports</v>
      </c>
      <c r="J3704">
        <f>INDEX(Products!$E$2:$E$37, MATCH(D3704, Products!$A$2:$A$37, 0))</f>
        <v>120</v>
      </c>
      <c r="K3704" s="9">
        <f t="shared" si="228"/>
        <v>183.20000000000002</v>
      </c>
      <c r="L3704">
        <f t="shared" si="229"/>
        <v>120</v>
      </c>
      <c r="M3704" s="9">
        <f t="shared" si="230"/>
        <v>63.200000000000017</v>
      </c>
      <c r="N3704" t="str">
        <f t="shared" si="231"/>
        <v>Nov</v>
      </c>
    </row>
    <row r="3705" spans="1:14" x14ac:dyDescent="0.3">
      <c r="A3705" s="2" t="s">
        <v>3771</v>
      </c>
      <c r="B3705" s="6">
        <v>45980</v>
      </c>
      <c r="C3705" s="2" t="s">
        <v>41</v>
      </c>
      <c r="D3705" s="2" t="s">
        <v>103</v>
      </c>
      <c r="E3705" s="2">
        <v>4</v>
      </c>
      <c r="F3705" s="7">
        <v>89</v>
      </c>
      <c r="G3705" s="8">
        <v>0</v>
      </c>
      <c r="H3705" s="9" t="str">
        <f>INDEX(Products!$B$2:$B$37, MATCH(D3705, Products!$A$2:$A$37, 0))</f>
        <v>Sunscreen SPF50</v>
      </c>
      <c r="I3705" t="str">
        <f>INDEX(Products!$C$2:$C$37, MATCH(D3705, Products!$A$2:$A$37, 0))</f>
        <v>Beauty</v>
      </c>
      <c r="J3705">
        <f>INDEX(Products!$E$2:$E$37, MATCH(D3705, Products!$A$2:$A$37, 0))</f>
        <v>40</v>
      </c>
      <c r="K3705" s="9">
        <f t="shared" si="228"/>
        <v>356</v>
      </c>
      <c r="L3705">
        <f t="shared" si="229"/>
        <v>160</v>
      </c>
      <c r="M3705" s="9">
        <f t="shared" si="230"/>
        <v>196</v>
      </c>
      <c r="N3705" t="str">
        <f t="shared" si="231"/>
        <v>Nov</v>
      </c>
    </row>
    <row r="3706" spans="1:14" x14ac:dyDescent="0.3">
      <c r="A3706" s="2" t="s">
        <v>3772</v>
      </c>
      <c r="B3706" s="6">
        <v>45980</v>
      </c>
      <c r="C3706" s="2" t="s">
        <v>41</v>
      </c>
      <c r="D3706" s="2" t="s">
        <v>103</v>
      </c>
      <c r="E3706" s="2">
        <v>1</v>
      </c>
      <c r="F3706" s="7">
        <v>89</v>
      </c>
      <c r="G3706" s="8">
        <v>0.05</v>
      </c>
      <c r="H3706" s="9" t="str">
        <f>INDEX(Products!$B$2:$B$37, MATCH(D3706, Products!$A$2:$A$37, 0))</f>
        <v>Sunscreen SPF50</v>
      </c>
      <c r="I3706" t="str">
        <f>INDEX(Products!$C$2:$C$37, MATCH(D3706, Products!$A$2:$A$37, 0))</f>
        <v>Beauty</v>
      </c>
      <c r="J3706">
        <f>INDEX(Products!$E$2:$E$37, MATCH(D3706, Products!$A$2:$A$37, 0))</f>
        <v>40</v>
      </c>
      <c r="K3706" s="9">
        <f t="shared" si="228"/>
        <v>84.55</v>
      </c>
      <c r="L3706">
        <f t="shared" si="229"/>
        <v>40</v>
      </c>
      <c r="M3706" s="9">
        <f t="shared" si="230"/>
        <v>44.55</v>
      </c>
      <c r="N3706" t="str">
        <f t="shared" si="231"/>
        <v>Nov</v>
      </c>
    </row>
    <row r="3707" spans="1:14" x14ac:dyDescent="0.3">
      <c r="A3707" s="2" t="s">
        <v>3773</v>
      </c>
      <c r="B3707" s="6">
        <v>45980</v>
      </c>
      <c r="C3707" s="2" t="s">
        <v>41</v>
      </c>
      <c r="D3707" s="2" t="s">
        <v>126</v>
      </c>
      <c r="E3707" s="2">
        <v>1</v>
      </c>
      <c r="F3707" s="7">
        <v>89</v>
      </c>
      <c r="G3707" s="8">
        <v>0.2</v>
      </c>
      <c r="H3707" s="9" t="str">
        <f>INDEX(Products!$B$2:$B$37, MATCH(D3707, Products!$A$2:$A$37, 0))</f>
        <v>USB-C Fast Charger</v>
      </c>
      <c r="I3707" t="str">
        <f>INDEX(Products!$C$2:$C$37, MATCH(D3707, Products!$A$2:$A$37, 0))</f>
        <v>Electronics</v>
      </c>
      <c r="J3707">
        <f>INDEX(Products!$E$2:$E$37, MATCH(D3707, Products!$A$2:$A$37, 0))</f>
        <v>35</v>
      </c>
      <c r="K3707" s="9">
        <f t="shared" si="228"/>
        <v>71.2</v>
      </c>
      <c r="L3707">
        <f t="shared" si="229"/>
        <v>35</v>
      </c>
      <c r="M3707" s="9">
        <f t="shared" si="230"/>
        <v>36.200000000000003</v>
      </c>
      <c r="N3707" t="str">
        <f t="shared" si="231"/>
        <v>Nov</v>
      </c>
    </row>
    <row r="3708" spans="1:14" x14ac:dyDescent="0.3">
      <c r="A3708" s="2" t="s">
        <v>3774</v>
      </c>
      <c r="B3708" s="6">
        <v>45980</v>
      </c>
      <c r="C3708" s="2" t="s">
        <v>41</v>
      </c>
      <c r="D3708" s="2" t="s">
        <v>35</v>
      </c>
      <c r="E3708" s="2">
        <v>1</v>
      </c>
      <c r="F3708" s="7">
        <v>179</v>
      </c>
      <c r="G3708" s="8">
        <v>0.05</v>
      </c>
      <c r="H3708" s="9" t="str">
        <f>INDEX(Products!$B$2:$B$37, MATCH(D3708, Products!$A$2:$A$37, 0))</f>
        <v>Men's Linen Shirt</v>
      </c>
      <c r="I3708" t="str">
        <f>INDEX(Products!$C$2:$C$37, MATCH(D3708, Products!$A$2:$A$37, 0))</f>
        <v>Fashion</v>
      </c>
      <c r="J3708">
        <f>INDEX(Products!$E$2:$E$37, MATCH(D3708, Products!$A$2:$A$37, 0))</f>
        <v>70</v>
      </c>
      <c r="K3708" s="9">
        <f t="shared" si="228"/>
        <v>170.04999999999998</v>
      </c>
      <c r="L3708">
        <f t="shared" si="229"/>
        <v>70</v>
      </c>
      <c r="M3708" s="9">
        <f t="shared" si="230"/>
        <v>100.04999999999998</v>
      </c>
      <c r="N3708" t="str">
        <f t="shared" si="231"/>
        <v>Nov</v>
      </c>
    </row>
    <row r="3709" spans="1:14" x14ac:dyDescent="0.3">
      <c r="A3709" s="2" t="s">
        <v>3775</v>
      </c>
      <c r="B3709" s="6">
        <v>45980</v>
      </c>
      <c r="C3709" s="2" t="s">
        <v>28</v>
      </c>
      <c r="D3709" s="2" t="s">
        <v>78</v>
      </c>
      <c r="E3709" s="2">
        <v>2</v>
      </c>
      <c r="F3709" s="7">
        <v>499</v>
      </c>
      <c r="G3709" s="8">
        <v>0.2</v>
      </c>
      <c r="H3709" s="9" t="str">
        <f>INDEX(Products!$B$2:$B$37, MATCH(D3709, Products!$A$2:$A$37, 0))</f>
        <v>Air Fryer 5L</v>
      </c>
      <c r="I3709" t="str">
        <f>INDEX(Products!$C$2:$C$37, MATCH(D3709, Products!$A$2:$A$37, 0))</f>
        <v>Home &amp; Kitchen</v>
      </c>
      <c r="J3709">
        <f>INDEX(Products!$E$2:$E$37, MATCH(D3709, Products!$A$2:$A$37, 0))</f>
        <v>290</v>
      </c>
      <c r="K3709" s="9">
        <f t="shared" si="228"/>
        <v>798.40000000000009</v>
      </c>
      <c r="L3709">
        <f t="shared" si="229"/>
        <v>580</v>
      </c>
      <c r="M3709" s="9">
        <f t="shared" si="230"/>
        <v>218.40000000000009</v>
      </c>
      <c r="N3709" t="str">
        <f t="shared" si="231"/>
        <v>Nov</v>
      </c>
    </row>
    <row r="3710" spans="1:14" x14ac:dyDescent="0.3">
      <c r="A3710" s="2" t="s">
        <v>3776</v>
      </c>
      <c r="B3710" s="6">
        <v>45980</v>
      </c>
      <c r="C3710" s="2" t="s">
        <v>44</v>
      </c>
      <c r="D3710" s="2" t="s">
        <v>89</v>
      </c>
      <c r="E3710" s="2">
        <v>3</v>
      </c>
      <c r="F3710" s="7">
        <v>399</v>
      </c>
      <c r="G3710" s="8">
        <v>0.2</v>
      </c>
      <c r="H3710" s="9" t="str">
        <f>INDEX(Products!$B$2:$B$37, MATCH(D3710, Products!$A$2:$A$37, 0))</f>
        <v>Men's Kandura Premium</v>
      </c>
      <c r="I3710" t="str">
        <f>INDEX(Products!$C$2:$C$37, MATCH(D3710, Products!$A$2:$A$37, 0))</f>
        <v>Fashion</v>
      </c>
      <c r="J3710">
        <f>INDEX(Products!$E$2:$E$37, MATCH(D3710, Products!$A$2:$A$37, 0))</f>
        <v>210</v>
      </c>
      <c r="K3710" s="9">
        <f t="shared" si="228"/>
        <v>957.6</v>
      </c>
      <c r="L3710">
        <f t="shared" si="229"/>
        <v>630</v>
      </c>
      <c r="M3710" s="9">
        <f t="shared" si="230"/>
        <v>327.60000000000002</v>
      </c>
      <c r="N3710" t="str">
        <f t="shared" si="231"/>
        <v>Nov</v>
      </c>
    </row>
    <row r="3711" spans="1:14" x14ac:dyDescent="0.3">
      <c r="A3711" s="2" t="s">
        <v>3777</v>
      </c>
      <c r="B3711" s="6">
        <v>45980</v>
      </c>
      <c r="C3711" s="2" t="s">
        <v>41</v>
      </c>
      <c r="D3711" s="2" t="s">
        <v>103</v>
      </c>
      <c r="E3711" s="2">
        <v>1</v>
      </c>
      <c r="F3711" s="7">
        <v>89</v>
      </c>
      <c r="G3711" s="8">
        <v>0</v>
      </c>
      <c r="H3711" s="9" t="str">
        <f>INDEX(Products!$B$2:$B$37, MATCH(D3711, Products!$A$2:$A$37, 0))</f>
        <v>Sunscreen SPF50</v>
      </c>
      <c r="I3711" t="str">
        <f>INDEX(Products!$C$2:$C$37, MATCH(D3711, Products!$A$2:$A$37, 0))</f>
        <v>Beauty</v>
      </c>
      <c r="J3711">
        <f>INDEX(Products!$E$2:$E$37, MATCH(D3711, Products!$A$2:$A$37, 0))</f>
        <v>40</v>
      </c>
      <c r="K3711" s="9">
        <f t="shared" si="228"/>
        <v>89</v>
      </c>
      <c r="L3711">
        <f t="shared" si="229"/>
        <v>40</v>
      </c>
      <c r="M3711" s="9">
        <f t="shared" si="230"/>
        <v>49</v>
      </c>
      <c r="N3711" t="str">
        <f t="shared" si="231"/>
        <v>Nov</v>
      </c>
    </row>
    <row r="3712" spans="1:14" x14ac:dyDescent="0.3">
      <c r="A3712" s="2" t="s">
        <v>3778</v>
      </c>
      <c r="B3712" s="6">
        <v>45980</v>
      </c>
      <c r="C3712" s="2" t="s">
        <v>48</v>
      </c>
      <c r="D3712" s="2" t="s">
        <v>83</v>
      </c>
      <c r="E3712" s="2">
        <v>1</v>
      </c>
      <c r="F3712" s="7">
        <v>229</v>
      </c>
      <c r="G3712" s="8">
        <v>0</v>
      </c>
      <c r="H3712" s="9" t="str">
        <f>INDEX(Products!$B$2:$B$37, MATCH(D3712, Products!$A$2:$A$37, 0))</f>
        <v>Cycling Helmet</v>
      </c>
      <c r="I3712" t="str">
        <f>INDEX(Products!$C$2:$C$37, MATCH(D3712, Products!$A$2:$A$37, 0))</f>
        <v>Sports</v>
      </c>
      <c r="J3712">
        <f>INDEX(Products!$E$2:$E$37, MATCH(D3712, Products!$A$2:$A$37, 0))</f>
        <v>120</v>
      </c>
      <c r="K3712" s="9">
        <f t="shared" si="228"/>
        <v>229</v>
      </c>
      <c r="L3712">
        <f t="shared" si="229"/>
        <v>120</v>
      </c>
      <c r="M3712" s="9">
        <f t="shared" si="230"/>
        <v>109</v>
      </c>
      <c r="N3712" t="str">
        <f t="shared" si="231"/>
        <v>Nov</v>
      </c>
    </row>
    <row r="3713" spans="1:14" x14ac:dyDescent="0.3">
      <c r="A3713" s="2" t="s">
        <v>3779</v>
      </c>
      <c r="B3713" s="6">
        <v>45980</v>
      </c>
      <c r="C3713" s="2" t="s">
        <v>28</v>
      </c>
      <c r="D3713" s="2" t="s">
        <v>129</v>
      </c>
      <c r="E3713" s="2">
        <v>4</v>
      </c>
      <c r="F3713" s="7">
        <v>149</v>
      </c>
      <c r="G3713" s="8">
        <v>0.05</v>
      </c>
      <c r="H3713" s="9" t="str">
        <f>INDEX(Products!$B$2:$B$37, MATCH(D3713, Products!$A$2:$A$37, 0))</f>
        <v>Power Bank 20000mAh</v>
      </c>
      <c r="I3713" t="str">
        <f>INDEX(Products!$C$2:$C$37, MATCH(D3713, Products!$A$2:$A$37, 0))</f>
        <v>Electronics</v>
      </c>
      <c r="J3713">
        <f>INDEX(Products!$E$2:$E$37, MATCH(D3713, Products!$A$2:$A$37, 0))</f>
        <v>70</v>
      </c>
      <c r="K3713" s="9">
        <f t="shared" si="228"/>
        <v>566.19999999999993</v>
      </c>
      <c r="L3713">
        <f t="shared" si="229"/>
        <v>280</v>
      </c>
      <c r="M3713" s="9">
        <f t="shared" si="230"/>
        <v>286.19999999999993</v>
      </c>
      <c r="N3713" t="str">
        <f t="shared" si="231"/>
        <v>Nov</v>
      </c>
    </row>
    <row r="3714" spans="1:14" x14ac:dyDescent="0.3">
      <c r="A3714" s="2" t="s">
        <v>3780</v>
      </c>
      <c r="B3714" s="6">
        <v>45980</v>
      </c>
      <c r="C3714" s="2" t="s">
        <v>44</v>
      </c>
      <c r="D3714" s="2" t="s">
        <v>99</v>
      </c>
      <c r="E3714" s="2">
        <v>1</v>
      </c>
      <c r="F3714" s="7">
        <v>459</v>
      </c>
      <c r="G3714" s="8">
        <v>0.2</v>
      </c>
      <c r="H3714" s="9" t="str">
        <f>INDEX(Products!$B$2:$B$37, MATCH(D3714, Products!$A$2:$A$37, 0))</f>
        <v>Gaming Headset X</v>
      </c>
      <c r="I3714" t="str">
        <f>INDEX(Products!$C$2:$C$37, MATCH(D3714, Products!$A$2:$A$37, 0))</f>
        <v>Electronics</v>
      </c>
      <c r="J3714">
        <f>INDEX(Products!$E$2:$E$37, MATCH(D3714, Products!$A$2:$A$37, 0))</f>
        <v>300</v>
      </c>
      <c r="K3714" s="9">
        <f t="shared" ref="K3714:K3777" si="232">E3714*F3714*(1-G3714)</f>
        <v>367.20000000000005</v>
      </c>
      <c r="L3714">
        <f t="shared" ref="L3714:L3777" si="233">E3714*J3714</f>
        <v>300</v>
      </c>
      <c r="M3714" s="9">
        <f t="shared" ref="M3714:M3777" si="234">K3714-L3714</f>
        <v>67.200000000000045</v>
      </c>
      <c r="N3714" t="str">
        <f t="shared" ref="N3714:N3777" si="235">TEXT(B3714,"mmm")</f>
        <v>Nov</v>
      </c>
    </row>
    <row r="3715" spans="1:14" x14ac:dyDescent="0.3">
      <c r="A3715" s="2" t="s">
        <v>3781</v>
      </c>
      <c r="B3715" s="6">
        <v>45980</v>
      </c>
      <c r="C3715" s="2" t="s">
        <v>41</v>
      </c>
      <c r="D3715" s="2" t="s">
        <v>68</v>
      </c>
      <c r="E3715" s="2">
        <v>2</v>
      </c>
      <c r="F3715" s="7">
        <v>249</v>
      </c>
      <c r="G3715" s="8">
        <v>0.05</v>
      </c>
      <c r="H3715" s="9" t="str">
        <f>INDEX(Products!$B$2:$B$37, MATCH(D3715, Products!$A$2:$A$37, 0))</f>
        <v>Bluetooth Speaker Mini</v>
      </c>
      <c r="I3715" t="str">
        <f>INDEX(Products!$C$2:$C$37, MATCH(D3715, Products!$A$2:$A$37, 0))</f>
        <v>Electronics</v>
      </c>
      <c r="J3715">
        <f>INDEX(Products!$E$2:$E$37, MATCH(D3715, Products!$A$2:$A$37, 0))</f>
        <v>150</v>
      </c>
      <c r="K3715" s="9">
        <f t="shared" si="232"/>
        <v>473.09999999999997</v>
      </c>
      <c r="L3715">
        <f t="shared" si="233"/>
        <v>300</v>
      </c>
      <c r="M3715" s="9">
        <f t="shared" si="234"/>
        <v>173.09999999999997</v>
      </c>
      <c r="N3715" t="str">
        <f t="shared" si="235"/>
        <v>Nov</v>
      </c>
    </row>
    <row r="3716" spans="1:14" x14ac:dyDescent="0.3">
      <c r="A3716" s="2" t="s">
        <v>3782</v>
      </c>
      <c r="B3716" s="6">
        <v>45980</v>
      </c>
      <c r="C3716" s="2" t="s">
        <v>28</v>
      </c>
      <c r="D3716" s="2" t="s">
        <v>103</v>
      </c>
      <c r="E3716" s="2">
        <v>2</v>
      </c>
      <c r="F3716" s="7">
        <v>89</v>
      </c>
      <c r="G3716" s="8">
        <v>0.05</v>
      </c>
      <c r="H3716" s="9" t="str">
        <f>INDEX(Products!$B$2:$B$37, MATCH(D3716, Products!$A$2:$A$37, 0))</f>
        <v>Sunscreen SPF50</v>
      </c>
      <c r="I3716" t="str">
        <f>INDEX(Products!$C$2:$C$37, MATCH(D3716, Products!$A$2:$A$37, 0))</f>
        <v>Beauty</v>
      </c>
      <c r="J3716">
        <f>INDEX(Products!$E$2:$E$37, MATCH(D3716, Products!$A$2:$A$37, 0))</f>
        <v>40</v>
      </c>
      <c r="K3716" s="9">
        <f t="shared" si="232"/>
        <v>169.1</v>
      </c>
      <c r="L3716">
        <f t="shared" si="233"/>
        <v>80</v>
      </c>
      <c r="M3716" s="9">
        <f t="shared" si="234"/>
        <v>89.1</v>
      </c>
      <c r="N3716" t="str">
        <f t="shared" si="235"/>
        <v>Nov</v>
      </c>
    </row>
    <row r="3717" spans="1:14" x14ac:dyDescent="0.3">
      <c r="A3717" s="2" t="s">
        <v>3783</v>
      </c>
      <c r="B3717" s="6">
        <v>45981</v>
      </c>
      <c r="C3717" s="2" t="s">
        <v>41</v>
      </c>
      <c r="D3717" s="2" t="s">
        <v>78</v>
      </c>
      <c r="E3717" s="2">
        <v>1</v>
      </c>
      <c r="F3717" s="7">
        <v>499</v>
      </c>
      <c r="G3717" s="8">
        <v>0.05</v>
      </c>
      <c r="H3717" s="9" t="str">
        <f>INDEX(Products!$B$2:$B$37, MATCH(D3717, Products!$A$2:$A$37, 0))</f>
        <v>Air Fryer 5L</v>
      </c>
      <c r="I3717" t="str">
        <f>INDEX(Products!$C$2:$C$37, MATCH(D3717, Products!$A$2:$A$37, 0))</f>
        <v>Home &amp; Kitchen</v>
      </c>
      <c r="J3717">
        <f>INDEX(Products!$E$2:$E$37, MATCH(D3717, Products!$A$2:$A$37, 0))</f>
        <v>290</v>
      </c>
      <c r="K3717" s="9">
        <f t="shared" si="232"/>
        <v>474.04999999999995</v>
      </c>
      <c r="L3717">
        <f t="shared" si="233"/>
        <v>290</v>
      </c>
      <c r="M3717" s="9">
        <f t="shared" si="234"/>
        <v>184.04999999999995</v>
      </c>
      <c r="N3717" t="str">
        <f t="shared" si="235"/>
        <v>Nov</v>
      </c>
    </row>
    <row r="3718" spans="1:14" x14ac:dyDescent="0.3">
      <c r="A3718" s="2" t="s">
        <v>3784</v>
      </c>
      <c r="B3718" s="6">
        <v>45981</v>
      </c>
      <c r="C3718" s="2" t="s">
        <v>31</v>
      </c>
      <c r="D3718" s="2" t="s">
        <v>78</v>
      </c>
      <c r="E3718" s="2">
        <v>1</v>
      </c>
      <c r="F3718" s="7">
        <v>499</v>
      </c>
      <c r="G3718" s="8">
        <v>0.2</v>
      </c>
      <c r="H3718" s="9" t="str">
        <f>INDEX(Products!$B$2:$B$37, MATCH(D3718, Products!$A$2:$A$37, 0))</f>
        <v>Air Fryer 5L</v>
      </c>
      <c r="I3718" t="str">
        <f>INDEX(Products!$C$2:$C$37, MATCH(D3718, Products!$A$2:$A$37, 0))</f>
        <v>Home &amp; Kitchen</v>
      </c>
      <c r="J3718">
        <f>INDEX(Products!$E$2:$E$37, MATCH(D3718, Products!$A$2:$A$37, 0))</f>
        <v>290</v>
      </c>
      <c r="K3718" s="9">
        <f t="shared" si="232"/>
        <v>399.20000000000005</v>
      </c>
      <c r="L3718">
        <f t="shared" si="233"/>
        <v>290</v>
      </c>
      <c r="M3718" s="9">
        <f t="shared" si="234"/>
        <v>109.20000000000005</v>
      </c>
      <c r="N3718" t="str">
        <f t="shared" si="235"/>
        <v>Nov</v>
      </c>
    </row>
    <row r="3719" spans="1:14" x14ac:dyDescent="0.3">
      <c r="A3719" s="2" t="s">
        <v>3785</v>
      </c>
      <c r="B3719" s="6">
        <v>45981</v>
      </c>
      <c r="C3719" s="2" t="s">
        <v>31</v>
      </c>
      <c r="D3719" s="2" t="s">
        <v>39</v>
      </c>
      <c r="E3719" s="2">
        <v>2</v>
      </c>
      <c r="F3719" s="7">
        <v>199</v>
      </c>
      <c r="G3719" s="8">
        <v>0.05</v>
      </c>
      <c r="H3719" s="9" t="str">
        <f>INDEX(Products!$B$2:$B$37, MATCH(D3719, Products!$A$2:$A$37, 0))</f>
        <v>Bakhoor Gift Set</v>
      </c>
      <c r="I3719" t="str">
        <f>INDEX(Products!$C$2:$C$37, MATCH(D3719, Products!$A$2:$A$37, 0))</f>
        <v>Beauty</v>
      </c>
      <c r="J3719">
        <f>INDEX(Products!$E$2:$E$37, MATCH(D3719, Products!$A$2:$A$37, 0))</f>
        <v>90</v>
      </c>
      <c r="K3719" s="9">
        <f t="shared" si="232"/>
        <v>378.09999999999997</v>
      </c>
      <c r="L3719">
        <f t="shared" si="233"/>
        <v>180</v>
      </c>
      <c r="M3719" s="9">
        <f t="shared" si="234"/>
        <v>198.09999999999997</v>
      </c>
      <c r="N3719" t="str">
        <f t="shared" si="235"/>
        <v>Nov</v>
      </c>
    </row>
    <row r="3720" spans="1:14" x14ac:dyDescent="0.3">
      <c r="A3720" s="2" t="s">
        <v>3786</v>
      </c>
      <c r="B3720" s="6">
        <v>45981</v>
      </c>
      <c r="C3720" s="2" t="s">
        <v>41</v>
      </c>
      <c r="D3720" s="2" t="s">
        <v>33</v>
      </c>
      <c r="E3720" s="2">
        <v>1</v>
      </c>
      <c r="F3720" s="7">
        <v>199</v>
      </c>
      <c r="G3720" s="8">
        <v>0.1</v>
      </c>
      <c r="H3720" s="9" t="str">
        <f>INDEX(Products!$B$2:$B$37, MATCH(D3720, Products!$A$2:$A$37, 0))</f>
        <v>Fitness Band Lite</v>
      </c>
      <c r="I3720" t="str">
        <f>INDEX(Products!$C$2:$C$37, MATCH(D3720, Products!$A$2:$A$37, 0))</f>
        <v>Electronics</v>
      </c>
      <c r="J3720">
        <f>INDEX(Products!$E$2:$E$37, MATCH(D3720, Products!$A$2:$A$37, 0))</f>
        <v>175</v>
      </c>
      <c r="K3720" s="9">
        <f t="shared" si="232"/>
        <v>179.1</v>
      </c>
      <c r="L3720">
        <f t="shared" si="233"/>
        <v>175</v>
      </c>
      <c r="M3720" s="9">
        <f t="shared" si="234"/>
        <v>4.0999999999999943</v>
      </c>
      <c r="N3720" t="str">
        <f t="shared" si="235"/>
        <v>Nov</v>
      </c>
    </row>
    <row r="3721" spans="1:14" x14ac:dyDescent="0.3">
      <c r="A3721" s="2" t="s">
        <v>3787</v>
      </c>
      <c r="B3721" s="6">
        <v>45981</v>
      </c>
      <c r="C3721" s="2" t="s">
        <v>41</v>
      </c>
      <c r="D3721" s="2" t="s">
        <v>33</v>
      </c>
      <c r="E3721" s="2">
        <v>3</v>
      </c>
      <c r="F3721" s="7">
        <v>199</v>
      </c>
      <c r="G3721" s="8">
        <v>0.25</v>
      </c>
      <c r="H3721" s="9" t="str">
        <f>INDEX(Products!$B$2:$B$37, MATCH(D3721, Products!$A$2:$A$37, 0))</f>
        <v>Fitness Band Lite</v>
      </c>
      <c r="I3721" t="str">
        <f>INDEX(Products!$C$2:$C$37, MATCH(D3721, Products!$A$2:$A$37, 0))</f>
        <v>Electronics</v>
      </c>
      <c r="J3721">
        <f>INDEX(Products!$E$2:$E$37, MATCH(D3721, Products!$A$2:$A$37, 0))</f>
        <v>175</v>
      </c>
      <c r="K3721" s="9">
        <f t="shared" si="232"/>
        <v>447.75</v>
      </c>
      <c r="L3721">
        <f t="shared" si="233"/>
        <v>525</v>
      </c>
      <c r="M3721" s="9">
        <f t="shared" si="234"/>
        <v>-77.25</v>
      </c>
      <c r="N3721" t="str">
        <f t="shared" si="235"/>
        <v>Nov</v>
      </c>
    </row>
    <row r="3722" spans="1:14" x14ac:dyDescent="0.3">
      <c r="A3722" s="2" t="s">
        <v>3788</v>
      </c>
      <c r="B3722" s="6">
        <v>45981</v>
      </c>
      <c r="C3722" s="2" t="s">
        <v>31</v>
      </c>
      <c r="D3722" s="2" t="s">
        <v>99</v>
      </c>
      <c r="E3722" s="2">
        <v>1</v>
      </c>
      <c r="F3722" s="7">
        <v>459</v>
      </c>
      <c r="G3722" s="8">
        <v>0.2</v>
      </c>
      <c r="H3722" s="9" t="str">
        <f>INDEX(Products!$B$2:$B$37, MATCH(D3722, Products!$A$2:$A$37, 0))</f>
        <v>Gaming Headset X</v>
      </c>
      <c r="I3722" t="str">
        <f>INDEX(Products!$C$2:$C$37, MATCH(D3722, Products!$A$2:$A$37, 0))</f>
        <v>Electronics</v>
      </c>
      <c r="J3722">
        <f>INDEX(Products!$E$2:$E$37, MATCH(D3722, Products!$A$2:$A$37, 0))</f>
        <v>300</v>
      </c>
      <c r="K3722" s="9">
        <f t="shared" si="232"/>
        <v>367.20000000000005</v>
      </c>
      <c r="L3722">
        <f t="shared" si="233"/>
        <v>300</v>
      </c>
      <c r="M3722" s="9">
        <f t="shared" si="234"/>
        <v>67.200000000000045</v>
      </c>
      <c r="N3722" t="str">
        <f t="shared" si="235"/>
        <v>Nov</v>
      </c>
    </row>
    <row r="3723" spans="1:14" x14ac:dyDescent="0.3">
      <c r="A3723" s="2" t="s">
        <v>3789</v>
      </c>
      <c r="B3723" s="6">
        <v>45981</v>
      </c>
      <c r="C3723" s="2" t="s">
        <v>28</v>
      </c>
      <c r="D3723" s="2" t="s">
        <v>37</v>
      </c>
      <c r="E3723" s="2">
        <v>1</v>
      </c>
      <c r="F3723" s="7">
        <v>249</v>
      </c>
      <c r="G3723" s="8">
        <v>0.1</v>
      </c>
      <c r="H3723" s="9" t="str">
        <f>INDEX(Products!$B$2:$B$37, MATCH(D3723, Products!$A$2:$A$37, 0))</f>
        <v>Sunglasses Polarised</v>
      </c>
      <c r="I3723" t="str">
        <f>INDEX(Products!$C$2:$C$37, MATCH(D3723, Products!$A$2:$A$37, 0))</f>
        <v>Fashion</v>
      </c>
      <c r="J3723">
        <f>INDEX(Products!$E$2:$E$37, MATCH(D3723, Products!$A$2:$A$37, 0))</f>
        <v>95</v>
      </c>
      <c r="K3723" s="9">
        <f t="shared" si="232"/>
        <v>224.1</v>
      </c>
      <c r="L3723">
        <f t="shared" si="233"/>
        <v>95</v>
      </c>
      <c r="M3723" s="9">
        <f t="shared" si="234"/>
        <v>129.1</v>
      </c>
      <c r="N3723" t="str">
        <f t="shared" si="235"/>
        <v>Nov</v>
      </c>
    </row>
    <row r="3724" spans="1:14" x14ac:dyDescent="0.3">
      <c r="A3724" s="2" t="s">
        <v>3790</v>
      </c>
      <c r="B3724" s="6">
        <v>45981</v>
      </c>
      <c r="C3724" s="2" t="s">
        <v>28</v>
      </c>
      <c r="D3724" s="2" t="s">
        <v>87</v>
      </c>
      <c r="E3724" s="2">
        <v>3</v>
      </c>
      <c r="F3724" s="7">
        <v>799</v>
      </c>
      <c r="G3724" s="8">
        <v>0.2</v>
      </c>
      <c r="H3724" s="9" t="str">
        <f>INDEX(Products!$B$2:$B$37, MATCH(D3724, Products!$A$2:$A$37, 0))</f>
        <v>Adjustable Dumbbells</v>
      </c>
      <c r="I3724" t="str">
        <f>INDEX(Products!$C$2:$C$37, MATCH(D3724, Products!$A$2:$A$37, 0))</f>
        <v>Sports</v>
      </c>
      <c r="J3724">
        <f>INDEX(Products!$E$2:$E$37, MATCH(D3724, Products!$A$2:$A$37, 0))</f>
        <v>700</v>
      </c>
      <c r="K3724" s="9">
        <f t="shared" si="232"/>
        <v>1917.6000000000001</v>
      </c>
      <c r="L3724">
        <f t="shared" si="233"/>
        <v>2100</v>
      </c>
      <c r="M3724" s="9">
        <f t="shared" si="234"/>
        <v>-182.39999999999986</v>
      </c>
      <c r="N3724" t="str">
        <f t="shared" si="235"/>
        <v>Nov</v>
      </c>
    </row>
    <row r="3725" spans="1:14" x14ac:dyDescent="0.3">
      <c r="A3725" s="2" t="s">
        <v>3791</v>
      </c>
      <c r="B3725" s="6">
        <v>45981</v>
      </c>
      <c r="C3725" s="2" t="s">
        <v>31</v>
      </c>
      <c r="D3725" s="2" t="s">
        <v>80</v>
      </c>
      <c r="E3725" s="2">
        <v>1</v>
      </c>
      <c r="F3725" s="7">
        <v>149</v>
      </c>
      <c r="G3725" s="8">
        <v>0</v>
      </c>
      <c r="H3725" s="9" t="str">
        <f>INDEX(Products!$B$2:$B$37, MATCH(D3725, Products!$A$2:$A$37, 0))</f>
        <v>Vitamin C Serum</v>
      </c>
      <c r="I3725" t="str">
        <f>INDEX(Products!$C$2:$C$37, MATCH(D3725, Products!$A$2:$A$37, 0))</f>
        <v>Beauty</v>
      </c>
      <c r="J3725">
        <f>INDEX(Products!$E$2:$E$37, MATCH(D3725, Products!$A$2:$A$37, 0))</f>
        <v>55</v>
      </c>
      <c r="K3725" s="9">
        <f t="shared" si="232"/>
        <v>149</v>
      </c>
      <c r="L3725">
        <f t="shared" si="233"/>
        <v>55</v>
      </c>
      <c r="M3725" s="9">
        <f t="shared" si="234"/>
        <v>94</v>
      </c>
      <c r="N3725" t="str">
        <f t="shared" si="235"/>
        <v>Nov</v>
      </c>
    </row>
    <row r="3726" spans="1:14" x14ac:dyDescent="0.3">
      <c r="A3726" s="2" t="s">
        <v>3792</v>
      </c>
      <c r="B3726" s="6">
        <v>45981</v>
      </c>
      <c r="C3726" s="2" t="s">
        <v>28</v>
      </c>
      <c r="D3726" s="2" t="s">
        <v>46</v>
      </c>
      <c r="E3726" s="2">
        <v>1</v>
      </c>
      <c r="F3726" s="7">
        <v>189</v>
      </c>
      <c r="G3726" s="8">
        <v>0</v>
      </c>
      <c r="H3726" s="9" t="str">
        <f>INDEX(Products!$B$2:$B$37, MATCH(D3726, Products!$A$2:$A$37, 0))</f>
        <v>Makeup Palette</v>
      </c>
      <c r="I3726" t="str">
        <f>INDEX(Products!$C$2:$C$37, MATCH(D3726, Products!$A$2:$A$37, 0))</f>
        <v>Beauty</v>
      </c>
      <c r="J3726">
        <f>INDEX(Products!$E$2:$E$37, MATCH(D3726, Products!$A$2:$A$37, 0))</f>
        <v>85</v>
      </c>
      <c r="K3726" s="9">
        <f t="shared" si="232"/>
        <v>189</v>
      </c>
      <c r="L3726">
        <f t="shared" si="233"/>
        <v>85</v>
      </c>
      <c r="M3726" s="9">
        <f t="shared" si="234"/>
        <v>104</v>
      </c>
      <c r="N3726" t="str">
        <f t="shared" si="235"/>
        <v>Nov</v>
      </c>
    </row>
    <row r="3727" spans="1:14" x14ac:dyDescent="0.3">
      <c r="A3727" s="2" t="s">
        <v>3793</v>
      </c>
      <c r="B3727" s="6">
        <v>45981</v>
      </c>
      <c r="C3727" s="2" t="s">
        <v>41</v>
      </c>
      <c r="D3727" s="2" t="s">
        <v>29</v>
      </c>
      <c r="E3727" s="2">
        <v>2</v>
      </c>
      <c r="F3727" s="7">
        <v>229</v>
      </c>
      <c r="G3727" s="8">
        <v>0</v>
      </c>
      <c r="H3727" s="9" t="str">
        <f>INDEX(Products!$B$2:$B$37, MATCH(D3727, Products!$A$2:$A$37, 0))</f>
        <v>Women's Summer Dress</v>
      </c>
      <c r="I3727" t="str">
        <f>INDEX(Products!$C$2:$C$37, MATCH(D3727, Products!$A$2:$A$37, 0))</f>
        <v>Fashion</v>
      </c>
      <c r="J3727">
        <f>INDEX(Products!$E$2:$E$37, MATCH(D3727, Products!$A$2:$A$37, 0))</f>
        <v>120</v>
      </c>
      <c r="K3727" s="9">
        <f t="shared" si="232"/>
        <v>458</v>
      </c>
      <c r="L3727">
        <f t="shared" si="233"/>
        <v>240</v>
      </c>
      <c r="M3727" s="9">
        <f t="shared" si="234"/>
        <v>218</v>
      </c>
      <c r="N3727" t="str">
        <f t="shared" si="235"/>
        <v>Nov</v>
      </c>
    </row>
    <row r="3728" spans="1:14" x14ac:dyDescent="0.3">
      <c r="A3728" s="2" t="s">
        <v>3794</v>
      </c>
      <c r="B3728" s="6">
        <v>45981</v>
      </c>
      <c r="C3728" s="2" t="s">
        <v>48</v>
      </c>
      <c r="D3728" s="2" t="s">
        <v>39</v>
      </c>
      <c r="E3728" s="2">
        <v>1</v>
      </c>
      <c r="F3728" s="7">
        <v>199</v>
      </c>
      <c r="G3728" s="8">
        <v>0.2</v>
      </c>
      <c r="H3728" s="9" t="str">
        <f>INDEX(Products!$B$2:$B$37, MATCH(D3728, Products!$A$2:$A$37, 0))</f>
        <v>Bakhoor Gift Set</v>
      </c>
      <c r="I3728" t="str">
        <f>INDEX(Products!$C$2:$C$37, MATCH(D3728, Products!$A$2:$A$37, 0))</f>
        <v>Beauty</v>
      </c>
      <c r="J3728">
        <f>INDEX(Products!$E$2:$E$37, MATCH(D3728, Products!$A$2:$A$37, 0))</f>
        <v>90</v>
      </c>
      <c r="K3728" s="9">
        <f t="shared" si="232"/>
        <v>159.20000000000002</v>
      </c>
      <c r="L3728">
        <f t="shared" si="233"/>
        <v>90</v>
      </c>
      <c r="M3728" s="9">
        <f t="shared" si="234"/>
        <v>69.200000000000017</v>
      </c>
      <c r="N3728" t="str">
        <f t="shared" si="235"/>
        <v>Nov</v>
      </c>
    </row>
    <row r="3729" spans="1:14" x14ac:dyDescent="0.3">
      <c r="A3729" s="2" t="s">
        <v>3795</v>
      </c>
      <c r="B3729" s="6">
        <v>45982</v>
      </c>
      <c r="C3729" s="2" t="s">
        <v>48</v>
      </c>
      <c r="D3729" s="2" t="s">
        <v>29</v>
      </c>
      <c r="E3729" s="2">
        <v>4</v>
      </c>
      <c r="F3729" s="7">
        <v>229</v>
      </c>
      <c r="G3729" s="8">
        <v>0</v>
      </c>
      <c r="H3729" s="9" t="str">
        <f>INDEX(Products!$B$2:$B$37, MATCH(D3729, Products!$A$2:$A$37, 0))</f>
        <v>Women's Summer Dress</v>
      </c>
      <c r="I3729" t="str">
        <f>INDEX(Products!$C$2:$C$37, MATCH(D3729, Products!$A$2:$A$37, 0))</f>
        <v>Fashion</v>
      </c>
      <c r="J3729">
        <f>INDEX(Products!$E$2:$E$37, MATCH(D3729, Products!$A$2:$A$37, 0))</f>
        <v>120</v>
      </c>
      <c r="K3729" s="9">
        <f t="shared" si="232"/>
        <v>916</v>
      </c>
      <c r="L3729">
        <f t="shared" si="233"/>
        <v>480</v>
      </c>
      <c r="M3729" s="9">
        <f t="shared" si="234"/>
        <v>436</v>
      </c>
      <c r="N3729" t="str">
        <f t="shared" si="235"/>
        <v>Nov</v>
      </c>
    </row>
    <row r="3730" spans="1:14" x14ac:dyDescent="0.3">
      <c r="A3730" s="2" t="s">
        <v>3796</v>
      </c>
      <c r="B3730" s="6">
        <v>45982</v>
      </c>
      <c r="C3730" s="2" t="s">
        <v>28</v>
      </c>
      <c r="D3730" s="2" t="s">
        <v>49</v>
      </c>
      <c r="E3730" s="2">
        <v>1</v>
      </c>
      <c r="F3730" s="7">
        <v>149</v>
      </c>
      <c r="G3730" s="8">
        <v>0.2</v>
      </c>
      <c r="H3730" s="9" t="str">
        <f>INDEX(Products!$B$2:$B$37, MATCH(D3730, Products!$A$2:$A$37, 0))</f>
        <v>Kids' Sneakers</v>
      </c>
      <c r="I3730" t="str">
        <f>INDEX(Products!$C$2:$C$37, MATCH(D3730, Products!$A$2:$A$37, 0))</f>
        <v>Fashion</v>
      </c>
      <c r="J3730">
        <f>INDEX(Products!$E$2:$E$37, MATCH(D3730, Products!$A$2:$A$37, 0))</f>
        <v>80</v>
      </c>
      <c r="K3730" s="9">
        <f t="shared" si="232"/>
        <v>119.2</v>
      </c>
      <c r="L3730">
        <f t="shared" si="233"/>
        <v>80</v>
      </c>
      <c r="M3730" s="9">
        <f t="shared" si="234"/>
        <v>39.200000000000003</v>
      </c>
      <c r="N3730" t="str">
        <f t="shared" si="235"/>
        <v>Nov</v>
      </c>
    </row>
    <row r="3731" spans="1:14" x14ac:dyDescent="0.3">
      <c r="A3731" s="2" t="s">
        <v>3797</v>
      </c>
      <c r="B3731" s="6">
        <v>45982</v>
      </c>
      <c r="C3731" s="2" t="s">
        <v>31</v>
      </c>
      <c r="D3731" s="2" t="s">
        <v>39</v>
      </c>
      <c r="E3731" s="2">
        <v>2</v>
      </c>
      <c r="F3731" s="7">
        <v>199</v>
      </c>
      <c r="G3731" s="8">
        <v>0.2</v>
      </c>
      <c r="H3731" s="9" t="str">
        <f>INDEX(Products!$B$2:$B$37, MATCH(D3731, Products!$A$2:$A$37, 0))</f>
        <v>Bakhoor Gift Set</v>
      </c>
      <c r="I3731" t="str">
        <f>INDEX(Products!$C$2:$C$37, MATCH(D3731, Products!$A$2:$A$37, 0))</f>
        <v>Beauty</v>
      </c>
      <c r="J3731">
        <f>INDEX(Products!$E$2:$E$37, MATCH(D3731, Products!$A$2:$A$37, 0))</f>
        <v>90</v>
      </c>
      <c r="K3731" s="9">
        <f t="shared" si="232"/>
        <v>318.40000000000003</v>
      </c>
      <c r="L3731">
        <f t="shared" si="233"/>
        <v>180</v>
      </c>
      <c r="M3731" s="9">
        <f t="shared" si="234"/>
        <v>138.40000000000003</v>
      </c>
      <c r="N3731" t="str">
        <f t="shared" si="235"/>
        <v>Nov</v>
      </c>
    </row>
    <row r="3732" spans="1:14" x14ac:dyDescent="0.3">
      <c r="A3732" s="2" t="s">
        <v>3798</v>
      </c>
      <c r="B3732" s="6">
        <v>45982</v>
      </c>
      <c r="C3732" s="2" t="s">
        <v>41</v>
      </c>
      <c r="D3732" s="2" t="s">
        <v>194</v>
      </c>
      <c r="E3732" s="2">
        <v>1</v>
      </c>
      <c r="F3732" s="7">
        <v>699</v>
      </c>
      <c r="G3732" s="8">
        <v>0.2</v>
      </c>
      <c r="H3732" s="9" t="str">
        <f>INDEX(Products!$B$2:$B$37, MATCH(D3732, Products!$A$2:$A$37, 0))</f>
        <v>Leather Handbag</v>
      </c>
      <c r="I3732" t="str">
        <f>INDEX(Products!$C$2:$C$37, MATCH(D3732, Products!$A$2:$A$37, 0))</f>
        <v>Fashion</v>
      </c>
      <c r="J3732">
        <f>INDEX(Products!$E$2:$E$37, MATCH(D3732, Products!$A$2:$A$37, 0))</f>
        <v>380</v>
      </c>
      <c r="K3732" s="9">
        <f t="shared" si="232"/>
        <v>559.20000000000005</v>
      </c>
      <c r="L3732">
        <f t="shared" si="233"/>
        <v>380</v>
      </c>
      <c r="M3732" s="9">
        <f t="shared" si="234"/>
        <v>179.20000000000005</v>
      </c>
      <c r="N3732" t="str">
        <f t="shared" si="235"/>
        <v>Nov</v>
      </c>
    </row>
    <row r="3733" spans="1:14" x14ac:dyDescent="0.3">
      <c r="A3733" s="2" t="s">
        <v>3799</v>
      </c>
      <c r="B3733" s="6">
        <v>45982</v>
      </c>
      <c r="C3733" s="2" t="s">
        <v>41</v>
      </c>
      <c r="D3733" s="2" t="s">
        <v>52</v>
      </c>
      <c r="E3733" s="2">
        <v>1</v>
      </c>
      <c r="F3733" s="7">
        <v>299</v>
      </c>
      <c r="G3733" s="8">
        <v>0.2</v>
      </c>
      <c r="H3733" s="9" t="str">
        <f>INDEX(Products!$B$2:$B$37, MATCH(D3733, Products!$A$2:$A$37, 0))</f>
        <v>Hair Dryer Ionic</v>
      </c>
      <c r="I3733" t="str">
        <f>INDEX(Products!$C$2:$C$37, MATCH(D3733, Products!$A$2:$A$37, 0))</f>
        <v>Beauty</v>
      </c>
      <c r="J3733">
        <f>INDEX(Products!$E$2:$E$37, MATCH(D3733, Products!$A$2:$A$37, 0))</f>
        <v>240</v>
      </c>
      <c r="K3733" s="9">
        <f t="shared" si="232"/>
        <v>239.20000000000002</v>
      </c>
      <c r="L3733">
        <f t="shared" si="233"/>
        <v>240</v>
      </c>
      <c r="M3733" s="9">
        <f t="shared" si="234"/>
        <v>-0.79999999999998295</v>
      </c>
      <c r="N3733" t="str">
        <f t="shared" si="235"/>
        <v>Nov</v>
      </c>
    </row>
    <row r="3734" spans="1:14" x14ac:dyDescent="0.3">
      <c r="A3734" s="2" t="s">
        <v>3800</v>
      </c>
      <c r="B3734" s="6">
        <v>45982</v>
      </c>
      <c r="C3734" s="2" t="s">
        <v>28</v>
      </c>
      <c r="D3734" s="2" t="s">
        <v>29</v>
      </c>
      <c r="E3734" s="2">
        <v>1</v>
      </c>
      <c r="F3734" s="7">
        <v>229</v>
      </c>
      <c r="G3734" s="8">
        <v>0.1</v>
      </c>
      <c r="H3734" s="9" t="str">
        <f>INDEX(Products!$B$2:$B$37, MATCH(D3734, Products!$A$2:$A$37, 0))</f>
        <v>Women's Summer Dress</v>
      </c>
      <c r="I3734" t="str">
        <f>INDEX(Products!$C$2:$C$37, MATCH(D3734, Products!$A$2:$A$37, 0))</f>
        <v>Fashion</v>
      </c>
      <c r="J3734">
        <f>INDEX(Products!$E$2:$E$37, MATCH(D3734, Products!$A$2:$A$37, 0))</f>
        <v>120</v>
      </c>
      <c r="K3734" s="9">
        <f t="shared" si="232"/>
        <v>206.1</v>
      </c>
      <c r="L3734">
        <f t="shared" si="233"/>
        <v>120</v>
      </c>
      <c r="M3734" s="9">
        <f t="shared" si="234"/>
        <v>86.1</v>
      </c>
      <c r="N3734" t="str">
        <f t="shared" si="235"/>
        <v>Nov</v>
      </c>
    </row>
    <row r="3735" spans="1:14" x14ac:dyDescent="0.3">
      <c r="A3735" s="2" t="s">
        <v>3801</v>
      </c>
      <c r="B3735" s="6">
        <v>45982</v>
      </c>
      <c r="C3735" s="2" t="s">
        <v>44</v>
      </c>
      <c r="D3735" s="2" t="s">
        <v>29</v>
      </c>
      <c r="E3735" s="2">
        <v>1</v>
      </c>
      <c r="F3735" s="7">
        <v>229</v>
      </c>
      <c r="G3735" s="8">
        <v>0.1</v>
      </c>
      <c r="H3735" s="9" t="str">
        <f>INDEX(Products!$B$2:$B$37, MATCH(D3735, Products!$A$2:$A$37, 0))</f>
        <v>Women's Summer Dress</v>
      </c>
      <c r="I3735" t="str">
        <f>INDEX(Products!$C$2:$C$37, MATCH(D3735, Products!$A$2:$A$37, 0))</f>
        <v>Fashion</v>
      </c>
      <c r="J3735">
        <f>INDEX(Products!$E$2:$E$37, MATCH(D3735, Products!$A$2:$A$37, 0))</f>
        <v>120</v>
      </c>
      <c r="K3735" s="9">
        <f t="shared" si="232"/>
        <v>206.1</v>
      </c>
      <c r="L3735">
        <f t="shared" si="233"/>
        <v>120</v>
      </c>
      <c r="M3735" s="9">
        <f t="shared" si="234"/>
        <v>86.1</v>
      </c>
      <c r="N3735" t="str">
        <f t="shared" si="235"/>
        <v>Nov</v>
      </c>
    </row>
    <row r="3736" spans="1:14" x14ac:dyDescent="0.3">
      <c r="A3736" s="2" t="s">
        <v>3802</v>
      </c>
      <c r="B3736" s="6">
        <v>45982</v>
      </c>
      <c r="C3736" s="2" t="s">
        <v>41</v>
      </c>
      <c r="D3736" s="2" t="s">
        <v>37</v>
      </c>
      <c r="E3736" s="2">
        <v>1</v>
      </c>
      <c r="F3736" s="7">
        <v>249</v>
      </c>
      <c r="G3736" s="8">
        <v>0.2</v>
      </c>
      <c r="H3736" s="9" t="str">
        <f>INDEX(Products!$B$2:$B$37, MATCH(D3736, Products!$A$2:$A$37, 0))</f>
        <v>Sunglasses Polarised</v>
      </c>
      <c r="I3736" t="str">
        <f>INDEX(Products!$C$2:$C$37, MATCH(D3736, Products!$A$2:$A$37, 0))</f>
        <v>Fashion</v>
      </c>
      <c r="J3736">
        <f>INDEX(Products!$E$2:$E$37, MATCH(D3736, Products!$A$2:$A$37, 0))</f>
        <v>95</v>
      </c>
      <c r="K3736" s="9">
        <f t="shared" si="232"/>
        <v>199.20000000000002</v>
      </c>
      <c r="L3736">
        <f t="shared" si="233"/>
        <v>95</v>
      </c>
      <c r="M3736" s="9">
        <f t="shared" si="234"/>
        <v>104.20000000000002</v>
      </c>
      <c r="N3736" t="str">
        <f t="shared" si="235"/>
        <v>Nov</v>
      </c>
    </row>
    <row r="3737" spans="1:14" x14ac:dyDescent="0.3">
      <c r="A3737" s="2" t="s">
        <v>3803</v>
      </c>
      <c r="B3737" s="6">
        <v>45982</v>
      </c>
      <c r="C3737" s="2" t="s">
        <v>28</v>
      </c>
      <c r="D3737" s="2" t="s">
        <v>68</v>
      </c>
      <c r="E3737" s="2">
        <v>2</v>
      </c>
      <c r="F3737" s="7">
        <v>249</v>
      </c>
      <c r="G3737" s="8">
        <v>0.2</v>
      </c>
      <c r="H3737" s="9" t="str">
        <f>INDEX(Products!$B$2:$B$37, MATCH(D3737, Products!$A$2:$A$37, 0))</f>
        <v>Bluetooth Speaker Mini</v>
      </c>
      <c r="I3737" t="str">
        <f>INDEX(Products!$C$2:$C$37, MATCH(D3737, Products!$A$2:$A$37, 0))</f>
        <v>Electronics</v>
      </c>
      <c r="J3737">
        <f>INDEX(Products!$E$2:$E$37, MATCH(D3737, Products!$A$2:$A$37, 0))</f>
        <v>150</v>
      </c>
      <c r="K3737" s="9">
        <f t="shared" si="232"/>
        <v>398.40000000000003</v>
      </c>
      <c r="L3737">
        <f t="shared" si="233"/>
        <v>300</v>
      </c>
      <c r="M3737" s="9">
        <f t="shared" si="234"/>
        <v>98.400000000000034</v>
      </c>
      <c r="N3737" t="str">
        <f t="shared" si="235"/>
        <v>Nov</v>
      </c>
    </row>
    <row r="3738" spans="1:14" x14ac:dyDescent="0.3">
      <c r="A3738" s="2" t="s">
        <v>3804</v>
      </c>
      <c r="B3738" s="6">
        <v>45982</v>
      </c>
      <c r="C3738" s="2" t="s">
        <v>44</v>
      </c>
      <c r="D3738" s="2" t="s">
        <v>131</v>
      </c>
      <c r="E3738" s="2">
        <v>2</v>
      </c>
      <c r="F3738" s="7">
        <v>899</v>
      </c>
      <c r="G3738" s="8">
        <v>0.2</v>
      </c>
      <c r="H3738" s="9" t="str">
        <f>INDEX(Products!$B$2:$B$37, MATCH(D3738, Products!$A$2:$A$37, 0))</f>
        <v>4K Action Camera</v>
      </c>
      <c r="I3738" t="str">
        <f>INDEX(Products!$C$2:$C$37, MATCH(D3738, Products!$A$2:$A$37, 0))</f>
        <v>Electronics</v>
      </c>
      <c r="J3738">
        <f>INDEX(Products!$E$2:$E$37, MATCH(D3738, Products!$A$2:$A$37, 0))</f>
        <v>610</v>
      </c>
      <c r="K3738" s="9">
        <f t="shared" si="232"/>
        <v>1438.4</v>
      </c>
      <c r="L3738">
        <f t="shared" si="233"/>
        <v>1220</v>
      </c>
      <c r="M3738" s="9">
        <f t="shared" si="234"/>
        <v>218.40000000000009</v>
      </c>
      <c r="N3738" t="str">
        <f t="shared" si="235"/>
        <v>Nov</v>
      </c>
    </row>
    <row r="3739" spans="1:14" x14ac:dyDescent="0.3">
      <c r="A3739" s="2" t="s">
        <v>3805</v>
      </c>
      <c r="B3739" s="6">
        <v>45983</v>
      </c>
      <c r="C3739" s="2" t="s">
        <v>31</v>
      </c>
      <c r="D3739" s="2" t="s">
        <v>70</v>
      </c>
      <c r="E3739" s="2">
        <v>1</v>
      </c>
      <c r="F3739" s="7">
        <v>429</v>
      </c>
      <c r="G3739" s="8">
        <v>0.15</v>
      </c>
      <c r="H3739" s="9" t="str">
        <f>INDEX(Products!$B$2:$B$37, MATCH(D3739, Products!$A$2:$A$37, 0))</f>
        <v>Running Shoes Elite</v>
      </c>
      <c r="I3739" t="str">
        <f>INDEX(Products!$C$2:$C$37, MATCH(D3739, Products!$A$2:$A$37, 0))</f>
        <v>Fashion</v>
      </c>
      <c r="J3739">
        <f>INDEX(Products!$E$2:$E$37, MATCH(D3739, Products!$A$2:$A$37, 0))</f>
        <v>300</v>
      </c>
      <c r="K3739" s="9">
        <f t="shared" si="232"/>
        <v>364.65</v>
      </c>
      <c r="L3739">
        <f t="shared" si="233"/>
        <v>300</v>
      </c>
      <c r="M3739" s="9">
        <f t="shared" si="234"/>
        <v>64.649999999999977</v>
      </c>
      <c r="N3739" t="str">
        <f t="shared" si="235"/>
        <v>Nov</v>
      </c>
    </row>
    <row r="3740" spans="1:14" x14ac:dyDescent="0.3">
      <c r="A3740" s="2" t="s">
        <v>3806</v>
      </c>
      <c r="B3740" s="6">
        <v>45983</v>
      </c>
      <c r="C3740" s="2" t="s">
        <v>48</v>
      </c>
      <c r="D3740" s="2" t="s">
        <v>37</v>
      </c>
      <c r="E3740" s="2">
        <v>2</v>
      </c>
      <c r="F3740" s="7">
        <v>249</v>
      </c>
      <c r="G3740" s="8">
        <v>0.2</v>
      </c>
      <c r="H3740" s="9" t="str">
        <f>INDEX(Products!$B$2:$B$37, MATCH(D3740, Products!$A$2:$A$37, 0))</f>
        <v>Sunglasses Polarised</v>
      </c>
      <c r="I3740" t="str">
        <f>INDEX(Products!$C$2:$C$37, MATCH(D3740, Products!$A$2:$A$37, 0))</f>
        <v>Fashion</v>
      </c>
      <c r="J3740">
        <f>INDEX(Products!$E$2:$E$37, MATCH(D3740, Products!$A$2:$A$37, 0))</f>
        <v>95</v>
      </c>
      <c r="K3740" s="9">
        <f t="shared" si="232"/>
        <v>398.40000000000003</v>
      </c>
      <c r="L3740">
        <f t="shared" si="233"/>
        <v>190</v>
      </c>
      <c r="M3740" s="9">
        <f t="shared" si="234"/>
        <v>208.40000000000003</v>
      </c>
      <c r="N3740" t="str">
        <f t="shared" si="235"/>
        <v>Nov</v>
      </c>
    </row>
    <row r="3741" spans="1:14" x14ac:dyDescent="0.3">
      <c r="A3741" s="2" t="s">
        <v>3807</v>
      </c>
      <c r="B3741" s="6">
        <v>45983</v>
      </c>
      <c r="C3741" s="2" t="s">
        <v>48</v>
      </c>
      <c r="D3741" s="2" t="s">
        <v>80</v>
      </c>
      <c r="E3741" s="2">
        <v>1</v>
      </c>
      <c r="F3741" s="7">
        <v>149</v>
      </c>
      <c r="G3741" s="8">
        <v>0.2</v>
      </c>
      <c r="H3741" s="9" t="str">
        <f>INDEX(Products!$B$2:$B$37, MATCH(D3741, Products!$A$2:$A$37, 0))</f>
        <v>Vitamin C Serum</v>
      </c>
      <c r="I3741" t="str">
        <f>INDEX(Products!$C$2:$C$37, MATCH(D3741, Products!$A$2:$A$37, 0))</f>
        <v>Beauty</v>
      </c>
      <c r="J3741">
        <f>INDEX(Products!$E$2:$E$37, MATCH(D3741, Products!$A$2:$A$37, 0))</f>
        <v>55</v>
      </c>
      <c r="K3741" s="9">
        <f t="shared" si="232"/>
        <v>119.2</v>
      </c>
      <c r="L3741">
        <f t="shared" si="233"/>
        <v>55</v>
      </c>
      <c r="M3741" s="9">
        <f t="shared" si="234"/>
        <v>64.2</v>
      </c>
      <c r="N3741" t="str">
        <f t="shared" si="235"/>
        <v>Nov</v>
      </c>
    </row>
    <row r="3742" spans="1:14" x14ac:dyDescent="0.3">
      <c r="A3742" s="2" t="s">
        <v>3808</v>
      </c>
      <c r="B3742" s="6">
        <v>45983</v>
      </c>
      <c r="C3742" s="2" t="s">
        <v>44</v>
      </c>
      <c r="D3742" s="2" t="s">
        <v>103</v>
      </c>
      <c r="E3742" s="2">
        <v>1</v>
      </c>
      <c r="F3742" s="7">
        <v>89</v>
      </c>
      <c r="G3742" s="8">
        <v>0.3</v>
      </c>
      <c r="H3742" s="9" t="str">
        <f>INDEX(Products!$B$2:$B$37, MATCH(D3742, Products!$A$2:$A$37, 0))</f>
        <v>Sunscreen SPF50</v>
      </c>
      <c r="I3742" t="str">
        <f>INDEX(Products!$C$2:$C$37, MATCH(D3742, Products!$A$2:$A$37, 0))</f>
        <v>Beauty</v>
      </c>
      <c r="J3742">
        <f>INDEX(Products!$E$2:$E$37, MATCH(D3742, Products!$A$2:$A$37, 0))</f>
        <v>40</v>
      </c>
      <c r="K3742" s="9">
        <f t="shared" si="232"/>
        <v>62.3</v>
      </c>
      <c r="L3742">
        <f t="shared" si="233"/>
        <v>40</v>
      </c>
      <c r="M3742" s="9">
        <f t="shared" si="234"/>
        <v>22.299999999999997</v>
      </c>
      <c r="N3742" t="str">
        <f t="shared" si="235"/>
        <v>Nov</v>
      </c>
    </row>
    <row r="3743" spans="1:14" x14ac:dyDescent="0.3">
      <c r="A3743" s="2" t="s">
        <v>3809</v>
      </c>
      <c r="B3743" s="6">
        <v>45983</v>
      </c>
      <c r="C3743" s="2" t="s">
        <v>28</v>
      </c>
      <c r="D3743" s="2" t="s">
        <v>89</v>
      </c>
      <c r="E3743" s="2">
        <v>1</v>
      </c>
      <c r="F3743" s="7">
        <v>399</v>
      </c>
      <c r="G3743" s="8">
        <v>0.1</v>
      </c>
      <c r="H3743" s="9" t="str">
        <f>INDEX(Products!$B$2:$B$37, MATCH(D3743, Products!$A$2:$A$37, 0))</f>
        <v>Men's Kandura Premium</v>
      </c>
      <c r="I3743" t="str">
        <f>INDEX(Products!$C$2:$C$37, MATCH(D3743, Products!$A$2:$A$37, 0))</f>
        <v>Fashion</v>
      </c>
      <c r="J3743">
        <f>INDEX(Products!$E$2:$E$37, MATCH(D3743, Products!$A$2:$A$37, 0))</f>
        <v>210</v>
      </c>
      <c r="K3743" s="9">
        <f t="shared" si="232"/>
        <v>359.1</v>
      </c>
      <c r="L3743">
        <f t="shared" si="233"/>
        <v>210</v>
      </c>
      <c r="M3743" s="9">
        <f t="shared" si="234"/>
        <v>149.10000000000002</v>
      </c>
      <c r="N3743" t="str">
        <f t="shared" si="235"/>
        <v>Nov</v>
      </c>
    </row>
    <row r="3744" spans="1:14" x14ac:dyDescent="0.3">
      <c r="A3744" s="2" t="s">
        <v>3810</v>
      </c>
      <c r="B3744" s="6">
        <v>45983</v>
      </c>
      <c r="C3744" s="2" t="s">
        <v>41</v>
      </c>
      <c r="D3744" s="2" t="s">
        <v>92</v>
      </c>
      <c r="E3744" s="2">
        <v>1</v>
      </c>
      <c r="F3744" s="7">
        <v>349</v>
      </c>
      <c r="G3744" s="8">
        <v>0</v>
      </c>
      <c r="H3744" s="9" t="str">
        <f>INDEX(Products!$B$2:$B$37, MATCH(D3744, Products!$A$2:$A$37, 0))</f>
        <v>Non-stick Cookware Set</v>
      </c>
      <c r="I3744" t="str">
        <f>INDEX(Products!$C$2:$C$37, MATCH(D3744, Products!$A$2:$A$37, 0))</f>
        <v>Home &amp; Kitchen</v>
      </c>
      <c r="J3744">
        <f>INDEX(Products!$E$2:$E$37, MATCH(D3744, Products!$A$2:$A$37, 0))</f>
        <v>170</v>
      </c>
      <c r="K3744" s="9">
        <f t="shared" si="232"/>
        <v>349</v>
      </c>
      <c r="L3744">
        <f t="shared" si="233"/>
        <v>170</v>
      </c>
      <c r="M3744" s="9">
        <f t="shared" si="234"/>
        <v>179</v>
      </c>
      <c r="N3744" t="str">
        <f t="shared" si="235"/>
        <v>Nov</v>
      </c>
    </row>
    <row r="3745" spans="1:14" x14ac:dyDescent="0.3">
      <c r="A3745" s="2" t="s">
        <v>3811</v>
      </c>
      <c r="B3745" s="6">
        <v>45983</v>
      </c>
      <c r="C3745" s="2" t="s">
        <v>44</v>
      </c>
      <c r="D3745" s="2" t="s">
        <v>49</v>
      </c>
      <c r="E3745" s="2">
        <v>1</v>
      </c>
      <c r="F3745" s="7">
        <v>149</v>
      </c>
      <c r="G3745" s="8">
        <v>0</v>
      </c>
      <c r="H3745" s="9" t="str">
        <f>INDEX(Products!$B$2:$B$37, MATCH(D3745, Products!$A$2:$A$37, 0))</f>
        <v>Kids' Sneakers</v>
      </c>
      <c r="I3745" t="str">
        <f>INDEX(Products!$C$2:$C$37, MATCH(D3745, Products!$A$2:$A$37, 0))</f>
        <v>Fashion</v>
      </c>
      <c r="J3745">
        <f>INDEX(Products!$E$2:$E$37, MATCH(D3745, Products!$A$2:$A$37, 0))</f>
        <v>80</v>
      </c>
      <c r="K3745" s="9">
        <f t="shared" si="232"/>
        <v>149</v>
      </c>
      <c r="L3745">
        <f t="shared" si="233"/>
        <v>80</v>
      </c>
      <c r="M3745" s="9">
        <f t="shared" si="234"/>
        <v>69</v>
      </c>
      <c r="N3745" t="str">
        <f t="shared" si="235"/>
        <v>Nov</v>
      </c>
    </row>
    <row r="3746" spans="1:14" x14ac:dyDescent="0.3">
      <c r="A3746" s="2" t="s">
        <v>3812</v>
      </c>
      <c r="B3746" s="6">
        <v>45983</v>
      </c>
      <c r="C3746" s="2" t="s">
        <v>44</v>
      </c>
      <c r="D3746" s="2" t="s">
        <v>92</v>
      </c>
      <c r="E3746" s="2">
        <v>2</v>
      </c>
      <c r="F3746" s="7">
        <v>349</v>
      </c>
      <c r="G3746" s="8">
        <v>0.05</v>
      </c>
      <c r="H3746" s="9" t="str">
        <f>INDEX(Products!$B$2:$B$37, MATCH(D3746, Products!$A$2:$A$37, 0))</f>
        <v>Non-stick Cookware Set</v>
      </c>
      <c r="I3746" t="str">
        <f>INDEX(Products!$C$2:$C$37, MATCH(D3746, Products!$A$2:$A$37, 0))</f>
        <v>Home &amp; Kitchen</v>
      </c>
      <c r="J3746">
        <f>INDEX(Products!$E$2:$E$37, MATCH(D3746, Products!$A$2:$A$37, 0))</f>
        <v>170</v>
      </c>
      <c r="K3746" s="9">
        <f t="shared" si="232"/>
        <v>663.1</v>
      </c>
      <c r="L3746">
        <f t="shared" si="233"/>
        <v>340</v>
      </c>
      <c r="M3746" s="9">
        <f t="shared" si="234"/>
        <v>323.10000000000002</v>
      </c>
      <c r="N3746" t="str">
        <f t="shared" si="235"/>
        <v>Nov</v>
      </c>
    </row>
    <row r="3747" spans="1:14" x14ac:dyDescent="0.3">
      <c r="A3747" s="2" t="s">
        <v>3813</v>
      </c>
      <c r="B3747" s="6">
        <v>45983</v>
      </c>
      <c r="C3747" s="2" t="s">
        <v>44</v>
      </c>
      <c r="D3747" s="2" t="s">
        <v>65</v>
      </c>
      <c r="E3747" s="2">
        <v>3</v>
      </c>
      <c r="F3747" s="7">
        <v>129</v>
      </c>
      <c r="G3747" s="8">
        <v>0</v>
      </c>
      <c r="H3747" s="9" t="str">
        <f>INDEX(Products!$B$2:$B$37, MATCH(D3747, Products!$A$2:$A$37, 0))</f>
        <v>Yoga Mat Premium</v>
      </c>
      <c r="I3747" t="str">
        <f>INDEX(Products!$C$2:$C$37, MATCH(D3747, Products!$A$2:$A$37, 0))</f>
        <v>Sports</v>
      </c>
      <c r="J3747">
        <f>INDEX(Products!$E$2:$E$37, MATCH(D3747, Products!$A$2:$A$37, 0))</f>
        <v>60</v>
      </c>
      <c r="K3747" s="9">
        <f t="shared" si="232"/>
        <v>387</v>
      </c>
      <c r="L3747">
        <f t="shared" si="233"/>
        <v>180</v>
      </c>
      <c r="M3747" s="9">
        <f t="shared" si="234"/>
        <v>207</v>
      </c>
      <c r="N3747" t="str">
        <f t="shared" si="235"/>
        <v>Nov</v>
      </c>
    </row>
    <row r="3748" spans="1:14" x14ac:dyDescent="0.3">
      <c r="A3748" s="2" t="s">
        <v>3814</v>
      </c>
      <c r="B3748" s="6">
        <v>45983</v>
      </c>
      <c r="C3748" s="2" t="s">
        <v>41</v>
      </c>
      <c r="D3748" s="2" t="s">
        <v>70</v>
      </c>
      <c r="E3748" s="2">
        <v>3</v>
      </c>
      <c r="F3748" s="7">
        <v>429</v>
      </c>
      <c r="G3748" s="8">
        <v>0.2</v>
      </c>
      <c r="H3748" s="9" t="str">
        <f>INDEX(Products!$B$2:$B$37, MATCH(D3748, Products!$A$2:$A$37, 0))</f>
        <v>Running Shoes Elite</v>
      </c>
      <c r="I3748" t="str">
        <f>INDEX(Products!$C$2:$C$37, MATCH(D3748, Products!$A$2:$A$37, 0))</f>
        <v>Fashion</v>
      </c>
      <c r="J3748">
        <f>INDEX(Products!$E$2:$E$37, MATCH(D3748, Products!$A$2:$A$37, 0))</f>
        <v>300</v>
      </c>
      <c r="K3748" s="9">
        <f t="shared" si="232"/>
        <v>1029.6000000000001</v>
      </c>
      <c r="L3748">
        <f t="shared" si="233"/>
        <v>900</v>
      </c>
      <c r="M3748" s="9">
        <f t="shared" si="234"/>
        <v>129.60000000000014</v>
      </c>
      <c r="N3748" t="str">
        <f t="shared" si="235"/>
        <v>Nov</v>
      </c>
    </row>
    <row r="3749" spans="1:14" x14ac:dyDescent="0.3">
      <c r="A3749" s="2" t="s">
        <v>3815</v>
      </c>
      <c r="B3749" s="6">
        <v>45983</v>
      </c>
      <c r="C3749" s="2" t="s">
        <v>41</v>
      </c>
      <c r="D3749" s="2" t="s">
        <v>129</v>
      </c>
      <c r="E3749" s="2">
        <v>1</v>
      </c>
      <c r="F3749" s="7">
        <v>149</v>
      </c>
      <c r="G3749" s="8">
        <v>0.1</v>
      </c>
      <c r="H3749" s="9" t="str">
        <f>INDEX(Products!$B$2:$B$37, MATCH(D3749, Products!$A$2:$A$37, 0))</f>
        <v>Power Bank 20000mAh</v>
      </c>
      <c r="I3749" t="str">
        <f>INDEX(Products!$C$2:$C$37, MATCH(D3749, Products!$A$2:$A$37, 0))</f>
        <v>Electronics</v>
      </c>
      <c r="J3749">
        <f>INDEX(Products!$E$2:$E$37, MATCH(D3749, Products!$A$2:$A$37, 0))</f>
        <v>70</v>
      </c>
      <c r="K3749" s="9">
        <f t="shared" si="232"/>
        <v>134.1</v>
      </c>
      <c r="L3749">
        <f t="shared" si="233"/>
        <v>70</v>
      </c>
      <c r="M3749" s="9">
        <f t="shared" si="234"/>
        <v>64.099999999999994</v>
      </c>
      <c r="N3749" t="str">
        <f t="shared" si="235"/>
        <v>Nov</v>
      </c>
    </row>
    <row r="3750" spans="1:14" x14ac:dyDescent="0.3">
      <c r="A3750" s="2" t="s">
        <v>3816</v>
      </c>
      <c r="B3750" s="6">
        <v>45983</v>
      </c>
      <c r="C3750" s="2" t="s">
        <v>28</v>
      </c>
      <c r="D3750" s="2" t="s">
        <v>103</v>
      </c>
      <c r="E3750" s="2">
        <v>2</v>
      </c>
      <c r="F3750" s="7">
        <v>89</v>
      </c>
      <c r="G3750" s="8">
        <v>0.2</v>
      </c>
      <c r="H3750" s="9" t="str">
        <f>INDEX(Products!$B$2:$B$37, MATCH(D3750, Products!$A$2:$A$37, 0))</f>
        <v>Sunscreen SPF50</v>
      </c>
      <c r="I3750" t="str">
        <f>INDEX(Products!$C$2:$C$37, MATCH(D3750, Products!$A$2:$A$37, 0))</f>
        <v>Beauty</v>
      </c>
      <c r="J3750">
        <f>INDEX(Products!$E$2:$E$37, MATCH(D3750, Products!$A$2:$A$37, 0))</f>
        <v>40</v>
      </c>
      <c r="K3750" s="9">
        <f t="shared" si="232"/>
        <v>142.4</v>
      </c>
      <c r="L3750">
        <f t="shared" si="233"/>
        <v>80</v>
      </c>
      <c r="M3750" s="9">
        <f t="shared" si="234"/>
        <v>62.400000000000006</v>
      </c>
      <c r="N3750" t="str">
        <f t="shared" si="235"/>
        <v>Nov</v>
      </c>
    </row>
    <row r="3751" spans="1:14" x14ac:dyDescent="0.3">
      <c r="A3751" s="2" t="s">
        <v>3817</v>
      </c>
      <c r="B3751" s="6">
        <v>45983</v>
      </c>
      <c r="C3751" s="2" t="s">
        <v>41</v>
      </c>
      <c r="D3751" s="2" t="s">
        <v>56</v>
      </c>
      <c r="E3751" s="2">
        <v>3</v>
      </c>
      <c r="F3751" s="7">
        <v>289</v>
      </c>
      <c r="G3751" s="8">
        <v>0</v>
      </c>
      <c r="H3751" s="9" t="str">
        <f>INDEX(Products!$B$2:$B$37, MATCH(D3751, Products!$A$2:$A$37, 0))</f>
        <v>Ceramic Dinner Set</v>
      </c>
      <c r="I3751" t="str">
        <f>INDEX(Products!$C$2:$C$37, MATCH(D3751, Products!$A$2:$A$37, 0))</f>
        <v>Home &amp; Kitchen</v>
      </c>
      <c r="J3751">
        <f>INDEX(Products!$E$2:$E$37, MATCH(D3751, Products!$A$2:$A$37, 0))</f>
        <v>140</v>
      </c>
      <c r="K3751" s="9">
        <f t="shared" si="232"/>
        <v>867</v>
      </c>
      <c r="L3751">
        <f t="shared" si="233"/>
        <v>420</v>
      </c>
      <c r="M3751" s="9">
        <f t="shared" si="234"/>
        <v>447</v>
      </c>
      <c r="N3751" t="str">
        <f t="shared" si="235"/>
        <v>Nov</v>
      </c>
    </row>
    <row r="3752" spans="1:14" x14ac:dyDescent="0.3">
      <c r="A3752" s="2" t="s">
        <v>3818</v>
      </c>
      <c r="B3752" s="6">
        <v>45983</v>
      </c>
      <c r="C3752" s="2" t="s">
        <v>28</v>
      </c>
      <c r="D3752" s="2" t="s">
        <v>131</v>
      </c>
      <c r="E3752" s="2">
        <v>1</v>
      </c>
      <c r="F3752" s="7">
        <v>899</v>
      </c>
      <c r="G3752" s="8">
        <v>0.2</v>
      </c>
      <c r="H3752" s="9" t="str">
        <f>INDEX(Products!$B$2:$B$37, MATCH(D3752, Products!$A$2:$A$37, 0))</f>
        <v>4K Action Camera</v>
      </c>
      <c r="I3752" t="str">
        <f>INDEX(Products!$C$2:$C$37, MATCH(D3752, Products!$A$2:$A$37, 0))</f>
        <v>Electronics</v>
      </c>
      <c r="J3752">
        <f>INDEX(Products!$E$2:$E$37, MATCH(D3752, Products!$A$2:$A$37, 0))</f>
        <v>610</v>
      </c>
      <c r="K3752" s="9">
        <f t="shared" si="232"/>
        <v>719.2</v>
      </c>
      <c r="L3752">
        <f t="shared" si="233"/>
        <v>610</v>
      </c>
      <c r="M3752" s="9">
        <f t="shared" si="234"/>
        <v>109.20000000000005</v>
      </c>
      <c r="N3752" t="str">
        <f t="shared" si="235"/>
        <v>Nov</v>
      </c>
    </row>
    <row r="3753" spans="1:14" x14ac:dyDescent="0.3">
      <c r="A3753" s="2" t="s">
        <v>3819</v>
      </c>
      <c r="B3753" s="6">
        <v>45983</v>
      </c>
      <c r="C3753" s="2" t="s">
        <v>48</v>
      </c>
      <c r="D3753" s="2" t="s">
        <v>56</v>
      </c>
      <c r="E3753" s="2">
        <v>1</v>
      </c>
      <c r="F3753" s="7">
        <v>289</v>
      </c>
      <c r="G3753" s="8">
        <v>0.05</v>
      </c>
      <c r="H3753" s="9" t="str">
        <f>INDEX(Products!$B$2:$B$37, MATCH(D3753, Products!$A$2:$A$37, 0))</f>
        <v>Ceramic Dinner Set</v>
      </c>
      <c r="I3753" t="str">
        <f>INDEX(Products!$C$2:$C$37, MATCH(D3753, Products!$A$2:$A$37, 0))</f>
        <v>Home &amp; Kitchen</v>
      </c>
      <c r="J3753">
        <f>INDEX(Products!$E$2:$E$37, MATCH(D3753, Products!$A$2:$A$37, 0))</f>
        <v>140</v>
      </c>
      <c r="K3753" s="9">
        <f t="shared" si="232"/>
        <v>274.55</v>
      </c>
      <c r="L3753">
        <f t="shared" si="233"/>
        <v>140</v>
      </c>
      <c r="M3753" s="9">
        <f t="shared" si="234"/>
        <v>134.55000000000001</v>
      </c>
      <c r="N3753" t="str">
        <f t="shared" si="235"/>
        <v>Nov</v>
      </c>
    </row>
    <row r="3754" spans="1:14" x14ac:dyDescent="0.3">
      <c r="A3754" s="2" t="s">
        <v>3820</v>
      </c>
      <c r="B3754" s="6">
        <v>45983</v>
      </c>
      <c r="C3754" s="2" t="s">
        <v>44</v>
      </c>
      <c r="D3754" s="2" t="s">
        <v>129</v>
      </c>
      <c r="E3754" s="2">
        <v>2</v>
      </c>
      <c r="F3754" s="7">
        <v>149</v>
      </c>
      <c r="G3754" s="8">
        <v>0</v>
      </c>
      <c r="H3754" s="9" t="str">
        <f>INDEX(Products!$B$2:$B$37, MATCH(D3754, Products!$A$2:$A$37, 0))</f>
        <v>Power Bank 20000mAh</v>
      </c>
      <c r="I3754" t="str">
        <f>INDEX(Products!$C$2:$C$37, MATCH(D3754, Products!$A$2:$A$37, 0))</f>
        <v>Electronics</v>
      </c>
      <c r="J3754">
        <f>INDEX(Products!$E$2:$E$37, MATCH(D3754, Products!$A$2:$A$37, 0))</f>
        <v>70</v>
      </c>
      <c r="K3754" s="9">
        <f t="shared" si="232"/>
        <v>298</v>
      </c>
      <c r="L3754">
        <f t="shared" si="233"/>
        <v>140</v>
      </c>
      <c r="M3754" s="9">
        <f t="shared" si="234"/>
        <v>158</v>
      </c>
      <c r="N3754" t="str">
        <f t="shared" si="235"/>
        <v>Nov</v>
      </c>
    </row>
    <row r="3755" spans="1:14" x14ac:dyDescent="0.3">
      <c r="A3755" s="2" t="s">
        <v>3821</v>
      </c>
      <c r="B3755" s="6">
        <v>45984</v>
      </c>
      <c r="C3755" s="2" t="s">
        <v>28</v>
      </c>
      <c r="D3755" s="2" t="s">
        <v>131</v>
      </c>
      <c r="E3755" s="2">
        <v>1</v>
      </c>
      <c r="F3755" s="7">
        <v>899</v>
      </c>
      <c r="G3755" s="8">
        <v>0.2</v>
      </c>
      <c r="H3755" s="9" t="str">
        <f>INDEX(Products!$B$2:$B$37, MATCH(D3755, Products!$A$2:$A$37, 0))</f>
        <v>4K Action Camera</v>
      </c>
      <c r="I3755" t="str">
        <f>INDEX(Products!$C$2:$C$37, MATCH(D3755, Products!$A$2:$A$37, 0))</f>
        <v>Electronics</v>
      </c>
      <c r="J3755">
        <f>INDEX(Products!$E$2:$E$37, MATCH(D3755, Products!$A$2:$A$37, 0))</f>
        <v>610</v>
      </c>
      <c r="K3755" s="9">
        <f t="shared" si="232"/>
        <v>719.2</v>
      </c>
      <c r="L3755">
        <f t="shared" si="233"/>
        <v>610</v>
      </c>
      <c r="M3755" s="9">
        <f t="shared" si="234"/>
        <v>109.20000000000005</v>
      </c>
      <c r="N3755" t="str">
        <f t="shared" si="235"/>
        <v>Nov</v>
      </c>
    </row>
    <row r="3756" spans="1:14" x14ac:dyDescent="0.3">
      <c r="A3756" s="2" t="s">
        <v>3822</v>
      </c>
      <c r="B3756" s="6">
        <v>45984</v>
      </c>
      <c r="C3756" s="2" t="s">
        <v>41</v>
      </c>
      <c r="D3756" s="2" t="s">
        <v>70</v>
      </c>
      <c r="E3756" s="2">
        <v>2</v>
      </c>
      <c r="F3756" s="7">
        <v>429</v>
      </c>
      <c r="G3756" s="8">
        <v>0.3</v>
      </c>
      <c r="H3756" s="9" t="str">
        <f>INDEX(Products!$B$2:$B$37, MATCH(D3756, Products!$A$2:$A$37, 0))</f>
        <v>Running Shoes Elite</v>
      </c>
      <c r="I3756" t="str">
        <f>INDEX(Products!$C$2:$C$37, MATCH(D3756, Products!$A$2:$A$37, 0))</f>
        <v>Fashion</v>
      </c>
      <c r="J3756">
        <f>INDEX(Products!$E$2:$E$37, MATCH(D3756, Products!$A$2:$A$37, 0))</f>
        <v>300</v>
      </c>
      <c r="K3756" s="9">
        <f t="shared" si="232"/>
        <v>600.59999999999991</v>
      </c>
      <c r="L3756">
        <f t="shared" si="233"/>
        <v>600</v>
      </c>
      <c r="M3756" s="9">
        <f t="shared" si="234"/>
        <v>0.59999999999990905</v>
      </c>
      <c r="N3756" t="str">
        <f t="shared" si="235"/>
        <v>Nov</v>
      </c>
    </row>
    <row r="3757" spans="1:14" x14ac:dyDescent="0.3">
      <c r="A3757" s="2" t="s">
        <v>3823</v>
      </c>
      <c r="B3757" s="6">
        <v>45984</v>
      </c>
      <c r="C3757" s="2" t="s">
        <v>28</v>
      </c>
      <c r="D3757" s="2" t="s">
        <v>60</v>
      </c>
      <c r="E3757" s="2">
        <v>1</v>
      </c>
      <c r="F3757" s="7">
        <v>99</v>
      </c>
      <c r="G3757" s="8">
        <v>0</v>
      </c>
      <c r="H3757" s="9" t="str">
        <f>INDEX(Products!$B$2:$B$37, MATCH(D3757, Products!$A$2:$A$37, 0))</f>
        <v>Football Size 5</v>
      </c>
      <c r="I3757" t="str">
        <f>INDEX(Products!$C$2:$C$37, MATCH(D3757, Products!$A$2:$A$37, 0))</f>
        <v>Sports</v>
      </c>
      <c r="J3757">
        <f>INDEX(Products!$E$2:$E$37, MATCH(D3757, Products!$A$2:$A$37, 0))</f>
        <v>45</v>
      </c>
      <c r="K3757" s="9">
        <f t="shared" si="232"/>
        <v>99</v>
      </c>
      <c r="L3757">
        <f t="shared" si="233"/>
        <v>45</v>
      </c>
      <c r="M3757" s="9">
        <f t="shared" si="234"/>
        <v>54</v>
      </c>
      <c r="N3757" t="str">
        <f t="shared" si="235"/>
        <v>Nov</v>
      </c>
    </row>
    <row r="3758" spans="1:14" x14ac:dyDescent="0.3">
      <c r="A3758" s="2" t="s">
        <v>3824</v>
      </c>
      <c r="B3758" s="6">
        <v>45984</v>
      </c>
      <c r="C3758" s="2" t="s">
        <v>41</v>
      </c>
      <c r="D3758" s="2" t="s">
        <v>58</v>
      </c>
      <c r="E3758" s="2">
        <v>2</v>
      </c>
      <c r="F3758" s="7">
        <v>459</v>
      </c>
      <c r="G3758" s="8">
        <v>0.1</v>
      </c>
      <c r="H3758" s="9" t="str">
        <f>INDEX(Products!$B$2:$B$37, MATCH(D3758, Products!$A$2:$A$37, 0))</f>
        <v>Women's Abaya Classic</v>
      </c>
      <c r="I3758" t="str">
        <f>INDEX(Products!$C$2:$C$37, MATCH(D3758, Products!$A$2:$A$37, 0))</f>
        <v>Fashion</v>
      </c>
      <c r="J3758">
        <f>INDEX(Products!$E$2:$E$37, MATCH(D3758, Products!$A$2:$A$37, 0))</f>
        <v>190</v>
      </c>
      <c r="K3758" s="9">
        <f t="shared" si="232"/>
        <v>826.2</v>
      </c>
      <c r="L3758">
        <f t="shared" si="233"/>
        <v>380</v>
      </c>
      <c r="M3758" s="9">
        <f t="shared" si="234"/>
        <v>446.20000000000005</v>
      </c>
      <c r="N3758" t="str">
        <f t="shared" si="235"/>
        <v>Nov</v>
      </c>
    </row>
    <row r="3759" spans="1:14" x14ac:dyDescent="0.3">
      <c r="A3759" s="2" t="s">
        <v>3825</v>
      </c>
      <c r="B3759" s="6">
        <v>45984</v>
      </c>
      <c r="C3759" s="2" t="s">
        <v>28</v>
      </c>
      <c r="D3759" s="2" t="s">
        <v>60</v>
      </c>
      <c r="E3759" s="2">
        <v>1</v>
      </c>
      <c r="F3759" s="7">
        <v>99</v>
      </c>
      <c r="G3759" s="8">
        <v>0.05</v>
      </c>
      <c r="H3759" s="9" t="str">
        <f>INDEX(Products!$B$2:$B$37, MATCH(D3759, Products!$A$2:$A$37, 0))</f>
        <v>Football Size 5</v>
      </c>
      <c r="I3759" t="str">
        <f>INDEX(Products!$C$2:$C$37, MATCH(D3759, Products!$A$2:$A$37, 0))</f>
        <v>Sports</v>
      </c>
      <c r="J3759">
        <f>INDEX(Products!$E$2:$E$37, MATCH(D3759, Products!$A$2:$A$37, 0))</f>
        <v>45</v>
      </c>
      <c r="K3759" s="9">
        <f t="shared" si="232"/>
        <v>94.05</v>
      </c>
      <c r="L3759">
        <f t="shared" si="233"/>
        <v>45</v>
      </c>
      <c r="M3759" s="9">
        <f t="shared" si="234"/>
        <v>49.05</v>
      </c>
      <c r="N3759" t="str">
        <f t="shared" si="235"/>
        <v>Nov</v>
      </c>
    </row>
    <row r="3760" spans="1:14" x14ac:dyDescent="0.3">
      <c r="A3760" s="2" t="s">
        <v>3826</v>
      </c>
      <c r="B3760" s="6">
        <v>45984</v>
      </c>
      <c r="C3760" s="2" t="s">
        <v>48</v>
      </c>
      <c r="D3760" s="2" t="s">
        <v>80</v>
      </c>
      <c r="E3760" s="2">
        <v>3</v>
      </c>
      <c r="F3760" s="7">
        <v>149</v>
      </c>
      <c r="G3760" s="8">
        <v>0.2</v>
      </c>
      <c r="H3760" s="9" t="str">
        <f>INDEX(Products!$B$2:$B$37, MATCH(D3760, Products!$A$2:$A$37, 0))</f>
        <v>Vitamin C Serum</v>
      </c>
      <c r="I3760" t="str">
        <f>INDEX(Products!$C$2:$C$37, MATCH(D3760, Products!$A$2:$A$37, 0))</f>
        <v>Beauty</v>
      </c>
      <c r="J3760">
        <f>INDEX(Products!$E$2:$E$37, MATCH(D3760, Products!$A$2:$A$37, 0))</f>
        <v>55</v>
      </c>
      <c r="K3760" s="9">
        <f t="shared" si="232"/>
        <v>357.6</v>
      </c>
      <c r="L3760">
        <f t="shared" si="233"/>
        <v>165</v>
      </c>
      <c r="M3760" s="9">
        <f t="shared" si="234"/>
        <v>192.60000000000002</v>
      </c>
      <c r="N3760" t="str">
        <f t="shared" si="235"/>
        <v>Nov</v>
      </c>
    </row>
    <row r="3761" spans="1:14" x14ac:dyDescent="0.3">
      <c r="A3761" s="2" t="s">
        <v>3827</v>
      </c>
      <c r="B3761" s="6">
        <v>45984</v>
      </c>
      <c r="C3761" s="2" t="s">
        <v>48</v>
      </c>
      <c r="D3761" s="2" t="s">
        <v>131</v>
      </c>
      <c r="E3761" s="2">
        <v>1</v>
      </c>
      <c r="F3761" s="7">
        <v>899</v>
      </c>
      <c r="G3761" s="8">
        <v>0.15</v>
      </c>
      <c r="H3761" s="9" t="str">
        <f>INDEX(Products!$B$2:$B$37, MATCH(D3761, Products!$A$2:$A$37, 0))</f>
        <v>4K Action Camera</v>
      </c>
      <c r="I3761" t="str">
        <f>INDEX(Products!$C$2:$C$37, MATCH(D3761, Products!$A$2:$A$37, 0))</f>
        <v>Electronics</v>
      </c>
      <c r="J3761">
        <f>INDEX(Products!$E$2:$E$37, MATCH(D3761, Products!$A$2:$A$37, 0))</f>
        <v>610</v>
      </c>
      <c r="K3761" s="9">
        <f t="shared" si="232"/>
        <v>764.15</v>
      </c>
      <c r="L3761">
        <f t="shared" si="233"/>
        <v>610</v>
      </c>
      <c r="M3761" s="9">
        <f t="shared" si="234"/>
        <v>154.14999999999998</v>
      </c>
      <c r="N3761" t="str">
        <f t="shared" si="235"/>
        <v>Nov</v>
      </c>
    </row>
    <row r="3762" spans="1:14" x14ac:dyDescent="0.3">
      <c r="A3762" s="2" t="s">
        <v>3828</v>
      </c>
      <c r="B3762" s="6">
        <v>45984</v>
      </c>
      <c r="C3762" s="2" t="s">
        <v>31</v>
      </c>
      <c r="D3762" s="2" t="s">
        <v>80</v>
      </c>
      <c r="E3762" s="2">
        <v>2</v>
      </c>
      <c r="F3762" s="7">
        <v>149</v>
      </c>
      <c r="G3762" s="8">
        <v>0.2</v>
      </c>
      <c r="H3762" s="9" t="str">
        <f>INDEX(Products!$B$2:$B$37, MATCH(D3762, Products!$A$2:$A$37, 0))</f>
        <v>Vitamin C Serum</v>
      </c>
      <c r="I3762" t="str">
        <f>INDEX(Products!$C$2:$C$37, MATCH(D3762, Products!$A$2:$A$37, 0))</f>
        <v>Beauty</v>
      </c>
      <c r="J3762">
        <f>INDEX(Products!$E$2:$E$37, MATCH(D3762, Products!$A$2:$A$37, 0))</f>
        <v>55</v>
      </c>
      <c r="K3762" s="9">
        <f t="shared" si="232"/>
        <v>238.4</v>
      </c>
      <c r="L3762">
        <f t="shared" si="233"/>
        <v>110</v>
      </c>
      <c r="M3762" s="9">
        <f t="shared" si="234"/>
        <v>128.4</v>
      </c>
      <c r="N3762" t="str">
        <f t="shared" si="235"/>
        <v>Nov</v>
      </c>
    </row>
    <row r="3763" spans="1:14" x14ac:dyDescent="0.3">
      <c r="A3763" s="2" t="s">
        <v>3829</v>
      </c>
      <c r="B3763" s="6">
        <v>45984</v>
      </c>
      <c r="C3763" s="2" t="s">
        <v>48</v>
      </c>
      <c r="D3763" s="2" t="s">
        <v>49</v>
      </c>
      <c r="E3763" s="2">
        <v>2</v>
      </c>
      <c r="F3763" s="7">
        <v>149</v>
      </c>
      <c r="G3763" s="8">
        <v>0.2</v>
      </c>
      <c r="H3763" s="9" t="str">
        <f>INDEX(Products!$B$2:$B$37, MATCH(D3763, Products!$A$2:$A$37, 0))</f>
        <v>Kids' Sneakers</v>
      </c>
      <c r="I3763" t="str">
        <f>INDEX(Products!$C$2:$C$37, MATCH(D3763, Products!$A$2:$A$37, 0))</f>
        <v>Fashion</v>
      </c>
      <c r="J3763">
        <f>INDEX(Products!$E$2:$E$37, MATCH(D3763, Products!$A$2:$A$37, 0))</f>
        <v>80</v>
      </c>
      <c r="K3763" s="9">
        <f t="shared" si="232"/>
        <v>238.4</v>
      </c>
      <c r="L3763">
        <f t="shared" si="233"/>
        <v>160</v>
      </c>
      <c r="M3763" s="9">
        <f t="shared" si="234"/>
        <v>78.400000000000006</v>
      </c>
      <c r="N3763" t="str">
        <f t="shared" si="235"/>
        <v>Nov</v>
      </c>
    </row>
    <row r="3764" spans="1:14" x14ac:dyDescent="0.3">
      <c r="A3764" s="2" t="s">
        <v>3830</v>
      </c>
      <c r="B3764" s="6">
        <v>45984</v>
      </c>
      <c r="C3764" s="2" t="s">
        <v>41</v>
      </c>
      <c r="D3764" s="2" t="s">
        <v>95</v>
      </c>
      <c r="E3764" s="2">
        <v>1</v>
      </c>
      <c r="F3764" s="7">
        <v>259</v>
      </c>
      <c r="G3764" s="8">
        <v>0</v>
      </c>
      <c r="H3764" s="9" t="str">
        <f>INDEX(Products!$B$2:$B$37, MATCH(D3764, Products!$A$2:$A$37, 0))</f>
        <v>Bed Linen Set (King)</v>
      </c>
      <c r="I3764" t="str">
        <f>INDEX(Products!$C$2:$C$37, MATCH(D3764, Products!$A$2:$A$37, 0))</f>
        <v>Home &amp; Kitchen</v>
      </c>
      <c r="J3764">
        <f>INDEX(Products!$E$2:$E$37, MATCH(D3764, Products!$A$2:$A$37, 0))</f>
        <v>115</v>
      </c>
      <c r="K3764" s="9">
        <f t="shared" si="232"/>
        <v>259</v>
      </c>
      <c r="L3764">
        <f t="shared" si="233"/>
        <v>115</v>
      </c>
      <c r="M3764" s="9">
        <f t="shared" si="234"/>
        <v>144</v>
      </c>
      <c r="N3764" t="str">
        <f t="shared" si="235"/>
        <v>Nov</v>
      </c>
    </row>
    <row r="3765" spans="1:14" x14ac:dyDescent="0.3">
      <c r="A3765" s="2" t="s">
        <v>3831</v>
      </c>
      <c r="B3765" s="6">
        <v>45984</v>
      </c>
      <c r="C3765" s="2" t="s">
        <v>28</v>
      </c>
      <c r="D3765" s="2" t="s">
        <v>56</v>
      </c>
      <c r="E3765" s="2">
        <v>1</v>
      </c>
      <c r="F3765" s="7">
        <v>289</v>
      </c>
      <c r="G3765" s="8">
        <v>0.2</v>
      </c>
      <c r="H3765" s="9" t="str">
        <f>INDEX(Products!$B$2:$B$37, MATCH(D3765, Products!$A$2:$A$37, 0))</f>
        <v>Ceramic Dinner Set</v>
      </c>
      <c r="I3765" t="str">
        <f>INDEX(Products!$C$2:$C$37, MATCH(D3765, Products!$A$2:$A$37, 0))</f>
        <v>Home &amp; Kitchen</v>
      </c>
      <c r="J3765">
        <f>INDEX(Products!$E$2:$E$37, MATCH(D3765, Products!$A$2:$A$37, 0))</f>
        <v>140</v>
      </c>
      <c r="K3765" s="9">
        <f t="shared" si="232"/>
        <v>231.20000000000002</v>
      </c>
      <c r="L3765">
        <f t="shared" si="233"/>
        <v>140</v>
      </c>
      <c r="M3765" s="9">
        <f t="shared" si="234"/>
        <v>91.200000000000017</v>
      </c>
      <c r="N3765" t="str">
        <f t="shared" si="235"/>
        <v>Nov</v>
      </c>
    </row>
    <row r="3766" spans="1:14" x14ac:dyDescent="0.3">
      <c r="A3766" s="2" t="s">
        <v>3832</v>
      </c>
      <c r="B3766" s="6">
        <v>45984</v>
      </c>
      <c r="C3766" s="2" t="s">
        <v>28</v>
      </c>
      <c r="D3766" s="2" t="s">
        <v>99</v>
      </c>
      <c r="E3766" s="2">
        <v>1</v>
      </c>
      <c r="F3766" s="7">
        <v>459</v>
      </c>
      <c r="G3766" s="8">
        <v>0.1</v>
      </c>
      <c r="H3766" s="9" t="str">
        <f>INDEX(Products!$B$2:$B$37, MATCH(D3766, Products!$A$2:$A$37, 0))</f>
        <v>Gaming Headset X</v>
      </c>
      <c r="I3766" t="str">
        <f>INDEX(Products!$C$2:$C$37, MATCH(D3766, Products!$A$2:$A$37, 0))</f>
        <v>Electronics</v>
      </c>
      <c r="J3766">
        <f>INDEX(Products!$E$2:$E$37, MATCH(D3766, Products!$A$2:$A$37, 0))</f>
        <v>300</v>
      </c>
      <c r="K3766" s="9">
        <f t="shared" si="232"/>
        <v>413.1</v>
      </c>
      <c r="L3766">
        <f t="shared" si="233"/>
        <v>300</v>
      </c>
      <c r="M3766" s="9">
        <f t="shared" si="234"/>
        <v>113.10000000000002</v>
      </c>
      <c r="N3766" t="str">
        <f t="shared" si="235"/>
        <v>Nov</v>
      </c>
    </row>
    <row r="3767" spans="1:14" x14ac:dyDescent="0.3">
      <c r="A3767" s="2" t="s">
        <v>3833</v>
      </c>
      <c r="B3767" s="6">
        <v>45984</v>
      </c>
      <c r="C3767" s="2" t="s">
        <v>44</v>
      </c>
      <c r="D3767" s="2" t="s">
        <v>103</v>
      </c>
      <c r="E3767" s="2">
        <v>1</v>
      </c>
      <c r="F3767" s="7">
        <v>89</v>
      </c>
      <c r="G3767" s="8">
        <v>0.05</v>
      </c>
      <c r="H3767" s="9" t="str">
        <f>INDEX(Products!$B$2:$B$37, MATCH(D3767, Products!$A$2:$A$37, 0))</f>
        <v>Sunscreen SPF50</v>
      </c>
      <c r="I3767" t="str">
        <f>INDEX(Products!$C$2:$C$37, MATCH(D3767, Products!$A$2:$A$37, 0))</f>
        <v>Beauty</v>
      </c>
      <c r="J3767">
        <f>INDEX(Products!$E$2:$E$37, MATCH(D3767, Products!$A$2:$A$37, 0))</f>
        <v>40</v>
      </c>
      <c r="K3767" s="9">
        <f t="shared" si="232"/>
        <v>84.55</v>
      </c>
      <c r="L3767">
        <f t="shared" si="233"/>
        <v>40</v>
      </c>
      <c r="M3767" s="9">
        <f t="shared" si="234"/>
        <v>44.55</v>
      </c>
      <c r="N3767" t="str">
        <f t="shared" si="235"/>
        <v>Nov</v>
      </c>
    </row>
    <row r="3768" spans="1:14" x14ac:dyDescent="0.3">
      <c r="A3768" s="2" t="s">
        <v>3834</v>
      </c>
      <c r="B3768" s="6">
        <v>45984</v>
      </c>
      <c r="C3768" s="2" t="s">
        <v>31</v>
      </c>
      <c r="D3768" s="2" t="s">
        <v>129</v>
      </c>
      <c r="E3768" s="2">
        <v>2</v>
      </c>
      <c r="F3768" s="7">
        <v>149</v>
      </c>
      <c r="G3768" s="8">
        <v>0.15</v>
      </c>
      <c r="H3768" s="9" t="str">
        <f>INDEX(Products!$B$2:$B$37, MATCH(D3768, Products!$A$2:$A$37, 0))</f>
        <v>Power Bank 20000mAh</v>
      </c>
      <c r="I3768" t="str">
        <f>INDEX(Products!$C$2:$C$37, MATCH(D3768, Products!$A$2:$A$37, 0))</f>
        <v>Electronics</v>
      </c>
      <c r="J3768">
        <f>INDEX(Products!$E$2:$E$37, MATCH(D3768, Products!$A$2:$A$37, 0))</f>
        <v>70</v>
      </c>
      <c r="K3768" s="9">
        <f t="shared" si="232"/>
        <v>253.29999999999998</v>
      </c>
      <c r="L3768">
        <f t="shared" si="233"/>
        <v>140</v>
      </c>
      <c r="M3768" s="9">
        <f t="shared" si="234"/>
        <v>113.29999999999998</v>
      </c>
      <c r="N3768" t="str">
        <f t="shared" si="235"/>
        <v>Nov</v>
      </c>
    </row>
    <row r="3769" spans="1:14" x14ac:dyDescent="0.3">
      <c r="A3769" s="2" t="s">
        <v>3835</v>
      </c>
      <c r="B3769" s="6">
        <v>45985</v>
      </c>
      <c r="C3769" s="2" t="s">
        <v>28</v>
      </c>
      <c r="D3769" s="2" t="s">
        <v>42</v>
      </c>
      <c r="E3769" s="2">
        <v>1</v>
      </c>
      <c r="F3769" s="7">
        <v>399</v>
      </c>
      <c r="G3769" s="8">
        <v>0</v>
      </c>
      <c r="H3769" s="9" t="str">
        <f>INDEX(Products!$B$2:$B$37, MATCH(D3769, Products!$A$2:$A$37, 0))</f>
        <v>Wireless Earbuds Pro</v>
      </c>
      <c r="I3769" t="str">
        <f>INDEX(Products!$C$2:$C$37, MATCH(D3769, Products!$A$2:$A$37, 0))</f>
        <v>Electronics</v>
      </c>
      <c r="J3769">
        <f>INDEX(Products!$E$2:$E$37, MATCH(D3769, Products!$A$2:$A$37, 0))</f>
        <v>230</v>
      </c>
      <c r="K3769" s="9">
        <f t="shared" si="232"/>
        <v>399</v>
      </c>
      <c r="L3769">
        <f t="shared" si="233"/>
        <v>230</v>
      </c>
      <c r="M3769" s="9">
        <f t="shared" si="234"/>
        <v>169</v>
      </c>
      <c r="N3769" t="str">
        <f t="shared" si="235"/>
        <v>Nov</v>
      </c>
    </row>
    <row r="3770" spans="1:14" x14ac:dyDescent="0.3">
      <c r="A3770" s="2" t="s">
        <v>3836</v>
      </c>
      <c r="B3770" s="6">
        <v>45985</v>
      </c>
      <c r="C3770" s="2" t="s">
        <v>41</v>
      </c>
      <c r="D3770" s="2" t="s">
        <v>56</v>
      </c>
      <c r="E3770" s="2">
        <v>1</v>
      </c>
      <c r="F3770" s="7">
        <v>289</v>
      </c>
      <c r="G3770" s="8">
        <v>0.2</v>
      </c>
      <c r="H3770" s="9" t="str">
        <f>INDEX(Products!$B$2:$B$37, MATCH(D3770, Products!$A$2:$A$37, 0))</f>
        <v>Ceramic Dinner Set</v>
      </c>
      <c r="I3770" t="str">
        <f>INDEX(Products!$C$2:$C$37, MATCH(D3770, Products!$A$2:$A$37, 0))</f>
        <v>Home &amp; Kitchen</v>
      </c>
      <c r="J3770">
        <f>INDEX(Products!$E$2:$E$37, MATCH(D3770, Products!$A$2:$A$37, 0))</f>
        <v>140</v>
      </c>
      <c r="K3770" s="9">
        <f t="shared" si="232"/>
        <v>231.20000000000002</v>
      </c>
      <c r="L3770">
        <f t="shared" si="233"/>
        <v>140</v>
      </c>
      <c r="M3770" s="9">
        <f t="shared" si="234"/>
        <v>91.200000000000017</v>
      </c>
      <c r="N3770" t="str">
        <f t="shared" si="235"/>
        <v>Nov</v>
      </c>
    </row>
    <row r="3771" spans="1:14" x14ac:dyDescent="0.3">
      <c r="A3771" s="2" t="s">
        <v>3837</v>
      </c>
      <c r="B3771" s="6">
        <v>45985</v>
      </c>
      <c r="C3771" s="2" t="s">
        <v>44</v>
      </c>
      <c r="D3771" s="2" t="s">
        <v>46</v>
      </c>
      <c r="E3771" s="2">
        <v>1</v>
      </c>
      <c r="F3771" s="7">
        <v>189</v>
      </c>
      <c r="G3771" s="8">
        <v>0.2</v>
      </c>
      <c r="H3771" s="9" t="str">
        <f>INDEX(Products!$B$2:$B$37, MATCH(D3771, Products!$A$2:$A$37, 0))</f>
        <v>Makeup Palette</v>
      </c>
      <c r="I3771" t="str">
        <f>INDEX(Products!$C$2:$C$37, MATCH(D3771, Products!$A$2:$A$37, 0))</f>
        <v>Beauty</v>
      </c>
      <c r="J3771">
        <f>INDEX(Products!$E$2:$E$37, MATCH(D3771, Products!$A$2:$A$37, 0))</f>
        <v>85</v>
      </c>
      <c r="K3771" s="9">
        <f t="shared" si="232"/>
        <v>151.20000000000002</v>
      </c>
      <c r="L3771">
        <f t="shared" si="233"/>
        <v>85</v>
      </c>
      <c r="M3771" s="9">
        <f t="shared" si="234"/>
        <v>66.200000000000017</v>
      </c>
      <c r="N3771" t="str">
        <f t="shared" si="235"/>
        <v>Nov</v>
      </c>
    </row>
    <row r="3772" spans="1:14" x14ac:dyDescent="0.3">
      <c r="A3772" s="2" t="s">
        <v>3838</v>
      </c>
      <c r="B3772" s="6">
        <v>45985</v>
      </c>
      <c r="C3772" s="2" t="s">
        <v>48</v>
      </c>
      <c r="D3772" s="2" t="s">
        <v>49</v>
      </c>
      <c r="E3772" s="2">
        <v>1</v>
      </c>
      <c r="F3772" s="7">
        <v>149</v>
      </c>
      <c r="G3772" s="8">
        <v>0</v>
      </c>
      <c r="H3772" s="9" t="str">
        <f>INDEX(Products!$B$2:$B$37, MATCH(D3772, Products!$A$2:$A$37, 0))</f>
        <v>Kids' Sneakers</v>
      </c>
      <c r="I3772" t="str">
        <f>INDEX(Products!$C$2:$C$37, MATCH(D3772, Products!$A$2:$A$37, 0))</f>
        <v>Fashion</v>
      </c>
      <c r="J3772">
        <f>INDEX(Products!$E$2:$E$37, MATCH(D3772, Products!$A$2:$A$37, 0))</f>
        <v>80</v>
      </c>
      <c r="K3772" s="9">
        <f t="shared" si="232"/>
        <v>149</v>
      </c>
      <c r="L3772">
        <f t="shared" si="233"/>
        <v>80</v>
      </c>
      <c r="M3772" s="9">
        <f t="shared" si="234"/>
        <v>69</v>
      </c>
      <c r="N3772" t="str">
        <f t="shared" si="235"/>
        <v>Nov</v>
      </c>
    </row>
    <row r="3773" spans="1:14" x14ac:dyDescent="0.3">
      <c r="A3773" s="2" t="s">
        <v>3839</v>
      </c>
      <c r="B3773" s="6">
        <v>45985</v>
      </c>
      <c r="C3773" s="2" t="s">
        <v>44</v>
      </c>
      <c r="D3773" s="2" t="s">
        <v>49</v>
      </c>
      <c r="E3773" s="2">
        <v>3</v>
      </c>
      <c r="F3773" s="7">
        <v>149</v>
      </c>
      <c r="G3773" s="8">
        <v>0.15</v>
      </c>
      <c r="H3773" s="9" t="str">
        <f>INDEX(Products!$B$2:$B$37, MATCH(D3773, Products!$A$2:$A$37, 0))</f>
        <v>Kids' Sneakers</v>
      </c>
      <c r="I3773" t="str">
        <f>INDEX(Products!$C$2:$C$37, MATCH(D3773, Products!$A$2:$A$37, 0))</f>
        <v>Fashion</v>
      </c>
      <c r="J3773">
        <f>INDEX(Products!$E$2:$E$37, MATCH(D3773, Products!$A$2:$A$37, 0))</f>
        <v>80</v>
      </c>
      <c r="K3773" s="9">
        <f t="shared" si="232"/>
        <v>379.95</v>
      </c>
      <c r="L3773">
        <f t="shared" si="233"/>
        <v>240</v>
      </c>
      <c r="M3773" s="9">
        <f t="shared" si="234"/>
        <v>139.94999999999999</v>
      </c>
      <c r="N3773" t="str">
        <f t="shared" si="235"/>
        <v>Nov</v>
      </c>
    </row>
    <row r="3774" spans="1:14" x14ac:dyDescent="0.3">
      <c r="A3774" s="2" t="s">
        <v>3840</v>
      </c>
      <c r="B3774" s="6">
        <v>45985</v>
      </c>
      <c r="C3774" s="2" t="s">
        <v>28</v>
      </c>
      <c r="D3774" s="2" t="s">
        <v>80</v>
      </c>
      <c r="E3774" s="2">
        <v>4</v>
      </c>
      <c r="F3774" s="7">
        <v>149</v>
      </c>
      <c r="G3774" s="8">
        <v>0.2</v>
      </c>
      <c r="H3774" s="9" t="str">
        <f>INDEX(Products!$B$2:$B$37, MATCH(D3774, Products!$A$2:$A$37, 0))</f>
        <v>Vitamin C Serum</v>
      </c>
      <c r="I3774" t="str">
        <f>INDEX(Products!$C$2:$C$37, MATCH(D3774, Products!$A$2:$A$37, 0))</f>
        <v>Beauty</v>
      </c>
      <c r="J3774">
        <f>INDEX(Products!$E$2:$E$37, MATCH(D3774, Products!$A$2:$A$37, 0))</f>
        <v>55</v>
      </c>
      <c r="K3774" s="9">
        <f t="shared" si="232"/>
        <v>476.8</v>
      </c>
      <c r="L3774">
        <f t="shared" si="233"/>
        <v>220</v>
      </c>
      <c r="M3774" s="9">
        <f t="shared" si="234"/>
        <v>256.8</v>
      </c>
      <c r="N3774" t="str">
        <f t="shared" si="235"/>
        <v>Nov</v>
      </c>
    </row>
    <row r="3775" spans="1:14" x14ac:dyDescent="0.3">
      <c r="A3775" s="2" t="s">
        <v>3841</v>
      </c>
      <c r="B3775" s="6">
        <v>45985</v>
      </c>
      <c r="C3775" s="2" t="s">
        <v>41</v>
      </c>
      <c r="D3775" s="2" t="s">
        <v>165</v>
      </c>
      <c r="E3775" s="2">
        <v>1</v>
      </c>
      <c r="F3775" s="7">
        <v>69</v>
      </c>
      <c r="G3775" s="8">
        <v>0.1</v>
      </c>
      <c r="H3775" s="9" t="str">
        <f>INDEX(Products!$B$2:$B$37, MATCH(D3775, Products!$A$2:$A$37, 0))</f>
        <v>Swim Goggles</v>
      </c>
      <c r="I3775" t="str">
        <f>INDEX(Products!$C$2:$C$37, MATCH(D3775, Products!$A$2:$A$37, 0))</f>
        <v>Sports</v>
      </c>
      <c r="J3775">
        <f>INDEX(Products!$E$2:$E$37, MATCH(D3775, Products!$A$2:$A$37, 0))</f>
        <v>25</v>
      </c>
      <c r="K3775" s="9">
        <f t="shared" si="232"/>
        <v>62.1</v>
      </c>
      <c r="L3775">
        <f t="shared" si="233"/>
        <v>25</v>
      </c>
      <c r="M3775" s="9">
        <f t="shared" si="234"/>
        <v>37.1</v>
      </c>
      <c r="N3775" t="str">
        <f t="shared" si="235"/>
        <v>Nov</v>
      </c>
    </row>
    <row r="3776" spans="1:14" x14ac:dyDescent="0.3">
      <c r="A3776" s="2" t="s">
        <v>3842</v>
      </c>
      <c r="B3776" s="6">
        <v>45985</v>
      </c>
      <c r="C3776" s="2" t="s">
        <v>31</v>
      </c>
      <c r="D3776" s="2" t="s">
        <v>49</v>
      </c>
      <c r="E3776" s="2">
        <v>1</v>
      </c>
      <c r="F3776" s="7">
        <v>149</v>
      </c>
      <c r="G3776" s="8">
        <v>0.2</v>
      </c>
      <c r="H3776" s="9" t="str">
        <f>INDEX(Products!$B$2:$B$37, MATCH(D3776, Products!$A$2:$A$37, 0))</f>
        <v>Kids' Sneakers</v>
      </c>
      <c r="I3776" t="str">
        <f>INDEX(Products!$C$2:$C$37, MATCH(D3776, Products!$A$2:$A$37, 0))</f>
        <v>Fashion</v>
      </c>
      <c r="J3776">
        <f>INDEX(Products!$E$2:$E$37, MATCH(D3776, Products!$A$2:$A$37, 0))</f>
        <v>80</v>
      </c>
      <c r="K3776" s="9">
        <f t="shared" si="232"/>
        <v>119.2</v>
      </c>
      <c r="L3776">
        <f t="shared" si="233"/>
        <v>80</v>
      </c>
      <c r="M3776" s="9">
        <f t="shared" si="234"/>
        <v>39.200000000000003</v>
      </c>
      <c r="N3776" t="str">
        <f t="shared" si="235"/>
        <v>Nov</v>
      </c>
    </row>
    <row r="3777" spans="1:14" x14ac:dyDescent="0.3">
      <c r="A3777" s="2" t="s">
        <v>3843</v>
      </c>
      <c r="B3777" s="6">
        <v>45985</v>
      </c>
      <c r="C3777" s="2" t="s">
        <v>41</v>
      </c>
      <c r="D3777" s="2" t="s">
        <v>83</v>
      </c>
      <c r="E3777" s="2">
        <v>1</v>
      </c>
      <c r="F3777" s="7">
        <v>229</v>
      </c>
      <c r="G3777" s="8">
        <v>0.3</v>
      </c>
      <c r="H3777" s="9" t="str">
        <f>INDEX(Products!$B$2:$B$37, MATCH(D3777, Products!$A$2:$A$37, 0))</f>
        <v>Cycling Helmet</v>
      </c>
      <c r="I3777" t="str">
        <f>INDEX(Products!$C$2:$C$37, MATCH(D3777, Products!$A$2:$A$37, 0))</f>
        <v>Sports</v>
      </c>
      <c r="J3777">
        <f>INDEX(Products!$E$2:$E$37, MATCH(D3777, Products!$A$2:$A$37, 0))</f>
        <v>120</v>
      </c>
      <c r="K3777" s="9">
        <f t="shared" si="232"/>
        <v>160.29999999999998</v>
      </c>
      <c r="L3777">
        <f t="shared" si="233"/>
        <v>120</v>
      </c>
      <c r="M3777" s="9">
        <f t="shared" si="234"/>
        <v>40.299999999999983</v>
      </c>
      <c r="N3777" t="str">
        <f t="shared" si="235"/>
        <v>Nov</v>
      </c>
    </row>
    <row r="3778" spans="1:14" x14ac:dyDescent="0.3">
      <c r="A3778" s="2" t="s">
        <v>3844</v>
      </c>
      <c r="B3778" s="6">
        <v>45985</v>
      </c>
      <c r="C3778" s="2" t="s">
        <v>44</v>
      </c>
      <c r="D3778" s="2" t="s">
        <v>33</v>
      </c>
      <c r="E3778" s="2">
        <v>1</v>
      </c>
      <c r="F3778" s="7">
        <v>199</v>
      </c>
      <c r="G3778" s="8">
        <v>0.15</v>
      </c>
      <c r="H3778" s="9" t="str">
        <f>INDEX(Products!$B$2:$B$37, MATCH(D3778, Products!$A$2:$A$37, 0))</f>
        <v>Fitness Band Lite</v>
      </c>
      <c r="I3778" t="str">
        <f>INDEX(Products!$C$2:$C$37, MATCH(D3778, Products!$A$2:$A$37, 0))</f>
        <v>Electronics</v>
      </c>
      <c r="J3778">
        <f>INDEX(Products!$E$2:$E$37, MATCH(D3778, Products!$A$2:$A$37, 0))</f>
        <v>175</v>
      </c>
      <c r="K3778" s="9">
        <f t="shared" ref="K3778:K3841" si="236">E3778*F3778*(1-G3778)</f>
        <v>169.15</v>
      </c>
      <c r="L3778">
        <f t="shared" ref="L3778:L3841" si="237">E3778*J3778</f>
        <v>175</v>
      </c>
      <c r="M3778" s="9">
        <f t="shared" ref="M3778:M3841" si="238">K3778-L3778</f>
        <v>-5.8499999999999943</v>
      </c>
      <c r="N3778" t="str">
        <f t="shared" ref="N3778:N3841" si="239">TEXT(B3778,"mmm")</f>
        <v>Nov</v>
      </c>
    </row>
    <row r="3779" spans="1:14" x14ac:dyDescent="0.3">
      <c r="A3779" s="2" t="s">
        <v>3845</v>
      </c>
      <c r="B3779" s="6">
        <v>45985</v>
      </c>
      <c r="C3779" s="2" t="s">
        <v>31</v>
      </c>
      <c r="D3779" s="2" t="s">
        <v>49</v>
      </c>
      <c r="E3779" s="2">
        <v>3</v>
      </c>
      <c r="F3779" s="7">
        <v>149</v>
      </c>
      <c r="G3779" s="8">
        <v>0.15</v>
      </c>
      <c r="H3779" s="9" t="str">
        <f>INDEX(Products!$B$2:$B$37, MATCH(D3779, Products!$A$2:$A$37, 0))</f>
        <v>Kids' Sneakers</v>
      </c>
      <c r="I3779" t="str">
        <f>INDEX(Products!$C$2:$C$37, MATCH(D3779, Products!$A$2:$A$37, 0))</f>
        <v>Fashion</v>
      </c>
      <c r="J3779">
        <f>INDEX(Products!$E$2:$E$37, MATCH(D3779, Products!$A$2:$A$37, 0))</f>
        <v>80</v>
      </c>
      <c r="K3779" s="9">
        <f t="shared" si="236"/>
        <v>379.95</v>
      </c>
      <c r="L3779">
        <f t="shared" si="237"/>
        <v>240</v>
      </c>
      <c r="M3779" s="9">
        <f t="shared" si="238"/>
        <v>139.94999999999999</v>
      </c>
      <c r="N3779" t="str">
        <f t="shared" si="239"/>
        <v>Nov</v>
      </c>
    </row>
    <row r="3780" spans="1:14" x14ac:dyDescent="0.3">
      <c r="A3780" s="2" t="s">
        <v>3846</v>
      </c>
      <c r="B3780" s="6">
        <v>45985</v>
      </c>
      <c r="C3780" s="2" t="s">
        <v>44</v>
      </c>
      <c r="D3780" s="2" t="s">
        <v>70</v>
      </c>
      <c r="E3780" s="2">
        <v>1</v>
      </c>
      <c r="F3780" s="7">
        <v>429</v>
      </c>
      <c r="G3780" s="8">
        <v>0.2</v>
      </c>
      <c r="H3780" s="9" t="str">
        <f>INDEX(Products!$B$2:$B$37, MATCH(D3780, Products!$A$2:$A$37, 0))</f>
        <v>Running Shoes Elite</v>
      </c>
      <c r="I3780" t="str">
        <f>INDEX(Products!$C$2:$C$37, MATCH(D3780, Products!$A$2:$A$37, 0))</f>
        <v>Fashion</v>
      </c>
      <c r="J3780">
        <f>INDEX(Products!$E$2:$E$37, MATCH(D3780, Products!$A$2:$A$37, 0))</f>
        <v>300</v>
      </c>
      <c r="K3780" s="9">
        <f t="shared" si="236"/>
        <v>343.20000000000005</v>
      </c>
      <c r="L3780">
        <f t="shared" si="237"/>
        <v>300</v>
      </c>
      <c r="M3780" s="9">
        <f t="shared" si="238"/>
        <v>43.200000000000045</v>
      </c>
      <c r="N3780" t="str">
        <f t="shared" si="239"/>
        <v>Nov</v>
      </c>
    </row>
    <row r="3781" spans="1:14" x14ac:dyDescent="0.3">
      <c r="A3781" s="2" t="s">
        <v>3847</v>
      </c>
      <c r="B3781" s="6">
        <v>45985</v>
      </c>
      <c r="C3781" s="2" t="s">
        <v>28</v>
      </c>
      <c r="D3781" s="2" t="s">
        <v>149</v>
      </c>
      <c r="E3781" s="2">
        <v>1</v>
      </c>
      <c r="F3781" s="7">
        <v>399</v>
      </c>
      <c r="G3781" s="8">
        <v>0.3</v>
      </c>
      <c r="H3781" s="9" t="str">
        <f>INDEX(Products!$B$2:$B$37, MATCH(D3781, Products!$A$2:$A$37, 0))</f>
        <v>Blender Pro 1200W</v>
      </c>
      <c r="I3781" t="str">
        <f>INDEX(Products!$C$2:$C$37, MATCH(D3781, Products!$A$2:$A$37, 0))</f>
        <v>Home &amp; Kitchen</v>
      </c>
      <c r="J3781">
        <f>INDEX(Products!$E$2:$E$37, MATCH(D3781, Products!$A$2:$A$37, 0))</f>
        <v>250</v>
      </c>
      <c r="K3781" s="9">
        <f t="shared" si="236"/>
        <v>279.29999999999995</v>
      </c>
      <c r="L3781">
        <f t="shared" si="237"/>
        <v>250</v>
      </c>
      <c r="M3781" s="9">
        <f t="shared" si="238"/>
        <v>29.299999999999955</v>
      </c>
      <c r="N3781" t="str">
        <f t="shared" si="239"/>
        <v>Nov</v>
      </c>
    </row>
    <row r="3782" spans="1:14" x14ac:dyDescent="0.3">
      <c r="A3782" s="2" t="s">
        <v>3848</v>
      </c>
      <c r="B3782" s="6">
        <v>45985</v>
      </c>
      <c r="C3782" s="2" t="s">
        <v>44</v>
      </c>
      <c r="D3782" s="2" t="s">
        <v>33</v>
      </c>
      <c r="E3782" s="2">
        <v>2</v>
      </c>
      <c r="F3782" s="7">
        <v>199</v>
      </c>
      <c r="G3782" s="8">
        <v>0.25</v>
      </c>
      <c r="H3782" s="9" t="str">
        <f>INDEX(Products!$B$2:$B$37, MATCH(D3782, Products!$A$2:$A$37, 0))</f>
        <v>Fitness Band Lite</v>
      </c>
      <c r="I3782" t="str">
        <f>INDEX(Products!$C$2:$C$37, MATCH(D3782, Products!$A$2:$A$37, 0))</f>
        <v>Electronics</v>
      </c>
      <c r="J3782">
        <f>INDEX(Products!$E$2:$E$37, MATCH(D3782, Products!$A$2:$A$37, 0))</f>
        <v>175</v>
      </c>
      <c r="K3782" s="9">
        <f t="shared" si="236"/>
        <v>298.5</v>
      </c>
      <c r="L3782">
        <f t="shared" si="237"/>
        <v>350</v>
      </c>
      <c r="M3782" s="9">
        <f t="shared" si="238"/>
        <v>-51.5</v>
      </c>
      <c r="N3782" t="str">
        <f t="shared" si="239"/>
        <v>Nov</v>
      </c>
    </row>
    <row r="3783" spans="1:14" x14ac:dyDescent="0.3">
      <c r="A3783" s="2" t="s">
        <v>3849</v>
      </c>
      <c r="B3783" s="6">
        <v>45985</v>
      </c>
      <c r="C3783" s="2" t="s">
        <v>44</v>
      </c>
      <c r="D3783" s="2" t="s">
        <v>65</v>
      </c>
      <c r="E3783" s="2">
        <v>2</v>
      </c>
      <c r="F3783" s="7">
        <v>129</v>
      </c>
      <c r="G3783" s="8">
        <v>0.1</v>
      </c>
      <c r="H3783" s="9" t="str">
        <f>INDEX(Products!$B$2:$B$37, MATCH(D3783, Products!$A$2:$A$37, 0))</f>
        <v>Yoga Mat Premium</v>
      </c>
      <c r="I3783" t="str">
        <f>INDEX(Products!$C$2:$C$37, MATCH(D3783, Products!$A$2:$A$37, 0))</f>
        <v>Sports</v>
      </c>
      <c r="J3783">
        <f>INDEX(Products!$E$2:$E$37, MATCH(D3783, Products!$A$2:$A$37, 0))</f>
        <v>60</v>
      </c>
      <c r="K3783" s="9">
        <f t="shared" si="236"/>
        <v>232.20000000000002</v>
      </c>
      <c r="L3783">
        <f t="shared" si="237"/>
        <v>120</v>
      </c>
      <c r="M3783" s="9">
        <f t="shared" si="238"/>
        <v>112.20000000000002</v>
      </c>
      <c r="N3783" t="str">
        <f t="shared" si="239"/>
        <v>Nov</v>
      </c>
    </row>
    <row r="3784" spans="1:14" x14ac:dyDescent="0.3">
      <c r="A3784" s="2" t="s">
        <v>3850</v>
      </c>
      <c r="B3784" s="6">
        <v>45985</v>
      </c>
      <c r="C3784" s="2" t="s">
        <v>28</v>
      </c>
      <c r="D3784" s="2" t="s">
        <v>49</v>
      </c>
      <c r="E3784" s="2">
        <v>3</v>
      </c>
      <c r="F3784" s="7">
        <v>149</v>
      </c>
      <c r="G3784" s="8">
        <v>0.1</v>
      </c>
      <c r="H3784" s="9" t="str">
        <f>INDEX(Products!$B$2:$B$37, MATCH(D3784, Products!$A$2:$A$37, 0))</f>
        <v>Kids' Sneakers</v>
      </c>
      <c r="I3784" t="str">
        <f>INDEX(Products!$C$2:$C$37, MATCH(D3784, Products!$A$2:$A$37, 0))</f>
        <v>Fashion</v>
      </c>
      <c r="J3784">
        <f>INDEX(Products!$E$2:$E$37, MATCH(D3784, Products!$A$2:$A$37, 0))</f>
        <v>80</v>
      </c>
      <c r="K3784" s="9">
        <f t="shared" si="236"/>
        <v>402.3</v>
      </c>
      <c r="L3784">
        <f t="shared" si="237"/>
        <v>240</v>
      </c>
      <c r="M3784" s="9">
        <f t="shared" si="238"/>
        <v>162.30000000000001</v>
      </c>
      <c r="N3784" t="str">
        <f t="shared" si="239"/>
        <v>Nov</v>
      </c>
    </row>
    <row r="3785" spans="1:14" x14ac:dyDescent="0.3">
      <c r="A3785" s="2" t="s">
        <v>3851</v>
      </c>
      <c r="B3785" s="6">
        <v>45985</v>
      </c>
      <c r="C3785" s="2" t="s">
        <v>48</v>
      </c>
      <c r="D3785" s="2" t="s">
        <v>35</v>
      </c>
      <c r="E3785" s="2">
        <v>1</v>
      </c>
      <c r="F3785" s="7">
        <v>179</v>
      </c>
      <c r="G3785" s="8">
        <v>0.1</v>
      </c>
      <c r="H3785" s="9" t="str">
        <f>INDEX(Products!$B$2:$B$37, MATCH(D3785, Products!$A$2:$A$37, 0))</f>
        <v>Men's Linen Shirt</v>
      </c>
      <c r="I3785" t="str">
        <f>INDEX(Products!$C$2:$C$37, MATCH(D3785, Products!$A$2:$A$37, 0))</f>
        <v>Fashion</v>
      </c>
      <c r="J3785">
        <f>INDEX(Products!$E$2:$E$37, MATCH(D3785, Products!$A$2:$A$37, 0))</f>
        <v>70</v>
      </c>
      <c r="K3785" s="9">
        <f t="shared" si="236"/>
        <v>161.1</v>
      </c>
      <c r="L3785">
        <f t="shared" si="237"/>
        <v>70</v>
      </c>
      <c r="M3785" s="9">
        <f t="shared" si="238"/>
        <v>91.1</v>
      </c>
      <c r="N3785" t="str">
        <f t="shared" si="239"/>
        <v>Nov</v>
      </c>
    </row>
    <row r="3786" spans="1:14" x14ac:dyDescent="0.3">
      <c r="A3786" s="2" t="s">
        <v>3852</v>
      </c>
      <c r="B3786" s="6">
        <v>45985</v>
      </c>
      <c r="C3786" s="2" t="s">
        <v>28</v>
      </c>
      <c r="D3786" s="2" t="s">
        <v>80</v>
      </c>
      <c r="E3786" s="2">
        <v>1</v>
      </c>
      <c r="F3786" s="7">
        <v>149</v>
      </c>
      <c r="G3786" s="8">
        <v>0.3</v>
      </c>
      <c r="H3786" s="9" t="str">
        <f>INDEX(Products!$B$2:$B$37, MATCH(D3786, Products!$A$2:$A$37, 0))</f>
        <v>Vitamin C Serum</v>
      </c>
      <c r="I3786" t="str">
        <f>INDEX(Products!$C$2:$C$37, MATCH(D3786, Products!$A$2:$A$37, 0))</f>
        <v>Beauty</v>
      </c>
      <c r="J3786">
        <f>INDEX(Products!$E$2:$E$37, MATCH(D3786, Products!$A$2:$A$37, 0))</f>
        <v>55</v>
      </c>
      <c r="K3786" s="9">
        <f t="shared" si="236"/>
        <v>104.3</v>
      </c>
      <c r="L3786">
        <f t="shared" si="237"/>
        <v>55</v>
      </c>
      <c r="M3786" s="9">
        <f t="shared" si="238"/>
        <v>49.3</v>
      </c>
      <c r="N3786" t="str">
        <f t="shared" si="239"/>
        <v>Nov</v>
      </c>
    </row>
    <row r="3787" spans="1:14" x14ac:dyDescent="0.3">
      <c r="A3787" s="2" t="s">
        <v>3853</v>
      </c>
      <c r="B3787" s="6">
        <v>45986</v>
      </c>
      <c r="C3787" s="2" t="s">
        <v>44</v>
      </c>
      <c r="D3787" s="2" t="s">
        <v>70</v>
      </c>
      <c r="E3787" s="2">
        <v>1</v>
      </c>
      <c r="F3787" s="7">
        <v>429</v>
      </c>
      <c r="G3787" s="8">
        <v>0.2</v>
      </c>
      <c r="H3787" s="9" t="str">
        <f>INDEX(Products!$B$2:$B$37, MATCH(D3787, Products!$A$2:$A$37, 0))</f>
        <v>Running Shoes Elite</v>
      </c>
      <c r="I3787" t="str">
        <f>INDEX(Products!$C$2:$C$37, MATCH(D3787, Products!$A$2:$A$37, 0))</f>
        <v>Fashion</v>
      </c>
      <c r="J3787">
        <f>INDEX(Products!$E$2:$E$37, MATCH(D3787, Products!$A$2:$A$37, 0))</f>
        <v>300</v>
      </c>
      <c r="K3787" s="9">
        <f t="shared" si="236"/>
        <v>343.20000000000005</v>
      </c>
      <c r="L3787">
        <f t="shared" si="237"/>
        <v>300</v>
      </c>
      <c r="M3787" s="9">
        <f t="shared" si="238"/>
        <v>43.200000000000045</v>
      </c>
      <c r="N3787" t="str">
        <f t="shared" si="239"/>
        <v>Nov</v>
      </c>
    </row>
    <row r="3788" spans="1:14" x14ac:dyDescent="0.3">
      <c r="A3788" s="2" t="s">
        <v>3854</v>
      </c>
      <c r="B3788" s="6">
        <v>45986</v>
      </c>
      <c r="C3788" s="2" t="s">
        <v>44</v>
      </c>
      <c r="D3788" s="2" t="s">
        <v>131</v>
      </c>
      <c r="E3788" s="2">
        <v>1</v>
      </c>
      <c r="F3788" s="7">
        <v>899</v>
      </c>
      <c r="G3788" s="8">
        <v>0.2</v>
      </c>
      <c r="H3788" s="9" t="str">
        <f>INDEX(Products!$B$2:$B$37, MATCH(D3788, Products!$A$2:$A$37, 0))</f>
        <v>4K Action Camera</v>
      </c>
      <c r="I3788" t="str">
        <f>INDEX(Products!$C$2:$C$37, MATCH(D3788, Products!$A$2:$A$37, 0))</f>
        <v>Electronics</v>
      </c>
      <c r="J3788">
        <f>INDEX(Products!$E$2:$E$37, MATCH(D3788, Products!$A$2:$A$37, 0))</f>
        <v>610</v>
      </c>
      <c r="K3788" s="9">
        <f t="shared" si="236"/>
        <v>719.2</v>
      </c>
      <c r="L3788">
        <f t="shared" si="237"/>
        <v>610</v>
      </c>
      <c r="M3788" s="9">
        <f t="shared" si="238"/>
        <v>109.20000000000005</v>
      </c>
      <c r="N3788" t="str">
        <f t="shared" si="239"/>
        <v>Nov</v>
      </c>
    </row>
    <row r="3789" spans="1:14" x14ac:dyDescent="0.3">
      <c r="A3789" s="2" t="s">
        <v>3855</v>
      </c>
      <c r="B3789" s="6">
        <v>45986</v>
      </c>
      <c r="C3789" s="2" t="s">
        <v>41</v>
      </c>
      <c r="D3789" s="2" t="s">
        <v>35</v>
      </c>
      <c r="E3789" s="2">
        <v>1</v>
      </c>
      <c r="F3789" s="7">
        <v>179</v>
      </c>
      <c r="G3789" s="8">
        <v>0.2</v>
      </c>
      <c r="H3789" s="9" t="str">
        <f>INDEX(Products!$B$2:$B$37, MATCH(D3789, Products!$A$2:$A$37, 0))</f>
        <v>Men's Linen Shirt</v>
      </c>
      <c r="I3789" t="str">
        <f>INDEX(Products!$C$2:$C$37, MATCH(D3789, Products!$A$2:$A$37, 0))</f>
        <v>Fashion</v>
      </c>
      <c r="J3789">
        <f>INDEX(Products!$E$2:$E$37, MATCH(D3789, Products!$A$2:$A$37, 0))</f>
        <v>70</v>
      </c>
      <c r="K3789" s="9">
        <f t="shared" si="236"/>
        <v>143.20000000000002</v>
      </c>
      <c r="L3789">
        <f t="shared" si="237"/>
        <v>70</v>
      </c>
      <c r="M3789" s="9">
        <f t="shared" si="238"/>
        <v>73.200000000000017</v>
      </c>
      <c r="N3789" t="str">
        <f t="shared" si="239"/>
        <v>Nov</v>
      </c>
    </row>
    <row r="3790" spans="1:14" x14ac:dyDescent="0.3">
      <c r="A3790" s="2" t="s">
        <v>3856</v>
      </c>
      <c r="B3790" s="6">
        <v>45986</v>
      </c>
      <c r="C3790" s="2" t="s">
        <v>44</v>
      </c>
      <c r="D3790" s="2" t="s">
        <v>65</v>
      </c>
      <c r="E3790" s="2">
        <v>1</v>
      </c>
      <c r="F3790" s="7">
        <v>129</v>
      </c>
      <c r="G3790" s="8">
        <v>0.2</v>
      </c>
      <c r="H3790" s="9" t="str">
        <f>INDEX(Products!$B$2:$B$37, MATCH(D3790, Products!$A$2:$A$37, 0))</f>
        <v>Yoga Mat Premium</v>
      </c>
      <c r="I3790" t="str">
        <f>INDEX(Products!$C$2:$C$37, MATCH(D3790, Products!$A$2:$A$37, 0))</f>
        <v>Sports</v>
      </c>
      <c r="J3790">
        <f>INDEX(Products!$E$2:$E$37, MATCH(D3790, Products!$A$2:$A$37, 0))</f>
        <v>60</v>
      </c>
      <c r="K3790" s="9">
        <f t="shared" si="236"/>
        <v>103.2</v>
      </c>
      <c r="L3790">
        <f t="shared" si="237"/>
        <v>60</v>
      </c>
      <c r="M3790" s="9">
        <f t="shared" si="238"/>
        <v>43.2</v>
      </c>
      <c r="N3790" t="str">
        <f t="shared" si="239"/>
        <v>Nov</v>
      </c>
    </row>
    <row r="3791" spans="1:14" x14ac:dyDescent="0.3">
      <c r="A3791" s="2" t="s">
        <v>3857</v>
      </c>
      <c r="B3791" s="6">
        <v>45986</v>
      </c>
      <c r="C3791" s="2" t="s">
        <v>41</v>
      </c>
      <c r="D3791" s="2" t="s">
        <v>113</v>
      </c>
      <c r="E3791" s="2">
        <v>1</v>
      </c>
      <c r="F3791" s="7">
        <v>1199</v>
      </c>
      <c r="G3791" s="8">
        <v>0.2</v>
      </c>
      <c r="H3791" s="9" t="str">
        <f>INDEX(Products!$B$2:$B$37, MATCH(D3791, Products!$A$2:$A$37, 0))</f>
        <v>Robot Vacuum S3</v>
      </c>
      <c r="I3791" t="str">
        <f>INDEX(Products!$C$2:$C$37, MATCH(D3791, Products!$A$2:$A$37, 0))</f>
        <v>Home &amp; Kitchen</v>
      </c>
      <c r="J3791">
        <f>INDEX(Products!$E$2:$E$37, MATCH(D3791, Products!$A$2:$A$37, 0))</f>
        <v>1080</v>
      </c>
      <c r="K3791" s="9">
        <f t="shared" si="236"/>
        <v>959.2</v>
      </c>
      <c r="L3791">
        <f t="shared" si="237"/>
        <v>1080</v>
      </c>
      <c r="M3791" s="9">
        <f t="shared" si="238"/>
        <v>-120.79999999999995</v>
      </c>
      <c r="N3791" t="str">
        <f t="shared" si="239"/>
        <v>Nov</v>
      </c>
    </row>
    <row r="3792" spans="1:14" x14ac:dyDescent="0.3">
      <c r="A3792" s="2" t="s">
        <v>3858</v>
      </c>
      <c r="B3792" s="6">
        <v>45986</v>
      </c>
      <c r="C3792" s="2" t="s">
        <v>48</v>
      </c>
      <c r="D3792" s="2" t="s">
        <v>131</v>
      </c>
      <c r="E3792" s="2">
        <v>1</v>
      </c>
      <c r="F3792" s="7">
        <v>899</v>
      </c>
      <c r="G3792" s="8">
        <v>0.1</v>
      </c>
      <c r="H3792" s="9" t="str">
        <f>INDEX(Products!$B$2:$B$37, MATCH(D3792, Products!$A$2:$A$37, 0))</f>
        <v>4K Action Camera</v>
      </c>
      <c r="I3792" t="str">
        <f>INDEX(Products!$C$2:$C$37, MATCH(D3792, Products!$A$2:$A$37, 0))</f>
        <v>Electronics</v>
      </c>
      <c r="J3792">
        <f>INDEX(Products!$E$2:$E$37, MATCH(D3792, Products!$A$2:$A$37, 0))</f>
        <v>610</v>
      </c>
      <c r="K3792" s="9">
        <f t="shared" si="236"/>
        <v>809.1</v>
      </c>
      <c r="L3792">
        <f t="shared" si="237"/>
        <v>610</v>
      </c>
      <c r="M3792" s="9">
        <f t="shared" si="238"/>
        <v>199.10000000000002</v>
      </c>
      <c r="N3792" t="str">
        <f t="shared" si="239"/>
        <v>Nov</v>
      </c>
    </row>
    <row r="3793" spans="1:14" x14ac:dyDescent="0.3">
      <c r="A3793" s="2" t="s">
        <v>3859</v>
      </c>
      <c r="B3793" s="6">
        <v>45986</v>
      </c>
      <c r="C3793" s="2" t="s">
        <v>28</v>
      </c>
      <c r="D3793" s="2" t="s">
        <v>58</v>
      </c>
      <c r="E3793" s="2">
        <v>1</v>
      </c>
      <c r="F3793" s="7">
        <v>459</v>
      </c>
      <c r="G3793" s="8">
        <v>0.1</v>
      </c>
      <c r="H3793" s="9" t="str">
        <f>INDEX(Products!$B$2:$B$37, MATCH(D3793, Products!$A$2:$A$37, 0))</f>
        <v>Women's Abaya Classic</v>
      </c>
      <c r="I3793" t="str">
        <f>INDEX(Products!$C$2:$C$37, MATCH(D3793, Products!$A$2:$A$37, 0))</f>
        <v>Fashion</v>
      </c>
      <c r="J3793">
        <f>INDEX(Products!$E$2:$E$37, MATCH(D3793, Products!$A$2:$A$37, 0))</f>
        <v>190</v>
      </c>
      <c r="K3793" s="9">
        <f t="shared" si="236"/>
        <v>413.1</v>
      </c>
      <c r="L3793">
        <f t="shared" si="237"/>
        <v>190</v>
      </c>
      <c r="M3793" s="9">
        <f t="shared" si="238"/>
        <v>223.10000000000002</v>
      </c>
      <c r="N3793" t="str">
        <f t="shared" si="239"/>
        <v>Nov</v>
      </c>
    </row>
    <row r="3794" spans="1:14" x14ac:dyDescent="0.3">
      <c r="A3794" s="2" t="s">
        <v>3860</v>
      </c>
      <c r="B3794" s="6">
        <v>45986</v>
      </c>
      <c r="C3794" s="2" t="s">
        <v>41</v>
      </c>
      <c r="D3794" s="2" t="s">
        <v>68</v>
      </c>
      <c r="E3794" s="2">
        <v>4</v>
      </c>
      <c r="F3794" s="7">
        <v>249</v>
      </c>
      <c r="G3794" s="8">
        <v>0</v>
      </c>
      <c r="H3794" s="9" t="str">
        <f>INDEX(Products!$B$2:$B$37, MATCH(D3794, Products!$A$2:$A$37, 0))</f>
        <v>Bluetooth Speaker Mini</v>
      </c>
      <c r="I3794" t="str">
        <f>INDEX(Products!$C$2:$C$37, MATCH(D3794, Products!$A$2:$A$37, 0))</f>
        <v>Electronics</v>
      </c>
      <c r="J3794">
        <f>INDEX(Products!$E$2:$E$37, MATCH(D3794, Products!$A$2:$A$37, 0))</f>
        <v>150</v>
      </c>
      <c r="K3794" s="9">
        <f t="shared" si="236"/>
        <v>996</v>
      </c>
      <c r="L3794">
        <f t="shared" si="237"/>
        <v>600</v>
      </c>
      <c r="M3794" s="9">
        <f t="shared" si="238"/>
        <v>396</v>
      </c>
      <c r="N3794" t="str">
        <f t="shared" si="239"/>
        <v>Nov</v>
      </c>
    </row>
    <row r="3795" spans="1:14" x14ac:dyDescent="0.3">
      <c r="A3795" s="2" t="s">
        <v>3861</v>
      </c>
      <c r="B3795" s="6">
        <v>45986</v>
      </c>
      <c r="C3795" s="2" t="s">
        <v>41</v>
      </c>
      <c r="D3795" s="2" t="s">
        <v>65</v>
      </c>
      <c r="E3795" s="2">
        <v>1</v>
      </c>
      <c r="F3795" s="7">
        <v>129</v>
      </c>
      <c r="G3795" s="8">
        <v>0.2</v>
      </c>
      <c r="H3795" s="9" t="str">
        <f>INDEX(Products!$B$2:$B$37, MATCH(D3795, Products!$A$2:$A$37, 0))</f>
        <v>Yoga Mat Premium</v>
      </c>
      <c r="I3795" t="str">
        <f>INDEX(Products!$C$2:$C$37, MATCH(D3795, Products!$A$2:$A$37, 0))</f>
        <v>Sports</v>
      </c>
      <c r="J3795">
        <f>INDEX(Products!$E$2:$E$37, MATCH(D3795, Products!$A$2:$A$37, 0))</f>
        <v>60</v>
      </c>
      <c r="K3795" s="9">
        <f t="shared" si="236"/>
        <v>103.2</v>
      </c>
      <c r="L3795">
        <f t="shared" si="237"/>
        <v>60</v>
      </c>
      <c r="M3795" s="9">
        <f t="shared" si="238"/>
        <v>43.2</v>
      </c>
      <c r="N3795" t="str">
        <f t="shared" si="239"/>
        <v>Nov</v>
      </c>
    </row>
    <row r="3796" spans="1:14" x14ac:dyDescent="0.3">
      <c r="A3796" s="2" t="s">
        <v>3862</v>
      </c>
      <c r="B3796" s="6">
        <v>45986</v>
      </c>
      <c r="C3796" s="2" t="s">
        <v>28</v>
      </c>
      <c r="D3796" s="2" t="s">
        <v>46</v>
      </c>
      <c r="E3796" s="2">
        <v>1</v>
      </c>
      <c r="F3796" s="7">
        <v>189</v>
      </c>
      <c r="G3796" s="8">
        <v>0</v>
      </c>
      <c r="H3796" s="9" t="str">
        <f>INDEX(Products!$B$2:$B$37, MATCH(D3796, Products!$A$2:$A$37, 0))</f>
        <v>Makeup Palette</v>
      </c>
      <c r="I3796" t="str">
        <f>INDEX(Products!$C$2:$C$37, MATCH(D3796, Products!$A$2:$A$37, 0))</f>
        <v>Beauty</v>
      </c>
      <c r="J3796">
        <f>INDEX(Products!$E$2:$E$37, MATCH(D3796, Products!$A$2:$A$37, 0))</f>
        <v>85</v>
      </c>
      <c r="K3796" s="9">
        <f t="shared" si="236"/>
        <v>189</v>
      </c>
      <c r="L3796">
        <f t="shared" si="237"/>
        <v>85</v>
      </c>
      <c r="M3796" s="9">
        <f t="shared" si="238"/>
        <v>104</v>
      </c>
      <c r="N3796" t="str">
        <f t="shared" si="239"/>
        <v>Nov</v>
      </c>
    </row>
    <row r="3797" spans="1:14" x14ac:dyDescent="0.3">
      <c r="A3797" s="2" t="s">
        <v>3863</v>
      </c>
      <c r="B3797" s="6">
        <v>45986</v>
      </c>
      <c r="C3797" s="2" t="s">
        <v>28</v>
      </c>
      <c r="D3797" s="2" t="s">
        <v>103</v>
      </c>
      <c r="E3797" s="2">
        <v>4</v>
      </c>
      <c r="F3797" s="7">
        <v>89</v>
      </c>
      <c r="G3797" s="8">
        <v>0.1</v>
      </c>
      <c r="H3797" s="9" t="str">
        <f>INDEX(Products!$B$2:$B$37, MATCH(D3797, Products!$A$2:$A$37, 0))</f>
        <v>Sunscreen SPF50</v>
      </c>
      <c r="I3797" t="str">
        <f>INDEX(Products!$C$2:$C$37, MATCH(D3797, Products!$A$2:$A$37, 0))</f>
        <v>Beauty</v>
      </c>
      <c r="J3797">
        <f>INDEX(Products!$E$2:$E$37, MATCH(D3797, Products!$A$2:$A$37, 0))</f>
        <v>40</v>
      </c>
      <c r="K3797" s="9">
        <f t="shared" si="236"/>
        <v>320.40000000000003</v>
      </c>
      <c r="L3797">
        <f t="shared" si="237"/>
        <v>160</v>
      </c>
      <c r="M3797" s="9">
        <f t="shared" si="238"/>
        <v>160.40000000000003</v>
      </c>
      <c r="N3797" t="str">
        <f t="shared" si="239"/>
        <v>Nov</v>
      </c>
    </row>
    <row r="3798" spans="1:14" x14ac:dyDescent="0.3">
      <c r="A3798" s="2" t="s">
        <v>3864</v>
      </c>
      <c r="B3798" s="6">
        <v>45986</v>
      </c>
      <c r="C3798" s="2" t="s">
        <v>28</v>
      </c>
      <c r="D3798" s="2" t="s">
        <v>35</v>
      </c>
      <c r="E3798" s="2">
        <v>1</v>
      </c>
      <c r="F3798" s="7">
        <v>179</v>
      </c>
      <c r="G3798" s="8">
        <v>0.2</v>
      </c>
      <c r="H3798" s="9" t="str">
        <f>INDEX(Products!$B$2:$B$37, MATCH(D3798, Products!$A$2:$A$37, 0))</f>
        <v>Men's Linen Shirt</v>
      </c>
      <c r="I3798" t="str">
        <f>INDEX(Products!$C$2:$C$37, MATCH(D3798, Products!$A$2:$A$37, 0))</f>
        <v>Fashion</v>
      </c>
      <c r="J3798">
        <f>INDEX(Products!$E$2:$E$37, MATCH(D3798, Products!$A$2:$A$37, 0))</f>
        <v>70</v>
      </c>
      <c r="K3798" s="9">
        <f t="shared" si="236"/>
        <v>143.20000000000002</v>
      </c>
      <c r="L3798">
        <f t="shared" si="237"/>
        <v>70</v>
      </c>
      <c r="M3798" s="9">
        <f t="shared" si="238"/>
        <v>73.200000000000017</v>
      </c>
      <c r="N3798" t="str">
        <f t="shared" si="239"/>
        <v>Nov</v>
      </c>
    </row>
    <row r="3799" spans="1:14" x14ac:dyDescent="0.3">
      <c r="A3799" s="2" t="s">
        <v>3865</v>
      </c>
      <c r="B3799" s="6">
        <v>45987</v>
      </c>
      <c r="C3799" s="2" t="s">
        <v>31</v>
      </c>
      <c r="D3799" s="2" t="s">
        <v>68</v>
      </c>
      <c r="E3799" s="2">
        <v>1</v>
      </c>
      <c r="F3799" s="7">
        <v>249</v>
      </c>
      <c r="G3799" s="8">
        <v>0</v>
      </c>
      <c r="H3799" s="9" t="str">
        <f>INDEX(Products!$B$2:$B$37, MATCH(D3799, Products!$A$2:$A$37, 0))</f>
        <v>Bluetooth Speaker Mini</v>
      </c>
      <c r="I3799" t="str">
        <f>INDEX(Products!$C$2:$C$37, MATCH(D3799, Products!$A$2:$A$37, 0))</f>
        <v>Electronics</v>
      </c>
      <c r="J3799">
        <f>INDEX(Products!$E$2:$E$37, MATCH(D3799, Products!$A$2:$A$37, 0))</f>
        <v>150</v>
      </c>
      <c r="K3799" s="9">
        <f t="shared" si="236"/>
        <v>249</v>
      </c>
      <c r="L3799">
        <f t="shared" si="237"/>
        <v>150</v>
      </c>
      <c r="M3799" s="9">
        <f t="shared" si="238"/>
        <v>99</v>
      </c>
      <c r="N3799" t="str">
        <f t="shared" si="239"/>
        <v>Nov</v>
      </c>
    </row>
    <row r="3800" spans="1:14" x14ac:dyDescent="0.3">
      <c r="A3800" s="2" t="s">
        <v>3866</v>
      </c>
      <c r="B3800" s="6">
        <v>45987</v>
      </c>
      <c r="C3800" s="2" t="s">
        <v>28</v>
      </c>
      <c r="D3800" s="2" t="s">
        <v>126</v>
      </c>
      <c r="E3800" s="2">
        <v>3</v>
      </c>
      <c r="F3800" s="7">
        <v>89</v>
      </c>
      <c r="G3800" s="8">
        <v>0.2</v>
      </c>
      <c r="H3800" s="9" t="str">
        <f>INDEX(Products!$B$2:$B$37, MATCH(D3800, Products!$A$2:$A$37, 0))</f>
        <v>USB-C Fast Charger</v>
      </c>
      <c r="I3800" t="str">
        <f>INDEX(Products!$C$2:$C$37, MATCH(D3800, Products!$A$2:$A$37, 0))</f>
        <v>Electronics</v>
      </c>
      <c r="J3800">
        <f>INDEX(Products!$E$2:$E$37, MATCH(D3800, Products!$A$2:$A$37, 0))</f>
        <v>35</v>
      </c>
      <c r="K3800" s="9">
        <f t="shared" si="236"/>
        <v>213.60000000000002</v>
      </c>
      <c r="L3800">
        <f t="shared" si="237"/>
        <v>105</v>
      </c>
      <c r="M3800" s="9">
        <f t="shared" si="238"/>
        <v>108.60000000000002</v>
      </c>
      <c r="N3800" t="str">
        <f t="shared" si="239"/>
        <v>Nov</v>
      </c>
    </row>
    <row r="3801" spans="1:14" x14ac:dyDescent="0.3">
      <c r="A3801" s="2" t="s">
        <v>3867</v>
      </c>
      <c r="B3801" s="6">
        <v>45987</v>
      </c>
      <c r="C3801" s="2" t="s">
        <v>28</v>
      </c>
      <c r="D3801" s="2" t="s">
        <v>68</v>
      </c>
      <c r="E3801" s="2">
        <v>1</v>
      </c>
      <c r="F3801" s="7">
        <v>249</v>
      </c>
      <c r="G3801" s="8">
        <v>0.3</v>
      </c>
      <c r="H3801" s="9" t="str">
        <f>INDEX(Products!$B$2:$B$37, MATCH(D3801, Products!$A$2:$A$37, 0))</f>
        <v>Bluetooth Speaker Mini</v>
      </c>
      <c r="I3801" t="str">
        <f>INDEX(Products!$C$2:$C$37, MATCH(D3801, Products!$A$2:$A$37, 0))</f>
        <v>Electronics</v>
      </c>
      <c r="J3801">
        <f>INDEX(Products!$E$2:$E$37, MATCH(D3801, Products!$A$2:$A$37, 0))</f>
        <v>150</v>
      </c>
      <c r="K3801" s="9">
        <f t="shared" si="236"/>
        <v>174.29999999999998</v>
      </c>
      <c r="L3801">
        <f t="shared" si="237"/>
        <v>150</v>
      </c>
      <c r="M3801" s="9">
        <f t="shared" si="238"/>
        <v>24.299999999999983</v>
      </c>
      <c r="N3801" t="str">
        <f t="shared" si="239"/>
        <v>Nov</v>
      </c>
    </row>
    <row r="3802" spans="1:14" x14ac:dyDescent="0.3">
      <c r="A3802" s="2" t="s">
        <v>3868</v>
      </c>
      <c r="B3802" s="6">
        <v>45987</v>
      </c>
      <c r="C3802" s="2" t="s">
        <v>48</v>
      </c>
      <c r="D3802" s="2" t="s">
        <v>52</v>
      </c>
      <c r="E3802" s="2">
        <v>1</v>
      </c>
      <c r="F3802" s="7">
        <v>299</v>
      </c>
      <c r="G3802" s="8">
        <v>0.2</v>
      </c>
      <c r="H3802" s="9" t="str">
        <f>INDEX(Products!$B$2:$B$37, MATCH(D3802, Products!$A$2:$A$37, 0))</f>
        <v>Hair Dryer Ionic</v>
      </c>
      <c r="I3802" t="str">
        <f>INDEX(Products!$C$2:$C$37, MATCH(D3802, Products!$A$2:$A$37, 0))</f>
        <v>Beauty</v>
      </c>
      <c r="J3802">
        <f>INDEX(Products!$E$2:$E$37, MATCH(D3802, Products!$A$2:$A$37, 0))</f>
        <v>240</v>
      </c>
      <c r="K3802" s="9">
        <f t="shared" si="236"/>
        <v>239.20000000000002</v>
      </c>
      <c r="L3802">
        <f t="shared" si="237"/>
        <v>240</v>
      </c>
      <c r="M3802" s="9">
        <f t="shared" si="238"/>
        <v>-0.79999999999998295</v>
      </c>
      <c r="N3802" t="str">
        <f t="shared" si="239"/>
        <v>Nov</v>
      </c>
    </row>
    <row r="3803" spans="1:14" x14ac:dyDescent="0.3">
      <c r="A3803" s="2" t="s">
        <v>3869</v>
      </c>
      <c r="B3803" s="6">
        <v>45987</v>
      </c>
      <c r="C3803" s="2" t="s">
        <v>44</v>
      </c>
      <c r="D3803" s="2" t="s">
        <v>58</v>
      </c>
      <c r="E3803" s="2">
        <v>1</v>
      </c>
      <c r="F3803" s="7">
        <v>459</v>
      </c>
      <c r="G3803" s="8">
        <v>0.2</v>
      </c>
      <c r="H3803" s="9" t="str">
        <f>INDEX(Products!$B$2:$B$37, MATCH(D3803, Products!$A$2:$A$37, 0))</f>
        <v>Women's Abaya Classic</v>
      </c>
      <c r="I3803" t="str">
        <f>INDEX(Products!$C$2:$C$37, MATCH(D3803, Products!$A$2:$A$37, 0))</f>
        <v>Fashion</v>
      </c>
      <c r="J3803">
        <f>INDEX(Products!$E$2:$E$37, MATCH(D3803, Products!$A$2:$A$37, 0))</f>
        <v>190</v>
      </c>
      <c r="K3803" s="9">
        <f t="shared" si="236"/>
        <v>367.20000000000005</v>
      </c>
      <c r="L3803">
        <f t="shared" si="237"/>
        <v>190</v>
      </c>
      <c r="M3803" s="9">
        <f t="shared" si="238"/>
        <v>177.20000000000005</v>
      </c>
      <c r="N3803" t="str">
        <f t="shared" si="239"/>
        <v>Nov</v>
      </c>
    </row>
    <row r="3804" spans="1:14" x14ac:dyDescent="0.3">
      <c r="A3804" s="2" t="s">
        <v>3870</v>
      </c>
      <c r="B3804" s="6">
        <v>45987</v>
      </c>
      <c r="C3804" s="2" t="s">
        <v>28</v>
      </c>
      <c r="D3804" s="2" t="s">
        <v>58</v>
      </c>
      <c r="E3804" s="2">
        <v>1</v>
      </c>
      <c r="F3804" s="7">
        <v>459</v>
      </c>
      <c r="G3804" s="8">
        <v>0.05</v>
      </c>
      <c r="H3804" s="9" t="str">
        <f>INDEX(Products!$B$2:$B$37, MATCH(D3804, Products!$A$2:$A$37, 0))</f>
        <v>Women's Abaya Classic</v>
      </c>
      <c r="I3804" t="str">
        <f>INDEX(Products!$C$2:$C$37, MATCH(D3804, Products!$A$2:$A$37, 0))</f>
        <v>Fashion</v>
      </c>
      <c r="J3804">
        <f>INDEX(Products!$E$2:$E$37, MATCH(D3804, Products!$A$2:$A$37, 0))</f>
        <v>190</v>
      </c>
      <c r="K3804" s="9">
        <f t="shared" si="236"/>
        <v>436.04999999999995</v>
      </c>
      <c r="L3804">
        <f t="shared" si="237"/>
        <v>190</v>
      </c>
      <c r="M3804" s="9">
        <f t="shared" si="238"/>
        <v>246.04999999999995</v>
      </c>
      <c r="N3804" t="str">
        <f t="shared" si="239"/>
        <v>Nov</v>
      </c>
    </row>
    <row r="3805" spans="1:14" x14ac:dyDescent="0.3">
      <c r="A3805" s="2" t="s">
        <v>3871</v>
      </c>
      <c r="B3805" s="6">
        <v>45987</v>
      </c>
      <c r="C3805" s="2" t="s">
        <v>48</v>
      </c>
      <c r="D3805" s="2" t="s">
        <v>37</v>
      </c>
      <c r="E3805" s="2">
        <v>1</v>
      </c>
      <c r="F3805" s="7">
        <v>249</v>
      </c>
      <c r="G3805" s="8">
        <v>0.2</v>
      </c>
      <c r="H3805" s="9" t="str">
        <f>INDEX(Products!$B$2:$B$37, MATCH(D3805, Products!$A$2:$A$37, 0))</f>
        <v>Sunglasses Polarised</v>
      </c>
      <c r="I3805" t="str">
        <f>INDEX(Products!$C$2:$C$37, MATCH(D3805, Products!$A$2:$A$37, 0))</f>
        <v>Fashion</v>
      </c>
      <c r="J3805">
        <f>INDEX(Products!$E$2:$E$37, MATCH(D3805, Products!$A$2:$A$37, 0))</f>
        <v>95</v>
      </c>
      <c r="K3805" s="9">
        <f t="shared" si="236"/>
        <v>199.20000000000002</v>
      </c>
      <c r="L3805">
        <f t="shared" si="237"/>
        <v>95</v>
      </c>
      <c r="M3805" s="9">
        <f t="shared" si="238"/>
        <v>104.20000000000002</v>
      </c>
      <c r="N3805" t="str">
        <f t="shared" si="239"/>
        <v>Nov</v>
      </c>
    </row>
    <row r="3806" spans="1:14" x14ac:dyDescent="0.3">
      <c r="A3806" s="2" t="s">
        <v>3872</v>
      </c>
      <c r="B3806" s="6">
        <v>45987</v>
      </c>
      <c r="C3806" s="2" t="s">
        <v>28</v>
      </c>
      <c r="D3806" s="2" t="s">
        <v>39</v>
      </c>
      <c r="E3806" s="2">
        <v>1</v>
      </c>
      <c r="F3806" s="7">
        <v>199</v>
      </c>
      <c r="G3806" s="8">
        <v>0.1</v>
      </c>
      <c r="H3806" s="9" t="str">
        <f>INDEX(Products!$B$2:$B$37, MATCH(D3806, Products!$A$2:$A$37, 0))</f>
        <v>Bakhoor Gift Set</v>
      </c>
      <c r="I3806" t="str">
        <f>INDEX(Products!$C$2:$C$37, MATCH(D3806, Products!$A$2:$A$37, 0))</f>
        <v>Beauty</v>
      </c>
      <c r="J3806">
        <f>INDEX(Products!$E$2:$E$37, MATCH(D3806, Products!$A$2:$A$37, 0))</f>
        <v>90</v>
      </c>
      <c r="K3806" s="9">
        <f t="shared" si="236"/>
        <v>179.1</v>
      </c>
      <c r="L3806">
        <f t="shared" si="237"/>
        <v>90</v>
      </c>
      <c r="M3806" s="9">
        <f t="shared" si="238"/>
        <v>89.1</v>
      </c>
      <c r="N3806" t="str">
        <f t="shared" si="239"/>
        <v>Nov</v>
      </c>
    </row>
    <row r="3807" spans="1:14" x14ac:dyDescent="0.3">
      <c r="A3807" s="2" t="s">
        <v>3873</v>
      </c>
      <c r="B3807" s="6">
        <v>45987</v>
      </c>
      <c r="C3807" s="2" t="s">
        <v>44</v>
      </c>
      <c r="D3807" s="2" t="s">
        <v>129</v>
      </c>
      <c r="E3807" s="2">
        <v>1</v>
      </c>
      <c r="F3807" s="7">
        <v>149</v>
      </c>
      <c r="G3807" s="8">
        <v>0.2</v>
      </c>
      <c r="H3807" s="9" t="str">
        <f>INDEX(Products!$B$2:$B$37, MATCH(D3807, Products!$A$2:$A$37, 0))</f>
        <v>Power Bank 20000mAh</v>
      </c>
      <c r="I3807" t="str">
        <f>INDEX(Products!$C$2:$C$37, MATCH(D3807, Products!$A$2:$A$37, 0))</f>
        <v>Electronics</v>
      </c>
      <c r="J3807">
        <f>INDEX(Products!$E$2:$E$37, MATCH(D3807, Products!$A$2:$A$37, 0))</f>
        <v>70</v>
      </c>
      <c r="K3807" s="9">
        <f t="shared" si="236"/>
        <v>119.2</v>
      </c>
      <c r="L3807">
        <f t="shared" si="237"/>
        <v>70</v>
      </c>
      <c r="M3807" s="9">
        <f t="shared" si="238"/>
        <v>49.2</v>
      </c>
      <c r="N3807" t="str">
        <f t="shared" si="239"/>
        <v>Nov</v>
      </c>
    </row>
    <row r="3808" spans="1:14" x14ac:dyDescent="0.3">
      <c r="A3808" s="2" t="s">
        <v>3874</v>
      </c>
      <c r="B3808" s="6">
        <v>45987</v>
      </c>
      <c r="C3808" s="2" t="s">
        <v>44</v>
      </c>
      <c r="D3808" s="2" t="s">
        <v>103</v>
      </c>
      <c r="E3808" s="2">
        <v>1</v>
      </c>
      <c r="F3808" s="7">
        <v>89</v>
      </c>
      <c r="G3808" s="8">
        <v>0</v>
      </c>
      <c r="H3808" s="9" t="str">
        <f>INDEX(Products!$B$2:$B$37, MATCH(D3808, Products!$A$2:$A$37, 0))</f>
        <v>Sunscreen SPF50</v>
      </c>
      <c r="I3808" t="str">
        <f>INDEX(Products!$C$2:$C$37, MATCH(D3808, Products!$A$2:$A$37, 0))</f>
        <v>Beauty</v>
      </c>
      <c r="J3808">
        <f>INDEX(Products!$E$2:$E$37, MATCH(D3808, Products!$A$2:$A$37, 0))</f>
        <v>40</v>
      </c>
      <c r="K3808" s="9">
        <f t="shared" si="236"/>
        <v>89</v>
      </c>
      <c r="L3808">
        <f t="shared" si="237"/>
        <v>40</v>
      </c>
      <c r="M3808" s="9">
        <f t="shared" si="238"/>
        <v>49</v>
      </c>
      <c r="N3808" t="str">
        <f t="shared" si="239"/>
        <v>Nov</v>
      </c>
    </row>
    <row r="3809" spans="1:14" x14ac:dyDescent="0.3">
      <c r="A3809" s="2" t="s">
        <v>3875</v>
      </c>
      <c r="B3809" s="6">
        <v>45987</v>
      </c>
      <c r="C3809" s="2" t="s">
        <v>28</v>
      </c>
      <c r="D3809" s="2" t="s">
        <v>89</v>
      </c>
      <c r="E3809" s="2">
        <v>1</v>
      </c>
      <c r="F3809" s="7">
        <v>399</v>
      </c>
      <c r="G3809" s="8">
        <v>0.2</v>
      </c>
      <c r="H3809" s="9" t="str">
        <f>INDEX(Products!$B$2:$B$37, MATCH(D3809, Products!$A$2:$A$37, 0))</f>
        <v>Men's Kandura Premium</v>
      </c>
      <c r="I3809" t="str">
        <f>INDEX(Products!$C$2:$C$37, MATCH(D3809, Products!$A$2:$A$37, 0))</f>
        <v>Fashion</v>
      </c>
      <c r="J3809">
        <f>INDEX(Products!$E$2:$E$37, MATCH(D3809, Products!$A$2:$A$37, 0))</f>
        <v>210</v>
      </c>
      <c r="K3809" s="9">
        <f t="shared" si="236"/>
        <v>319.20000000000005</v>
      </c>
      <c r="L3809">
        <f t="shared" si="237"/>
        <v>210</v>
      </c>
      <c r="M3809" s="9">
        <f t="shared" si="238"/>
        <v>109.20000000000005</v>
      </c>
      <c r="N3809" t="str">
        <f t="shared" si="239"/>
        <v>Nov</v>
      </c>
    </row>
    <row r="3810" spans="1:14" x14ac:dyDescent="0.3">
      <c r="A3810" s="2" t="s">
        <v>3876</v>
      </c>
      <c r="B3810" s="6">
        <v>45987</v>
      </c>
      <c r="C3810" s="2" t="s">
        <v>28</v>
      </c>
      <c r="D3810" s="2" t="s">
        <v>60</v>
      </c>
      <c r="E3810" s="2">
        <v>2</v>
      </c>
      <c r="F3810" s="7">
        <v>99</v>
      </c>
      <c r="G3810" s="8">
        <v>0.2</v>
      </c>
      <c r="H3810" s="9" t="str">
        <f>INDEX(Products!$B$2:$B$37, MATCH(D3810, Products!$A$2:$A$37, 0))</f>
        <v>Football Size 5</v>
      </c>
      <c r="I3810" t="str">
        <f>INDEX(Products!$C$2:$C$37, MATCH(D3810, Products!$A$2:$A$37, 0))</f>
        <v>Sports</v>
      </c>
      <c r="J3810">
        <f>INDEX(Products!$E$2:$E$37, MATCH(D3810, Products!$A$2:$A$37, 0))</f>
        <v>45</v>
      </c>
      <c r="K3810" s="9">
        <f t="shared" si="236"/>
        <v>158.4</v>
      </c>
      <c r="L3810">
        <f t="shared" si="237"/>
        <v>90</v>
      </c>
      <c r="M3810" s="9">
        <f t="shared" si="238"/>
        <v>68.400000000000006</v>
      </c>
      <c r="N3810" t="str">
        <f t="shared" si="239"/>
        <v>Nov</v>
      </c>
    </row>
    <row r="3811" spans="1:14" x14ac:dyDescent="0.3">
      <c r="A3811" s="2" t="s">
        <v>3877</v>
      </c>
      <c r="B3811" s="6">
        <v>45987</v>
      </c>
      <c r="C3811" s="2" t="s">
        <v>41</v>
      </c>
      <c r="D3811" s="2" t="s">
        <v>194</v>
      </c>
      <c r="E3811" s="2">
        <v>2</v>
      </c>
      <c r="F3811" s="7">
        <v>699</v>
      </c>
      <c r="G3811" s="8">
        <v>0.1</v>
      </c>
      <c r="H3811" s="9" t="str">
        <f>INDEX(Products!$B$2:$B$37, MATCH(D3811, Products!$A$2:$A$37, 0))</f>
        <v>Leather Handbag</v>
      </c>
      <c r="I3811" t="str">
        <f>INDEX(Products!$C$2:$C$37, MATCH(D3811, Products!$A$2:$A$37, 0))</f>
        <v>Fashion</v>
      </c>
      <c r="J3811">
        <f>INDEX(Products!$E$2:$E$37, MATCH(D3811, Products!$A$2:$A$37, 0))</f>
        <v>380</v>
      </c>
      <c r="K3811" s="9">
        <f t="shared" si="236"/>
        <v>1258.2</v>
      </c>
      <c r="L3811">
        <f t="shared" si="237"/>
        <v>760</v>
      </c>
      <c r="M3811" s="9">
        <f t="shared" si="238"/>
        <v>498.20000000000005</v>
      </c>
      <c r="N3811" t="str">
        <f t="shared" si="239"/>
        <v>Nov</v>
      </c>
    </row>
    <row r="3812" spans="1:14" x14ac:dyDescent="0.3">
      <c r="A3812" s="2" t="s">
        <v>3878</v>
      </c>
      <c r="B3812" s="6">
        <v>45987</v>
      </c>
      <c r="C3812" s="2" t="s">
        <v>48</v>
      </c>
      <c r="D3812" s="2" t="s">
        <v>39</v>
      </c>
      <c r="E3812" s="2">
        <v>2</v>
      </c>
      <c r="F3812" s="7">
        <v>199</v>
      </c>
      <c r="G3812" s="8">
        <v>0</v>
      </c>
      <c r="H3812" s="9" t="str">
        <f>INDEX(Products!$B$2:$B$37, MATCH(D3812, Products!$A$2:$A$37, 0))</f>
        <v>Bakhoor Gift Set</v>
      </c>
      <c r="I3812" t="str">
        <f>INDEX(Products!$C$2:$C$37, MATCH(D3812, Products!$A$2:$A$37, 0))</f>
        <v>Beauty</v>
      </c>
      <c r="J3812">
        <f>INDEX(Products!$E$2:$E$37, MATCH(D3812, Products!$A$2:$A$37, 0))</f>
        <v>90</v>
      </c>
      <c r="K3812" s="9">
        <f t="shared" si="236"/>
        <v>398</v>
      </c>
      <c r="L3812">
        <f t="shared" si="237"/>
        <v>180</v>
      </c>
      <c r="M3812" s="9">
        <f t="shared" si="238"/>
        <v>218</v>
      </c>
      <c r="N3812" t="str">
        <f t="shared" si="239"/>
        <v>Nov</v>
      </c>
    </row>
    <row r="3813" spans="1:14" x14ac:dyDescent="0.3">
      <c r="A3813" s="2" t="s">
        <v>3879</v>
      </c>
      <c r="B3813" s="6">
        <v>45988</v>
      </c>
      <c r="C3813" s="2" t="s">
        <v>28</v>
      </c>
      <c r="D3813" s="2" t="s">
        <v>65</v>
      </c>
      <c r="E3813" s="2">
        <v>1</v>
      </c>
      <c r="F3813" s="7">
        <v>129</v>
      </c>
      <c r="G3813" s="8">
        <v>0.2</v>
      </c>
      <c r="H3813" s="9" t="str">
        <f>INDEX(Products!$B$2:$B$37, MATCH(D3813, Products!$A$2:$A$37, 0))</f>
        <v>Yoga Mat Premium</v>
      </c>
      <c r="I3813" t="str">
        <f>INDEX(Products!$C$2:$C$37, MATCH(D3813, Products!$A$2:$A$37, 0))</f>
        <v>Sports</v>
      </c>
      <c r="J3813">
        <f>INDEX(Products!$E$2:$E$37, MATCH(D3813, Products!$A$2:$A$37, 0))</f>
        <v>60</v>
      </c>
      <c r="K3813" s="9">
        <f t="shared" si="236"/>
        <v>103.2</v>
      </c>
      <c r="L3813">
        <f t="shared" si="237"/>
        <v>60</v>
      </c>
      <c r="M3813" s="9">
        <f t="shared" si="238"/>
        <v>43.2</v>
      </c>
      <c r="N3813" t="str">
        <f t="shared" si="239"/>
        <v>Nov</v>
      </c>
    </row>
    <row r="3814" spans="1:14" x14ac:dyDescent="0.3">
      <c r="A3814" s="2" t="s">
        <v>3880</v>
      </c>
      <c r="B3814" s="6">
        <v>45988</v>
      </c>
      <c r="C3814" s="2" t="s">
        <v>44</v>
      </c>
      <c r="D3814" s="2" t="s">
        <v>68</v>
      </c>
      <c r="E3814" s="2">
        <v>1</v>
      </c>
      <c r="F3814" s="7">
        <v>249</v>
      </c>
      <c r="G3814" s="8">
        <v>0.05</v>
      </c>
      <c r="H3814" s="9" t="str">
        <f>INDEX(Products!$B$2:$B$37, MATCH(D3814, Products!$A$2:$A$37, 0))</f>
        <v>Bluetooth Speaker Mini</v>
      </c>
      <c r="I3814" t="str">
        <f>INDEX(Products!$C$2:$C$37, MATCH(D3814, Products!$A$2:$A$37, 0))</f>
        <v>Electronics</v>
      </c>
      <c r="J3814">
        <f>INDEX(Products!$E$2:$E$37, MATCH(D3814, Products!$A$2:$A$37, 0))</f>
        <v>150</v>
      </c>
      <c r="K3814" s="9">
        <f t="shared" si="236"/>
        <v>236.54999999999998</v>
      </c>
      <c r="L3814">
        <f t="shared" si="237"/>
        <v>150</v>
      </c>
      <c r="M3814" s="9">
        <f t="shared" si="238"/>
        <v>86.549999999999983</v>
      </c>
      <c r="N3814" t="str">
        <f t="shared" si="239"/>
        <v>Nov</v>
      </c>
    </row>
    <row r="3815" spans="1:14" x14ac:dyDescent="0.3">
      <c r="A3815" s="2" t="s">
        <v>3881</v>
      </c>
      <c r="B3815" s="6">
        <v>45988</v>
      </c>
      <c r="C3815" s="2" t="s">
        <v>41</v>
      </c>
      <c r="D3815" s="2" t="s">
        <v>165</v>
      </c>
      <c r="E3815" s="2">
        <v>1</v>
      </c>
      <c r="F3815" s="7">
        <v>69</v>
      </c>
      <c r="G3815" s="8">
        <v>0.2</v>
      </c>
      <c r="H3815" s="9" t="str">
        <f>INDEX(Products!$B$2:$B$37, MATCH(D3815, Products!$A$2:$A$37, 0))</f>
        <v>Swim Goggles</v>
      </c>
      <c r="I3815" t="str">
        <f>INDEX(Products!$C$2:$C$37, MATCH(D3815, Products!$A$2:$A$37, 0))</f>
        <v>Sports</v>
      </c>
      <c r="J3815">
        <f>INDEX(Products!$E$2:$E$37, MATCH(D3815, Products!$A$2:$A$37, 0))</f>
        <v>25</v>
      </c>
      <c r="K3815" s="9">
        <f t="shared" si="236"/>
        <v>55.2</v>
      </c>
      <c r="L3815">
        <f t="shared" si="237"/>
        <v>25</v>
      </c>
      <c r="M3815" s="9">
        <f t="shared" si="238"/>
        <v>30.200000000000003</v>
      </c>
      <c r="N3815" t="str">
        <f t="shared" si="239"/>
        <v>Nov</v>
      </c>
    </row>
    <row r="3816" spans="1:14" x14ac:dyDescent="0.3">
      <c r="A3816" s="2" t="s">
        <v>3882</v>
      </c>
      <c r="B3816" s="6">
        <v>45988</v>
      </c>
      <c r="C3816" s="2" t="s">
        <v>41</v>
      </c>
      <c r="D3816" s="2" t="s">
        <v>106</v>
      </c>
      <c r="E3816" s="2">
        <v>2</v>
      </c>
      <c r="F3816" s="7">
        <v>1299</v>
      </c>
      <c r="G3816" s="8">
        <v>0.3</v>
      </c>
      <c r="H3816" s="9" t="str">
        <f>INDEX(Products!$B$2:$B$37, MATCH(D3816, Products!$A$2:$A$37, 0))</f>
        <v>Smart Watch Series 5</v>
      </c>
      <c r="I3816" t="str">
        <f>INDEX(Products!$C$2:$C$37, MATCH(D3816, Products!$A$2:$A$37, 0))</f>
        <v>Electronics</v>
      </c>
      <c r="J3816">
        <f>INDEX(Products!$E$2:$E$37, MATCH(D3816, Products!$A$2:$A$37, 0))</f>
        <v>820</v>
      </c>
      <c r="K3816" s="9">
        <f t="shared" si="236"/>
        <v>1818.6</v>
      </c>
      <c r="L3816">
        <f t="shared" si="237"/>
        <v>1640</v>
      </c>
      <c r="M3816" s="9">
        <f t="shared" si="238"/>
        <v>178.59999999999991</v>
      </c>
      <c r="N3816" t="str">
        <f t="shared" si="239"/>
        <v>Nov</v>
      </c>
    </row>
    <row r="3817" spans="1:14" x14ac:dyDescent="0.3">
      <c r="A3817" s="2" t="s">
        <v>3883</v>
      </c>
      <c r="B3817" s="6">
        <v>45988</v>
      </c>
      <c r="C3817" s="2" t="s">
        <v>44</v>
      </c>
      <c r="D3817" s="2" t="s">
        <v>80</v>
      </c>
      <c r="E3817" s="2">
        <v>1</v>
      </c>
      <c r="F3817" s="7">
        <v>149</v>
      </c>
      <c r="G3817" s="8">
        <v>0.2</v>
      </c>
      <c r="H3817" s="9" t="str">
        <f>INDEX(Products!$B$2:$B$37, MATCH(D3817, Products!$A$2:$A$37, 0))</f>
        <v>Vitamin C Serum</v>
      </c>
      <c r="I3817" t="str">
        <f>INDEX(Products!$C$2:$C$37, MATCH(D3817, Products!$A$2:$A$37, 0))</f>
        <v>Beauty</v>
      </c>
      <c r="J3817">
        <f>INDEX(Products!$E$2:$E$37, MATCH(D3817, Products!$A$2:$A$37, 0))</f>
        <v>55</v>
      </c>
      <c r="K3817" s="9">
        <f t="shared" si="236"/>
        <v>119.2</v>
      </c>
      <c r="L3817">
        <f t="shared" si="237"/>
        <v>55</v>
      </c>
      <c r="M3817" s="9">
        <f t="shared" si="238"/>
        <v>64.2</v>
      </c>
      <c r="N3817" t="str">
        <f t="shared" si="239"/>
        <v>Nov</v>
      </c>
    </row>
    <row r="3818" spans="1:14" x14ac:dyDescent="0.3">
      <c r="A3818" s="2" t="s">
        <v>3884</v>
      </c>
      <c r="B3818" s="6">
        <v>45988</v>
      </c>
      <c r="C3818" s="2" t="s">
        <v>31</v>
      </c>
      <c r="D3818" s="2" t="s">
        <v>95</v>
      </c>
      <c r="E3818" s="2">
        <v>1</v>
      </c>
      <c r="F3818" s="7">
        <v>259</v>
      </c>
      <c r="G3818" s="8">
        <v>0.05</v>
      </c>
      <c r="H3818" s="9" t="str">
        <f>INDEX(Products!$B$2:$B$37, MATCH(D3818, Products!$A$2:$A$37, 0))</f>
        <v>Bed Linen Set (King)</v>
      </c>
      <c r="I3818" t="str">
        <f>INDEX(Products!$C$2:$C$37, MATCH(D3818, Products!$A$2:$A$37, 0))</f>
        <v>Home &amp; Kitchen</v>
      </c>
      <c r="J3818">
        <f>INDEX(Products!$E$2:$E$37, MATCH(D3818, Products!$A$2:$A$37, 0))</f>
        <v>115</v>
      </c>
      <c r="K3818" s="9">
        <f t="shared" si="236"/>
        <v>246.04999999999998</v>
      </c>
      <c r="L3818">
        <f t="shared" si="237"/>
        <v>115</v>
      </c>
      <c r="M3818" s="9">
        <f t="shared" si="238"/>
        <v>131.04999999999998</v>
      </c>
      <c r="N3818" t="str">
        <f t="shared" si="239"/>
        <v>Nov</v>
      </c>
    </row>
    <row r="3819" spans="1:14" x14ac:dyDescent="0.3">
      <c r="A3819" s="2" t="s">
        <v>3885</v>
      </c>
      <c r="B3819" s="6">
        <v>45988</v>
      </c>
      <c r="C3819" s="2" t="s">
        <v>48</v>
      </c>
      <c r="D3819" s="2" t="s">
        <v>29</v>
      </c>
      <c r="E3819" s="2">
        <v>2</v>
      </c>
      <c r="F3819" s="7">
        <v>229</v>
      </c>
      <c r="G3819" s="8">
        <v>0</v>
      </c>
      <c r="H3819" s="9" t="str">
        <f>INDEX(Products!$B$2:$B$37, MATCH(D3819, Products!$A$2:$A$37, 0))</f>
        <v>Women's Summer Dress</v>
      </c>
      <c r="I3819" t="str">
        <f>INDEX(Products!$C$2:$C$37, MATCH(D3819, Products!$A$2:$A$37, 0))</f>
        <v>Fashion</v>
      </c>
      <c r="J3819">
        <f>INDEX(Products!$E$2:$E$37, MATCH(D3819, Products!$A$2:$A$37, 0))</f>
        <v>120</v>
      </c>
      <c r="K3819" s="9">
        <f t="shared" si="236"/>
        <v>458</v>
      </c>
      <c r="L3819">
        <f t="shared" si="237"/>
        <v>240</v>
      </c>
      <c r="M3819" s="9">
        <f t="shared" si="238"/>
        <v>218</v>
      </c>
      <c r="N3819" t="str">
        <f t="shared" si="239"/>
        <v>Nov</v>
      </c>
    </row>
    <row r="3820" spans="1:14" x14ac:dyDescent="0.3">
      <c r="A3820" s="2" t="s">
        <v>3886</v>
      </c>
      <c r="B3820" s="6">
        <v>45988</v>
      </c>
      <c r="C3820" s="2" t="s">
        <v>41</v>
      </c>
      <c r="D3820" s="2" t="s">
        <v>194</v>
      </c>
      <c r="E3820" s="2">
        <v>1</v>
      </c>
      <c r="F3820" s="7">
        <v>699</v>
      </c>
      <c r="G3820" s="8">
        <v>0.2</v>
      </c>
      <c r="H3820" s="9" t="str">
        <f>INDEX(Products!$B$2:$B$37, MATCH(D3820, Products!$A$2:$A$37, 0))</f>
        <v>Leather Handbag</v>
      </c>
      <c r="I3820" t="str">
        <f>INDEX(Products!$C$2:$C$37, MATCH(D3820, Products!$A$2:$A$37, 0))</f>
        <v>Fashion</v>
      </c>
      <c r="J3820">
        <f>INDEX(Products!$E$2:$E$37, MATCH(D3820, Products!$A$2:$A$37, 0))</f>
        <v>380</v>
      </c>
      <c r="K3820" s="9">
        <f t="shared" si="236"/>
        <v>559.20000000000005</v>
      </c>
      <c r="L3820">
        <f t="shared" si="237"/>
        <v>380</v>
      </c>
      <c r="M3820" s="9">
        <f t="shared" si="238"/>
        <v>179.20000000000005</v>
      </c>
      <c r="N3820" t="str">
        <f t="shared" si="239"/>
        <v>Nov</v>
      </c>
    </row>
    <row r="3821" spans="1:14" x14ac:dyDescent="0.3">
      <c r="A3821" s="2" t="s">
        <v>3887</v>
      </c>
      <c r="B3821" s="6">
        <v>45989</v>
      </c>
      <c r="C3821" s="2" t="s">
        <v>28</v>
      </c>
      <c r="D3821" s="2" t="s">
        <v>103</v>
      </c>
      <c r="E3821" s="2">
        <v>1</v>
      </c>
      <c r="F3821" s="7">
        <v>89</v>
      </c>
      <c r="G3821" s="8">
        <v>0.2</v>
      </c>
      <c r="H3821" s="9" t="str">
        <f>INDEX(Products!$B$2:$B$37, MATCH(D3821, Products!$A$2:$A$37, 0))</f>
        <v>Sunscreen SPF50</v>
      </c>
      <c r="I3821" t="str">
        <f>INDEX(Products!$C$2:$C$37, MATCH(D3821, Products!$A$2:$A$37, 0))</f>
        <v>Beauty</v>
      </c>
      <c r="J3821">
        <f>INDEX(Products!$E$2:$E$37, MATCH(D3821, Products!$A$2:$A$37, 0))</f>
        <v>40</v>
      </c>
      <c r="K3821" s="9">
        <f t="shared" si="236"/>
        <v>71.2</v>
      </c>
      <c r="L3821">
        <f t="shared" si="237"/>
        <v>40</v>
      </c>
      <c r="M3821" s="9">
        <f t="shared" si="238"/>
        <v>31.200000000000003</v>
      </c>
      <c r="N3821" t="str">
        <f t="shared" si="239"/>
        <v>Nov</v>
      </c>
    </row>
    <row r="3822" spans="1:14" x14ac:dyDescent="0.3">
      <c r="A3822" s="2" t="s">
        <v>3888</v>
      </c>
      <c r="B3822" s="6">
        <v>45989</v>
      </c>
      <c r="C3822" s="2" t="s">
        <v>44</v>
      </c>
      <c r="D3822" s="2" t="s">
        <v>149</v>
      </c>
      <c r="E3822" s="2">
        <v>1</v>
      </c>
      <c r="F3822" s="7">
        <v>399</v>
      </c>
      <c r="G3822" s="8">
        <v>0.15</v>
      </c>
      <c r="H3822" s="9" t="str">
        <f>INDEX(Products!$B$2:$B$37, MATCH(D3822, Products!$A$2:$A$37, 0))</f>
        <v>Blender Pro 1200W</v>
      </c>
      <c r="I3822" t="str">
        <f>INDEX(Products!$C$2:$C$37, MATCH(D3822, Products!$A$2:$A$37, 0))</f>
        <v>Home &amp; Kitchen</v>
      </c>
      <c r="J3822">
        <f>INDEX(Products!$E$2:$E$37, MATCH(D3822, Products!$A$2:$A$37, 0))</f>
        <v>250</v>
      </c>
      <c r="K3822" s="9">
        <f t="shared" si="236"/>
        <v>339.15</v>
      </c>
      <c r="L3822">
        <f t="shared" si="237"/>
        <v>250</v>
      </c>
      <c r="M3822" s="9">
        <f t="shared" si="238"/>
        <v>89.149999999999977</v>
      </c>
      <c r="N3822" t="str">
        <f t="shared" si="239"/>
        <v>Nov</v>
      </c>
    </row>
    <row r="3823" spans="1:14" x14ac:dyDescent="0.3">
      <c r="A3823" s="2" t="s">
        <v>3889</v>
      </c>
      <c r="B3823" s="6">
        <v>45989</v>
      </c>
      <c r="C3823" s="2" t="s">
        <v>44</v>
      </c>
      <c r="D3823" s="2" t="s">
        <v>42</v>
      </c>
      <c r="E3823" s="2">
        <v>1</v>
      </c>
      <c r="F3823" s="7">
        <v>399</v>
      </c>
      <c r="G3823" s="8">
        <v>0.2</v>
      </c>
      <c r="H3823" s="9" t="str">
        <f>INDEX(Products!$B$2:$B$37, MATCH(D3823, Products!$A$2:$A$37, 0))</f>
        <v>Wireless Earbuds Pro</v>
      </c>
      <c r="I3823" t="str">
        <f>INDEX(Products!$C$2:$C$37, MATCH(D3823, Products!$A$2:$A$37, 0))</f>
        <v>Electronics</v>
      </c>
      <c r="J3823">
        <f>INDEX(Products!$E$2:$E$37, MATCH(D3823, Products!$A$2:$A$37, 0))</f>
        <v>230</v>
      </c>
      <c r="K3823" s="9">
        <f t="shared" si="236"/>
        <v>319.20000000000005</v>
      </c>
      <c r="L3823">
        <f t="shared" si="237"/>
        <v>230</v>
      </c>
      <c r="M3823" s="9">
        <f t="shared" si="238"/>
        <v>89.200000000000045</v>
      </c>
      <c r="N3823" t="str">
        <f t="shared" si="239"/>
        <v>Nov</v>
      </c>
    </row>
    <row r="3824" spans="1:14" x14ac:dyDescent="0.3">
      <c r="A3824" s="2" t="s">
        <v>3890</v>
      </c>
      <c r="B3824" s="6">
        <v>45989</v>
      </c>
      <c r="C3824" s="2" t="s">
        <v>31</v>
      </c>
      <c r="D3824" s="2" t="s">
        <v>68</v>
      </c>
      <c r="E3824" s="2">
        <v>2</v>
      </c>
      <c r="F3824" s="7">
        <v>249</v>
      </c>
      <c r="G3824" s="8">
        <v>0.2</v>
      </c>
      <c r="H3824" s="9" t="str">
        <f>INDEX(Products!$B$2:$B$37, MATCH(D3824, Products!$A$2:$A$37, 0))</f>
        <v>Bluetooth Speaker Mini</v>
      </c>
      <c r="I3824" t="str">
        <f>INDEX(Products!$C$2:$C$37, MATCH(D3824, Products!$A$2:$A$37, 0))</f>
        <v>Electronics</v>
      </c>
      <c r="J3824">
        <f>INDEX(Products!$E$2:$E$37, MATCH(D3824, Products!$A$2:$A$37, 0))</f>
        <v>150</v>
      </c>
      <c r="K3824" s="9">
        <f t="shared" si="236"/>
        <v>398.40000000000003</v>
      </c>
      <c r="L3824">
        <f t="shared" si="237"/>
        <v>300</v>
      </c>
      <c r="M3824" s="9">
        <f t="shared" si="238"/>
        <v>98.400000000000034</v>
      </c>
      <c r="N3824" t="str">
        <f t="shared" si="239"/>
        <v>Nov</v>
      </c>
    </row>
    <row r="3825" spans="1:14" x14ac:dyDescent="0.3">
      <c r="A3825" s="2" t="s">
        <v>3891</v>
      </c>
      <c r="B3825" s="6">
        <v>45989</v>
      </c>
      <c r="C3825" s="2" t="s">
        <v>31</v>
      </c>
      <c r="D3825" s="2" t="s">
        <v>37</v>
      </c>
      <c r="E3825" s="2">
        <v>1</v>
      </c>
      <c r="F3825" s="7">
        <v>249</v>
      </c>
      <c r="G3825" s="8">
        <v>0</v>
      </c>
      <c r="H3825" s="9" t="str">
        <f>INDEX(Products!$B$2:$B$37, MATCH(D3825, Products!$A$2:$A$37, 0))</f>
        <v>Sunglasses Polarised</v>
      </c>
      <c r="I3825" t="str">
        <f>INDEX(Products!$C$2:$C$37, MATCH(D3825, Products!$A$2:$A$37, 0))</f>
        <v>Fashion</v>
      </c>
      <c r="J3825">
        <f>INDEX(Products!$E$2:$E$37, MATCH(D3825, Products!$A$2:$A$37, 0))</f>
        <v>95</v>
      </c>
      <c r="K3825" s="9">
        <f t="shared" si="236"/>
        <v>249</v>
      </c>
      <c r="L3825">
        <f t="shared" si="237"/>
        <v>95</v>
      </c>
      <c r="M3825" s="9">
        <f t="shared" si="238"/>
        <v>154</v>
      </c>
      <c r="N3825" t="str">
        <f t="shared" si="239"/>
        <v>Nov</v>
      </c>
    </row>
    <row r="3826" spans="1:14" x14ac:dyDescent="0.3">
      <c r="A3826" s="2" t="s">
        <v>3892</v>
      </c>
      <c r="B3826" s="6">
        <v>45989</v>
      </c>
      <c r="C3826" s="2" t="s">
        <v>28</v>
      </c>
      <c r="D3826" s="2" t="s">
        <v>49</v>
      </c>
      <c r="E3826" s="2">
        <v>2</v>
      </c>
      <c r="F3826" s="7">
        <v>149</v>
      </c>
      <c r="G3826" s="8">
        <v>0.1</v>
      </c>
      <c r="H3826" s="9" t="str">
        <f>INDEX(Products!$B$2:$B$37, MATCH(D3826, Products!$A$2:$A$37, 0))</f>
        <v>Kids' Sneakers</v>
      </c>
      <c r="I3826" t="str">
        <f>INDEX(Products!$C$2:$C$37, MATCH(D3826, Products!$A$2:$A$37, 0))</f>
        <v>Fashion</v>
      </c>
      <c r="J3826">
        <f>INDEX(Products!$E$2:$E$37, MATCH(D3826, Products!$A$2:$A$37, 0))</f>
        <v>80</v>
      </c>
      <c r="K3826" s="9">
        <f t="shared" si="236"/>
        <v>268.2</v>
      </c>
      <c r="L3826">
        <f t="shared" si="237"/>
        <v>160</v>
      </c>
      <c r="M3826" s="9">
        <f t="shared" si="238"/>
        <v>108.19999999999999</v>
      </c>
      <c r="N3826" t="str">
        <f t="shared" si="239"/>
        <v>Nov</v>
      </c>
    </row>
    <row r="3827" spans="1:14" x14ac:dyDescent="0.3">
      <c r="A3827" s="2" t="s">
        <v>3893</v>
      </c>
      <c r="B3827" s="6">
        <v>45989</v>
      </c>
      <c r="C3827" s="2" t="s">
        <v>48</v>
      </c>
      <c r="D3827" s="2" t="s">
        <v>87</v>
      </c>
      <c r="E3827" s="2">
        <v>2</v>
      </c>
      <c r="F3827" s="7">
        <v>799</v>
      </c>
      <c r="G3827" s="8">
        <v>0.1</v>
      </c>
      <c r="H3827" s="9" t="str">
        <f>INDEX(Products!$B$2:$B$37, MATCH(D3827, Products!$A$2:$A$37, 0))</f>
        <v>Adjustable Dumbbells</v>
      </c>
      <c r="I3827" t="str">
        <f>INDEX(Products!$C$2:$C$37, MATCH(D3827, Products!$A$2:$A$37, 0))</f>
        <v>Sports</v>
      </c>
      <c r="J3827">
        <f>INDEX(Products!$E$2:$E$37, MATCH(D3827, Products!$A$2:$A$37, 0))</f>
        <v>700</v>
      </c>
      <c r="K3827" s="9">
        <f t="shared" si="236"/>
        <v>1438.2</v>
      </c>
      <c r="L3827">
        <f t="shared" si="237"/>
        <v>1400</v>
      </c>
      <c r="M3827" s="9">
        <f t="shared" si="238"/>
        <v>38.200000000000045</v>
      </c>
      <c r="N3827" t="str">
        <f t="shared" si="239"/>
        <v>Nov</v>
      </c>
    </row>
    <row r="3828" spans="1:14" x14ac:dyDescent="0.3">
      <c r="A3828" s="2" t="s">
        <v>3894</v>
      </c>
      <c r="B3828" s="6">
        <v>45989</v>
      </c>
      <c r="C3828" s="2" t="s">
        <v>41</v>
      </c>
      <c r="D3828" s="2" t="s">
        <v>103</v>
      </c>
      <c r="E3828" s="2">
        <v>3</v>
      </c>
      <c r="F3828" s="7">
        <v>89</v>
      </c>
      <c r="G3828" s="8">
        <v>0.1</v>
      </c>
      <c r="H3828" s="9" t="str">
        <f>INDEX(Products!$B$2:$B$37, MATCH(D3828, Products!$A$2:$A$37, 0))</f>
        <v>Sunscreen SPF50</v>
      </c>
      <c r="I3828" t="str">
        <f>INDEX(Products!$C$2:$C$37, MATCH(D3828, Products!$A$2:$A$37, 0))</f>
        <v>Beauty</v>
      </c>
      <c r="J3828">
        <f>INDEX(Products!$E$2:$E$37, MATCH(D3828, Products!$A$2:$A$37, 0))</f>
        <v>40</v>
      </c>
      <c r="K3828" s="9">
        <f t="shared" si="236"/>
        <v>240.3</v>
      </c>
      <c r="L3828">
        <f t="shared" si="237"/>
        <v>120</v>
      </c>
      <c r="M3828" s="9">
        <f t="shared" si="238"/>
        <v>120.30000000000001</v>
      </c>
      <c r="N3828" t="str">
        <f t="shared" si="239"/>
        <v>Nov</v>
      </c>
    </row>
    <row r="3829" spans="1:14" x14ac:dyDescent="0.3">
      <c r="A3829" s="2" t="s">
        <v>3895</v>
      </c>
      <c r="B3829" s="6">
        <v>45989</v>
      </c>
      <c r="C3829" s="2" t="s">
        <v>41</v>
      </c>
      <c r="D3829" s="2" t="s">
        <v>29</v>
      </c>
      <c r="E3829" s="2">
        <v>1</v>
      </c>
      <c r="F3829" s="7">
        <v>229</v>
      </c>
      <c r="G3829" s="8">
        <v>0.2</v>
      </c>
      <c r="H3829" s="9" t="str">
        <f>INDEX(Products!$B$2:$B$37, MATCH(D3829, Products!$A$2:$A$37, 0))</f>
        <v>Women's Summer Dress</v>
      </c>
      <c r="I3829" t="str">
        <f>INDEX(Products!$C$2:$C$37, MATCH(D3829, Products!$A$2:$A$37, 0))</f>
        <v>Fashion</v>
      </c>
      <c r="J3829">
        <f>INDEX(Products!$E$2:$E$37, MATCH(D3829, Products!$A$2:$A$37, 0))</f>
        <v>120</v>
      </c>
      <c r="K3829" s="9">
        <f t="shared" si="236"/>
        <v>183.20000000000002</v>
      </c>
      <c r="L3829">
        <f t="shared" si="237"/>
        <v>120</v>
      </c>
      <c r="M3829" s="9">
        <f t="shared" si="238"/>
        <v>63.200000000000017</v>
      </c>
      <c r="N3829" t="str">
        <f t="shared" si="239"/>
        <v>Nov</v>
      </c>
    </row>
    <row r="3830" spans="1:14" x14ac:dyDescent="0.3">
      <c r="A3830" s="2" t="s">
        <v>3896</v>
      </c>
      <c r="B3830" s="6">
        <v>45989</v>
      </c>
      <c r="C3830" s="2" t="s">
        <v>41</v>
      </c>
      <c r="D3830" s="2" t="s">
        <v>95</v>
      </c>
      <c r="E3830" s="2">
        <v>1</v>
      </c>
      <c r="F3830" s="7">
        <v>259</v>
      </c>
      <c r="G3830" s="8">
        <v>0.05</v>
      </c>
      <c r="H3830" s="9" t="str">
        <f>INDEX(Products!$B$2:$B$37, MATCH(D3830, Products!$A$2:$A$37, 0))</f>
        <v>Bed Linen Set (King)</v>
      </c>
      <c r="I3830" t="str">
        <f>INDEX(Products!$C$2:$C$37, MATCH(D3830, Products!$A$2:$A$37, 0))</f>
        <v>Home &amp; Kitchen</v>
      </c>
      <c r="J3830">
        <f>INDEX(Products!$E$2:$E$37, MATCH(D3830, Products!$A$2:$A$37, 0))</f>
        <v>115</v>
      </c>
      <c r="K3830" s="9">
        <f t="shared" si="236"/>
        <v>246.04999999999998</v>
      </c>
      <c r="L3830">
        <f t="shared" si="237"/>
        <v>115</v>
      </c>
      <c r="M3830" s="9">
        <f t="shared" si="238"/>
        <v>131.04999999999998</v>
      </c>
      <c r="N3830" t="str">
        <f t="shared" si="239"/>
        <v>Nov</v>
      </c>
    </row>
    <row r="3831" spans="1:14" x14ac:dyDescent="0.3">
      <c r="A3831" s="2" t="s">
        <v>3897</v>
      </c>
      <c r="B3831" s="6">
        <v>45989</v>
      </c>
      <c r="C3831" s="2" t="s">
        <v>41</v>
      </c>
      <c r="D3831" s="2" t="s">
        <v>68</v>
      </c>
      <c r="E3831" s="2">
        <v>3</v>
      </c>
      <c r="F3831" s="7">
        <v>249</v>
      </c>
      <c r="G3831" s="8">
        <v>0.2</v>
      </c>
      <c r="H3831" s="9" t="str">
        <f>INDEX(Products!$B$2:$B$37, MATCH(D3831, Products!$A$2:$A$37, 0))</f>
        <v>Bluetooth Speaker Mini</v>
      </c>
      <c r="I3831" t="str">
        <f>INDEX(Products!$C$2:$C$37, MATCH(D3831, Products!$A$2:$A$37, 0))</f>
        <v>Electronics</v>
      </c>
      <c r="J3831">
        <f>INDEX(Products!$E$2:$E$37, MATCH(D3831, Products!$A$2:$A$37, 0))</f>
        <v>150</v>
      </c>
      <c r="K3831" s="9">
        <f t="shared" si="236"/>
        <v>597.6</v>
      </c>
      <c r="L3831">
        <f t="shared" si="237"/>
        <v>450</v>
      </c>
      <c r="M3831" s="9">
        <f t="shared" si="238"/>
        <v>147.60000000000002</v>
      </c>
      <c r="N3831" t="str">
        <f t="shared" si="239"/>
        <v>Nov</v>
      </c>
    </row>
    <row r="3832" spans="1:14" x14ac:dyDescent="0.3">
      <c r="A3832" s="2" t="s">
        <v>3898</v>
      </c>
      <c r="B3832" s="6">
        <v>45989</v>
      </c>
      <c r="C3832" s="2" t="s">
        <v>44</v>
      </c>
      <c r="D3832" s="2" t="s">
        <v>37</v>
      </c>
      <c r="E3832" s="2">
        <v>2</v>
      </c>
      <c r="F3832" s="7">
        <v>249</v>
      </c>
      <c r="G3832" s="8">
        <v>0.2</v>
      </c>
      <c r="H3832" s="9" t="str">
        <f>INDEX(Products!$B$2:$B$37, MATCH(D3832, Products!$A$2:$A$37, 0))</f>
        <v>Sunglasses Polarised</v>
      </c>
      <c r="I3832" t="str">
        <f>INDEX(Products!$C$2:$C$37, MATCH(D3832, Products!$A$2:$A$37, 0))</f>
        <v>Fashion</v>
      </c>
      <c r="J3832">
        <f>INDEX(Products!$E$2:$E$37, MATCH(D3832, Products!$A$2:$A$37, 0))</f>
        <v>95</v>
      </c>
      <c r="K3832" s="9">
        <f t="shared" si="236"/>
        <v>398.40000000000003</v>
      </c>
      <c r="L3832">
        <f t="shared" si="237"/>
        <v>190</v>
      </c>
      <c r="M3832" s="9">
        <f t="shared" si="238"/>
        <v>208.40000000000003</v>
      </c>
      <c r="N3832" t="str">
        <f t="shared" si="239"/>
        <v>Nov</v>
      </c>
    </row>
    <row r="3833" spans="1:14" x14ac:dyDescent="0.3">
      <c r="A3833" s="2" t="s">
        <v>3899</v>
      </c>
      <c r="B3833" s="6">
        <v>45990</v>
      </c>
      <c r="C3833" s="2" t="s">
        <v>44</v>
      </c>
      <c r="D3833" s="2" t="s">
        <v>129</v>
      </c>
      <c r="E3833" s="2">
        <v>1</v>
      </c>
      <c r="F3833" s="7">
        <v>149</v>
      </c>
      <c r="G3833" s="8">
        <v>0.2</v>
      </c>
      <c r="H3833" s="9" t="str">
        <f>INDEX(Products!$B$2:$B$37, MATCH(D3833, Products!$A$2:$A$37, 0))</f>
        <v>Power Bank 20000mAh</v>
      </c>
      <c r="I3833" t="str">
        <f>INDEX(Products!$C$2:$C$37, MATCH(D3833, Products!$A$2:$A$37, 0))</f>
        <v>Electronics</v>
      </c>
      <c r="J3833">
        <f>INDEX(Products!$E$2:$E$37, MATCH(D3833, Products!$A$2:$A$37, 0))</f>
        <v>70</v>
      </c>
      <c r="K3833" s="9">
        <f t="shared" si="236"/>
        <v>119.2</v>
      </c>
      <c r="L3833">
        <f t="shared" si="237"/>
        <v>70</v>
      </c>
      <c r="M3833" s="9">
        <f t="shared" si="238"/>
        <v>49.2</v>
      </c>
      <c r="N3833" t="str">
        <f t="shared" si="239"/>
        <v>Nov</v>
      </c>
    </row>
    <row r="3834" spans="1:14" x14ac:dyDescent="0.3">
      <c r="A3834" s="2" t="s">
        <v>3900</v>
      </c>
      <c r="B3834" s="6">
        <v>45990</v>
      </c>
      <c r="C3834" s="2" t="s">
        <v>31</v>
      </c>
      <c r="D3834" s="2" t="s">
        <v>126</v>
      </c>
      <c r="E3834" s="2">
        <v>3</v>
      </c>
      <c r="F3834" s="7">
        <v>89</v>
      </c>
      <c r="G3834" s="8">
        <v>0.2</v>
      </c>
      <c r="H3834" s="9" t="str">
        <f>INDEX(Products!$B$2:$B$37, MATCH(D3834, Products!$A$2:$A$37, 0))</f>
        <v>USB-C Fast Charger</v>
      </c>
      <c r="I3834" t="str">
        <f>INDEX(Products!$C$2:$C$37, MATCH(D3834, Products!$A$2:$A$37, 0))</f>
        <v>Electronics</v>
      </c>
      <c r="J3834">
        <f>INDEX(Products!$E$2:$E$37, MATCH(D3834, Products!$A$2:$A$37, 0))</f>
        <v>35</v>
      </c>
      <c r="K3834" s="9">
        <f t="shared" si="236"/>
        <v>213.60000000000002</v>
      </c>
      <c r="L3834">
        <f t="shared" si="237"/>
        <v>105</v>
      </c>
      <c r="M3834" s="9">
        <f t="shared" si="238"/>
        <v>108.60000000000002</v>
      </c>
      <c r="N3834" t="str">
        <f t="shared" si="239"/>
        <v>Nov</v>
      </c>
    </row>
    <row r="3835" spans="1:14" x14ac:dyDescent="0.3">
      <c r="A3835" s="2" t="s">
        <v>3901</v>
      </c>
      <c r="B3835" s="6">
        <v>45990</v>
      </c>
      <c r="C3835" s="2" t="s">
        <v>31</v>
      </c>
      <c r="D3835" s="2" t="s">
        <v>68</v>
      </c>
      <c r="E3835" s="2">
        <v>2</v>
      </c>
      <c r="F3835" s="7">
        <v>249</v>
      </c>
      <c r="G3835" s="8">
        <v>0.2</v>
      </c>
      <c r="H3835" s="9" t="str">
        <f>INDEX(Products!$B$2:$B$37, MATCH(D3835, Products!$A$2:$A$37, 0))</f>
        <v>Bluetooth Speaker Mini</v>
      </c>
      <c r="I3835" t="str">
        <f>INDEX(Products!$C$2:$C$37, MATCH(D3835, Products!$A$2:$A$37, 0))</f>
        <v>Electronics</v>
      </c>
      <c r="J3835">
        <f>INDEX(Products!$E$2:$E$37, MATCH(D3835, Products!$A$2:$A$37, 0))</f>
        <v>150</v>
      </c>
      <c r="K3835" s="9">
        <f t="shared" si="236"/>
        <v>398.40000000000003</v>
      </c>
      <c r="L3835">
        <f t="shared" si="237"/>
        <v>300</v>
      </c>
      <c r="M3835" s="9">
        <f t="shared" si="238"/>
        <v>98.400000000000034</v>
      </c>
      <c r="N3835" t="str">
        <f t="shared" si="239"/>
        <v>Nov</v>
      </c>
    </row>
    <row r="3836" spans="1:14" x14ac:dyDescent="0.3">
      <c r="A3836" s="2" t="s">
        <v>3902</v>
      </c>
      <c r="B3836" s="6">
        <v>45990</v>
      </c>
      <c r="C3836" s="2" t="s">
        <v>48</v>
      </c>
      <c r="D3836" s="2" t="s">
        <v>60</v>
      </c>
      <c r="E3836" s="2">
        <v>1</v>
      </c>
      <c r="F3836" s="7">
        <v>99</v>
      </c>
      <c r="G3836" s="8">
        <v>0.15</v>
      </c>
      <c r="H3836" s="9" t="str">
        <f>INDEX(Products!$B$2:$B$37, MATCH(D3836, Products!$A$2:$A$37, 0))</f>
        <v>Football Size 5</v>
      </c>
      <c r="I3836" t="str">
        <f>INDEX(Products!$C$2:$C$37, MATCH(D3836, Products!$A$2:$A$37, 0))</f>
        <v>Sports</v>
      </c>
      <c r="J3836">
        <f>INDEX(Products!$E$2:$E$37, MATCH(D3836, Products!$A$2:$A$37, 0))</f>
        <v>45</v>
      </c>
      <c r="K3836" s="9">
        <f t="shared" si="236"/>
        <v>84.149999999999991</v>
      </c>
      <c r="L3836">
        <f t="shared" si="237"/>
        <v>45</v>
      </c>
      <c r="M3836" s="9">
        <f t="shared" si="238"/>
        <v>39.149999999999991</v>
      </c>
      <c r="N3836" t="str">
        <f t="shared" si="239"/>
        <v>Nov</v>
      </c>
    </row>
    <row r="3837" spans="1:14" x14ac:dyDescent="0.3">
      <c r="A3837" s="2" t="s">
        <v>3903</v>
      </c>
      <c r="B3837" s="6">
        <v>45990</v>
      </c>
      <c r="C3837" s="2" t="s">
        <v>44</v>
      </c>
      <c r="D3837" s="2" t="s">
        <v>115</v>
      </c>
      <c r="E3837" s="2">
        <v>1</v>
      </c>
      <c r="F3837" s="7">
        <v>129</v>
      </c>
      <c r="G3837" s="8">
        <v>0.2</v>
      </c>
      <c r="H3837" s="9" t="str">
        <f>INDEX(Products!$B$2:$B$37, MATCH(D3837, Products!$A$2:$A$37, 0))</f>
        <v>Electric Kettle</v>
      </c>
      <c r="I3837" t="str">
        <f>INDEX(Products!$C$2:$C$37, MATCH(D3837, Products!$A$2:$A$37, 0))</f>
        <v>Home &amp; Kitchen</v>
      </c>
      <c r="J3837">
        <f>INDEX(Products!$E$2:$E$37, MATCH(D3837, Products!$A$2:$A$37, 0))</f>
        <v>60</v>
      </c>
      <c r="K3837" s="9">
        <f t="shared" si="236"/>
        <v>103.2</v>
      </c>
      <c r="L3837">
        <f t="shared" si="237"/>
        <v>60</v>
      </c>
      <c r="M3837" s="9">
        <f t="shared" si="238"/>
        <v>43.2</v>
      </c>
      <c r="N3837" t="str">
        <f t="shared" si="239"/>
        <v>Nov</v>
      </c>
    </row>
    <row r="3838" spans="1:14" x14ac:dyDescent="0.3">
      <c r="A3838" s="2" t="s">
        <v>3904</v>
      </c>
      <c r="B3838" s="6">
        <v>45990</v>
      </c>
      <c r="C3838" s="2" t="s">
        <v>41</v>
      </c>
      <c r="D3838" s="2" t="s">
        <v>35</v>
      </c>
      <c r="E3838" s="2">
        <v>1</v>
      </c>
      <c r="F3838" s="7">
        <v>179</v>
      </c>
      <c r="G3838" s="8">
        <v>0.1</v>
      </c>
      <c r="H3838" s="9" t="str">
        <f>INDEX(Products!$B$2:$B$37, MATCH(D3838, Products!$A$2:$A$37, 0))</f>
        <v>Men's Linen Shirt</v>
      </c>
      <c r="I3838" t="str">
        <f>INDEX(Products!$C$2:$C$37, MATCH(D3838, Products!$A$2:$A$37, 0))</f>
        <v>Fashion</v>
      </c>
      <c r="J3838">
        <f>INDEX(Products!$E$2:$E$37, MATCH(D3838, Products!$A$2:$A$37, 0))</f>
        <v>70</v>
      </c>
      <c r="K3838" s="9">
        <f t="shared" si="236"/>
        <v>161.1</v>
      </c>
      <c r="L3838">
        <f t="shared" si="237"/>
        <v>70</v>
      </c>
      <c r="M3838" s="9">
        <f t="shared" si="238"/>
        <v>91.1</v>
      </c>
      <c r="N3838" t="str">
        <f t="shared" si="239"/>
        <v>Nov</v>
      </c>
    </row>
    <row r="3839" spans="1:14" x14ac:dyDescent="0.3">
      <c r="A3839" s="2" t="s">
        <v>3905</v>
      </c>
      <c r="B3839" s="6">
        <v>45990</v>
      </c>
      <c r="C3839" s="2" t="s">
        <v>48</v>
      </c>
      <c r="D3839" s="2" t="s">
        <v>115</v>
      </c>
      <c r="E3839" s="2">
        <v>2</v>
      </c>
      <c r="F3839" s="7">
        <v>129</v>
      </c>
      <c r="G3839" s="8">
        <v>0.2</v>
      </c>
      <c r="H3839" s="9" t="str">
        <f>INDEX(Products!$B$2:$B$37, MATCH(D3839, Products!$A$2:$A$37, 0))</f>
        <v>Electric Kettle</v>
      </c>
      <c r="I3839" t="str">
        <f>INDEX(Products!$C$2:$C$37, MATCH(D3839, Products!$A$2:$A$37, 0))</f>
        <v>Home &amp; Kitchen</v>
      </c>
      <c r="J3839">
        <f>INDEX(Products!$E$2:$E$37, MATCH(D3839, Products!$A$2:$A$37, 0))</f>
        <v>60</v>
      </c>
      <c r="K3839" s="9">
        <f t="shared" si="236"/>
        <v>206.4</v>
      </c>
      <c r="L3839">
        <f t="shared" si="237"/>
        <v>120</v>
      </c>
      <c r="M3839" s="9">
        <f t="shared" si="238"/>
        <v>86.4</v>
      </c>
      <c r="N3839" t="str">
        <f t="shared" si="239"/>
        <v>Nov</v>
      </c>
    </row>
    <row r="3840" spans="1:14" x14ac:dyDescent="0.3">
      <c r="A3840" s="2" t="s">
        <v>3906</v>
      </c>
      <c r="B3840" s="6">
        <v>45990</v>
      </c>
      <c r="C3840" s="2" t="s">
        <v>41</v>
      </c>
      <c r="D3840" s="2" t="s">
        <v>33</v>
      </c>
      <c r="E3840" s="2">
        <v>1</v>
      </c>
      <c r="F3840" s="7">
        <v>199</v>
      </c>
      <c r="G3840" s="8">
        <v>0.1</v>
      </c>
      <c r="H3840" s="9" t="str">
        <f>INDEX(Products!$B$2:$B$37, MATCH(D3840, Products!$A$2:$A$37, 0))</f>
        <v>Fitness Band Lite</v>
      </c>
      <c r="I3840" t="str">
        <f>INDEX(Products!$C$2:$C$37, MATCH(D3840, Products!$A$2:$A$37, 0))</f>
        <v>Electronics</v>
      </c>
      <c r="J3840">
        <f>INDEX(Products!$E$2:$E$37, MATCH(D3840, Products!$A$2:$A$37, 0))</f>
        <v>175</v>
      </c>
      <c r="K3840" s="9">
        <f t="shared" si="236"/>
        <v>179.1</v>
      </c>
      <c r="L3840">
        <f t="shared" si="237"/>
        <v>175</v>
      </c>
      <c r="M3840" s="9">
        <f t="shared" si="238"/>
        <v>4.0999999999999943</v>
      </c>
      <c r="N3840" t="str">
        <f t="shared" si="239"/>
        <v>Nov</v>
      </c>
    </row>
    <row r="3841" spans="1:14" x14ac:dyDescent="0.3">
      <c r="A3841" s="2" t="s">
        <v>3907</v>
      </c>
      <c r="B3841" s="6">
        <v>45990</v>
      </c>
      <c r="C3841" s="2" t="s">
        <v>48</v>
      </c>
      <c r="D3841" s="2" t="s">
        <v>68</v>
      </c>
      <c r="E3841" s="2">
        <v>1</v>
      </c>
      <c r="F3841" s="7">
        <v>249</v>
      </c>
      <c r="G3841" s="8">
        <v>0</v>
      </c>
      <c r="H3841" s="9" t="str">
        <f>INDEX(Products!$B$2:$B$37, MATCH(D3841, Products!$A$2:$A$37, 0))</f>
        <v>Bluetooth Speaker Mini</v>
      </c>
      <c r="I3841" t="str">
        <f>INDEX(Products!$C$2:$C$37, MATCH(D3841, Products!$A$2:$A$37, 0))</f>
        <v>Electronics</v>
      </c>
      <c r="J3841">
        <f>INDEX(Products!$E$2:$E$37, MATCH(D3841, Products!$A$2:$A$37, 0))</f>
        <v>150</v>
      </c>
      <c r="K3841" s="9">
        <f t="shared" si="236"/>
        <v>249</v>
      </c>
      <c r="L3841">
        <f t="shared" si="237"/>
        <v>150</v>
      </c>
      <c r="M3841" s="9">
        <f t="shared" si="238"/>
        <v>99</v>
      </c>
      <c r="N3841" t="str">
        <f t="shared" si="239"/>
        <v>Nov</v>
      </c>
    </row>
    <row r="3842" spans="1:14" x14ac:dyDescent="0.3">
      <c r="A3842" s="2" t="s">
        <v>3908</v>
      </c>
      <c r="B3842" s="6">
        <v>45990</v>
      </c>
      <c r="C3842" s="2" t="s">
        <v>41</v>
      </c>
      <c r="D3842" s="2" t="s">
        <v>194</v>
      </c>
      <c r="E3842" s="2">
        <v>2</v>
      </c>
      <c r="F3842" s="7">
        <v>699</v>
      </c>
      <c r="G3842" s="8">
        <v>0.2</v>
      </c>
      <c r="H3842" s="9" t="str">
        <f>INDEX(Products!$B$2:$B$37, MATCH(D3842, Products!$A$2:$A$37, 0))</f>
        <v>Leather Handbag</v>
      </c>
      <c r="I3842" t="str">
        <f>INDEX(Products!$C$2:$C$37, MATCH(D3842, Products!$A$2:$A$37, 0))</f>
        <v>Fashion</v>
      </c>
      <c r="J3842">
        <f>INDEX(Products!$E$2:$E$37, MATCH(D3842, Products!$A$2:$A$37, 0))</f>
        <v>380</v>
      </c>
      <c r="K3842" s="9">
        <f t="shared" ref="K3842:K3905" si="240">E3842*F3842*(1-G3842)</f>
        <v>1118.4000000000001</v>
      </c>
      <c r="L3842">
        <f t="shared" ref="L3842:L3905" si="241">E3842*J3842</f>
        <v>760</v>
      </c>
      <c r="M3842" s="9">
        <f t="shared" ref="M3842:M3905" si="242">K3842-L3842</f>
        <v>358.40000000000009</v>
      </c>
      <c r="N3842" t="str">
        <f t="shared" ref="N3842:N3905" si="243">TEXT(B3842,"mmm")</f>
        <v>Nov</v>
      </c>
    </row>
    <row r="3843" spans="1:14" x14ac:dyDescent="0.3">
      <c r="A3843" s="2" t="s">
        <v>3909</v>
      </c>
      <c r="B3843" s="6">
        <v>45990</v>
      </c>
      <c r="C3843" s="2" t="s">
        <v>41</v>
      </c>
      <c r="D3843" s="2" t="s">
        <v>60</v>
      </c>
      <c r="E3843" s="2">
        <v>1</v>
      </c>
      <c r="F3843" s="7">
        <v>99</v>
      </c>
      <c r="G3843" s="8">
        <v>0.15</v>
      </c>
      <c r="H3843" s="9" t="str">
        <f>INDEX(Products!$B$2:$B$37, MATCH(D3843, Products!$A$2:$A$37, 0))</f>
        <v>Football Size 5</v>
      </c>
      <c r="I3843" t="str">
        <f>INDEX(Products!$C$2:$C$37, MATCH(D3843, Products!$A$2:$A$37, 0))</f>
        <v>Sports</v>
      </c>
      <c r="J3843">
        <f>INDEX(Products!$E$2:$E$37, MATCH(D3843, Products!$A$2:$A$37, 0))</f>
        <v>45</v>
      </c>
      <c r="K3843" s="9">
        <f t="shared" si="240"/>
        <v>84.149999999999991</v>
      </c>
      <c r="L3843">
        <f t="shared" si="241"/>
        <v>45</v>
      </c>
      <c r="M3843" s="9">
        <f t="shared" si="242"/>
        <v>39.149999999999991</v>
      </c>
      <c r="N3843" t="str">
        <f t="shared" si="243"/>
        <v>Nov</v>
      </c>
    </row>
    <row r="3844" spans="1:14" x14ac:dyDescent="0.3">
      <c r="A3844" s="2" t="s">
        <v>3910</v>
      </c>
      <c r="B3844" s="6">
        <v>45990</v>
      </c>
      <c r="C3844" s="2" t="s">
        <v>28</v>
      </c>
      <c r="D3844" s="2" t="s">
        <v>83</v>
      </c>
      <c r="E3844" s="2">
        <v>2</v>
      </c>
      <c r="F3844" s="7">
        <v>229</v>
      </c>
      <c r="G3844" s="8">
        <v>0</v>
      </c>
      <c r="H3844" s="9" t="str">
        <f>INDEX(Products!$B$2:$B$37, MATCH(D3844, Products!$A$2:$A$37, 0))</f>
        <v>Cycling Helmet</v>
      </c>
      <c r="I3844" t="str">
        <f>INDEX(Products!$C$2:$C$37, MATCH(D3844, Products!$A$2:$A$37, 0))</f>
        <v>Sports</v>
      </c>
      <c r="J3844">
        <f>INDEX(Products!$E$2:$E$37, MATCH(D3844, Products!$A$2:$A$37, 0))</f>
        <v>120</v>
      </c>
      <c r="K3844" s="9">
        <f t="shared" si="240"/>
        <v>458</v>
      </c>
      <c r="L3844">
        <f t="shared" si="241"/>
        <v>240</v>
      </c>
      <c r="M3844" s="9">
        <f t="shared" si="242"/>
        <v>218</v>
      </c>
      <c r="N3844" t="str">
        <f t="shared" si="243"/>
        <v>Nov</v>
      </c>
    </row>
    <row r="3845" spans="1:14" x14ac:dyDescent="0.3">
      <c r="A3845" s="2" t="s">
        <v>3911</v>
      </c>
      <c r="B3845" s="6">
        <v>45990</v>
      </c>
      <c r="C3845" s="2" t="s">
        <v>28</v>
      </c>
      <c r="D3845" s="2" t="s">
        <v>103</v>
      </c>
      <c r="E3845" s="2">
        <v>1</v>
      </c>
      <c r="F3845" s="7">
        <v>89</v>
      </c>
      <c r="G3845" s="8">
        <v>0.2</v>
      </c>
      <c r="H3845" s="9" t="str">
        <f>INDEX(Products!$B$2:$B$37, MATCH(D3845, Products!$A$2:$A$37, 0))</f>
        <v>Sunscreen SPF50</v>
      </c>
      <c r="I3845" t="str">
        <f>INDEX(Products!$C$2:$C$37, MATCH(D3845, Products!$A$2:$A$37, 0))</f>
        <v>Beauty</v>
      </c>
      <c r="J3845">
        <f>INDEX(Products!$E$2:$E$37, MATCH(D3845, Products!$A$2:$A$37, 0))</f>
        <v>40</v>
      </c>
      <c r="K3845" s="9">
        <f t="shared" si="240"/>
        <v>71.2</v>
      </c>
      <c r="L3845">
        <f t="shared" si="241"/>
        <v>40</v>
      </c>
      <c r="M3845" s="9">
        <f t="shared" si="242"/>
        <v>31.200000000000003</v>
      </c>
      <c r="N3845" t="str">
        <f t="shared" si="243"/>
        <v>Nov</v>
      </c>
    </row>
    <row r="3846" spans="1:14" x14ac:dyDescent="0.3">
      <c r="A3846" s="2" t="s">
        <v>3912</v>
      </c>
      <c r="B3846" s="6">
        <v>45990</v>
      </c>
      <c r="C3846" s="2" t="s">
        <v>31</v>
      </c>
      <c r="D3846" s="2" t="s">
        <v>75</v>
      </c>
      <c r="E3846" s="2">
        <v>1</v>
      </c>
      <c r="F3846" s="7">
        <v>549</v>
      </c>
      <c r="G3846" s="8">
        <v>0.2</v>
      </c>
      <c r="H3846" s="9" t="str">
        <f>INDEX(Products!$B$2:$B$37, MATCH(D3846, Products!$A$2:$A$37, 0))</f>
        <v>Oud Perfume 100ml</v>
      </c>
      <c r="I3846" t="str">
        <f>INDEX(Products!$C$2:$C$37, MATCH(D3846, Products!$A$2:$A$37, 0))</f>
        <v>Beauty</v>
      </c>
      <c r="J3846">
        <f>INDEX(Products!$E$2:$E$37, MATCH(D3846, Products!$A$2:$A$37, 0))</f>
        <v>250</v>
      </c>
      <c r="K3846" s="9">
        <f t="shared" si="240"/>
        <v>439.20000000000005</v>
      </c>
      <c r="L3846">
        <f t="shared" si="241"/>
        <v>250</v>
      </c>
      <c r="M3846" s="9">
        <f t="shared" si="242"/>
        <v>189.20000000000005</v>
      </c>
      <c r="N3846" t="str">
        <f t="shared" si="243"/>
        <v>Nov</v>
      </c>
    </row>
    <row r="3847" spans="1:14" x14ac:dyDescent="0.3">
      <c r="A3847" s="2" t="s">
        <v>3913</v>
      </c>
      <c r="B3847" s="6">
        <v>45990</v>
      </c>
      <c r="C3847" s="2" t="s">
        <v>44</v>
      </c>
      <c r="D3847" s="2" t="s">
        <v>42</v>
      </c>
      <c r="E3847" s="2">
        <v>2</v>
      </c>
      <c r="F3847" s="7">
        <v>399</v>
      </c>
      <c r="G3847" s="8">
        <v>0.05</v>
      </c>
      <c r="H3847" s="9" t="str">
        <f>INDEX(Products!$B$2:$B$37, MATCH(D3847, Products!$A$2:$A$37, 0))</f>
        <v>Wireless Earbuds Pro</v>
      </c>
      <c r="I3847" t="str">
        <f>INDEX(Products!$C$2:$C$37, MATCH(D3847, Products!$A$2:$A$37, 0))</f>
        <v>Electronics</v>
      </c>
      <c r="J3847">
        <f>INDEX(Products!$E$2:$E$37, MATCH(D3847, Products!$A$2:$A$37, 0))</f>
        <v>230</v>
      </c>
      <c r="K3847" s="9">
        <f t="shared" si="240"/>
        <v>758.09999999999991</v>
      </c>
      <c r="L3847">
        <f t="shared" si="241"/>
        <v>460</v>
      </c>
      <c r="M3847" s="9">
        <f t="shared" si="242"/>
        <v>298.09999999999991</v>
      </c>
      <c r="N3847" t="str">
        <f t="shared" si="243"/>
        <v>Nov</v>
      </c>
    </row>
    <row r="3848" spans="1:14" x14ac:dyDescent="0.3">
      <c r="A3848" s="2" t="s">
        <v>3914</v>
      </c>
      <c r="B3848" s="6">
        <v>45991</v>
      </c>
      <c r="C3848" s="2" t="s">
        <v>28</v>
      </c>
      <c r="D3848" s="2" t="s">
        <v>37</v>
      </c>
      <c r="E3848" s="2">
        <v>2</v>
      </c>
      <c r="F3848" s="7">
        <v>249</v>
      </c>
      <c r="G3848" s="8">
        <v>0.2</v>
      </c>
      <c r="H3848" s="9" t="str">
        <f>INDEX(Products!$B$2:$B$37, MATCH(D3848, Products!$A$2:$A$37, 0))</f>
        <v>Sunglasses Polarised</v>
      </c>
      <c r="I3848" t="str">
        <f>INDEX(Products!$C$2:$C$37, MATCH(D3848, Products!$A$2:$A$37, 0))</f>
        <v>Fashion</v>
      </c>
      <c r="J3848">
        <f>INDEX(Products!$E$2:$E$37, MATCH(D3848, Products!$A$2:$A$37, 0))</f>
        <v>95</v>
      </c>
      <c r="K3848" s="9">
        <f t="shared" si="240"/>
        <v>398.40000000000003</v>
      </c>
      <c r="L3848">
        <f t="shared" si="241"/>
        <v>190</v>
      </c>
      <c r="M3848" s="9">
        <f t="shared" si="242"/>
        <v>208.40000000000003</v>
      </c>
      <c r="N3848" t="str">
        <f t="shared" si="243"/>
        <v>Nov</v>
      </c>
    </row>
    <row r="3849" spans="1:14" x14ac:dyDescent="0.3">
      <c r="A3849" s="2" t="s">
        <v>3915</v>
      </c>
      <c r="B3849" s="6">
        <v>45991</v>
      </c>
      <c r="C3849" s="2" t="s">
        <v>44</v>
      </c>
      <c r="D3849" s="2" t="s">
        <v>149</v>
      </c>
      <c r="E3849" s="2">
        <v>2</v>
      </c>
      <c r="F3849" s="7">
        <v>399</v>
      </c>
      <c r="G3849" s="8">
        <v>0.3</v>
      </c>
      <c r="H3849" s="9" t="str">
        <f>INDEX(Products!$B$2:$B$37, MATCH(D3849, Products!$A$2:$A$37, 0))</f>
        <v>Blender Pro 1200W</v>
      </c>
      <c r="I3849" t="str">
        <f>INDEX(Products!$C$2:$C$37, MATCH(D3849, Products!$A$2:$A$37, 0))</f>
        <v>Home &amp; Kitchen</v>
      </c>
      <c r="J3849">
        <f>INDEX(Products!$E$2:$E$37, MATCH(D3849, Products!$A$2:$A$37, 0))</f>
        <v>250</v>
      </c>
      <c r="K3849" s="9">
        <f t="shared" si="240"/>
        <v>558.59999999999991</v>
      </c>
      <c r="L3849">
        <f t="shared" si="241"/>
        <v>500</v>
      </c>
      <c r="M3849" s="9">
        <f t="shared" si="242"/>
        <v>58.599999999999909</v>
      </c>
      <c r="N3849" t="str">
        <f t="shared" si="243"/>
        <v>Nov</v>
      </c>
    </row>
    <row r="3850" spans="1:14" x14ac:dyDescent="0.3">
      <c r="A3850" s="2" t="s">
        <v>3916</v>
      </c>
      <c r="B3850" s="6">
        <v>45991</v>
      </c>
      <c r="C3850" s="2" t="s">
        <v>31</v>
      </c>
      <c r="D3850" s="2" t="s">
        <v>49</v>
      </c>
      <c r="E3850" s="2">
        <v>1</v>
      </c>
      <c r="F3850" s="7">
        <v>149</v>
      </c>
      <c r="G3850" s="8">
        <v>0.05</v>
      </c>
      <c r="H3850" s="9" t="str">
        <f>INDEX(Products!$B$2:$B$37, MATCH(D3850, Products!$A$2:$A$37, 0))</f>
        <v>Kids' Sneakers</v>
      </c>
      <c r="I3850" t="str">
        <f>INDEX(Products!$C$2:$C$37, MATCH(D3850, Products!$A$2:$A$37, 0))</f>
        <v>Fashion</v>
      </c>
      <c r="J3850">
        <f>INDEX(Products!$E$2:$E$37, MATCH(D3850, Products!$A$2:$A$37, 0))</f>
        <v>80</v>
      </c>
      <c r="K3850" s="9">
        <f t="shared" si="240"/>
        <v>141.54999999999998</v>
      </c>
      <c r="L3850">
        <f t="shared" si="241"/>
        <v>80</v>
      </c>
      <c r="M3850" s="9">
        <f t="shared" si="242"/>
        <v>61.549999999999983</v>
      </c>
      <c r="N3850" t="str">
        <f t="shared" si="243"/>
        <v>Nov</v>
      </c>
    </row>
    <row r="3851" spans="1:14" x14ac:dyDescent="0.3">
      <c r="A3851" s="2" t="s">
        <v>3917</v>
      </c>
      <c r="B3851" s="6">
        <v>45991</v>
      </c>
      <c r="C3851" s="2" t="s">
        <v>28</v>
      </c>
      <c r="D3851" s="2" t="s">
        <v>33</v>
      </c>
      <c r="E3851" s="2">
        <v>1</v>
      </c>
      <c r="F3851" s="7">
        <v>199</v>
      </c>
      <c r="G3851" s="8">
        <v>0.2</v>
      </c>
      <c r="H3851" s="9" t="str">
        <f>INDEX(Products!$B$2:$B$37, MATCH(D3851, Products!$A$2:$A$37, 0))</f>
        <v>Fitness Band Lite</v>
      </c>
      <c r="I3851" t="str">
        <f>INDEX(Products!$C$2:$C$37, MATCH(D3851, Products!$A$2:$A$37, 0))</f>
        <v>Electronics</v>
      </c>
      <c r="J3851">
        <f>INDEX(Products!$E$2:$E$37, MATCH(D3851, Products!$A$2:$A$37, 0))</f>
        <v>175</v>
      </c>
      <c r="K3851" s="9">
        <f t="shared" si="240"/>
        <v>159.20000000000002</v>
      </c>
      <c r="L3851">
        <f t="shared" si="241"/>
        <v>175</v>
      </c>
      <c r="M3851" s="9">
        <f t="shared" si="242"/>
        <v>-15.799999999999983</v>
      </c>
      <c r="N3851" t="str">
        <f t="shared" si="243"/>
        <v>Nov</v>
      </c>
    </row>
    <row r="3852" spans="1:14" x14ac:dyDescent="0.3">
      <c r="A3852" s="2" t="s">
        <v>3918</v>
      </c>
      <c r="B3852" s="6">
        <v>45991</v>
      </c>
      <c r="C3852" s="2" t="s">
        <v>28</v>
      </c>
      <c r="D3852" s="2" t="s">
        <v>115</v>
      </c>
      <c r="E3852" s="2">
        <v>1</v>
      </c>
      <c r="F3852" s="7">
        <v>129</v>
      </c>
      <c r="G3852" s="8">
        <v>0</v>
      </c>
      <c r="H3852" s="9" t="str">
        <f>INDEX(Products!$B$2:$B$37, MATCH(D3852, Products!$A$2:$A$37, 0))</f>
        <v>Electric Kettle</v>
      </c>
      <c r="I3852" t="str">
        <f>INDEX(Products!$C$2:$C$37, MATCH(D3852, Products!$A$2:$A$37, 0))</f>
        <v>Home &amp; Kitchen</v>
      </c>
      <c r="J3852">
        <f>INDEX(Products!$E$2:$E$37, MATCH(D3852, Products!$A$2:$A$37, 0))</f>
        <v>60</v>
      </c>
      <c r="K3852" s="9">
        <f t="shared" si="240"/>
        <v>129</v>
      </c>
      <c r="L3852">
        <f t="shared" si="241"/>
        <v>60</v>
      </c>
      <c r="M3852" s="9">
        <f t="shared" si="242"/>
        <v>69</v>
      </c>
      <c r="N3852" t="str">
        <f t="shared" si="243"/>
        <v>Nov</v>
      </c>
    </row>
    <row r="3853" spans="1:14" x14ac:dyDescent="0.3">
      <c r="A3853" s="2" t="s">
        <v>3919</v>
      </c>
      <c r="B3853" s="6">
        <v>45991</v>
      </c>
      <c r="C3853" s="2" t="s">
        <v>44</v>
      </c>
      <c r="D3853" s="2" t="s">
        <v>80</v>
      </c>
      <c r="E3853" s="2">
        <v>1</v>
      </c>
      <c r="F3853" s="7">
        <v>149</v>
      </c>
      <c r="G3853" s="8">
        <v>0.2</v>
      </c>
      <c r="H3853" s="9" t="str">
        <f>INDEX(Products!$B$2:$B$37, MATCH(D3853, Products!$A$2:$A$37, 0))</f>
        <v>Vitamin C Serum</v>
      </c>
      <c r="I3853" t="str">
        <f>INDEX(Products!$C$2:$C$37, MATCH(D3853, Products!$A$2:$A$37, 0))</f>
        <v>Beauty</v>
      </c>
      <c r="J3853">
        <f>INDEX(Products!$E$2:$E$37, MATCH(D3853, Products!$A$2:$A$37, 0))</f>
        <v>55</v>
      </c>
      <c r="K3853" s="9">
        <f t="shared" si="240"/>
        <v>119.2</v>
      </c>
      <c r="L3853">
        <f t="shared" si="241"/>
        <v>55</v>
      </c>
      <c r="M3853" s="9">
        <f t="shared" si="242"/>
        <v>64.2</v>
      </c>
      <c r="N3853" t="str">
        <f t="shared" si="243"/>
        <v>Nov</v>
      </c>
    </row>
    <row r="3854" spans="1:14" x14ac:dyDescent="0.3">
      <c r="A3854" s="2" t="s">
        <v>3920</v>
      </c>
      <c r="B3854" s="6">
        <v>45991</v>
      </c>
      <c r="C3854" s="2" t="s">
        <v>44</v>
      </c>
      <c r="D3854" s="2" t="s">
        <v>33</v>
      </c>
      <c r="E3854" s="2">
        <v>2</v>
      </c>
      <c r="F3854" s="7">
        <v>199</v>
      </c>
      <c r="G3854" s="8">
        <v>0.2</v>
      </c>
      <c r="H3854" s="9" t="str">
        <f>INDEX(Products!$B$2:$B$37, MATCH(D3854, Products!$A$2:$A$37, 0))</f>
        <v>Fitness Band Lite</v>
      </c>
      <c r="I3854" t="str">
        <f>INDEX(Products!$C$2:$C$37, MATCH(D3854, Products!$A$2:$A$37, 0))</f>
        <v>Electronics</v>
      </c>
      <c r="J3854">
        <f>INDEX(Products!$E$2:$E$37, MATCH(D3854, Products!$A$2:$A$37, 0))</f>
        <v>175</v>
      </c>
      <c r="K3854" s="9">
        <f t="shared" si="240"/>
        <v>318.40000000000003</v>
      </c>
      <c r="L3854">
        <f t="shared" si="241"/>
        <v>350</v>
      </c>
      <c r="M3854" s="9">
        <f t="shared" si="242"/>
        <v>-31.599999999999966</v>
      </c>
      <c r="N3854" t="str">
        <f t="shared" si="243"/>
        <v>Nov</v>
      </c>
    </row>
    <row r="3855" spans="1:14" x14ac:dyDescent="0.3">
      <c r="A3855" s="2" t="s">
        <v>3921</v>
      </c>
      <c r="B3855" s="6">
        <v>45991</v>
      </c>
      <c r="C3855" s="2" t="s">
        <v>31</v>
      </c>
      <c r="D3855" s="2" t="s">
        <v>70</v>
      </c>
      <c r="E3855" s="2">
        <v>2</v>
      </c>
      <c r="F3855" s="7">
        <v>429</v>
      </c>
      <c r="G3855" s="8">
        <v>0.3</v>
      </c>
      <c r="H3855" s="9" t="str">
        <f>INDEX(Products!$B$2:$B$37, MATCH(D3855, Products!$A$2:$A$37, 0))</f>
        <v>Running Shoes Elite</v>
      </c>
      <c r="I3855" t="str">
        <f>INDEX(Products!$C$2:$C$37, MATCH(D3855, Products!$A$2:$A$37, 0))</f>
        <v>Fashion</v>
      </c>
      <c r="J3855">
        <f>INDEX(Products!$E$2:$E$37, MATCH(D3855, Products!$A$2:$A$37, 0))</f>
        <v>300</v>
      </c>
      <c r="K3855" s="9">
        <f t="shared" si="240"/>
        <v>600.59999999999991</v>
      </c>
      <c r="L3855">
        <f t="shared" si="241"/>
        <v>600</v>
      </c>
      <c r="M3855" s="9">
        <f t="shared" si="242"/>
        <v>0.59999999999990905</v>
      </c>
      <c r="N3855" t="str">
        <f t="shared" si="243"/>
        <v>Nov</v>
      </c>
    </row>
    <row r="3856" spans="1:14" x14ac:dyDescent="0.3">
      <c r="A3856" s="2" t="s">
        <v>3922</v>
      </c>
      <c r="B3856" s="6">
        <v>45991</v>
      </c>
      <c r="C3856" s="2" t="s">
        <v>41</v>
      </c>
      <c r="D3856" s="2" t="s">
        <v>80</v>
      </c>
      <c r="E3856" s="2">
        <v>2</v>
      </c>
      <c r="F3856" s="7">
        <v>149</v>
      </c>
      <c r="G3856" s="8">
        <v>0.05</v>
      </c>
      <c r="H3856" s="9" t="str">
        <f>INDEX(Products!$B$2:$B$37, MATCH(D3856, Products!$A$2:$A$37, 0))</f>
        <v>Vitamin C Serum</v>
      </c>
      <c r="I3856" t="str">
        <f>INDEX(Products!$C$2:$C$37, MATCH(D3856, Products!$A$2:$A$37, 0))</f>
        <v>Beauty</v>
      </c>
      <c r="J3856">
        <f>INDEX(Products!$E$2:$E$37, MATCH(D3856, Products!$A$2:$A$37, 0))</f>
        <v>55</v>
      </c>
      <c r="K3856" s="9">
        <f t="shared" si="240"/>
        <v>283.09999999999997</v>
      </c>
      <c r="L3856">
        <f t="shared" si="241"/>
        <v>110</v>
      </c>
      <c r="M3856" s="9">
        <f t="shared" si="242"/>
        <v>173.09999999999997</v>
      </c>
      <c r="N3856" t="str">
        <f t="shared" si="243"/>
        <v>Nov</v>
      </c>
    </row>
    <row r="3857" spans="1:14" x14ac:dyDescent="0.3">
      <c r="A3857" s="2" t="s">
        <v>3923</v>
      </c>
      <c r="B3857" s="6">
        <v>45991</v>
      </c>
      <c r="C3857" s="2" t="s">
        <v>44</v>
      </c>
      <c r="D3857" s="2" t="s">
        <v>165</v>
      </c>
      <c r="E3857" s="2">
        <v>2</v>
      </c>
      <c r="F3857" s="7">
        <v>69</v>
      </c>
      <c r="G3857" s="8">
        <v>0.15</v>
      </c>
      <c r="H3857" s="9" t="str">
        <f>INDEX(Products!$B$2:$B$37, MATCH(D3857, Products!$A$2:$A$37, 0))</f>
        <v>Swim Goggles</v>
      </c>
      <c r="I3857" t="str">
        <f>INDEX(Products!$C$2:$C$37, MATCH(D3857, Products!$A$2:$A$37, 0))</f>
        <v>Sports</v>
      </c>
      <c r="J3857">
        <f>INDEX(Products!$E$2:$E$37, MATCH(D3857, Products!$A$2:$A$37, 0))</f>
        <v>25</v>
      </c>
      <c r="K3857" s="9">
        <f t="shared" si="240"/>
        <v>117.3</v>
      </c>
      <c r="L3857">
        <f t="shared" si="241"/>
        <v>50</v>
      </c>
      <c r="M3857" s="9">
        <f t="shared" si="242"/>
        <v>67.3</v>
      </c>
      <c r="N3857" t="str">
        <f t="shared" si="243"/>
        <v>Nov</v>
      </c>
    </row>
    <row r="3858" spans="1:14" x14ac:dyDescent="0.3">
      <c r="A3858" s="2" t="s">
        <v>3924</v>
      </c>
      <c r="B3858" s="6">
        <v>45992</v>
      </c>
      <c r="C3858" s="2" t="s">
        <v>41</v>
      </c>
      <c r="D3858" s="2" t="s">
        <v>39</v>
      </c>
      <c r="E3858" s="2">
        <v>3</v>
      </c>
      <c r="F3858" s="7">
        <v>199</v>
      </c>
      <c r="G3858" s="8">
        <v>0.05</v>
      </c>
      <c r="H3858" s="9" t="str">
        <f>INDEX(Products!$B$2:$B$37, MATCH(D3858, Products!$A$2:$A$37, 0))</f>
        <v>Bakhoor Gift Set</v>
      </c>
      <c r="I3858" t="str">
        <f>INDEX(Products!$C$2:$C$37, MATCH(D3858, Products!$A$2:$A$37, 0))</f>
        <v>Beauty</v>
      </c>
      <c r="J3858">
        <f>INDEX(Products!$E$2:$E$37, MATCH(D3858, Products!$A$2:$A$37, 0))</f>
        <v>90</v>
      </c>
      <c r="K3858" s="9">
        <f t="shared" si="240"/>
        <v>567.15</v>
      </c>
      <c r="L3858">
        <f t="shared" si="241"/>
        <v>270</v>
      </c>
      <c r="M3858" s="9">
        <f t="shared" si="242"/>
        <v>297.14999999999998</v>
      </c>
      <c r="N3858" t="str">
        <f t="shared" si="243"/>
        <v>Dec</v>
      </c>
    </row>
    <row r="3859" spans="1:14" x14ac:dyDescent="0.3">
      <c r="A3859" s="2" t="s">
        <v>3925</v>
      </c>
      <c r="B3859" s="6">
        <v>45992</v>
      </c>
      <c r="C3859" s="2" t="s">
        <v>31</v>
      </c>
      <c r="D3859" s="2" t="s">
        <v>131</v>
      </c>
      <c r="E3859" s="2">
        <v>2</v>
      </c>
      <c r="F3859" s="7">
        <v>899</v>
      </c>
      <c r="G3859" s="8">
        <v>0.2</v>
      </c>
      <c r="H3859" s="9" t="str">
        <f>INDEX(Products!$B$2:$B$37, MATCH(D3859, Products!$A$2:$A$37, 0))</f>
        <v>4K Action Camera</v>
      </c>
      <c r="I3859" t="str">
        <f>INDEX(Products!$C$2:$C$37, MATCH(D3859, Products!$A$2:$A$37, 0))</f>
        <v>Electronics</v>
      </c>
      <c r="J3859">
        <f>INDEX(Products!$E$2:$E$37, MATCH(D3859, Products!$A$2:$A$37, 0))</f>
        <v>610</v>
      </c>
      <c r="K3859" s="9">
        <f t="shared" si="240"/>
        <v>1438.4</v>
      </c>
      <c r="L3859">
        <f t="shared" si="241"/>
        <v>1220</v>
      </c>
      <c r="M3859" s="9">
        <f t="shared" si="242"/>
        <v>218.40000000000009</v>
      </c>
      <c r="N3859" t="str">
        <f t="shared" si="243"/>
        <v>Dec</v>
      </c>
    </row>
    <row r="3860" spans="1:14" x14ac:dyDescent="0.3">
      <c r="A3860" s="2" t="s">
        <v>3926</v>
      </c>
      <c r="B3860" s="6">
        <v>45992</v>
      </c>
      <c r="C3860" s="2" t="s">
        <v>44</v>
      </c>
      <c r="D3860" s="2" t="s">
        <v>126</v>
      </c>
      <c r="E3860" s="2">
        <v>1</v>
      </c>
      <c r="F3860" s="7">
        <v>89</v>
      </c>
      <c r="G3860" s="8">
        <v>0.15</v>
      </c>
      <c r="H3860" s="9" t="str">
        <f>INDEX(Products!$B$2:$B$37, MATCH(D3860, Products!$A$2:$A$37, 0))</f>
        <v>USB-C Fast Charger</v>
      </c>
      <c r="I3860" t="str">
        <f>INDEX(Products!$C$2:$C$37, MATCH(D3860, Products!$A$2:$A$37, 0))</f>
        <v>Electronics</v>
      </c>
      <c r="J3860">
        <f>INDEX(Products!$E$2:$E$37, MATCH(D3860, Products!$A$2:$A$37, 0))</f>
        <v>35</v>
      </c>
      <c r="K3860" s="9">
        <f t="shared" si="240"/>
        <v>75.649999999999991</v>
      </c>
      <c r="L3860">
        <f t="shared" si="241"/>
        <v>35</v>
      </c>
      <c r="M3860" s="9">
        <f t="shared" si="242"/>
        <v>40.649999999999991</v>
      </c>
      <c r="N3860" t="str">
        <f t="shared" si="243"/>
        <v>Dec</v>
      </c>
    </row>
    <row r="3861" spans="1:14" x14ac:dyDescent="0.3">
      <c r="A3861" s="2" t="s">
        <v>3927</v>
      </c>
      <c r="B3861" s="6">
        <v>45992</v>
      </c>
      <c r="C3861" s="2" t="s">
        <v>44</v>
      </c>
      <c r="D3861" s="2" t="s">
        <v>37</v>
      </c>
      <c r="E3861" s="2">
        <v>1</v>
      </c>
      <c r="F3861" s="7">
        <v>249</v>
      </c>
      <c r="G3861" s="8">
        <v>0</v>
      </c>
      <c r="H3861" s="9" t="str">
        <f>INDEX(Products!$B$2:$B$37, MATCH(D3861, Products!$A$2:$A$37, 0))</f>
        <v>Sunglasses Polarised</v>
      </c>
      <c r="I3861" t="str">
        <f>INDEX(Products!$C$2:$C$37, MATCH(D3861, Products!$A$2:$A$37, 0))</f>
        <v>Fashion</v>
      </c>
      <c r="J3861">
        <f>INDEX(Products!$E$2:$E$37, MATCH(D3861, Products!$A$2:$A$37, 0))</f>
        <v>95</v>
      </c>
      <c r="K3861" s="9">
        <f t="shared" si="240"/>
        <v>249</v>
      </c>
      <c r="L3861">
        <f t="shared" si="241"/>
        <v>95</v>
      </c>
      <c r="M3861" s="9">
        <f t="shared" si="242"/>
        <v>154</v>
      </c>
      <c r="N3861" t="str">
        <f t="shared" si="243"/>
        <v>Dec</v>
      </c>
    </row>
    <row r="3862" spans="1:14" x14ac:dyDescent="0.3">
      <c r="A3862" s="2" t="s">
        <v>3928</v>
      </c>
      <c r="B3862" s="6">
        <v>45992</v>
      </c>
      <c r="C3862" s="2" t="s">
        <v>31</v>
      </c>
      <c r="D3862" s="2" t="s">
        <v>60</v>
      </c>
      <c r="E3862" s="2">
        <v>1</v>
      </c>
      <c r="F3862" s="7">
        <v>99</v>
      </c>
      <c r="G3862" s="8">
        <v>0.2</v>
      </c>
      <c r="H3862" s="9" t="str">
        <f>INDEX(Products!$B$2:$B$37, MATCH(D3862, Products!$A$2:$A$37, 0))</f>
        <v>Football Size 5</v>
      </c>
      <c r="I3862" t="str">
        <f>INDEX(Products!$C$2:$C$37, MATCH(D3862, Products!$A$2:$A$37, 0))</f>
        <v>Sports</v>
      </c>
      <c r="J3862">
        <f>INDEX(Products!$E$2:$E$37, MATCH(D3862, Products!$A$2:$A$37, 0))</f>
        <v>45</v>
      </c>
      <c r="K3862" s="9">
        <f t="shared" si="240"/>
        <v>79.2</v>
      </c>
      <c r="L3862">
        <f t="shared" si="241"/>
        <v>45</v>
      </c>
      <c r="M3862" s="9">
        <f t="shared" si="242"/>
        <v>34.200000000000003</v>
      </c>
      <c r="N3862" t="str">
        <f t="shared" si="243"/>
        <v>Dec</v>
      </c>
    </row>
    <row r="3863" spans="1:14" x14ac:dyDescent="0.3">
      <c r="A3863" s="2" t="s">
        <v>3929</v>
      </c>
      <c r="B3863" s="6">
        <v>45992</v>
      </c>
      <c r="C3863" s="2" t="s">
        <v>44</v>
      </c>
      <c r="D3863" s="2" t="s">
        <v>49</v>
      </c>
      <c r="E3863" s="2">
        <v>1</v>
      </c>
      <c r="F3863" s="7">
        <v>149</v>
      </c>
      <c r="G3863" s="8">
        <v>0.15</v>
      </c>
      <c r="H3863" s="9" t="str">
        <f>INDEX(Products!$B$2:$B$37, MATCH(D3863, Products!$A$2:$A$37, 0))</f>
        <v>Kids' Sneakers</v>
      </c>
      <c r="I3863" t="str">
        <f>INDEX(Products!$C$2:$C$37, MATCH(D3863, Products!$A$2:$A$37, 0))</f>
        <v>Fashion</v>
      </c>
      <c r="J3863">
        <f>INDEX(Products!$E$2:$E$37, MATCH(D3863, Products!$A$2:$A$37, 0))</f>
        <v>80</v>
      </c>
      <c r="K3863" s="9">
        <f t="shared" si="240"/>
        <v>126.64999999999999</v>
      </c>
      <c r="L3863">
        <f t="shared" si="241"/>
        <v>80</v>
      </c>
      <c r="M3863" s="9">
        <f t="shared" si="242"/>
        <v>46.649999999999991</v>
      </c>
      <c r="N3863" t="str">
        <f t="shared" si="243"/>
        <v>Dec</v>
      </c>
    </row>
    <row r="3864" spans="1:14" x14ac:dyDescent="0.3">
      <c r="A3864" s="2" t="s">
        <v>3930</v>
      </c>
      <c r="B3864" s="6">
        <v>45992</v>
      </c>
      <c r="C3864" s="2" t="s">
        <v>44</v>
      </c>
      <c r="D3864" s="2" t="s">
        <v>129</v>
      </c>
      <c r="E3864" s="2">
        <v>1</v>
      </c>
      <c r="F3864" s="7">
        <v>149</v>
      </c>
      <c r="G3864" s="8">
        <v>0.2</v>
      </c>
      <c r="H3864" s="9" t="str">
        <f>INDEX(Products!$B$2:$B$37, MATCH(D3864, Products!$A$2:$A$37, 0))</f>
        <v>Power Bank 20000mAh</v>
      </c>
      <c r="I3864" t="str">
        <f>INDEX(Products!$C$2:$C$37, MATCH(D3864, Products!$A$2:$A$37, 0))</f>
        <v>Electronics</v>
      </c>
      <c r="J3864">
        <f>INDEX(Products!$E$2:$E$37, MATCH(D3864, Products!$A$2:$A$37, 0))</f>
        <v>70</v>
      </c>
      <c r="K3864" s="9">
        <f t="shared" si="240"/>
        <v>119.2</v>
      </c>
      <c r="L3864">
        <f t="shared" si="241"/>
        <v>70</v>
      </c>
      <c r="M3864" s="9">
        <f t="shared" si="242"/>
        <v>49.2</v>
      </c>
      <c r="N3864" t="str">
        <f t="shared" si="243"/>
        <v>Dec</v>
      </c>
    </row>
    <row r="3865" spans="1:14" x14ac:dyDescent="0.3">
      <c r="A3865" s="2" t="s">
        <v>3931</v>
      </c>
      <c r="B3865" s="6">
        <v>45992</v>
      </c>
      <c r="C3865" s="2" t="s">
        <v>41</v>
      </c>
      <c r="D3865" s="2" t="s">
        <v>42</v>
      </c>
      <c r="E3865" s="2">
        <v>1</v>
      </c>
      <c r="F3865" s="7">
        <v>399</v>
      </c>
      <c r="G3865" s="8">
        <v>0.2</v>
      </c>
      <c r="H3865" s="9" t="str">
        <f>INDEX(Products!$B$2:$B$37, MATCH(D3865, Products!$A$2:$A$37, 0))</f>
        <v>Wireless Earbuds Pro</v>
      </c>
      <c r="I3865" t="str">
        <f>INDEX(Products!$C$2:$C$37, MATCH(D3865, Products!$A$2:$A$37, 0))</f>
        <v>Electronics</v>
      </c>
      <c r="J3865">
        <f>INDEX(Products!$E$2:$E$37, MATCH(D3865, Products!$A$2:$A$37, 0))</f>
        <v>230</v>
      </c>
      <c r="K3865" s="9">
        <f t="shared" si="240"/>
        <v>319.20000000000005</v>
      </c>
      <c r="L3865">
        <f t="shared" si="241"/>
        <v>230</v>
      </c>
      <c r="M3865" s="9">
        <f t="shared" si="242"/>
        <v>89.200000000000045</v>
      </c>
      <c r="N3865" t="str">
        <f t="shared" si="243"/>
        <v>Dec</v>
      </c>
    </row>
    <row r="3866" spans="1:14" x14ac:dyDescent="0.3">
      <c r="A3866" s="2" t="s">
        <v>3932</v>
      </c>
      <c r="B3866" s="6">
        <v>45992</v>
      </c>
      <c r="C3866" s="2" t="s">
        <v>48</v>
      </c>
      <c r="D3866" s="2" t="s">
        <v>60</v>
      </c>
      <c r="E3866" s="2">
        <v>1</v>
      </c>
      <c r="F3866" s="7">
        <v>99</v>
      </c>
      <c r="G3866" s="8">
        <v>0</v>
      </c>
      <c r="H3866" s="9" t="str">
        <f>INDEX(Products!$B$2:$B$37, MATCH(D3866, Products!$A$2:$A$37, 0))</f>
        <v>Football Size 5</v>
      </c>
      <c r="I3866" t="str">
        <f>INDEX(Products!$C$2:$C$37, MATCH(D3866, Products!$A$2:$A$37, 0))</f>
        <v>Sports</v>
      </c>
      <c r="J3866">
        <f>INDEX(Products!$E$2:$E$37, MATCH(D3866, Products!$A$2:$A$37, 0))</f>
        <v>45</v>
      </c>
      <c r="K3866" s="9">
        <f t="shared" si="240"/>
        <v>99</v>
      </c>
      <c r="L3866">
        <f t="shared" si="241"/>
        <v>45</v>
      </c>
      <c r="M3866" s="9">
        <f t="shared" si="242"/>
        <v>54</v>
      </c>
      <c r="N3866" t="str">
        <f t="shared" si="243"/>
        <v>Dec</v>
      </c>
    </row>
    <row r="3867" spans="1:14" x14ac:dyDescent="0.3">
      <c r="A3867" s="2" t="s">
        <v>3933</v>
      </c>
      <c r="B3867" s="6">
        <v>45992</v>
      </c>
      <c r="C3867" s="2" t="s">
        <v>44</v>
      </c>
      <c r="D3867" s="2" t="s">
        <v>80</v>
      </c>
      <c r="E3867" s="2">
        <v>1</v>
      </c>
      <c r="F3867" s="7">
        <v>149</v>
      </c>
      <c r="G3867" s="8">
        <v>0.2</v>
      </c>
      <c r="H3867" s="9" t="str">
        <f>INDEX(Products!$B$2:$B$37, MATCH(D3867, Products!$A$2:$A$37, 0))</f>
        <v>Vitamin C Serum</v>
      </c>
      <c r="I3867" t="str">
        <f>INDEX(Products!$C$2:$C$37, MATCH(D3867, Products!$A$2:$A$37, 0))</f>
        <v>Beauty</v>
      </c>
      <c r="J3867">
        <f>INDEX(Products!$E$2:$E$37, MATCH(D3867, Products!$A$2:$A$37, 0))</f>
        <v>55</v>
      </c>
      <c r="K3867" s="9">
        <f t="shared" si="240"/>
        <v>119.2</v>
      </c>
      <c r="L3867">
        <f t="shared" si="241"/>
        <v>55</v>
      </c>
      <c r="M3867" s="9">
        <f t="shared" si="242"/>
        <v>64.2</v>
      </c>
      <c r="N3867" t="str">
        <f t="shared" si="243"/>
        <v>Dec</v>
      </c>
    </row>
    <row r="3868" spans="1:14" x14ac:dyDescent="0.3">
      <c r="A3868" s="2" t="s">
        <v>3934</v>
      </c>
      <c r="B3868" s="6">
        <v>45992</v>
      </c>
      <c r="C3868" s="2" t="s">
        <v>41</v>
      </c>
      <c r="D3868" s="2" t="s">
        <v>60</v>
      </c>
      <c r="E3868" s="2">
        <v>1</v>
      </c>
      <c r="F3868" s="7">
        <v>99</v>
      </c>
      <c r="G3868" s="8">
        <v>0.15</v>
      </c>
      <c r="H3868" s="9" t="str">
        <f>INDEX(Products!$B$2:$B$37, MATCH(D3868, Products!$A$2:$A$37, 0))</f>
        <v>Football Size 5</v>
      </c>
      <c r="I3868" t="str">
        <f>INDEX(Products!$C$2:$C$37, MATCH(D3868, Products!$A$2:$A$37, 0))</f>
        <v>Sports</v>
      </c>
      <c r="J3868">
        <f>INDEX(Products!$E$2:$E$37, MATCH(D3868, Products!$A$2:$A$37, 0))</f>
        <v>45</v>
      </c>
      <c r="K3868" s="9">
        <f t="shared" si="240"/>
        <v>84.149999999999991</v>
      </c>
      <c r="L3868">
        <f t="shared" si="241"/>
        <v>45</v>
      </c>
      <c r="M3868" s="9">
        <f t="shared" si="242"/>
        <v>39.149999999999991</v>
      </c>
      <c r="N3868" t="str">
        <f t="shared" si="243"/>
        <v>Dec</v>
      </c>
    </row>
    <row r="3869" spans="1:14" x14ac:dyDescent="0.3">
      <c r="A3869" s="2" t="s">
        <v>3935</v>
      </c>
      <c r="B3869" s="6">
        <v>45992</v>
      </c>
      <c r="C3869" s="2" t="s">
        <v>41</v>
      </c>
      <c r="D3869" s="2" t="s">
        <v>29</v>
      </c>
      <c r="E3869" s="2">
        <v>1</v>
      </c>
      <c r="F3869" s="7">
        <v>229</v>
      </c>
      <c r="G3869" s="8">
        <v>0.2</v>
      </c>
      <c r="H3869" s="9" t="str">
        <f>INDEX(Products!$B$2:$B$37, MATCH(D3869, Products!$A$2:$A$37, 0))</f>
        <v>Women's Summer Dress</v>
      </c>
      <c r="I3869" t="str">
        <f>INDEX(Products!$C$2:$C$37, MATCH(D3869, Products!$A$2:$A$37, 0))</f>
        <v>Fashion</v>
      </c>
      <c r="J3869">
        <f>INDEX(Products!$E$2:$E$37, MATCH(D3869, Products!$A$2:$A$37, 0))</f>
        <v>120</v>
      </c>
      <c r="K3869" s="9">
        <f t="shared" si="240"/>
        <v>183.20000000000002</v>
      </c>
      <c r="L3869">
        <f t="shared" si="241"/>
        <v>120</v>
      </c>
      <c r="M3869" s="9">
        <f t="shared" si="242"/>
        <v>63.200000000000017</v>
      </c>
      <c r="N3869" t="str">
        <f t="shared" si="243"/>
        <v>Dec</v>
      </c>
    </row>
    <row r="3870" spans="1:14" x14ac:dyDescent="0.3">
      <c r="A3870" s="2" t="s">
        <v>3936</v>
      </c>
      <c r="B3870" s="6">
        <v>45993</v>
      </c>
      <c r="C3870" s="2" t="s">
        <v>44</v>
      </c>
      <c r="D3870" s="2" t="s">
        <v>115</v>
      </c>
      <c r="E3870" s="2">
        <v>2</v>
      </c>
      <c r="F3870" s="7">
        <v>129</v>
      </c>
      <c r="G3870" s="8">
        <v>0</v>
      </c>
      <c r="H3870" s="9" t="str">
        <f>INDEX(Products!$B$2:$B$37, MATCH(D3870, Products!$A$2:$A$37, 0))</f>
        <v>Electric Kettle</v>
      </c>
      <c r="I3870" t="str">
        <f>INDEX(Products!$C$2:$C$37, MATCH(D3870, Products!$A$2:$A$37, 0))</f>
        <v>Home &amp; Kitchen</v>
      </c>
      <c r="J3870">
        <f>INDEX(Products!$E$2:$E$37, MATCH(D3870, Products!$A$2:$A$37, 0))</f>
        <v>60</v>
      </c>
      <c r="K3870" s="9">
        <f t="shared" si="240"/>
        <v>258</v>
      </c>
      <c r="L3870">
        <f t="shared" si="241"/>
        <v>120</v>
      </c>
      <c r="M3870" s="9">
        <f t="shared" si="242"/>
        <v>138</v>
      </c>
      <c r="N3870" t="str">
        <f t="shared" si="243"/>
        <v>Dec</v>
      </c>
    </row>
    <row r="3871" spans="1:14" x14ac:dyDescent="0.3">
      <c r="A3871" s="2" t="s">
        <v>3937</v>
      </c>
      <c r="B3871" s="6">
        <v>45993</v>
      </c>
      <c r="C3871" s="2" t="s">
        <v>31</v>
      </c>
      <c r="D3871" s="2" t="s">
        <v>42</v>
      </c>
      <c r="E3871" s="2">
        <v>1</v>
      </c>
      <c r="F3871" s="7">
        <v>399</v>
      </c>
      <c r="G3871" s="8">
        <v>0.05</v>
      </c>
      <c r="H3871" s="9" t="str">
        <f>INDEX(Products!$B$2:$B$37, MATCH(D3871, Products!$A$2:$A$37, 0))</f>
        <v>Wireless Earbuds Pro</v>
      </c>
      <c r="I3871" t="str">
        <f>INDEX(Products!$C$2:$C$37, MATCH(D3871, Products!$A$2:$A$37, 0))</f>
        <v>Electronics</v>
      </c>
      <c r="J3871">
        <f>INDEX(Products!$E$2:$E$37, MATCH(D3871, Products!$A$2:$A$37, 0))</f>
        <v>230</v>
      </c>
      <c r="K3871" s="9">
        <f t="shared" si="240"/>
        <v>379.04999999999995</v>
      </c>
      <c r="L3871">
        <f t="shared" si="241"/>
        <v>230</v>
      </c>
      <c r="M3871" s="9">
        <f t="shared" si="242"/>
        <v>149.04999999999995</v>
      </c>
      <c r="N3871" t="str">
        <f t="shared" si="243"/>
        <v>Dec</v>
      </c>
    </row>
    <row r="3872" spans="1:14" x14ac:dyDescent="0.3">
      <c r="A3872" s="2" t="s">
        <v>3938</v>
      </c>
      <c r="B3872" s="6">
        <v>45993</v>
      </c>
      <c r="C3872" s="2" t="s">
        <v>41</v>
      </c>
      <c r="D3872" s="2" t="s">
        <v>113</v>
      </c>
      <c r="E3872" s="2">
        <v>2</v>
      </c>
      <c r="F3872" s="7">
        <v>1199</v>
      </c>
      <c r="G3872" s="8">
        <v>0.2</v>
      </c>
      <c r="H3872" s="9" t="str">
        <f>INDEX(Products!$B$2:$B$37, MATCH(D3872, Products!$A$2:$A$37, 0))</f>
        <v>Robot Vacuum S3</v>
      </c>
      <c r="I3872" t="str">
        <f>INDEX(Products!$C$2:$C$37, MATCH(D3872, Products!$A$2:$A$37, 0))</f>
        <v>Home &amp; Kitchen</v>
      </c>
      <c r="J3872">
        <f>INDEX(Products!$E$2:$E$37, MATCH(D3872, Products!$A$2:$A$37, 0))</f>
        <v>1080</v>
      </c>
      <c r="K3872" s="9">
        <f t="shared" si="240"/>
        <v>1918.4</v>
      </c>
      <c r="L3872">
        <f t="shared" si="241"/>
        <v>2160</v>
      </c>
      <c r="M3872" s="9">
        <f t="shared" si="242"/>
        <v>-241.59999999999991</v>
      </c>
      <c r="N3872" t="str">
        <f t="shared" si="243"/>
        <v>Dec</v>
      </c>
    </row>
    <row r="3873" spans="1:14" x14ac:dyDescent="0.3">
      <c r="A3873" s="2" t="s">
        <v>3939</v>
      </c>
      <c r="B3873" s="6">
        <v>45993</v>
      </c>
      <c r="C3873" s="2" t="s">
        <v>48</v>
      </c>
      <c r="D3873" s="2" t="s">
        <v>46</v>
      </c>
      <c r="E3873" s="2">
        <v>1</v>
      </c>
      <c r="F3873" s="7">
        <v>189</v>
      </c>
      <c r="G3873" s="8">
        <v>0.2</v>
      </c>
      <c r="H3873" s="9" t="str">
        <f>INDEX(Products!$B$2:$B$37, MATCH(D3873, Products!$A$2:$A$37, 0))</f>
        <v>Makeup Palette</v>
      </c>
      <c r="I3873" t="str">
        <f>INDEX(Products!$C$2:$C$37, MATCH(D3873, Products!$A$2:$A$37, 0))</f>
        <v>Beauty</v>
      </c>
      <c r="J3873">
        <f>INDEX(Products!$E$2:$E$37, MATCH(D3873, Products!$A$2:$A$37, 0))</f>
        <v>85</v>
      </c>
      <c r="K3873" s="9">
        <f t="shared" si="240"/>
        <v>151.20000000000002</v>
      </c>
      <c r="L3873">
        <f t="shared" si="241"/>
        <v>85</v>
      </c>
      <c r="M3873" s="9">
        <f t="shared" si="242"/>
        <v>66.200000000000017</v>
      </c>
      <c r="N3873" t="str">
        <f t="shared" si="243"/>
        <v>Dec</v>
      </c>
    </row>
    <row r="3874" spans="1:14" x14ac:dyDescent="0.3">
      <c r="A3874" s="2" t="s">
        <v>3940</v>
      </c>
      <c r="B3874" s="6">
        <v>45993</v>
      </c>
      <c r="C3874" s="2" t="s">
        <v>41</v>
      </c>
      <c r="D3874" s="2" t="s">
        <v>129</v>
      </c>
      <c r="E3874" s="2">
        <v>1</v>
      </c>
      <c r="F3874" s="7">
        <v>149</v>
      </c>
      <c r="G3874" s="8">
        <v>0</v>
      </c>
      <c r="H3874" s="9" t="str">
        <f>INDEX(Products!$B$2:$B$37, MATCH(D3874, Products!$A$2:$A$37, 0))</f>
        <v>Power Bank 20000mAh</v>
      </c>
      <c r="I3874" t="str">
        <f>INDEX(Products!$C$2:$C$37, MATCH(D3874, Products!$A$2:$A$37, 0))</f>
        <v>Electronics</v>
      </c>
      <c r="J3874">
        <f>INDEX(Products!$E$2:$E$37, MATCH(D3874, Products!$A$2:$A$37, 0))</f>
        <v>70</v>
      </c>
      <c r="K3874" s="9">
        <f t="shared" si="240"/>
        <v>149</v>
      </c>
      <c r="L3874">
        <f t="shared" si="241"/>
        <v>70</v>
      </c>
      <c r="M3874" s="9">
        <f t="shared" si="242"/>
        <v>79</v>
      </c>
      <c r="N3874" t="str">
        <f t="shared" si="243"/>
        <v>Dec</v>
      </c>
    </row>
    <row r="3875" spans="1:14" x14ac:dyDescent="0.3">
      <c r="A3875" s="2" t="s">
        <v>3941</v>
      </c>
      <c r="B3875" s="6">
        <v>45993</v>
      </c>
      <c r="C3875" s="2" t="s">
        <v>48</v>
      </c>
      <c r="D3875" s="2" t="s">
        <v>126</v>
      </c>
      <c r="E3875" s="2">
        <v>1</v>
      </c>
      <c r="F3875" s="7">
        <v>89</v>
      </c>
      <c r="G3875" s="8">
        <v>0</v>
      </c>
      <c r="H3875" s="9" t="str">
        <f>INDEX(Products!$B$2:$B$37, MATCH(D3875, Products!$A$2:$A$37, 0))</f>
        <v>USB-C Fast Charger</v>
      </c>
      <c r="I3875" t="str">
        <f>INDEX(Products!$C$2:$C$37, MATCH(D3875, Products!$A$2:$A$37, 0))</f>
        <v>Electronics</v>
      </c>
      <c r="J3875">
        <f>INDEX(Products!$E$2:$E$37, MATCH(D3875, Products!$A$2:$A$37, 0))</f>
        <v>35</v>
      </c>
      <c r="K3875" s="9">
        <f t="shared" si="240"/>
        <v>89</v>
      </c>
      <c r="L3875">
        <f t="shared" si="241"/>
        <v>35</v>
      </c>
      <c r="M3875" s="9">
        <f t="shared" si="242"/>
        <v>54</v>
      </c>
      <c r="N3875" t="str">
        <f t="shared" si="243"/>
        <v>Dec</v>
      </c>
    </row>
    <row r="3876" spans="1:14" x14ac:dyDescent="0.3">
      <c r="A3876" s="2" t="s">
        <v>3942</v>
      </c>
      <c r="B3876" s="6">
        <v>45993</v>
      </c>
      <c r="C3876" s="2" t="s">
        <v>28</v>
      </c>
      <c r="D3876" s="2" t="s">
        <v>80</v>
      </c>
      <c r="E3876" s="2">
        <v>2</v>
      </c>
      <c r="F3876" s="7">
        <v>149</v>
      </c>
      <c r="G3876" s="8">
        <v>0</v>
      </c>
      <c r="H3876" s="9" t="str">
        <f>INDEX(Products!$B$2:$B$37, MATCH(D3876, Products!$A$2:$A$37, 0))</f>
        <v>Vitamin C Serum</v>
      </c>
      <c r="I3876" t="str">
        <f>INDEX(Products!$C$2:$C$37, MATCH(D3876, Products!$A$2:$A$37, 0))</f>
        <v>Beauty</v>
      </c>
      <c r="J3876">
        <f>INDEX(Products!$E$2:$E$37, MATCH(D3876, Products!$A$2:$A$37, 0))</f>
        <v>55</v>
      </c>
      <c r="K3876" s="9">
        <f t="shared" si="240"/>
        <v>298</v>
      </c>
      <c r="L3876">
        <f t="shared" si="241"/>
        <v>110</v>
      </c>
      <c r="M3876" s="9">
        <f t="shared" si="242"/>
        <v>188</v>
      </c>
      <c r="N3876" t="str">
        <f t="shared" si="243"/>
        <v>Dec</v>
      </c>
    </row>
    <row r="3877" spans="1:14" x14ac:dyDescent="0.3">
      <c r="A3877" s="2" t="s">
        <v>3943</v>
      </c>
      <c r="B3877" s="6">
        <v>45993</v>
      </c>
      <c r="C3877" s="2" t="s">
        <v>28</v>
      </c>
      <c r="D3877" s="2" t="s">
        <v>129</v>
      </c>
      <c r="E3877" s="2">
        <v>1</v>
      </c>
      <c r="F3877" s="7">
        <v>149</v>
      </c>
      <c r="G3877" s="8">
        <v>0.2</v>
      </c>
      <c r="H3877" s="9" t="str">
        <f>INDEX(Products!$B$2:$B$37, MATCH(D3877, Products!$A$2:$A$37, 0))</f>
        <v>Power Bank 20000mAh</v>
      </c>
      <c r="I3877" t="str">
        <f>INDEX(Products!$C$2:$C$37, MATCH(D3877, Products!$A$2:$A$37, 0))</f>
        <v>Electronics</v>
      </c>
      <c r="J3877">
        <f>INDEX(Products!$E$2:$E$37, MATCH(D3877, Products!$A$2:$A$37, 0))</f>
        <v>70</v>
      </c>
      <c r="K3877" s="9">
        <f t="shared" si="240"/>
        <v>119.2</v>
      </c>
      <c r="L3877">
        <f t="shared" si="241"/>
        <v>70</v>
      </c>
      <c r="M3877" s="9">
        <f t="shared" si="242"/>
        <v>49.2</v>
      </c>
      <c r="N3877" t="str">
        <f t="shared" si="243"/>
        <v>Dec</v>
      </c>
    </row>
    <row r="3878" spans="1:14" x14ac:dyDescent="0.3">
      <c r="A3878" s="2" t="s">
        <v>3944</v>
      </c>
      <c r="B3878" s="6">
        <v>45993</v>
      </c>
      <c r="C3878" s="2" t="s">
        <v>31</v>
      </c>
      <c r="D3878" s="2" t="s">
        <v>68</v>
      </c>
      <c r="E3878" s="2">
        <v>1</v>
      </c>
      <c r="F3878" s="7">
        <v>249</v>
      </c>
      <c r="G3878" s="8">
        <v>0.3</v>
      </c>
      <c r="H3878" s="9" t="str">
        <f>INDEX(Products!$B$2:$B$37, MATCH(D3878, Products!$A$2:$A$37, 0))</f>
        <v>Bluetooth Speaker Mini</v>
      </c>
      <c r="I3878" t="str">
        <f>INDEX(Products!$C$2:$C$37, MATCH(D3878, Products!$A$2:$A$37, 0))</f>
        <v>Electronics</v>
      </c>
      <c r="J3878">
        <f>INDEX(Products!$E$2:$E$37, MATCH(D3878, Products!$A$2:$A$37, 0))</f>
        <v>150</v>
      </c>
      <c r="K3878" s="9">
        <f t="shared" si="240"/>
        <v>174.29999999999998</v>
      </c>
      <c r="L3878">
        <f t="shared" si="241"/>
        <v>150</v>
      </c>
      <c r="M3878" s="9">
        <f t="shared" si="242"/>
        <v>24.299999999999983</v>
      </c>
      <c r="N3878" t="str">
        <f t="shared" si="243"/>
        <v>Dec</v>
      </c>
    </row>
    <row r="3879" spans="1:14" x14ac:dyDescent="0.3">
      <c r="A3879" s="2" t="s">
        <v>3945</v>
      </c>
      <c r="B3879" s="6">
        <v>45993</v>
      </c>
      <c r="C3879" s="2" t="s">
        <v>48</v>
      </c>
      <c r="D3879" s="2" t="s">
        <v>99</v>
      </c>
      <c r="E3879" s="2">
        <v>1</v>
      </c>
      <c r="F3879" s="7">
        <v>459</v>
      </c>
      <c r="G3879" s="8">
        <v>0</v>
      </c>
      <c r="H3879" s="9" t="str">
        <f>INDEX(Products!$B$2:$B$37, MATCH(D3879, Products!$A$2:$A$37, 0))</f>
        <v>Gaming Headset X</v>
      </c>
      <c r="I3879" t="str">
        <f>INDEX(Products!$C$2:$C$37, MATCH(D3879, Products!$A$2:$A$37, 0))</f>
        <v>Electronics</v>
      </c>
      <c r="J3879">
        <f>INDEX(Products!$E$2:$E$37, MATCH(D3879, Products!$A$2:$A$37, 0))</f>
        <v>300</v>
      </c>
      <c r="K3879" s="9">
        <f t="shared" si="240"/>
        <v>459</v>
      </c>
      <c r="L3879">
        <f t="shared" si="241"/>
        <v>300</v>
      </c>
      <c r="M3879" s="9">
        <f t="shared" si="242"/>
        <v>159</v>
      </c>
      <c r="N3879" t="str">
        <f t="shared" si="243"/>
        <v>Dec</v>
      </c>
    </row>
    <row r="3880" spans="1:14" x14ac:dyDescent="0.3">
      <c r="A3880" s="2" t="s">
        <v>3946</v>
      </c>
      <c r="B3880" s="6">
        <v>45994</v>
      </c>
      <c r="C3880" s="2" t="s">
        <v>44</v>
      </c>
      <c r="D3880" s="2" t="s">
        <v>95</v>
      </c>
      <c r="E3880" s="2">
        <v>1</v>
      </c>
      <c r="F3880" s="7">
        <v>259</v>
      </c>
      <c r="G3880" s="8">
        <v>0.2</v>
      </c>
      <c r="H3880" s="9" t="str">
        <f>INDEX(Products!$B$2:$B$37, MATCH(D3880, Products!$A$2:$A$37, 0))</f>
        <v>Bed Linen Set (King)</v>
      </c>
      <c r="I3880" t="str">
        <f>INDEX(Products!$C$2:$C$37, MATCH(D3880, Products!$A$2:$A$37, 0))</f>
        <v>Home &amp; Kitchen</v>
      </c>
      <c r="J3880">
        <f>INDEX(Products!$E$2:$E$37, MATCH(D3880, Products!$A$2:$A$37, 0))</f>
        <v>115</v>
      </c>
      <c r="K3880" s="9">
        <f t="shared" si="240"/>
        <v>207.20000000000002</v>
      </c>
      <c r="L3880">
        <f t="shared" si="241"/>
        <v>115</v>
      </c>
      <c r="M3880" s="9">
        <f t="shared" si="242"/>
        <v>92.200000000000017</v>
      </c>
      <c r="N3880" t="str">
        <f t="shared" si="243"/>
        <v>Dec</v>
      </c>
    </row>
    <row r="3881" spans="1:14" x14ac:dyDescent="0.3">
      <c r="A3881" s="2" t="s">
        <v>3947</v>
      </c>
      <c r="B3881" s="6">
        <v>45994</v>
      </c>
      <c r="C3881" s="2" t="s">
        <v>41</v>
      </c>
      <c r="D3881" s="2" t="s">
        <v>109</v>
      </c>
      <c r="E3881" s="2">
        <v>2</v>
      </c>
      <c r="F3881" s="7">
        <v>1499</v>
      </c>
      <c r="G3881" s="8">
        <v>0.2</v>
      </c>
      <c r="H3881" s="9" t="str">
        <f>INDEX(Products!$B$2:$B$37, MATCH(D3881, Products!$A$2:$A$37, 0))</f>
        <v>Espresso Machine</v>
      </c>
      <c r="I3881" t="str">
        <f>INDEX(Products!$C$2:$C$37, MATCH(D3881, Products!$A$2:$A$37, 0))</f>
        <v>Home &amp; Kitchen</v>
      </c>
      <c r="J3881">
        <f>INDEX(Products!$E$2:$E$37, MATCH(D3881, Products!$A$2:$A$37, 0))</f>
        <v>1050</v>
      </c>
      <c r="K3881" s="9">
        <f t="shared" si="240"/>
        <v>2398.4</v>
      </c>
      <c r="L3881">
        <f t="shared" si="241"/>
        <v>2100</v>
      </c>
      <c r="M3881" s="9">
        <f t="shared" si="242"/>
        <v>298.40000000000009</v>
      </c>
      <c r="N3881" t="str">
        <f t="shared" si="243"/>
        <v>Dec</v>
      </c>
    </row>
    <row r="3882" spans="1:14" x14ac:dyDescent="0.3">
      <c r="A3882" s="2" t="s">
        <v>3948</v>
      </c>
      <c r="B3882" s="6">
        <v>45994</v>
      </c>
      <c r="C3882" s="2" t="s">
        <v>31</v>
      </c>
      <c r="D3882" s="2" t="s">
        <v>87</v>
      </c>
      <c r="E3882" s="2">
        <v>1</v>
      </c>
      <c r="F3882" s="7">
        <v>799</v>
      </c>
      <c r="G3882" s="8">
        <v>0.1</v>
      </c>
      <c r="H3882" s="9" t="str">
        <f>INDEX(Products!$B$2:$B$37, MATCH(D3882, Products!$A$2:$A$37, 0))</f>
        <v>Adjustable Dumbbells</v>
      </c>
      <c r="I3882" t="str">
        <f>INDEX(Products!$C$2:$C$37, MATCH(D3882, Products!$A$2:$A$37, 0))</f>
        <v>Sports</v>
      </c>
      <c r="J3882">
        <f>INDEX(Products!$E$2:$E$37, MATCH(D3882, Products!$A$2:$A$37, 0))</f>
        <v>700</v>
      </c>
      <c r="K3882" s="9">
        <f t="shared" si="240"/>
        <v>719.1</v>
      </c>
      <c r="L3882">
        <f t="shared" si="241"/>
        <v>700</v>
      </c>
      <c r="M3882" s="9">
        <f t="shared" si="242"/>
        <v>19.100000000000023</v>
      </c>
      <c r="N3882" t="str">
        <f t="shared" si="243"/>
        <v>Dec</v>
      </c>
    </row>
    <row r="3883" spans="1:14" x14ac:dyDescent="0.3">
      <c r="A3883" s="2" t="s">
        <v>3949</v>
      </c>
      <c r="B3883" s="6">
        <v>45994</v>
      </c>
      <c r="C3883" s="2" t="s">
        <v>48</v>
      </c>
      <c r="D3883" s="2" t="s">
        <v>52</v>
      </c>
      <c r="E3883" s="2">
        <v>1</v>
      </c>
      <c r="F3883" s="7">
        <v>299</v>
      </c>
      <c r="G3883" s="8">
        <v>0.2</v>
      </c>
      <c r="H3883" s="9" t="str">
        <f>INDEX(Products!$B$2:$B$37, MATCH(D3883, Products!$A$2:$A$37, 0))</f>
        <v>Hair Dryer Ionic</v>
      </c>
      <c r="I3883" t="str">
        <f>INDEX(Products!$C$2:$C$37, MATCH(D3883, Products!$A$2:$A$37, 0))</f>
        <v>Beauty</v>
      </c>
      <c r="J3883">
        <f>INDEX(Products!$E$2:$E$37, MATCH(D3883, Products!$A$2:$A$37, 0))</f>
        <v>240</v>
      </c>
      <c r="K3883" s="9">
        <f t="shared" si="240"/>
        <v>239.20000000000002</v>
      </c>
      <c r="L3883">
        <f t="shared" si="241"/>
        <v>240</v>
      </c>
      <c r="M3883" s="9">
        <f t="shared" si="242"/>
        <v>-0.79999999999998295</v>
      </c>
      <c r="N3883" t="str">
        <f t="shared" si="243"/>
        <v>Dec</v>
      </c>
    </row>
    <row r="3884" spans="1:14" x14ac:dyDescent="0.3">
      <c r="A3884" s="2" t="s">
        <v>3950</v>
      </c>
      <c r="B3884" s="6">
        <v>45994</v>
      </c>
      <c r="C3884" s="2" t="s">
        <v>28</v>
      </c>
      <c r="D3884" s="2" t="s">
        <v>99</v>
      </c>
      <c r="E3884" s="2">
        <v>1</v>
      </c>
      <c r="F3884" s="7">
        <v>459</v>
      </c>
      <c r="G3884" s="8">
        <v>0.2</v>
      </c>
      <c r="H3884" s="9" t="str">
        <f>INDEX(Products!$B$2:$B$37, MATCH(D3884, Products!$A$2:$A$37, 0))</f>
        <v>Gaming Headset X</v>
      </c>
      <c r="I3884" t="str">
        <f>INDEX(Products!$C$2:$C$37, MATCH(D3884, Products!$A$2:$A$37, 0))</f>
        <v>Electronics</v>
      </c>
      <c r="J3884">
        <f>INDEX(Products!$E$2:$E$37, MATCH(D3884, Products!$A$2:$A$37, 0))</f>
        <v>300</v>
      </c>
      <c r="K3884" s="9">
        <f t="shared" si="240"/>
        <v>367.20000000000005</v>
      </c>
      <c r="L3884">
        <f t="shared" si="241"/>
        <v>300</v>
      </c>
      <c r="M3884" s="9">
        <f t="shared" si="242"/>
        <v>67.200000000000045</v>
      </c>
      <c r="N3884" t="str">
        <f t="shared" si="243"/>
        <v>Dec</v>
      </c>
    </row>
    <row r="3885" spans="1:14" x14ac:dyDescent="0.3">
      <c r="A3885" s="2" t="s">
        <v>3951</v>
      </c>
      <c r="B3885" s="6">
        <v>45994</v>
      </c>
      <c r="C3885" s="2" t="s">
        <v>44</v>
      </c>
      <c r="D3885" s="2" t="s">
        <v>29</v>
      </c>
      <c r="E3885" s="2">
        <v>3</v>
      </c>
      <c r="F3885" s="7">
        <v>229</v>
      </c>
      <c r="G3885" s="8">
        <v>0.2</v>
      </c>
      <c r="H3885" s="9" t="str">
        <f>INDEX(Products!$B$2:$B$37, MATCH(D3885, Products!$A$2:$A$37, 0))</f>
        <v>Women's Summer Dress</v>
      </c>
      <c r="I3885" t="str">
        <f>INDEX(Products!$C$2:$C$37, MATCH(D3885, Products!$A$2:$A$37, 0))</f>
        <v>Fashion</v>
      </c>
      <c r="J3885">
        <f>INDEX(Products!$E$2:$E$37, MATCH(D3885, Products!$A$2:$A$37, 0))</f>
        <v>120</v>
      </c>
      <c r="K3885" s="9">
        <f t="shared" si="240"/>
        <v>549.6</v>
      </c>
      <c r="L3885">
        <f t="shared" si="241"/>
        <v>360</v>
      </c>
      <c r="M3885" s="9">
        <f t="shared" si="242"/>
        <v>189.60000000000002</v>
      </c>
      <c r="N3885" t="str">
        <f t="shared" si="243"/>
        <v>Dec</v>
      </c>
    </row>
    <row r="3886" spans="1:14" x14ac:dyDescent="0.3">
      <c r="A3886" s="2" t="s">
        <v>3952</v>
      </c>
      <c r="B3886" s="6">
        <v>45994</v>
      </c>
      <c r="C3886" s="2" t="s">
        <v>44</v>
      </c>
      <c r="D3886" s="2" t="s">
        <v>165</v>
      </c>
      <c r="E3886" s="2">
        <v>2</v>
      </c>
      <c r="F3886" s="7">
        <v>69</v>
      </c>
      <c r="G3886" s="8">
        <v>0.2</v>
      </c>
      <c r="H3886" s="9" t="str">
        <f>INDEX(Products!$B$2:$B$37, MATCH(D3886, Products!$A$2:$A$37, 0))</f>
        <v>Swim Goggles</v>
      </c>
      <c r="I3886" t="str">
        <f>INDEX(Products!$C$2:$C$37, MATCH(D3886, Products!$A$2:$A$37, 0))</f>
        <v>Sports</v>
      </c>
      <c r="J3886">
        <f>INDEX(Products!$E$2:$E$37, MATCH(D3886, Products!$A$2:$A$37, 0))</f>
        <v>25</v>
      </c>
      <c r="K3886" s="9">
        <f t="shared" si="240"/>
        <v>110.4</v>
      </c>
      <c r="L3886">
        <f t="shared" si="241"/>
        <v>50</v>
      </c>
      <c r="M3886" s="9">
        <f t="shared" si="242"/>
        <v>60.400000000000006</v>
      </c>
      <c r="N3886" t="str">
        <f t="shared" si="243"/>
        <v>Dec</v>
      </c>
    </row>
    <row r="3887" spans="1:14" x14ac:dyDescent="0.3">
      <c r="A3887" s="2" t="s">
        <v>3953</v>
      </c>
      <c r="B3887" s="6">
        <v>45994</v>
      </c>
      <c r="C3887" s="2" t="s">
        <v>41</v>
      </c>
      <c r="D3887" s="2" t="s">
        <v>75</v>
      </c>
      <c r="E3887" s="2">
        <v>1</v>
      </c>
      <c r="F3887" s="7">
        <v>549</v>
      </c>
      <c r="G3887" s="8">
        <v>0.2</v>
      </c>
      <c r="H3887" s="9" t="str">
        <f>INDEX(Products!$B$2:$B$37, MATCH(D3887, Products!$A$2:$A$37, 0))</f>
        <v>Oud Perfume 100ml</v>
      </c>
      <c r="I3887" t="str">
        <f>INDEX(Products!$C$2:$C$37, MATCH(D3887, Products!$A$2:$A$37, 0))</f>
        <v>Beauty</v>
      </c>
      <c r="J3887">
        <f>INDEX(Products!$E$2:$E$37, MATCH(D3887, Products!$A$2:$A$37, 0))</f>
        <v>250</v>
      </c>
      <c r="K3887" s="9">
        <f t="shared" si="240"/>
        <v>439.20000000000005</v>
      </c>
      <c r="L3887">
        <f t="shared" si="241"/>
        <v>250</v>
      </c>
      <c r="M3887" s="9">
        <f t="shared" si="242"/>
        <v>189.20000000000005</v>
      </c>
      <c r="N3887" t="str">
        <f t="shared" si="243"/>
        <v>Dec</v>
      </c>
    </row>
    <row r="3888" spans="1:14" x14ac:dyDescent="0.3">
      <c r="A3888" s="2" t="s">
        <v>3954</v>
      </c>
      <c r="B3888" s="6">
        <v>45994</v>
      </c>
      <c r="C3888" s="2" t="s">
        <v>28</v>
      </c>
      <c r="D3888" s="2" t="s">
        <v>103</v>
      </c>
      <c r="E3888" s="2">
        <v>3</v>
      </c>
      <c r="F3888" s="7">
        <v>89</v>
      </c>
      <c r="G3888" s="8">
        <v>0.3</v>
      </c>
      <c r="H3888" s="9" t="str">
        <f>INDEX(Products!$B$2:$B$37, MATCH(D3888, Products!$A$2:$A$37, 0))</f>
        <v>Sunscreen SPF50</v>
      </c>
      <c r="I3888" t="str">
        <f>INDEX(Products!$C$2:$C$37, MATCH(D3888, Products!$A$2:$A$37, 0))</f>
        <v>Beauty</v>
      </c>
      <c r="J3888">
        <f>INDEX(Products!$E$2:$E$37, MATCH(D3888, Products!$A$2:$A$37, 0))</f>
        <v>40</v>
      </c>
      <c r="K3888" s="9">
        <f t="shared" si="240"/>
        <v>186.89999999999998</v>
      </c>
      <c r="L3888">
        <f t="shared" si="241"/>
        <v>120</v>
      </c>
      <c r="M3888" s="9">
        <f t="shared" si="242"/>
        <v>66.899999999999977</v>
      </c>
      <c r="N3888" t="str">
        <f t="shared" si="243"/>
        <v>Dec</v>
      </c>
    </row>
    <row r="3889" spans="1:14" x14ac:dyDescent="0.3">
      <c r="A3889" s="2" t="s">
        <v>3955</v>
      </c>
      <c r="B3889" s="6">
        <v>45994</v>
      </c>
      <c r="C3889" s="2" t="s">
        <v>31</v>
      </c>
      <c r="D3889" s="2" t="s">
        <v>115</v>
      </c>
      <c r="E3889" s="2">
        <v>2</v>
      </c>
      <c r="F3889" s="7">
        <v>129</v>
      </c>
      <c r="G3889" s="8">
        <v>0</v>
      </c>
      <c r="H3889" s="9" t="str">
        <f>INDEX(Products!$B$2:$B$37, MATCH(D3889, Products!$A$2:$A$37, 0))</f>
        <v>Electric Kettle</v>
      </c>
      <c r="I3889" t="str">
        <f>INDEX(Products!$C$2:$C$37, MATCH(D3889, Products!$A$2:$A$37, 0))</f>
        <v>Home &amp; Kitchen</v>
      </c>
      <c r="J3889">
        <f>INDEX(Products!$E$2:$E$37, MATCH(D3889, Products!$A$2:$A$37, 0))</f>
        <v>60</v>
      </c>
      <c r="K3889" s="9">
        <f t="shared" si="240"/>
        <v>258</v>
      </c>
      <c r="L3889">
        <f t="shared" si="241"/>
        <v>120</v>
      </c>
      <c r="M3889" s="9">
        <f t="shared" si="242"/>
        <v>138</v>
      </c>
      <c r="N3889" t="str">
        <f t="shared" si="243"/>
        <v>Dec</v>
      </c>
    </row>
    <row r="3890" spans="1:14" x14ac:dyDescent="0.3">
      <c r="A3890" s="2" t="s">
        <v>3956</v>
      </c>
      <c r="B3890" s="6">
        <v>45994</v>
      </c>
      <c r="C3890" s="2" t="s">
        <v>28</v>
      </c>
      <c r="D3890" s="2" t="s">
        <v>49</v>
      </c>
      <c r="E3890" s="2">
        <v>1</v>
      </c>
      <c r="F3890" s="7">
        <v>149</v>
      </c>
      <c r="G3890" s="8">
        <v>0.1</v>
      </c>
      <c r="H3890" s="9" t="str">
        <f>INDEX(Products!$B$2:$B$37, MATCH(D3890, Products!$A$2:$A$37, 0))</f>
        <v>Kids' Sneakers</v>
      </c>
      <c r="I3890" t="str">
        <f>INDEX(Products!$C$2:$C$37, MATCH(D3890, Products!$A$2:$A$37, 0))</f>
        <v>Fashion</v>
      </c>
      <c r="J3890">
        <f>INDEX(Products!$E$2:$E$37, MATCH(D3890, Products!$A$2:$A$37, 0))</f>
        <v>80</v>
      </c>
      <c r="K3890" s="9">
        <f t="shared" si="240"/>
        <v>134.1</v>
      </c>
      <c r="L3890">
        <f t="shared" si="241"/>
        <v>80</v>
      </c>
      <c r="M3890" s="9">
        <f t="shared" si="242"/>
        <v>54.099999999999994</v>
      </c>
      <c r="N3890" t="str">
        <f t="shared" si="243"/>
        <v>Dec</v>
      </c>
    </row>
    <row r="3891" spans="1:14" x14ac:dyDescent="0.3">
      <c r="A3891" s="2" t="s">
        <v>3957</v>
      </c>
      <c r="B3891" s="6">
        <v>45995</v>
      </c>
      <c r="C3891" s="2" t="s">
        <v>41</v>
      </c>
      <c r="D3891" s="2" t="s">
        <v>131</v>
      </c>
      <c r="E3891" s="2">
        <v>2</v>
      </c>
      <c r="F3891" s="7">
        <v>899</v>
      </c>
      <c r="G3891" s="8">
        <v>0.2</v>
      </c>
      <c r="H3891" s="9" t="str">
        <f>INDEX(Products!$B$2:$B$37, MATCH(D3891, Products!$A$2:$A$37, 0))</f>
        <v>4K Action Camera</v>
      </c>
      <c r="I3891" t="str">
        <f>INDEX(Products!$C$2:$C$37, MATCH(D3891, Products!$A$2:$A$37, 0))</f>
        <v>Electronics</v>
      </c>
      <c r="J3891">
        <f>INDEX(Products!$E$2:$E$37, MATCH(D3891, Products!$A$2:$A$37, 0))</f>
        <v>610</v>
      </c>
      <c r="K3891" s="9">
        <f t="shared" si="240"/>
        <v>1438.4</v>
      </c>
      <c r="L3891">
        <f t="shared" si="241"/>
        <v>1220</v>
      </c>
      <c r="M3891" s="9">
        <f t="shared" si="242"/>
        <v>218.40000000000009</v>
      </c>
      <c r="N3891" t="str">
        <f t="shared" si="243"/>
        <v>Dec</v>
      </c>
    </row>
    <row r="3892" spans="1:14" x14ac:dyDescent="0.3">
      <c r="A3892" s="2" t="s">
        <v>3958</v>
      </c>
      <c r="B3892" s="6">
        <v>45995</v>
      </c>
      <c r="C3892" s="2" t="s">
        <v>31</v>
      </c>
      <c r="D3892" s="2" t="s">
        <v>56</v>
      </c>
      <c r="E3892" s="2">
        <v>4</v>
      </c>
      <c r="F3892" s="7">
        <v>289</v>
      </c>
      <c r="G3892" s="8">
        <v>0.1</v>
      </c>
      <c r="H3892" s="9" t="str">
        <f>INDEX(Products!$B$2:$B$37, MATCH(D3892, Products!$A$2:$A$37, 0))</f>
        <v>Ceramic Dinner Set</v>
      </c>
      <c r="I3892" t="str">
        <f>INDEX(Products!$C$2:$C$37, MATCH(D3892, Products!$A$2:$A$37, 0))</f>
        <v>Home &amp; Kitchen</v>
      </c>
      <c r="J3892">
        <f>INDEX(Products!$E$2:$E$37, MATCH(D3892, Products!$A$2:$A$37, 0))</f>
        <v>140</v>
      </c>
      <c r="K3892" s="9">
        <f t="shared" si="240"/>
        <v>1040.4000000000001</v>
      </c>
      <c r="L3892">
        <f t="shared" si="241"/>
        <v>560</v>
      </c>
      <c r="M3892" s="9">
        <f t="shared" si="242"/>
        <v>480.40000000000009</v>
      </c>
      <c r="N3892" t="str">
        <f t="shared" si="243"/>
        <v>Dec</v>
      </c>
    </row>
    <row r="3893" spans="1:14" x14ac:dyDescent="0.3">
      <c r="A3893" s="2" t="s">
        <v>3959</v>
      </c>
      <c r="B3893" s="6">
        <v>45995</v>
      </c>
      <c r="C3893" s="2" t="s">
        <v>41</v>
      </c>
      <c r="D3893" s="2" t="s">
        <v>68</v>
      </c>
      <c r="E3893" s="2">
        <v>2</v>
      </c>
      <c r="F3893" s="7">
        <v>249</v>
      </c>
      <c r="G3893" s="8">
        <v>0.2</v>
      </c>
      <c r="H3893" s="9" t="str">
        <f>INDEX(Products!$B$2:$B$37, MATCH(D3893, Products!$A$2:$A$37, 0))</f>
        <v>Bluetooth Speaker Mini</v>
      </c>
      <c r="I3893" t="str">
        <f>INDEX(Products!$C$2:$C$37, MATCH(D3893, Products!$A$2:$A$37, 0))</f>
        <v>Electronics</v>
      </c>
      <c r="J3893">
        <f>INDEX(Products!$E$2:$E$37, MATCH(D3893, Products!$A$2:$A$37, 0))</f>
        <v>150</v>
      </c>
      <c r="K3893" s="9">
        <f t="shared" si="240"/>
        <v>398.40000000000003</v>
      </c>
      <c r="L3893">
        <f t="shared" si="241"/>
        <v>300</v>
      </c>
      <c r="M3893" s="9">
        <f t="shared" si="242"/>
        <v>98.400000000000034</v>
      </c>
      <c r="N3893" t="str">
        <f t="shared" si="243"/>
        <v>Dec</v>
      </c>
    </row>
    <row r="3894" spans="1:14" x14ac:dyDescent="0.3">
      <c r="A3894" s="2" t="s">
        <v>3960</v>
      </c>
      <c r="B3894" s="6">
        <v>45995</v>
      </c>
      <c r="C3894" s="2" t="s">
        <v>44</v>
      </c>
      <c r="D3894" s="2" t="s">
        <v>56</v>
      </c>
      <c r="E3894" s="2">
        <v>1</v>
      </c>
      <c r="F3894" s="7">
        <v>289</v>
      </c>
      <c r="G3894" s="8">
        <v>0</v>
      </c>
      <c r="H3894" s="9" t="str">
        <f>INDEX(Products!$B$2:$B$37, MATCH(D3894, Products!$A$2:$A$37, 0))</f>
        <v>Ceramic Dinner Set</v>
      </c>
      <c r="I3894" t="str">
        <f>INDEX(Products!$C$2:$C$37, MATCH(D3894, Products!$A$2:$A$37, 0))</f>
        <v>Home &amp; Kitchen</v>
      </c>
      <c r="J3894">
        <f>INDEX(Products!$E$2:$E$37, MATCH(D3894, Products!$A$2:$A$37, 0))</f>
        <v>140</v>
      </c>
      <c r="K3894" s="9">
        <f t="shared" si="240"/>
        <v>289</v>
      </c>
      <c r="L3894">
        <f t="shared" si="241"/>
        <v>140</v>
      </c>
      <c r="M3894" s="9">
        <f t="shared" si="242"/>
        <v>149</v>
      </c>
      <c r="N3894" t="str">
        <f t="shared" si="243"/>
        <v>Dec</v>
      </c>
    </row>
    <row r="3895" spans="1:14" x14ac:dyDescent="0.3">
      <c r="A3895" s="2" t="s">
        <v>3961</v>
      </c>
      <c r="B3895" s="6">
        <v>45995</v>
      </c>
      <c r="C3895" s="2" t="s">
        <v>48</v>
      </c>
      <c r="D3895" s="2" t="s">
        <v>37</v>
      </c>
      <c r="E3895" s="2">
        <v>4</v>
      </c>
      <c r="F3895" s="7">
        <v>249</v>
      </c>
      <c r="G3895" s="8">
        <v>0.05</v>
      </c>
      <c r="H3895" s="9" t="str">
        <f>INDEX(Products!$B$2:$B$37, MATCH(D3895, Products!$A$2:$A$37, 0))</f>
        <v>Sunglasses Polarised</v>
      </c>
      <c r="I3895" t="str">
        <f>INDEX(Products!$C$2:$C$37, MATCH(D3895, Products!$A$2:$A$37, 0))</f>
        <v>Fashion</v>
      </c>
      <c r="J3895">
        <f>INDEX(Products!$E$2:$E$37, MATCH(D3895, Products!$A$2:$A$37, 0))</f>
        <v>95</v>
      </c>
      <c r="K3895" s="9">
        <f t="shared" si="240"/>
        <v>946.19999999999993</v>
      </c>
      <c r="L3895">
        <f t="shared" si="241"/>
        <v>380</v>
      </c>
      <c r="M3895" s="9">
        <f t="shared" si="242"/>
        <v>566.19999999999993</v>
      </c>
      <c r="N3895" t="str">
        <f t="shared" si="243"/>
        <v>Dec</v>
      </c>
    </row>
    <row r="3896" spans="1:14" x14ac:dyDescent="0.3">
      <c r="A3896" s="2" t="s">
        <v>3962</v>
      </c>
      <c r="B3896" s="6">
        <v>45995</v>
      </c>
      <c r="C3896" s="2" t="s">
        <v>41</v>
      </c>
      <c r="D3896" s="2" t="s">
        <v>56</v>
      </c>
      <c r="E3896" s="2">
        <v>1</v>
      </c>
      <c r="F3896" s="7">
        <v>289</v>
      </c>
      <c r="G3896" s="8">
        <v>0.1</v>
      </c>
      <c r="H3896" s="9" t="str">
        <f>INDEX(Products!$B$2:$B$37, MATCH(D3896, Products!$A$2:$A$37, 0))</f>
        <v>Ceramic Dinner Set</v>
      </c>
      <c r="I3896" t="str">
        <f>INDEX(Products!$C$2:$C$37, MATCH(D3896, Products!$A$2:$A$37, 0))</f>
        <v>Home &amp; Kitchen</v>
      </c>
      <c r="J3896">
        <f>INDEX(Products!$E$2:$E$37, MATCH(D3896, Products!$A$2:$A$37, 0))</f>
        <v>140</v>
      </c>
      <c r="K3896" s="9">
        <f t="shared" si="240"/>
        <v>260.10000000000002</v>
      </c>
      <c r="L3896">
        <f t="shared" si="241"/>
        <v>140</v>
      </c>
      <c r="M3896" s="9">
        <f t="shared" si="242"/>
        <v>120.10000000000002</v>
      </c>
      <c r="N3896" t="str">
        <f t="shared" si="243"/>
        <v>Dec</v>
      </c>
    </row>
    <row r="3897" spans="1:14" x14ac:dyDescent="0.3">
      <c r="A3897" s="2" t="s">
        <v>3963</v>
      </c>
      <c r="B3897" s="6">
        <v>45995</v>
      </c>
      <c r="C3897" s="2" t="s">
        <v>41</v>
      </c>
      <c r="D3897" s="2" t="s">
        <v>95</v>
      </c>
      <c r="E3897" s="2">
        <v>1</v>
      </c>
      <c r="F3897" s="7">
        <v>259</v>
      </c>
      <c r="G3897" s="8">
        <v>0.05</v>
      </c>
      <c r="H3897" s="9" t="str">
        <f>INDEX(Products!$B$2:$B$37, MATCH(D3897, Products!$A$2:$A$37, 0))</f>
        <v>Bed Linen Set (King)</v>
      </c>
      <c r="I3897" t="str">
        <f>INDEX(Products!$C$2:$C$37, MATCH(D3897, Products!$A$2:$A$37, 0))</f>
        <v>Home &amp; Kitchen</v>
      </c>
      <c r="J3897">
        <f>INDEX(Products!$E$2:$E$37, MATCH(D3897, Products!$A$2:$A$37, 0))</f>
        <v>115</v>
      </c>
      <c r="K3897" s="9">
        <f t="shared" si="240"/>
        <v>246.04999999999998</v>
      </c>
      <c r="L3897">
        <f t="shared" si="241"/>
        <v>115</v>
      </c>
      <c r="M3897" s="9">
        <f t="shared" si="242"/>
        <v>131.04999999999998</v>
      </c>
      <c r="N3897" t="str">
        <f t="shared" si="243"/>
        <v>Dec</v>
      </c>
    </row>
    <row r="3898" spans="1:14" x14ac:dyDescent="0.3">
      <c r="A3898" s="2" t="s">
        <v>3964</v>
      </c>
      <c r="B3898" s="6">
        <v>45995</v>
      </c>
      <c r="C3898" s="2" t="s">
        <v>41</v>
      </c>
      <c r="D3898" s="2" t="s">
        <v>80</v>
      </c>
      <c r="E3898" s="2">
        <v>4</v>
      </c>
      <c r="F3898" s="7">
        <v>149</v>
      </c>
      <c r="G3898" s="8">
        <v>0.1</v>
      </c>
      <c r="H3898" s="9" t="str">
        <f>INDEX(Products!$B$2:$B$37, MATCH(D3898, Products!$A$2:$A$37, 0))</f>
        <v>Vitamin C Serum</v>
      </c>
      <c r="I3898" t="str">
        <f>INDEX(Products!$C$2:$C$37, MATCH(D3898, Products!$A$2:$A$37, 0))</f>
        <v>Beauty</v>
      </c>
      <c r="J3898">
        <f>INDEX(Products!$E$2:$E$37, MATCH(D3898, Products!$A$2:$A$37, 0))</f>
        <v>55</v>
      </c>
      <c r="K3898" s="9">
        <f t="shared" si="240"/>
        <v>536.4</v>
      </c>
      <c r="L3898">
        <f t="shared" si="241"/>
        <v>220</v>
      </c>
      <c r="M3898" s="9">
        <f t="shared" si="242"/>
        <v>316.39999999999998</v>
      </c>
      <c r="N3898" t="str">
        <f t="shared" si="243"/>
        <v>Dec</v>
      </c>
    </row>
    <row r="3899" spans="1:14" x14ac:dyDescent="0.3">
      <c r="A3899" s="2" t="s">
        <v>3965</v>
      </c>
      <c r="B3899" s="6">
        <v>45995</v>
      </c>
      <c r="C3899" s="2" t="s">
        <v>41</v>
      </c>
      <c r="D3899" s="2" t="s">
        <v>33</v>
      </c>
      <c r="E3899" s="2">
        <v>1</v>
      </c>
      <c r="F3899" s="7">
        <v>199</v>
      </c>
      <c r="G3899" s="8">
        <v>0.15</v>
      </c>
      <c r="H3899" s="9" t="str">
        <f>INDEX(Products!$B$2:$B$37, MATCH(D3899, Products!$A$2:$A$37, 0))</f>
        <v>Fitness Band Lite</v>
      </c>
      <c r="I3899" t="str">
        <f>INDEX(Products!$C$2:$C$37, MATCH(D3899, Products!$A$2:$A$37, 0))</f>
        <v>Electronics</v>
      </c>
      <c r="J3899">
        <f>INDEX(Products!$E$2:$E$37, MATCH(D3899, Products!$A$2:$A$37, 0))</f>
        <v>175</v>
      </c>
      <c r="K3899" s="9">
        <f t="shared" si="240"/>
        <v>169.15</v>
      </c>
      <c r="L3899">
        <f t="shared" si="241"/>
        <v>175</v>
      </c>
      <c r="M3899" s="9">
        <f t="shared" si="242"/>
        <v>-5.8499999999999943</v>
      </c>
      <c r="N3899" t="str">
        <f t="shared" si="243"/>
        <v>Dec</v>
      </c>
    </row>
    <row r="3900" spans="1:14" x14ac:dyDescent="0.3">
      <c r="A3900" s="2" t="s">
        <v>3966</v>
      </c>
      <c r="B3900" s="6">
        <v>45995</v>
      </c>
      <c r="C3900" s="2" t="s">
        <v>28</v>
      </c>
      <c r="D3900" s="2" t="s">
        <v>49</v>
      </c>
      <c r="E3900" s="2">
        <v>1</v>
      </c>
      <c r="F3900" s="7">
        <v>149</v>
      </c>
      <c r="G3900" s="8">
        <v>0.1</v>
      </c>
      <c r="H3900" s="9" t="str">
        <f>INDEX(Products!$B$2:$B$37, MATCH(D3900, Products!$A$2:$A$37, 0))</f>
        <v>Kids' Sneakers</v>
      </c>
      <c r="I3900" t="str">
        <f>INDEX(Products!$C$2:$C$37, MATCH(D3900, Products!$A$2:$A$37, 0))</f>
        <v>Fashion</v>
      </c>
      <c r="J3900">
        <f>INDEX(Products!$E$2:$E$37, MATCH(D3900, Products!$A$2:$A$37, 0))</f>
        <v>80</v>
      </c>
      <c r="K3900" s="9">
        <f t="shared" si="240"/>
        <v>134.1</v>
      </c>
      <c r="L3900">
        <f t="shared" si="241"/>
        <v>80</v>
      </c>
      <c r="M3900" s="9">
        <f t="shared" si="242"/>
        <v>54.099999999999994</v>
      </c>
      <c r="N3900" t="str">
        <f t="shared" si="243"/>
        <v>Dec</v>
      </c>
    </row>
    <row r="3901" spans="1:14" x14ac:dyDescent="0.3">
      <c r="A3901" s="2" t="s">
        <v>3967</v>
      </c>
      <c r="B3901" s="6">
        <v>45995</v>
      </c>
      <c r="C3901" s="2" t="s">
        <v>31</v>
      </c>
      <c r="D3901" s="2" t="s">
        <v>126</v>
      </c>
      <c r="E3901" s="2">
        <v>2</v>
      </c>
      <c r="F3901" s="7">
        <v>89</v>
      </c>
      <c r="G3901" s="8">
        <v>0.2</v>
      </c>
      <c r="H3901" s="9" t="str">
        <f>INDEX(Products!$B$2:$B$37, MATCH(D3901, Products!$A$2:$A$37, 0))</f>
        <v>USB-C Fast Charger</v>
      </c>
      <c r="I3901" t="str">
        <f>INDEX(Products!$C$2:$C$37, MATCH(D3901, Products!$A$2:$A$37, 0))</f>
        <v>Electronics</v>
      </c>
      <c r="J3901">
        <f>INDEX(Products!$E$2:$E$37, MATCH(D3901, Products!$A$2:$A$37, 0))</f>
        <v>35</v>
      </c>
      <c r="K3901" s="9">
        <f t="shared" si="240"/>
        <v>142.4</v>
      </c>
      <c r="L3901">
        <f t="shared" si="241"/>
        <v>70</v>
      </c>
      <c r="M3901" s="9">
        <f t="shared" si="242"/>
        <v>72.400000000000006</v>
      </c>
      <c r="N3901" t="str">
        <f t="shared" si="243"/>
        <v>Dec</v>
      </c>
    </row>
    <row r="3902" spans="1:14" x14ac:dyDescent="0.3">
      <c r="A3902" s="2" t="s">
        <v>3968</v>
      </c>
      <c r="B3902" s="6">
        <v>45995</v>
      </c>
      <c r="C3902" s="2" t="s">
        <v>44</v>
      </c>
      <c r="D3902" s="2" t="s">
        <v>49</v>
      </c>
      <c r="E3902" s="2">
        <v>2</v>
      </c>
      <c r="F3902" s="7">
        <v>149</v>
      </c>
      <c r="G3902" s="8">
        <v>0.1</v>
      </c>
      <c r="H3902" s="9" t="str">
        <f>INDEX(Products!$B$2:$B$37, MATCH(D3902, Products!$A$2:$A$37, 0))</f>
        <v>Kids' Sneakers</v>
      </c>
      <c r="I3902" t="str">
        <f>INDEX(Products!$C$2:$C$37, MATCH(D3902, Products!$A$2:$A$37, 0))</f>
        <v>Fashion</v>
      </c>
      <c r="J3902">
        <f>INDEX(Products!$E$2:$E$37, MATCH(D3902, Products!$A$2:$A$37, 0))</f>
        <v>80</v>
      </c>
      <c r="K3902" s="9">
        <f t="shared" si="240"/>
        <v>268.2</v>
      </c>
      <c r="L3902">
        <f t="shared" si="241"/>
        <v>160</v>
      </c>
      <c r="M3902" s="9">
        <f t="shared" si="242"/>
        <v>108.19999999999999</v>
      </c>
      <c r="N3902" t="str">
        <f t="shared" si="243"/>
        <v>Dec</v>
      </c>
    </row>
    <row r="3903" spans="1:14" x14ac:dyDescent="0.3">
      <c r="A3903" s="2" t="s">
        <v>3969</v>
      </c>
      <c r="B3903" s="6">
        <v>45995</v>
      </c>
      <c r="C3903" s="2" t="s">
        <v>28</v>
      </c>
      <c r="D3903" s="2" t="s">
        <v>115</v>
      </c>
      <c r="E3903" s="2">
        <v>1</v>
      </c>
      <c r="F3903" s="7">
        <v>129</v>
      </c>
      <c r="G3903" s="8">
        <v>0</v>
      </c>
      <c r="H3903" s="9" t="str">
        <f>INDEX(Products!$B$2:$B$37, MATCH(D3903, Products!$A$2:$A$37, 0))</f>
        <v>Electric Kettle</v>
      </c>
      <c r="I3903" t="str">
        <f>INDEX(Products!$C$2:$C$37, MATCH(D3903, Products!$A$2:$A$37, 0))</f>
        <v>Home &amp; Kitchen</v>
      </c>
      <c r="J3903">
        <f>INDEX(Products!$E$2:$E$37, MATCH(D3903, Products!$A$2:$A$37, 0))</f>
        <v>60</v>
      </c>
      <c r="K3903" s="9">
        <f t="shared" si="240"/>
        <v>129</v>
      </c>
      <c r="L3903">
        <f t="shared" si="241"/>
        <v>60</v>
      </c>
      <c r="M3903" s="9">
        <f t="shared" si="242"/>
        <v>69</v>
      </c>
      <c r="N3903" t="str">
        <f t="shared" si="243"/>
        <v>Dec</v>
      </c>
    </row>
    <row r="3904" spans="1:14" x14ac:dyDescent="0.3">
      <c r="A3904" s="2" t="s">
        <v>3970</v>
      </c>
      <c r="B3904" s="6">
        <v>45996</v>
      </c>
      <c r="C3904" s="2" t="s">
        <v>31</v>
      </c>
      <c r="D3904" s="2" t="s">
        <v>29</v>
      </c>
      <c r="E3904" s="2">
        <v>1</v>
      </c>
      <c r="F3904" s="7">
        <v>229</v>
      </c>
      <c r="G3904" s="8">
        <v>0.2</v>
      </c>
      <c r="H3904" s="9" t="str">
        <f>INDEX(Products!$B$2:$B$37, MATCH(D3904, Products!$A$2:$A$37, 0))</f>
        <v>Women's Summer Dress</v>
      </c>
      <c r="I3904" t="str">
        <f>INDEX(Products!$C$2:$C$37, MATCH(D3904, Products!$A$2:$A$37, 0))</f>
        <v>Fashion</v>
      </c>
      <c r="J3904">
        <f>INDEX(Products!$E$2:$E$37, MATCH(D3904, Products!$A$2:$A$37, 0))</f>
        <v>120</v>
      </c>
      <c r="K3904" s="9">
        <f t="shared" si="240"/>
        <v>183.20000000000002</v>
      </c>
      <c r="L3904">
        <f t="shared" si="241"/>
        <v>120</v>
      </c>
      <c r="M3904" s="9">
        <f t="shared" si="242"/>
        <v>63.200000000000017</v>
      </c>
      <c r="N3904" t="str">
        <f t="shared" si="243"/>
        <v>Dec</v>
      </c>
    </row>
    <row r="3905" spans="1:14" x14ac:dyDescent="0.3">
      <c r="A3905" s="2" t="s">
        <v>3971</v>
      </c>
      <c r="B3905" s="6">
        <v>45996</v>
      </c>
      <c r="C3905" s="2" t="s">
        <v>44</v>
      </c>
      <c r="D3905" s="2" t="s">
        <v>46</v>
      </c>
      <c r="E3905" s="2">
        <v>3</v>
      </c>
      <c r="F3905" s="7">
        <v>189</v>
      </c>
      <c r="G3905" s="8">
        <v>0.15</v>
      </c>
      <c r="H3905" s="9" t="str">
        <f>INDEX(Products!$B$2:$B$37, MATCH(D3905, Products!$A$2:$A$37, 0))</f>
        <v>Makeup Palette</v>
      </c>
      <c r="I3905" t="str">
        <f>INDEX(Products!$C$2:$C$37, MATCH(D3905, Products!$A$2:$A$37, 0))</f>
        <v>Beauty</v>
      </c>
      <c r="J3905">
        <f>INDEX(Products!$E$2:$E$37, MATCH(D3905, Products!$A$2:$A$37, 0))</f>
        <v>85</v>
      </c>
      <c r="K3905" s="9">
        <f t="shared" si="240"/>
        <v>481.95</v>
      </c>
      <c r="L3905">
        <f t="shared" si="241"/>
        <v>255</v>
      </c>
      <c r="M3905" s="9">
        <f t="shared" si="242"/>
        <v>226.95</v>
      </c>
      <c r="N3905" t="str">
        <f t="shared" si="243"/>
        <v>Dec</v>
      </c>
    </row>
    <row r="3906" spans="1:14" x14ac:dyDescent="0.3">
      <c r="A3906" s="2" t="s">
        <v>3972</v>
      </c>
      <c r="B3906" s="6">
        <v>45996</v>
      </c>
      <c r="C3906" s="2" t="s">
        <v>48</v>
      </c>
      <c r="D3906" s="2" t="s">
        <v>37</v>
      </c>
      <c r="E3906" s="2">
        <v>1</v>
      </c>
      <c r="F3906" s="7">
        <v>249</v>
      </c>
      <c r="G3906" s="8">
        <v>0.2</v>
      </c>
      <c r="H3906" s="9" t="str">
        <f>INDEX(Products!$B$2:$B$37, MATCH(D3906, Products!$A$2:$A$37, 0))</f>
        <v>Sunglasses Polarised</v>
      </c>
      <c r="I3906" t="str">
        <f>INDEX(Products!$C$2:$C$37, MATCH(D3906, Products!$A$2:$A$37, 0))</f>
        <v>Fashion</v>
      </c>
      <c r="J3906">
        <f>INDEX(Products!$E$2:$E$37, MATCH(D3906, Products!$A$2:$A$37, 0))</f>
        <v>95</v>
      </c>
      <c r="K3906" s="9">
        <f t="shared" ref="K3906:K3969" si="244">E3906*F3906*(1-G3906)</f>
        <v>199.20000000000002</v>
      </c>
      <c r="L3906">
        <f t="shared" ref="L3906:L3969" si="245">E3906*J3906</f>
        <v>95</v>
      </c>
      <c r="M3906" s="9">
        <f t="shared" ref="M3906:M3969" si="246">K3906-L3906</f>
        <v>104.20000000000002</v>
      </c>
      <c r="N3906" t="str">
        <f t="shared" ref="N3906:N3969" si="247">TEXT(B3906,"mmm")</f>
        <v>Dec</v>
      </c>
    </row>
    <row r="3907" spans="1:14" x14ac:dyDescent="0.3">
      <c r="A3907" s="2" t="s">
        <v>3973</v>
      </c>
      <c r="B3907" s="6">
        <v>45996</v>
      </c>
      <c r="C3907" s="2" t="s">
        <v>28</v>
      </c>
      <c r="D3907" s="2" t="s">
        <v>39</v>
      </c>
      <c r="E3907" s="2">
        <v>1</v>
      </c>
      <c r="F3907" s="7">
        <v>199</v>
      </c>
      <c r="G3907" s="8">
        <v>0.2</v>
      </c>
      <c r="H3907" s="9" t="str">
        <f>INDEX(Products!$B$2:$B$37, MATCH(D3907, Products!$A$2:$A$37, 0))</f>
        <v>Bakhoor Gift Set</v>
      </c>
      <c r="I3907" t="str">
        <f>INDEX(Products!$C$2:$C$37, MATCH(D3907, Products!$A$2:$A$37, 0))</f>
        <v>Beauty</v>
      </c>
      <c r="J3907">
        <f>INDEX(Products!$E$2:$E$37, MATCH(D3907, Products!$A$2:$A$37, 0))</f>
        <v>90</v>
      </c>
      <c r="K3907" s="9">
        <f t="shared" si="244"/>
        <v>159.20000000000002</v>
      </c>
      <c r="L3907">
        <f t="shared" si="245"/>
        <v>90</v>
      </c>
      <c r="M3907" s="9">
        <f t="shared" si="246"/>
        <v>69.200000000000017</v>
      </c>
      <c r="N3907" t="str">
        <f t="shared" si="247"/>
        <v>Dec</v>
      </c>
    </row>
    <row r="3908" spans="1:14" x14ac:dyDescent="0.3">
      <c r="A3908" s="2" t="s">
        <v>3974</v>
      </c>
      <c r="B3908" s="6">
        <v>45996</v>
      </c>
      <c r="C3908" s="2" t="s">
        <v>48</v>
      </c>
      <c r="D3908" s="2" t="s">
        <v>65</v>
      </c>
      <c r="E3908" s="2">
        <v>2</v>
      </c>
      <c r="F3908" s="7">
        <v>129</v>
      </c>
      <c r="G3908" s="8">
        <v>0.2</v>
      </c>
      <c r="H3908" s="9" t="str">
        <f>INDEX(Products!$B$2:$B$37, MATCH(D3908, Products!$A$2:$A$37, 0))</f>
        <v>Yoga Mat Premium</v>
      </c>
      <c r="I3908" t="str">
        <f>INDEX(Products!$C$2:$C$37, MATCH(D3908, Products!$A$2:$A$37, 0))</f>
        <v>Sports</v>
      </c>
      <c r="J3908">
        <f>INDEX(Products!$E$2:$E$37, MATCH(D3908, Products!$A$2:$A$37, 0))</f>
        <v>60</v>
      </c>
      <c r="K3908" s="9">
        <f t="shared" si="244"/>
        <v>206.4</v>
      </c>
      <c r="L3908">
        <f t="shared" si="245"/>
        <v>120</v>
      </c>
      <c r="M3908" s="9">
        <f t="shared" si="246"/>
        <v>86.4</v>
      </c>
      <c r="N3908" t="str">
        <f t="shared" si="247"/>
        <v>Dec</v>
      </c>
    </row>
    <row r="3909" spans="1:14" x14ac:dyDescent="0.3">
      <c r="A3909" s="2" t="s">
        <v>3975</v>
      </c>
      <c r="B3909" s="6">
        <v>45996</v>
      </c>
      <c r="C3909" s="2" t="s">
        <v>28</v>
      </c>
      <c r="D3909" s="2" t="s">
        <v>92</v>
      </c>
      <c r="E3909" s="2">
        <v>2</v>
      </c>
      <c r="F3909" s="7">
        <v>349</v>
      </c>
      <c r="G3909" s="8">
        <v>0.2</v>
      </c>
      <c r="H3909" s="9" t="str">
        <f>INDEX(Products!$B$2:$B$37, MATCH(D3909, Products!$A$2:$A$37, 0))</f>
        <v>Non-stick Cookware Set</v>
      </c>
      <c r="I3909" t="str">
        <f>INDEX(Products!$C$2:$C$37, MATCH(D3909, Products!$A$2:$A$37, 0))</f>
        <v>Home &amp; Kitchen</v>
      </c>
      <c r="J3909">
        <f>INDEX(Products!$E$2:$E$37, MATCH(D3909, Products!$A$2:$A$37, 0))</f>
        <v>170</v>
      </c>
      <c r="K3909" s="9">
        <f t="shared" si="244"/>
        <v>558.4</v>
      </c>
      <c r="L3909">
        <f t="shared" si="245"/>
        <v>340</v>
      </c>
      <c r="M3909" s="9">
        <f t="shared" si="246"/>
        <v>218.39999999999998</v>
      </c>
      <c r="N3909" t="str">
        <f t="shared" si="247"/>
        <v>Dec</v>
      </c>
    </row>
    <row r="3910" spans="1:14" x14ac:dyDescent="0.3">
      <c r="A3910" s="2" t="s">
        <v>3976</v>
      </c>
      <c r="B3910" s="6">
        <v>45996</v>
      </c>
      <c r="C3910" s="2" t="s">
        <v>28</v>
      </c>
      <c r="D3910" s="2" t="s">
        <v>39</v>
      </c>
      <c r="E3910" s="2">
        <v>1</v>
      </c>
      <c r="F3910" s="7">
        <v>199</v>
      </c>
      <c r="G3910" s="8">
        <v>0.2</v>
      </c>
      <c r="H3910" s="9" t="str">
        <f>INDEX(Products!$B$2:$B$37, MATCH(D3910, Products!$A$2:$A$37, 0))</f>
        <v>Bakhoor Gift Set</v>
      </c>
      <c r="I3910" t="str">
        <f>INDEX(Products!$C$2:$C$37, MATCH(D3910, Products!$A$2:$A$37, 0))</f>
        <v>Beauty</v>
      </c>
      <c r="J3910">
        <f>INDEX(Products!$E$2:$E$37, MATCH(D3910, Products!$A$2:$A$37, 0))</f>
        <v>90</v>
      </c>
      <c r="K3910" s="9">
        <f t="shared" si="244"/>
        <v>159.20000000000002</v>
      </c>
      <c r="L3910">
        <f t="shared" si="245"/>
        <v>90</v>
      </c>
      <c r="M3910" s="9">
        <f t="shared" si="246"/>
        <v>69.200000000000017</v>
      </c>
      <c r="N3910" t="str">
        <f t="shared" si="247"/>
        <v>Dec</v>
      </c>
    </row>
    <row r="3911" spans="1:14" x14ac:dyDescent="0.3">
      <c r="A3911" s="2" t="s">
        <v>3977</v>
      </c>
      <c r="B3911" s="6">
        <v>45996</v>
      </c>
      <c r="C3911" s="2" t="s">
        <v>31</v>
      </c>
      <c r="D3911" s="2" t="s">
        <v>126</v>
      </c>
      <c r="E3911" s="2">
        <v>2</v>
      </c>
      <c r="F3911" s="7">
        <v>89</v>
      </c>
      <c r="G3911" s="8">
        <v>0.3</v>
      </c>
      <c r="H3911" s="9" t="str">
        <f>INDEX(Products!$B$2:$B$37, MATCH(D3911, Products!$A$2:$A$37, 0))</f>
        <v>USB-C Fast Charger</v>
      </c>
      <c r="I3911" t="str">
        <f>INDEX(Products!$C$2:$C$37, MATCH(D3911, Products!$A$2:$A$37, 0))</f>
        <v>Electronics</v>
      </c>
      <c r="J3911">
        <f>INDEX(Products!$E$2:$E$37, MATCH(D3911, Products!$A$2:$A$37, 0))</f>
        <v>35</v>
      </c>
      <c r="K3911" s="9">
        <f t="shared" si="244"/>
        <v>124.6</v>
      </c>
      <c r="L3911">
        <f t="shared" si="245"/>
        <v>70</v>
      </c>
      <c r="M3911" s="9">
        <f t="shared" si="246"/>
        <v>54.599999999999994</v>
      </c>
      <c r="N3911" t="str">
        <f t="shared" si="247"/>
        <v>Dec</v>
      </c>
    </row>
    <row r="3912" spans="1:14" x14ac:dyDescent="0.3">
      <c r="A3912" s="2" t="s">
        <v>3978</v>
      </c>
      <c r="B3912" s="6">
        <v>45996</v>
      </c>
      <c r="C3912" s="2" t="s">
        <v>41</v>
      </c>
      <c r="D3912" s="2" t="s">
        <v>39</v>
      </c>
      <c r="E3912" s="2">
        <v>1</v>
      </c>
      <c r="F3912" s="7">
        <v>199</v>
      </c>
      <c r="G3912" s="8">
        <v>0.1</v>
      </c>
      <c r="H3912" s="9" t="str">
        <f>INDEX(Products!$B$2:$B$37, MATCH(D3912, Products!$A$2:$A$37, 0))</f>
        <v>Bakhoor Gift Set</v>
      </c>
      <c r="I3912" t="str">
        <f>INDEX(Products!$C$2:$C$37, MATCH(D3912, Products!$A$2:$A$37, 0))</f>
        <v>Beauty</v>
      </c>
      <c r="J3912">
        <f>INDEX(Products!$E$2:$E$37, MATCH(D3912, Products!$A$2:$A$37, 0))</f>
        <v>90</v>
      </c>
      <c r="K3912" s="9">
        <f t="shared" si="244"/>
        <v>179.1</v>
      </c>
      <c r="L3912">
        <f t="shared" si="245"/>
        <v>90</v>
      </c>
      <c r="M3912" s="9">
        <f t="shared" si="246"/>
        <v>89.1</v>
      </c>
      <c r="N3912" t="str">
        <f t="shared" si="247"/>
        <v>Dec</v>
      </c>
    </row>
    <row r="3913" spans="1:14" x14ac:dyDescent="0.3">
      <c r="A3913" s="2" t="s">
        <v>3979</v>
      </c>
      <c r="B3913" s="6">
        <v>45996</v>
      </c>
      <c r="C3913" s="2" t="s">
        <v>41</v>
      </c>
      <c r="D3913" s="2" t="s">
        <v>103</v>
      </c>
      <c r="E3913" s="2">
        <v>1</v>
      </c>
      <c r="F3913" s="7">
        <v>89</v>
      </c>
      <c r="G3913" s="8">
        <v>0.3</v>
      </c>
      <c r="H3913" s="9" t="str">
        <f>INDEX(Products!$B$2:$B$37, MATCH(D3913, Products!$A$2:$A$37, 0))</f>
        <v>Sunscreen SPF50</v>
      </c>
      <c r="I3913" t="str">
        <f>INDEX(Products!$C$2:$C$37, MATCH(D3913, Products!$A$2:$A$37, 0))</f>
        <v>Beauty</v>
      </c>
      <c r="J3913">
        <f>INDEX(Products!$E$2:$E$37, MATCH(D3913, Products!$A$2:$A$37, 0))</f>
        <v>40</v>
      </c>
      <c r="K3913" s="9">
        <f t="shared" si="244"/>
        <v>62.3</v>
      </c>
      <c r="L3913">
        <f t="shared" si="245"/>
        <v>40</v>
      </c>
      <c r="M3913" s="9">
        <f t="shared" si="246"/>
        <v>22.299999999999997</v>
      </c>
      <c r="N3913" t="str">
        <f t="shared" si="247"/>
        <v>Dec</v>
      </c>
    </row>
    <row r="3914" spans="1:14" x14ac:dyDescent="0.3">
      <c r="A3914" s="2" t="s">
        <v>3980</v>
      </c>
      <c r="B3914" s="6">
        <v>45996</v>
      </c>
      <c r="C3914" s="2" t="s">
        <v>44</v>
      </c>
      <c r="D3914" s="2" t="s">
        <v>65</v>
      </c>
      <c r="E3914" s="2">
        <v>1</v>
      </c>
      <c r="F3914" s="7">
        <v>129</v>
      </c>
      <c r="G3914" s="8">
        <v>0.2</v>
      </c>
      <c r="H3914" s="9" t="str">
        <f>INDEX(Products!$B$2:$B$37, MATCH(D3914, Products!$A$2:$A$37, 0))</f>
        <v>Yoga Mat Premium</v>
      </c>
      <c r="I3914" t="str">
        <f>INDEX(Products!$C$2:$C$37, MATCH(D3914, Products!$A$2:$A$37, 0))</f>
        <v>Sports</v>
      </c>
      <c r="J3914">
        <f>INDEX(Products!$E$2:$E$37, MATCH(D3914, Products!$A$2:$A$37, 0))</f>
        <v>60</v>
      </c>
      <c r="K3914" s="9">
        <f t="shared" si="244"/>
        <v>103.2</v>
      </c>
      <c r="L3914">
        <f t="shared" si="245"/>
        <v>60</v>
      </c>
      <c r="M3914" s="9">
        <f t="shared" si="246"/>
        <v>43.2</v>
      </c>
      <c r="N3914" t="str">
        <f t="shared" si="247"/>
        <v>Dec</v>
      </c>
    </row>
    <row r="3915" spans="1:14" x14ac:dyDescent="0.3">
      <c r="A3915" s="2" t="s">
        <v>3981</v>
      </c>
      <c r="B3915" s="6">
        <v>45996</v>
      </c>
      <c r="C3915" s="2" t="s">
        <v>44</v>
      </c>
      <c r="D3915" s="2" t="s">
        <v>60</v>
      </c>
      <c r="E3915" s="2">
        <v>1</v>
      </c>
      <c r="F3915" s="7">
        <v>99</v>
      </c>
      <c r="G3915" s="8">
        <v>0.2</v>
      </c>
      <c r="H3915" s="9" t="str">
        <f>INDEX(Products!$B$2:$B$37, MATCH(D3915, Products!$A$2:$A$37, 0))</f>
        <v>Football Size 5</v>
      </c>
      <c r="I3915" t="str">
        <f>INDEX(Products!$C$2:$C$37, MATCH(D3915, Products!$A$2:$A$37, 0))</f>
        <v>Sports</v>
      </c>
      <c r="J3915">
        <f>INDEX(Products!$E$2:$E$37, MATCH(D3915, Products!$A$2:$A$37, 0))</f>
        <v>45</v>
      </c>
      <c r="K3915" s="9">
        <f t="shared" si="244"/>
        <v>79.2</v>
      </c>
      <c r="L3915">
        <f t="shared" si="245"/>
        <v>45</v>
      </c>
      <c r="M3915" s="9">
        <f t="shared" si="246"/>
        <v>34.200000000000003</v>
      </c>
      <c r="N3915" t="str">
        <f t="shared" si="247"/>
        <v>Dec</v>
      </c>
    </row>
    <row r="3916" spans="1:14" x14ac:dyDescent="0.3">
      <c r="A3916" s="2" t="s">
        <v>3982</v>
      </c>
      <c r="B3916" s="6">
        <v>45996</v>
      </c>
      <c r="C3916" s="2" t="s">
        <v>48</v>
      </c>
      <c r="D3916" s="2" t="s">
        <v>29</v>
      </c>
      <c r="E3916" s="2">
        <v>1</v>
      </c>
      <c r="F3916" s="7">
        <v>229</v>
      </c>
      <c r="G3916" s="8">
        <v>0.05</v>
      </c>
      <c r="H3916" s="9" t="str">
        <f>INDEX(Products!$B$2:$B$37, MATCH(D3916, Products!$A$2:$A$37, 0))</f>
        <v>Women's Summer Dress</v>
      </c>
      <c r="I3916" t="str">
        <f>INDEX(Products!$C$2:$C$37, MATCH(D3916, Products!$A$2:$A$37, 0))</f>
        <v>Fashion</v>
      </c>
      <c r="J3916">
        <f>INDEX(Products!$E$2:$E$37, MATCH(D3916, Products!$A$2:$A$37, 0))</f>
        <v>120</v>
      </c>
      <c r="K3916" s="9">
        <f t="shared" si="244"/>
        <v>217.54999999999998</v>
      </c>
      <c r="L3916">
        <f t="shared" si="245"/>
        <v>120</v>
      </c>
      <c r="M3916" s="9">
        <f t="shared" si="246"/>
        <v>97.549999999999983</v>
      </c>
      <c r="N3916" t="str">
        <f t="shared" si="247"/>
        <v>Dec</v>
      </c>
    </row>
    <row r="3917" spans="1:14" x14ac:dyDescent="0.3">
      <c r="A3917" s="2" t="s">
        <v>3983</v>
      </c>
      <c r="B3917" s="6">
        <v>45997</v>
      </c>
      <c r="C3917" s="2" t="s">
        <v>28</v>
      </c>
      <c r="D3917" s="2" t="s">
        <v>75</v>
      </c>
      <c r="E3917" s="2">
        <v>1</v>
      </c>
      <c r="F3917" s="7">
        <v>549</v>
      </c>
      <c r="G3917" s="8">
        <v>0.2</v>
      </c>
      <c r="H3917" s="9" t="str">
        <f>INDEX(Products!$B$2:$B$37, MATCH(D3917, Products!$A$2:$A$37, 0))</f>
        <v>Oud Perfume 100ml</v>
      </c>
      <c r="I3917" t="str">
        <f>INDEX(Products!$C$2:$C$37, MATCH(D3917, Products!$A$2:$A$37, 0))</f>
        <v>Beauty</v>
      </c>
      <c r="J3917">
        <f>INDEX(Products!$E$2:$E$37, MATCH(D3917, Products!$A$2:$A$37, 0))</f>
        <v>250</v>
      </c>
      <c r="K3917" s="9">
        <f t="shared" si="244"/>
        <v>439.20000000000005</v>
      </c>
      <c r="L3917">
        <f t="shared" si="245"/>
        <v>250</v>
      </c>
      <c r="M3917" s="9">
        <f t="shared" si="246"/>
        <v>189.20000000000005</v>
      </c>
      <c r="N3917" t="str">
        <f t="shared" si="247"/>
        <v>Dec</v>
      </c>
    </row>
    <row r="3918" spans="1:14" x14ac:dyDescent="0.3">
      <c r="A3918" s="2" t="s">
        <v>3984</v>
      </c>
      <c r="B3918" s="6">
        <v>45997</v>
      </c>
      <c r="C3918" s="2" t="s">
        <v>44</v>
      </c>
      <c r="D3918" s="2" t="s">
        <v>60</v>
      </c>
      <c r="E3918" s="2">
        <v>2</v>
      </c>
      <c r="F3918" s="7">
        <v>99</v>
      </c>
      <c r="G3918" s="8">
        <v>0.1</v>
      </c>
      <c r="H3918" s="9" t="str">
        <f>INDEX(Products!$B$2:$B$37, MATCH(D3918, Products!$A$2:$A$37, 0))</f>
        <v>Football Size 5</v>
      </c>
      <c r="I3918" t="str">
        <f>INDEX(Products!$C$2:$C$37, MATCH(D3918, Products!$A$2:$A$37, 0))</f>
        <v>Sports</v>
      </c>
      <c r="J3918">
        <f>INDEX(Products!$E$2:$E$37, MATCH(D3918, Products!$A$2:$A$37, 0))</f>
        <v>45</v>
      </c>
      <c r="K3918" s="9">
        <f t="shared" si="244"/>
        <v>178.20000000000002</v>
      </c>
      <c r="L3918">
        <f t="shared" si="245"/>
        <v>90</v>
      </c>
      <c r="M3918" s="9">
        <f t="shared" si="246"/>
        <v>88.200000000000017</v>
      </c>
      <c r="N3918" t="str">
        <f t="shared" si="247"/>
        <v>Dec</v>
      </c>
    </row>
    <row r="3919" spans="1:14" x14ac:dyDescent="0.3">
      <c r="A3919" s="2" t="s">
        <v>3985</v>
      </c>
      <c r="B3919" s="6">
        <v>45997</v>
      </c>
      <c r="C3919" s="2" t="s">
        <v>31</v>
      </c>
      <c r="D3919" s="2" t="s">
        <v>163</v>
      </c>
      <c r="E3919" s="2">
        <v>1</v>
      </c>
      <c r="F3919" s="7">
        <v>2499</v>
      </c>
      <c r="G3919" s="8">
        <v>0.2</v>
      </c>
      <c r="H3919" s="9" t="str">
        <f>INDEX(Products!$B$2:$B$37, MATCH(D3919, Products!$A$2:$A$37, 0))</f>
        <v>Treadmill Compact</v>
      </c>
      <c r="I3919" t="str">
        <f>INDEX(Products!$C$2:$C$37, MATCH(D3919, Products!$A$2:$A$37, 0))</f>
        <v>Sports</v>
      </c>
      <c r="J3919">
        <f>INDEX(Products!$E$2:$E$37, MATCH(D3919, Products!$A$2:$A$37, 0))</f>
        <v>2150</v>
      </c>
      <c r="K3919" s="9">
        <f t="shared" si="244"/>
        <v>1999.2</v>
      </c>
      <c r="L3919">
        <f t="shared" si="245"/>
        <v>2150</v>
      </c>
      <c r="M3919" s="9">
        <f t="shared" si="246"/>
        <v>-150.79999999999995</v>
      </c>
      <c r="N3919" t="str">
        <f t="shared" si="247"/>
        <v>Dec</v>
      </c>
    </row>
    <row r="3920" spans="1:14" x14ac:dyDescent="0.3">
      <c r="A3920" s="2" t="s">
        <v>3986</v>
      </c>
      <c r="B3920" s="6">
        <v>45997</v>
      </c>
      <c r="C3920" s="2" t="s">
        <v>28</v>
      </c>
      <c r="D3920" s="2" t="s">
        <v>58</v>
      </c>
      <c r="E3920" s="2">
        <v>1</v>
      </c>
      <c r="F3920" s="7">
        <v>459</v>
      </c>
      <c r="G3920" s="8">
        <v>0.2</v>
      </c>
      <c r="H3920" s="9" t="str">
        <f>INDEX(Products!$B$2:$B$37, MATCH(D3920, Products!$A$2:$A$37, 0))</f>
        <v>Women's Abaya Classic</v>
      </c>
      <c r="I3920" t="str">
        <f>INDEX(Products!$C$2:$C$37, MATCH(D3920, Products!$A$2:$A$37, 0))</f>
        <v>Fashion</v>
      </c>
      <c r="J3920">
        <f>INDEX(Products!$E$2:$E$37, MATCH(D3920, Products!$A$2:$A$37, 0))</f>
        <v>190</v>
      </c>
      <c r="K3920" s="9">
        <f t="shared" si="244"/>
        <v>367.20000000000005</v>
      </c>
      <c r="L3920">
        <f t="shared" si="245"/>
        <v>190</v>
      </c>
      <c r="M3920" s="9">
        <f t="shared" si="246"/>
        <v>177.20000000000005</v>
      </c>
      <c r="N3920" t="str">
        <f t="shared" si="247"/>
        <v>Dec</v>
      </c>
    </row>
    <row r="3921" spans="1:14" x14ac:dyDescent="0.3">
      <c r="A3921" s="2" t="s">
        <v>3987</v>
      </c>
      <c r="B3921" s="6">
        <v>45997</v>
      </c>
      <c r="C3921" s="2" t="s">
        <v>44</v>
      </c>
      <c r="D3921" s="2" t="s">
        <v>52</v>
      </c>
      <c r="E3921" s="2">
        <v>2</v>
      </c>
      <c r="F3921" s="7">
        <v>299</v>
      </c>
      <c r="G3921" s="8">
        <v>0.1</v>
      </c>
      <c r="H3921" s="9" t="str">
        <f>INDEX(Products!$B$2:$B$37, MATCH(D3921, Products!$A$2:$A$37, 0))</f>
        <v>Hair Dryer Ionic</v>
      </c>
      <c r="I3921" t="str">
        <f>INDEX(Products!$C$2:$C$37, MATCH(D3921, Products!$A$2:$A$37, 0))</f>
        <v>Beauty</v>
      </c>
      <c r="J3921">
        <f>INDEX(Products!$E$2:$E$37, MATCH(D3921, Products!$A$2:$A$37, 0))</f>
        <v>240</v>
      </c>
      <c r="K3921" s="9">
        <f t="shared" si="244"/>
        <v>538.20000000000005</v>
      </c>
      <c r="L3921">
        <f t="shared" si="245"/>
        <v>480</v>
      </c>
      <c r="M3921" s="9">
        <f t="shared" si="246"/>
        <v>58.200000000000045</v>
      </c>
      <c r="N3921" t="str">
        <f t="shared" si="247"/>
        <v>Dec</v>
      </c>
    </row>
    <row r="3922" spans="1:14" x14ac:dyDescent="0.3">
      <c r="A3922" s="2" t="s">
        <v>3988</v>
      </c>
      <c r="B3922" s="6">
        <v>45998</v>
      </c>
      <c r="C3922" s="2" t="s">
        <v>31</v>
      </c>
      <c r="D3922" s="2" t="s">
        <v>78</v>
      </c>
      <c r="E3922" s="2">
        <v>2</v>
      </c>
      <c r="F3922" s="7">
        <v>499</v>
      </c>
      <c r="G3922" s="8">
        <v>0.2</v>
      </c>
      <c r="H3922" s="9" t="str">
        <f>INDEX(Products!$B$2:$B$37, MATCH(D3922, Products!$A$2:$A$37, 0))</f>
        <v>Air Fryer 5L</v>
      </c>
      <c r="I3922" t="str">
        <f>INDEX(Products!$C$2:$C$37, MATCH(D3922, Products!$A$2:$A$37, 0))</f>
        <v>Home &amp; Kitchen</v>
      </c>
      <c r="J3922">
        <f>INDEX(Products!$E$2:$E$37, MATCH(D3922, Products!$A$2:$A$37, 0))</f>
        <v>290</v>
      </c>
      <c r="K3922" s="9">
        <f t="shared" si="244"/>
        <v>798.40000000000009</v>
      </c>
      <c r="L3922">
        <f t="shared" si="245"/>
        <v>580</v>
      </c>
      <c r="M3922" s="9">
        <f t="shared" si="246"/>
        <v>218.40000000000009</v>
      </c>
      <c r="N3922" t="str">
        <f t="shared" si="247"/>
        <v>Dec</v>
      </c>
    </row>
    <row r="3923" spans="1:14" x14ac:dyDescent="0.3">
      <c r="A3923" s="2" t="s">
        <v>3989</v>
      </c>
      <c r="B3923" s="6">
        <v>45998</v>
      </c>
      <c r="C3923" s="2" t="s">
        <v>48</v>
      </c>
      <c r="D3923" s="2" t="s">
        <v>115</v>
      </c>
      <c r="E3923" s="2">
        <v>1</v>
      </c>
      <c r="F3923" s="7">
        <v>129</v>
      </c>
      <c r="G3923" s="8">
        <v>0</v>
      </c>
      <c r="H3923" s="9" t="str">
        <f>INDEX(Products!$B$2:$B$37, MATCH(D3923, Products!$A$2:$A$37, 0))</f>
        <v>Electric Kettle</v>
      </c>
      <c r="I3923" t="str">
        <f>INDEX(Products!$C$2:$C$37, MATCH(D3923, Products!$A$2:$A$37, 0))</f>
        <v>Home &amp; Kitchen</v>
      </c>
      <c r="J3923">
        <f>INDEX(Products!$E$2:$E$37, MATCH(D3923, Products!$A$2:$A$37, 0))</f>
        <v>60</v>
      </c>
      <c r="K3923" s="9">
        <f t="shared" si="244"/>
        <v>129</v>
      </c>
      <c r="L3923">
        <f t="shared" si="245"/>
        <v>60</v>
      </c>
      <c r="M3923" s="9">
        <f t="shared" si="246"/>
        <v>69</v>
      </c>
      <c r="N3923" t="str">
        <f t="shared" si="247"/>
        <v>Dec</v>
      </c>
    </row>
    <row r="3924" spans="1:14" x14ac:dyDescent="0.3">
      <c r="A3924" s="2" t="s">
        <v>3990</v>
      </c>
      <c r="B3924" s="6">
        <v>45998</v>
      </c>
      <c r="C3924" s="2" t="s">
        <v>41</v>
      </c>
      <c r="D3924" s="2" t="s">
        <v>42</v>
      </c>
      <c r="E3924" s="2">
        <v>1</v>
      </c>
      <c r="F3924" s="7">
        <v>399</v>
      </c>
      <c r="G3924" s="8">
        <v>0.15</v>
      </c>
      <c r="H3924" s="9" t="str">
        <f>INDEX(Products!$B$2:$B$37, MATCH(D3924, Products!$A$2:$A$37, 0))</f>
        <v>Wireless Earbuds Pro</v>
      </c>
      <c r="I3924" t="str">
        <f>INDEX(Products!$C$2:$C$37, MATCH(D3924, Products!$A$2:$A$37, 0))</f>
        <v>Electronics</v>
      </c>
      <c r="J3924">
        <f>INDEX(Products!$E$2:$E$37, MATCH(D3924, Products!$A$2:$A$37, 0))</f>
        <v>230</v>
      </c>
      <c r="K3924" s="9">
        <f t="shared" si="244"/>
        <v>339.15</v>
      </c>
      <c r="L3924">
        <f t="shared" si="245"/>
        <v>230</v>
      </c>
      <c r="M3924" s="9">
        <f t="shared" si="246"/>
        <v>109.14999999999998</v>
      </c>
      <c r="N3924" t="str">
        <f t="shared" si="247"/>
        <v>Dec</v>
      </c>
    </row>
    <row r="3925" spans="1:14" x14ac:dyDescent="0.3">
      <c r="A3925" s="2" t="s">
        <v>3991</v>
      </c>
      <c r="B3925" s="6">
        <v>45998</v>
      </c>
      <c r="C3925" s="2" t="s">
        <v>28</v>
      </c>
      <c r="D3925" s="2" t="s">
        <v>194</v>
      </c>
      <c r="E3925" s="2">
        <v>1</v>
      </c>
      <c r="F3925" s="7">
        <v>699</v>
      </c>
      <c r="G3925" s="8">
        <v>0.2</v>
      </c>
      <c r="H3925" s="9" t="str">
        <f>INDEX(Products!$B$2:$B$37, MATCH(D3925, Products!$A$2:$A$37, 0))</f>
        <v>Leather Handbag</v>
      </c>
      <c r="I3925" t="str">
        <f>INDEX(Products!$C$2:$C$37, MATCH(D3925, Products!$A$2:$A$37, 0))</f>
        <v>Fashion</v>
      </c>
      <c r="J3925">
        <f>INDEX(Products!$E$2:$E$37, MATCH(D3925, Products!$A$2:$A$37, 0))</f>
        <v>380</v>
      </c>
      <c r="K3925" s="9">
        <f t="shared" si="244"/>
        <v>559.20000000000005</v>
      </c>
      <c r="L3925">
        <f t="shared" si="245"/>
        <v>380</v>
      </c>
      <c r="M3925" s="9">
        <f t="shared" si="246"/>
        <v>179.20000000000005</v>
      </c>
      <c r="N3925" t="str">
        <f t="shared" si="247"/>
        <v>Dec</v>
      </c>
    </row>
    <row r="3926" spans="1:14" x14ac:dyDescent="0.3">
      <c r="A3926" s="2" t="s">
        <v>3992</v>
      </c>
      <c r="B3926" s="6">
        <v>45998</v>
      </c>
      <c r="C3926" s="2" t="s">
        <v>28</v>
      </c>
      <c r="D3926" s="2" t="s">
        <v>70</v>
      </c>
      <c r="E3926" s="2">
        <v>1</v>
      </c>
      <c r="F3926" s="7">
        <v>429</v>
      </c>
      <c r="G3926" s="8">
        <v>0.1</v>
      </c>
      <c r="H3926" s="9" t="str">
        <f>INDEX(Products!$B$2:$B$37, MATCH(D3926, Products!$A$2:$A$37, 0))</f>
        <v>Running Shoes Elite</v>
      </c>
      <c r="I3926" t="str">
        <f>INDEX(Products!$C$2:$C$37, MATCH(D3926, Products!$A$2:$A$37, 0))</f>
        <v>Fashion</v>
      </c>
      <c r="J3926">
        <f>INDEX(Products!$E$2:$E$37, MATCH(D3926, Products!$A$2:$A$37, 0))</f>
        <v>300</v>
      </c>
      <c r="K3926" s="9">
        <f t="shared" si="244"/>
        <v>386.1</v>
      </c>
      <c r="L3926">
        <f t="shared" si="245"/>
        <v>300</v>
      </c>
      <c r="M3926" s="9">
        <f t="shared" si="246"/>
        <v>86.100000000000023</v>
      </c>
      <c r="N3926" t="str">
        <f t="shared" si="247"/>
        <v>Dec</v>
      </c>
    </row>
    <row r="3927" spans="1:14" x14ac:dyDescent="0.3">
      <c r="A3927" s="2" t="s">
        <v>3993</v>
      </c>
      <c r="B3927" s="6">
        <v>45998</v>
      </c>
      <c r="C3927" s="2" t="s">
        <v>44</v>
      </c>
      <c r="D3927" s="2" t="s">
        <v>37</v>
      </c>
      <c r="E3927" s="2">
        <v>1</v>
      </c>
      <c r="F3927" s="7">
        <v>249</v>
      </c>
      <c r="G3927" s="8">
        <v>0</v>
      </c>
      <c r="H3927" s="9" t="str">
        <f>INDEX(Products!$B$2:$B$37, MATCH(D3927, Products!$A$2:$A$37, 0))</f>
        <v>Sunglasses Polarised</v>
      </c>
      <c r="I3927" t="str">
        <f>INDEX(Products!$C$2:$C$37, MATCH(D3927, Products!$A$2:$A$37, 0))</f>
        <v>Fashion</v>
      </c>
      <c r="J3927">
        <f>INDEX(Products!$E$2:$E$37, MATCH(D3927, Products!$A$2:$A$37, 0))</f>
        <v>95</v>
      </c>
      <c r="K3927" s="9">
        <f t="shared" si="244"/>
        <v>249</v>
      </c>
      <c r="L3927">
        <f t="shared" si="245"/>
        <v>95</v>
      </c>
      <c r="M3927" s="9">
        <f t="shared" si="246"/>
        <v>154</v>
      </c>
      <c r="N3927" t="str">
        <f t="shared" si="247"/>
        <v>Dec</v>
      </c>
    </row>
    <row r="3928" spans="1:14" x14ac:dyDescent="0.3">
      <c r="A3928" s="2" t="s">
        <v>3994</v>
      </c>
      <c r="B3928" s="6">
        <v>45998</v>
      </c>
      <c r="C3928" s="2" t="s">
        <v>31</v>
      </c>
      <c r="D3928" s="2" t="s">
        <v>29</v>
      </c>
      <c r="E3928" s="2">
        <v>1</v>
      </c>
      <c r="F3928" s="7">
        <v>229</v>
      </c>
      <c r="G3928" s="8">
        <v>0.05</v>
      </c>
      <c r="H3928" s="9" t="str">
        <f>INDEX(Products!$B$2:$B$37, MATCH(D3928, Products!$A$2:$A$37, 0))</f>
        <v>Women's Summer Dress</v>
      </c>
      <c r="I3928" t="str">
        <f>INDEX(Products!$C$2:$C$37, MATCH(D3928, Products!$A$2:$A$37, 0))</f>
        <v>Fashion</v>
      </c>
      <c r="J3928">
        <f>INDEX(Products!$E$2:$E$37, MATCH(D3928, Products!$A$2:$A$37, 0))</f>
        <v>120</v>
      </c>
      <c r="K3928" s="9">
        <f t="shared" si="244"/>
        <v>217.54999999999998</v>
      </c>
      <c r="L3928">
        <f t="shared" si="245"/>
        <v>120</v>
      </c>
      <c r="M3928" s="9">
        <f t="shared" si="246"/>
        <v>97.549999999999983</v>
      </c>
      <c r="N3928" t="str">
        <f t="shared" si="247"/>
        <v>Dec</v>
      </c>
    </row>
    <row r="3929" spans="1:14" x14ac:dyDescent="0.3">
      <c r="A3929" s="2" t="s">
        <v>3995</v>
      </c>
      <c r="B3929" s="6">
        <v>45998</v>
      </c>
      <c r="C3929" s="2" t="s">
        <v>28</v>
      </c>
      <c r="D3929" s="2" t="s">
        <v>52</v>
      </c>
      <c r="E3929" s="2">
        <v>3</v>
      </c>
      <c r="F3929" s="7">
        <v>299</v>
      </c>
      <c r="G3929" s="8">
        <v>0.2</v>
      </c>
      <c r="H3929" s="9" t="str">
        <f>INDEX(Products!$B$2:$B$37, MATCH(D3929, Products!$A$2:$A$37, 0))</f>
        <v>Hair Dryer Ionic</v>
      </c>
      <c r="I3929" t="str">
        <f>INDEX(Products!$C$2:$C$37, MATCH(D3929, Products!$A$2:$A$37, 0))</f>
        <v>Beauty</v>
      </c>
      <c r="J3929">
        <f>INDEX(Products!$E$2:$E$37, MATCH(D3929, Products!$A$2:$A$37, 0))</f>
        <v>240</v>
      </c>
      <c r="K3929" s="9">
        <f t="shared" si="244"/>
        <v>717.6</v>
      </c>
      <c r="L3929">
        <f t="shared" si="245"/>
        <v>720</v>
      </c>
      <c r="M3929" s="9">
        <f t="shared" si="246"/>
        <v>-2.3999999999999773</v>
      </c>
      <c r="N3929" t="str">
        <f t="shared" si="247"/>
        <v>Dec</v>
      </c>
    </row>
    <row r="3930" spans="1:14" x14ac:dyDescent="0.3">
      <c r="A3930" s="2" t="s">
        <v>3996</v>
      </c>
      <c r="B3930" s="6">
        <v>45998</v>
      </c>
      <c r="C3930" s="2" t="s">
        <v>44</v>
      </c>
      <c r="D3930" s="2" t="s">
        <v>126</v>
      </c>
      <c r="E3930" s="2">
        <v>2</v>
      </c>
      <c r="F3930" s="7">
        <v>89</v>
      </c>
      <c r="G3930" s="8">
        <v>0.2</v>
      </c>
      <c r="H3930" s="9" t="str">
        <f>INDEX(Products!$B$2:$B$37, MATCH(D3930, Products!$A$2:$A$37, 0))</f>
        <v>USB-C Fast Charger</v>
      </c>
      <c r="I3930" t="str">
        <f>INDEX(Products!$C$2:$C$37, MATCH(D3930, Products!$A$2:$A$37, 0))</f>
        <v>Electronics</v>
      </c>
      <c r="J3930">
        <f>INDEX(Products!$E$2:$E$37, MATCH(D3930, Products!$A$2:$A$37, 0))</f>
        <v>35</v>
      </c>
      <c r="K3930" s="9">
        <f t="shared" si="244"/>
        <v>142.4</v>
      </c>
      <c r="L3930">
        <f t="shared" si="245"/>
        <v>70</v>
      </c>
      <c r="M3930" s="9">
        <f t="shared" si="246"/>
        <v>72.400000000000006</v>
      </c>
      <c r="N3930" t="str">
        <f t="shared" si="247"/>
        <v>Dec</v>
      </c>
    </row>
    <row r="3931" spans="1:14" x14ac:dyDescent="0.3">
      <c r="A3931" s="2" t="s">
        <v>3997</v>
      </c>
      <c r="B3931" s="6">
        <v>45998</v>
      </c>
      <c r="C3931" s="2" t="s">
        <v>28</v>
      </c>
      <c r="D3931" s="2" t="s">
        <v>29</v>
      </c>
      <c r="E3931" s="2">
        <v>3</v>
      </c>
      <c r="F3931" s="7">
        <v>229</v>
      </c>
      <c r="G3931" s="8">
        <v>0.15</v>
      </c>
      <c r="H3931" s="9" t="str">
        <f>INDEX(Products!$B$2:$B$37, MATCH(D3931, Products!$A$2:$A$37, 0))</f>
        <v>Women's Summer Dress</v>
      </c>
      <c r="I3931" t="str">
        <f>INDEX(Products!$C$2:$C$37, MATCH(D3931, Products!$A$2:$A$37, 0))</f>
        <v>Fashion</v>
      </c>
      <c r="J3931">
        <f>INDEX(Products!$E$2:$E$37, MATCH(D3931, Products!$A$2:$A$37, 0))</f>
        <v>120</v>
      </c>
      <c r="K3931" s="9">
        <f t="shared" si="244"/>
        <v>583.94999999999993</v>
      </c>
      <c r="L3931">
        <f t="shared" si="245"/>
        <v>360</v>
      </c>
      <c r="M3931" s="9">
        <f t="shared" si="246"/>
        <v>223.94999999999993</v>
      </c>
      <c r="N3931" t="str">
        <f t="shared" si="247"/>
        <v>Dec</v>
      </c>
    </row>
    <row r="3932" spans="1:14" x14ac:dyDescent="0.3">
      <c r="A3932" s="2" t="s">
        <v>3998</v>
      </c>
      <c r="B3932" s="6">
        <v>45999</v>
      </c>
      <c r="C3932" s="2" t="s">
        <v>28</v>
      </c>
      <c r="D3932" s="2" t="s">
        <v>75</v>
      </c>
      <c r="E3932" s="2">
        <v>2</v>
      </c>
      <c r="F3932" s="7">
        <v>549</v>
      </c>
      <c r="G3932" s="8">
        <v>0.2</v>
      </c>
      <c r="H3932" s="9" t="str">
        <f>INDEX(Products!$B$2:$B$37, MATCH(D3932, Products!$A$2:$A$37, 0))</f>
        <v>Oud Perfume 100ml</v>
      </c>
      <c r="I3932" t="str">
        <f>INDEX(Products!$C$2:$C$37, MATCH(D3932, Products!$A$2:$A$37, 0))</f>
        <v>Beauty</v>
      </c>
      <c r="J3932">
        <f>INDEX(Products!$E$2:$E$37, MATCH(D3932, Products!$A$2:$A$37, 0))</f>
        <v>250</v>
      </c>
      <c r="K3932" s="9">
        <f t="shared" si="244"/>
        <v>878.40000000000009</v>
      </c>
      <c r="L3932">
        <f t="shared" si="245"/>
        <v>500</v>
      </c>
      <c r="M3932" s="9">
        <f t="shared" si="246"/>
        <v>378.40000000000009</v>
      </c>
      <c r="N3932" t="str">
        <f t="shared" si="247"/>
        <v>Dec</v>
      </c>
    </row>
    <row r="3933" spans="1:14" x14ac:dyDescent="0.3">
      <c r="A3933" s="2" t="s">
        <v>3999</v>
      </c>
      <c r="B3933" s="6">
        <v>45999</v>
      </c>
      <c r="C3933" s="2" t="s">
        <v>31</v>
      </c>
      <c r="D3933" s="2" t="s">
        <v>87</v>
      </c>
      <c r="E3933" s="2">
        <v>2</v>
      </c>
      <c r="F3933" s="7">
        <v>799</v>
      </c>
      <c r="G3933" s="8">
        <v>0.25</v>
      </c>
      <c r="H3933" s="9" t="str">
        <f>INDEX(Products!$B$2:$B$37, MATCH(D3933, Products!$A$2:$A$37, 0))</f>
        <v>Adjustable Dumbbells</v>
      </c>
      <c r="I3933" t="str">
        <f>INDEX(Products!$C$2:$C$37, MATCH(D3933, Products!$A$2:$A$37, 0))</f>
        <v>Sports</v>
      </c>
      <c r="J3933">
        <f>INDEX(Products!$E$2:$E$37, MATCH(D3933, Products!$A$2:$A$37, 0))</f>
        <v>700</v>
      </c>
      <c r="K3933" s="9">
        <f t="shared" si="244"/>
        <v>1198.5</v>
      </c>
      <c r="L3933">
        <f t="shared" si="245"/>
        <v>1400</v>
      </c>
      <c r="M3933" s="9">
        <f t="shared" si="246"/>
        <v>-201.5</v>
      </c>
      <c r="N3933" t="str">
        <f t="shared" si="247"/>
        <v>Dec</v>
      </c>
    </row>
    <row r="3934" spans="1:14" x14ac:dyDescent="0.3">
      <c r="A3934" s="2" t="s">
        <v>4000</v>
      </c>
      <c r="B3934" s="6">
        <v>45999</v>
      </c>
      <c r="C3934" s="2" t="s">
        <v>28</v>
      </c>
      <c r="D3934" s="2" t="s">
        <v>129</v>
      </c>
      <c r="E3934" s="2">
        <v>2</v>
      </c>
      <c r="F3934" s="7">
        <v>149</v>
      </c>
      <c r="G3934" s="8">
        <v>0.2</v>
      </c>
      <c r="H3934" s="9" t="str">
        <f>INDEX(Products!$B$2:$B$37, MATCH(D3934, Products!$A$2:$A$37, 0))</f>
        <v>Power Bank 20000mAh</v>
      </c>
      <c r="I3934" t="str">
        <f>INDEX(Products!$C$2:$C$37, MATCH(D3934, Products!$A$2:$A$37, 0))</f>
        <v>Electronics</v>
      </c>
      <c r="J3934">
        <f>INDEX(Products!$E$2:$E$37, MATCH(D3934, Products!$A$2:$A$37, 0))</f>
        <v>70</v>
      </c>
      <c r="K3934" s="9">
        <f t="shared" si="244"/>
        <v>238.4</v>
      </c>
      <c r="L3934">
        <f t="shared" si="245"/>
        <v>140</v>
      </c>
      <c r="M3934" s="9">
        <f t="shared" si="246"/>
        <v>98.4</v>
      </c>
      <c r="N3934" t="str">
        <f t="shared" si="247"/>
        <v>Dec</v>
      </c>
    </row>
    <row r="3935" spans="1:14" x14ac:dyDescent="0.3">
      <c r="A3935" s="2" t="s">
        <v>4001</v>
      </c>
      <c r="B3935" s="6">
        <v>45999</v>
      </c>
      <c r="C3935" s="2" t="s">
        <v>28</v>
      </c>
      <c r="D3935" s="2" t="s">
        <v>35</v>
      </c>
      <c r="E3935" s="2">
        <v>3</v>
      </c>
      <c r="F3935" s="7">
        <v>179</v>
      </c>
      <c r="G3935" s="8">
        <v>0.1</v>
      </c>
      <c r="H3935" s="9" t="str">
        <f>INDEX(Products!$B$2:$B$37, MATCH(D3935, Products!$A$2:$A$37, 0))</f>
        <v>Men's Linen Shirt</v>
      </c>
      <c r="I3935" t="str">
        <f>INDEX(Products!$C$2:$C$37, MATCH(D3935, Products!$A$2:$A$37, 0))</f>
        <v>Fashion</v>
      </c>
      <c r="J3935">
        <f>INDEX(Products!$E$2:$E$37, MATCH(D3935, Products!$A$2:$A$37, 0))</f>
        <v>70</v>
      </c>
      <c r="K3935" s="9">
        <f t="shared" si="244"/>
        <v>483.3</v>
      </c>
      <c r="L3935">
        <f t="shared" si="245"/>
        <v>210</v>
      </c>
      <c r="M3935" s="9">
        <f t="shared" si="246"/>
        <v>273.3</v>
      </c>
      <c r="N3935" t="str">
        <f t="shared" si="247"/>
        <v>Dec</v>
      </c>
    </row>
    <row r="3936" spans="1:14" x14ac:dyDescent="0.3">
      <c r="A3936" s="2" t="s">
        <v>4002</v>
      </c>
      <c r="B3936" s="6">
        <v>45999</v>
      </c>
      <c r="C3936" s="2" t="s">
        <v>41</v>
      </c>
      <c r="D3936" s="2" t="s">
        <v>58</v>
      </c>
      <c r="E3936" s="2">
        <v>3</v>
      </c>
      <c r="F3936" s="7">
        <v>459</v>
      </c>
      <c r="G3936" s="8">
        <v>0.3</v>
      </c>
      <c r="H3936" s="9" t="str">
        <f>INDEX(Products!$B$2:$B$37, MATCH(D3936, Products!$A$2:$A$37, 0))</f>
        <v>Women's Abaya Classic</v>
      </c>
      <c r="I3936" t="str">
        <f>INDEX(Products!$C$2:$C$37, MATCH(D3936, Products!$A$2:$A$37, 0))</f>
        <v>Fashion</v>
      </c>
      <c r="J3936">
        <f>INDEX(Products!$E$2:$E$37, MATCH(D3936, Products!$A$2:$A$37, 0))</f>
        <v>190</v>
      </c>
      <c r="K3936" s="9">
        <f t="shared" si="244"/>
        <v>963.9</v>
      </c>
      <c r="L3936">
        <f t="shared" si="245"/>
        <v>570</v>
      </c>
      <c r="M3936" s="9">
        <f t="shared" si="246"/>
        <v>393.9</v>
      </c>
      <c r="N3936" t="str">
        <f t="shared" si="247"/>
        <v>Dec</v>
      </c>
    </row>
    <row r="3937" spans="1:14" x14ac:dyDescent="0.3">
      <c r="A3937" s="2" t="s">
        <v>4003</v>
      </c>
      <c r="B3937" s="6">
        <v>45999</v>
      </c>
      <c r="C3937" s="2" t="s">
        <v>44</v>
      </c>
      <c r="D3937" s="2" t="s">
        <v>80</v>
      </c>
      <c r="E3937" s="2">
        <v>3</v>
      </c>
      <c r="F3937" s="7">
        <v>149</v>
      </c>
      <c r="G3937" s="8">
        <v>0.2</v>
      </c>
      <c r="H3937" s="9" t="str">
        <f>INDEX(Products!$B$2:$B$37, MATCH(D3937, Products!$A$2:$A$37, 0))</f>
        <v>Vitamin C Serum</v>
      </c>
      <c r="I3937" t="str">
        <f>INDEX(Products!$C$2:$C$37, MATCH(D3937, Products!$A$2:$A$37, 0))</f>
        <v>Beauty</v>
      </c>
      <c r="J3937">
        <f>INDEX(Products!$E$2:$E$37, MATCH(D3937, Products!$A$2:$A$37, 0))</f>
        <v>55</v>
      </c>
      <c r="K3937" s="9">
        <f t="shared" si="244"/>
        <v>357.6</v>
      </c>
      <c r="L3937">
        <f t="shared" si="245"/>
        <v>165</v>
      </c>
      <c r="M3937" s="9">
        <f t="shared" si="246"/>
        <v>192.60000000000002</v>
      </c>
      <c r="N3937" t="str">
        <f t="shared" si="247"/>
        <v>Dec</v>
      </c>
    </row>
    <row r="3938" spans="1:14" x14ac:dyDescent="0.3">
      <c r="A3938" s="2" t="s">
        <v>4004</v>
      </c>
      <c r="B3938" s="6">
        <v>45999</v>
      </c>
      <c r="C3938" s="2" t="s">
        <v>31</v>
      </c>
      <c r="D3938" s="2" t="s">
        <v>194</v>
      </c>
      <c r="E3938" s="2">
        <v>1</v>
      </c>
      <c r="F3938" s="7">
        <v>699</v>
      </c>
      <c r="G3938" s="8">
        <v>0.2</v>
      </c>
      <c r="H3938" s="9" t="str">
        <f>INDEX(Products!$B$2:$B$37, MATCH(D3938, Products!$A$2:$A$37, 0))</f>
        <v>Leather Handbag</v>
      </c>
      <c r="I3938" t="str">
        <f>INDEX(Products!$C$2:$C$37, MATCH(D3938, Products!$A$2:$A$37, 0))</f>
        <v>Fashion</v>
      </c>
      <c r="J3938">
        <f>INDEX(Products!$E$2:$E$37, MATCH(D3938, Products!$A$2:$A$37, 0))</f>
        <v>380</v>
      </c>
      <c r="K3938" s="9">
        <f t="shared" si="244"/>
        <v>559.20000000000005</v>
      </c>
      <c r="L3938">
        <f t="shared" si="245"/>
        <v>380</v>
      </c>
      <c r="M3938" s="9">
        <f t="shared" si="246"/>
        <v>179.20000000000005</v>
      </c>
      <c r="N3938" t="str">
        <f t="shared" si="247"/>
        <v>Dec</v>
      </c>
    </row>
    <row r="3939" spans="1:14" x14ac:dyDescent="0.3">
      <c r="A3939" s="2" t="s">
        <v>4005</v>
      </c>
      <c r="B3939" s="6">
        <v>45999</v>
      </c>
      <c r="C3939" s="2" t="s">
        <v>41</v>
      </c>
      <c r="D3939" s="2" t="s">
        <v>33</v>
      </c>
      <c r="E3939" s="2">
        <v>2</v>
      </c>
      <c r="F3939" s="7">
        <v>199</v>
      </c>
      <c r="G3939" s="8">
        <v>0.15</v>
      </c>
      <c r="H3939" s="9" t="str">
        <f>INDEX(Products!$B$2:$B$37, MATCH(D3939, Products!$A$2:$A$37, 0))</f>
        <v>Fitness Band Lite</v>
      </c>
      <c r="I3939" t="str">
        <f>INDEX(Products!$C$2:$C$37, MATCH(D3939, Products!$A$2:$A$37, 0))</f>
        <v>Electronics</v>
      </c>
      <c r="J3939">
        <f>INDEX(Products!$E$2:$E$37, MATCH(D3939, Products!$A$2:$A$37, 0))</f>
        <v>175</v>
      </c>
      <c r="K3939" s="9">
        <f t="shared" si="244"/>
        <v>338.3</v>
      </c>
      <c r="L3939">
        <f t="shared" si="245"/>
        <v>350</v>
      </c>
      <c r="M3939" s="9">
        <f t="shared" si="246"/>
        <v>-11.699999999999989</v>
      </c>
      <c r="N3939" t="str">
        <f t="shared" si="247"/>
        <v>Dec</v>
      </c>
    </row>
    <row r="3940" spans="1:14" x14ac:dyDescent="0.3">
      <c r="A3940" s="2" t="s">
        <v>4006</v>
      </c>
      <c r="B3940" s="6">
        <v>45999</v>
      </c>
      <c r="C3940" s="2" t="s">
        <v>44</v>
      </c>
      <c r="D3940" s="2" t="s">
        <v>33</v>
      </c>
      <c r="E3940" s="2">
        <v>2</v>
      </c>
      <c r="F3940" s="7">
        <v>199</v>
      </c>
      <c r="G3940" s="8">
        <v>0.25</v>
      </c>
      <c r="H3940" s="9" t="str">
        <f>INDEX(Products!$B$2:$B$37, MATCH(D3940, Products!$A$2:$A$37, 0))</f>
        <v>Fitness Band Lite</v>
      </c>
      <c r="I3940" t="str">
        <f>INDEX(Products!$C$2:$C$37, MATCH(D3940, Products!$A$2:$A$37, 0))</f>
        <v>Electronics</v>
      </c>
      <c r="J3940">
        <f>INDEX(Products!$E$2:$E$37, MATCH(D3940, Products!$A$2:$A$37, 0))</f>
        <v>175</v>
      </c>
      <c r="K3940" s="9">
        <f t="shared" si="244"/>
        <v>298.5</v>
      </c>
      <c r="L3940">
        <f t="shared" si="245"/>
        <v>350</v>
      </c>
      <c r="M3940" s="9">
        <f t="shared" si="246"/>
        <v>-51.5</v>
      </c>
      <c r="N3940" t="str">
        <f t="shared" si="247"/>
        <v>Dec</v>
      </c>
    </row>
    <row r="3941" spans="1:14" x14ac:dyDescent="0.3">
      <c r="A3941" s="2" t="s">
        <v>4007</v>
      </c>
      <c r="B3941" s="6">
        <v>45999</v>
      </c>
      <c r="C3941" s="2" t="s">
        <v>28</v>
      </c>
      <c r="D3941" s="2" t="s">
        <v>126</v>
      </c>
      <c r="E3941" s="2">
        <v>4</v>
      </c>
      <c r="F3941" s="7">
        <v>89</v>
      </c>
      <c r="G3941" s="8">
        <v>0</v>
      </c>
      <c r="H3941" s="9" t="str">
        <f>INDEX(Products!$B$2:$B$37, MATCH(D3941, Products!$A$2:$A$37, 0))</f>
        <v>USB-C Fast Charger</v>
      </c>
      <c r="I3941" t="str">
        <f>INDEX(Products!$C$2:$C$37, MATCH(D3941, Products!$A$2:$A$37, 0))</f>
        <v>Electronics</v>
      </c>
      <c r="J3941">
        <f>INDEX(Products!$E$2:$E$37, MATCH(D3941, Products!$A$2:$A$37, 0))</f>
        <v>35</v>
      </c>
      <c r="K3941" s="9">
        <f t="shared" si="244"/>
        <v>356</v>
      </c>
      <c r="L3941">
        <f t="shared" si="245"/>
        <v>140</v>
      </c>
      <c r="M3941" s="9">
        <f t="shared" si="246"/>
        <v>216</v>
      </c>
      <c r="N3941" t="str">
        <f t="shared" si="247"/>
        <v>Dec</v>
      </c>
    </row>
    <row r="3942" spans="1:14" x14ac:dyDescent="0.3">
      <c r="A3942" s="2" t="s">
        <v>4008</v>
      </c>
      <c r="B3942" s="6">
        <v>45999</v>
      </c>
      <c r="C3942" s="2" t="s">
        <v>44</v>
      </c>
      <c r="D3942" s="2" t="s">
        <v>89</v>
      </c>
      <c r="E3942" s="2">
        <v>1</v>
      </c>
      <c r="F3942" s="7">
        <v>399</v>
      </c>
      <c r="G3942" s="8">
        <v>0</v>
      </c>
      <c r="H3942" s="9" t="str">
        <f>INDEX(Products!$B$2:$B$37, MATCH(D3942, Products!$A$2:$A$37, 0))</f>
        <v>Men's Kandura Premium</v>
      </c>
      <c r="I3942" t="str">
        <f>INDEX(Products!$C$2:$C$37, MATCH(D3942, Products!$A$2:$A$37, 0))</f>
        <v>Fashion</v>
      </c>
      <c r="J3942">
        <f>INDEX(Products!$E$2:$E$37, MATCH(D3942, Products!$A$2:$A$37, 0))</f>
        <v>210</v>
      </c>
      <c r="K3942" s="9">
        <f t="shared" si="244"/>
        <v>399</v>
      </c>
      <c r="L3942">
        <f t="shared" si="245"/>
        <v>210</v>
      </c>
      <c r="M3942" s="9">
        <f t="shared" si="246"/>
        <v>189</v>
      </c>
      <c r="N3942" t="str">
        <f t="shared" si="247"/>
        <v>Dec</v>
      </c>
    </row>
    <row r="3943" spans="1:14" x14ac:dyDescent="0.3">
      <c r="A3943" s="2" t="s">
        <v>4009</v>
      </c>
      <c r="B3943" s="6">
        <v>45999</v>
      </c>
      <c r="C3943" s="2" t="s">
        <v>44</v>
      </c>
      <c r="D3943" s="2" t="s">
        <v>58</v>
      </c>
      <c r="E3943" s="2">
        <v>1</v>
      </c>
      <c r="F3943" s="7">
        <v>459</v>
      </c>
      <c r="G3943" s="8">
        <v>0</v>
      </c>
      <c r="H3943" s="9" t="str">
        <f>INDEX(Products!$B$2:$B$37, MATCH(D3943, Products!$A$2:$A$37, 0))</f>
        <v>Women's Abaya Classic</v>
      </c>
      <c r="I3943" t="str">
        <f>INDEX(Products!$C$2:$C$37, MATCH(D3943, Products!$A$2:$A$37, 0))</f>
        <v>Fashion</v>
      </c>
      <c r="J3943">
        <f>INDEX(Products!$E$2:$E$37, MATCH(D3943, Products!$A$2:$A$37, 0))</f>
        <v>190</v>
      </c>
      <c r="K3943" s="9">
        <f t="shared" si="244"/>
        <v>459</v>
      </c>
      <c r="L3943">
        <f t="shared" si="245"/>
        <v>190</v>
      </c>
      <c r="M3943" s="9">
        <f t="shared" si="246"/>
        <v>269</v>
      </c>
      <c r="N3943" t="str">
        <f t="shared" si="247"/>
        <v>Dec</v>
      </c>
    </row>
    <row r="3944" spans="1:14" x14ac:dyDescent="0.3">
      <c r="A3944" s="2" t="s">
        <v>4010</v>
      </c>
      <c r="B3944" s="6">
        <v>45999</v>
      </c>
      <c r="C3944" s="2" t="s">
        <v>28</v>
      </c>
      <c r="D3944" s="2" t="s">
        <v>126</v>
      </c>
      <c r="E3944" s="2">
        <v>1</v>
      </c>
      <c r="F3944" s="7">
        <v>89</v>
      </c>
      <c r="G3944" s="8">
        <v>0</v>
      </c>
      <c r="H3944" s="9" t="str">
        <f>INDEX(Products!$B$2:$B$37, MATCH(D3944, Products!$A$2:$A$37, 0))</f>
        <v>USB-C Fast Charger</v>
      </c>
      <c r="I3944" t="str">
        <f>INDEX(Products!$C$2:$C$37, MATCH(D3944, Products!$A$2:$A$37, 0))</f>
        <v>Electronics</v>
      </c>
      <c r="J3944">
        <f>INDEX(Products!$E$2:$E$37, MATCH(D3944, Products!$A$2:$A$37, 0))</f>
        <v>35</v>
      </c>
      <c r="K3944" s="9">
        <f t="shared" si="244"/>
        <v>89</v>
      </c>
      <c r="L3944">
        <f t="shared" si="245"/>
        <v>35</v>
      </c>
      <c r="M3944" s="9">
        <f t="shared" si="246"/>
        <v>54</v>
      </c>
      <c r="N3944" t="str">
        <f t="shared" si="247"/>
        <v>Dec</v>
      </c>
    </row>
    <row r="3945" spans="1:14" x14ac:dyDescent="0.3">
      <c r="A3945" s="2" t="s">
        <v>4011</v>
      </c>
      <c r="B3945" s="6">
        <v>45999</v>
      </c>
      <c r="C3945" s="2" t="s">
        <v>44</v>
      </c>
      <c r="D3945" s="2" t="s">
        <v>49</v>
      </c>
      <c r="E3945" s="2">
        <v>1</v>
      </c>
      <c r="F3945" s="7">
        <v>149</v>
      </c>
      <c r="G3945" s="8">
        <v>0.2</v>
      </c>
      <c r="H3945" s="9" t="str">
        <f>INDEX(Products!$B$2:$B$37, MATCH(D3945, Products!$A$2:$A$37, 0))</f>
        <v>Kids' Sneakers</v>
      </c>
      <c r="I3945" t="str">
        <f>INDEX(Products!$C$2:$C$37, MATCH(D3945, Products!$A$2:$A$37, 0))</f>
        <v>Fashion</v>
      </c>
      <c r="J3945">
        <f>INDEX(Products!$E$2:$E$37, MATCH(D3945, Products!$A$2:$A$37, 0))</f>
        <v>80</v>
      </c>
      <c r="K3945" s="9">
        <f t="shared" si="244"/>
        <v>119.2</v>
      </c>
      <c r="L3945">
        <f t="shared" si="245"/>
        <v>80</v>
      </c>
      <c r="M3945" s="9">
        <f t="shared" si="246"/>
        <v>39.200000000000003</v>
      </c>
      <c r="N3945" t="str">
        <f t="shared" si="247"/>
        <v>Dec</v>
      </c>
    </row>
    <row r="3946" spans="1:14" x14ac:dyDescent="0.3">
      <c r="A3946" s="2" t="s">
        <v>4012</v>
      </c>
      <c r="B3946" s="6">
        <v>46000</v>
      </c>
      <c r="C3946" s="2" t="s">
        <v>28</v>
      </c>
      <c r="D3946" s="2" t="s">
        <v>165</v>
      </c>
      <c r="E3946" s="2">
        <v>2</v>
      </c>
      <c r="F3946" s="7">
        <v>69</v>
      </c>
      <c r="G3946" s="8">
        <v>0.1</v>
      </c>
      <c r="H3946" s="9" t="str">
        <f>INDEX(Products!$B$2:$B$37, MATCH(D3946, Products!$A$2:$A$37, 0))</f>
        <v>Swim Goggles</v>
      </c>
      <c r="I3946" t="str">
        <f>INDEX(Products!$C$2:$C$37, MATCH(D3946, Products!$A$2:$A$37, 0))</f>
        <v>Sports</v>
      </c>
      <c r="J3946">
        <f>INDEX(Products!$E$2:$E$37, MATCH(D3946, Products!$A$2:$A$37, 0))</f>
        <v>25</v>
      </c>
      <c r="K3946" s="9">
        <f t="shared" si="244"/>
        <v>124.2</v>
      </c>
      <c r="L3946">
        <f t="shared" si="245"/>
        <v>50</v>
      </c>
      <c r="M3946" s="9">
        <f t="shared" si="246"/>
        <v>74.2</v>
      </c>
      <c r="N3946" t="str">
        <f t="shared" si="247"/>
        <v>Dec</v>
      </c>
    </row>
    <row r="3947" spans="1:14" x14ac:dyDescent="0.3">
      <c r="A3947" s="2" t="s">
        <v>4013</v>
      </c>
      <c r="B3947" s="6">
        <v>46000</v>
      </c>
      <c r="C3947" s="2" t="s">
        <v>28</v>
      </c>
      <c r="D3947" s="2" t="s">
        <v>35</v>
      </c>
      <c r="E3947" s="2">
        <v>1</v>
      </c>
      <c r="F3947" s="7">
        <v>179</v>
      </c>
      <c r="G3947" s="8">
        <v>0</v>
      </c>
      <c r="H3947" s="9" t="str">
        <f>INDEX(Products!$B$2:$B$37, MATCH(D3947, Products!$A$2:$A$37, 0))</f>
        <v>Men's Linen Shirt</v>
      </c>
      <c r="I3947" t="str">
        <f>INDEX(Products!$C$2:$C$37, MATCH(D3947, Products!$A$2:$A$37, 0))</f>
        <v>Fashion</v>
      </c>
      <c r="J3947">
        <f>INDEX(Products!$E$2:$E$37, MATCH(D3947, Products!$A$2:$A$37, 0))</f>
        <v>70</v>
      </c>
      <c r="K3947" s="9">
        <f t="shared" si="244"/>
        <v>179</v>
      </c>
      <c r="L3947">
        <f t="shared" si="245"/>
        <v>70</v>
      </c>
      <c r="M3947" s="9">
        <f t="shared" si="246"/>
        <v>109</v>
      </c>
      <c r="N3947" t="str">
        <f t="shared" si="247"/>
        <v>Dec</v>
      </c>
    </row>
    <row r="3948" spans="1:14" x14ac:dyDescent="0.3">
      <c r="A3948" s="2" t="s">
        <v>4014</v>
      </c>
      <c r="B3948" s="6">
        <v>46000</v>
      </c>
      <c r="C3948" s="2" t="s">
        <v>41</v>
      </c>
      <c r="D3948" s="2" t="s">
        <v>68</v>
      </c>
      <c r="E3948" s="2">
        <v>2</v>
      </c>
      <c r="F3948" s="7">
        <v>249</v>
      </c>
      <c r="G3948" s="8">
        <v>0.15</v>
      </c>
      <c r="H3948" s="9" t="str">
        <f>INDEX(Products!$B$2:$B$37, MATCH(D3948, Products!$A$2:$A$37, 0))</f>
        <v>Bluetooth Speaker Mini</v>
      </c>
      <c r="I3948" t="str">
        <f>INDEX(Products!$C$2:$C$37, MATCH(D3948, Products!$A$2:$A$37, 0))</f>
        <v>Electronics</v>
      </c>
      <c r="J3948">
        <f>INDEX(Products!$E$2:$E$37, MATCH(D3948, Products!$A$2:$A$37, 0))</f>
        <v>150</v>
      </c>
      <c r="K3948" s="9">
        <f t="shared" si="244"/>
        <v>423.3</v>
      </c>
      <c r="L3948">
        <f t="shared" si="245"/>
        <v>300</v>
      </c>
      <c r="M3948" s="9">
        <f t="shared" si="246"/>
        <v>123.30000000000001</v>
      </c>
      <c r="N3948" t="str">
        <f t="shared" si="247"/>
        <v>Dec</v>
      </c>
    </row>
    <row r="3949" spans="1:14" x14ac:dyDescent="0.3">
      <c r="A3949" s="2" t="s">
        <v>4015</v>
      </c>
      <c r="B3949" s="6">
        <v>46000</v>
      </c>
      <c r="C3949" s="2" t="s">
        <v>44</v>
      </c>
      <c r="D3949" s="2" t="s">
        <v>35</v>
      </c>
      <c r="E3949" s="2">
        <v>1</v>
      </c>
      <c r="F3949" s="7">
        <v>179</v>
      </c>
      <c r="G3949" s="8">
        <v>0.2</v>
      </c>
      <c r="H3949" s="9" t="str">
        <f>INDEX(Products!$B$2:$B$37, MATCH(D3949, Products!$A$2:$A$37, 0))</f>
        <v>Men's Linen Shirt</v>
      </c>
      <c r="I3949" t="str">
        <f>INDEX(Products!$C$2:$C$37, MATCH(D3949, Products!$A$2:$A$37, 0))</f>
        <v>Fashion</v>
      </c>
      <c r="J3949">
        <f>INDEX(Products!$E$2:$E$37, MATCH(D3949, Products!$A$2:$A$37, 0))</f>
        <v>70</v>
      </c>
      <c r="K3949" s="9">
        <f t="shared" si="244"/>
        <v>143.20000000000002</v>
      </c>
      <c r="L3949">
        <f t="shared" si="245"/>
        <v>70</v>
      </c>
      <c r="M3949" s="9">
        <f t="shared" si="246"/>
        <v>73.200000000000017</v>
      </c>
      <c r="N3949" t="str">
        <f t="shared" si="247"/>
        <v>Dec</v>
      </c>
    </row>
    <row r="3950" spans="1:14" x14ac:dyDescent="0.3">
      <c r="A3950" s="2" t="s">
        <v>4016</v>
      </c>
      <c r="B3950" s="6">
        <v>46000</v>
      </c>
      <c r="C3950" s="2" t="s">
        <v>48</v>
      </c>
      <c r="D3950" s="2" t="s">
        <v>131</v>
      </c>
      <c r="E3950" s="2">
        <v>3</v>
      </c>
      <c r="F3950" s="7">
        <v>899</v>
      </c>
      <c r="G3950" s="8">
        <v>0.15</v>
      </c>
      <c r="H3950" s="9" t="str">
        <f>INDEX(Products!$B$2:$B$37, MATCH(D3950, Products!$A$2:$A$37, 0))</f>
        <v>4K Action Camera</v>
      </c>
      <c r="I3950" t="str">
        <f>INDEX(Products!$C$2:$C$37, MATCH(D3950, Products!$A$2:$A$37, 0))</f>
        <v>Electronics</v>
      </c>
      <c r="J3950">
        <f>INDEX(Products!$E$2:$E$37, MATCH(D3950, Products!$A$2:$A$37, 0))</f>
        <v>610</v>
      </c>
      <c r="K3950" s="9">
        <f t="shared" si="244"/>
        <v>2292.4499999999998</v>
      </c>
      <c r="L3950">
        <f t="shared" si="245"/>
        <v>1830</v>
      </c>
      <c r="M3950" s="9">
        <f t="shared" si="246"/>
        <v>462.44999999999982</v>
      </c>
      <c r="N3950" t="str">
        <f t="shared" si="247"/>
        <v>Dec</v>
      </c>
    </row>
    <row r="3951" spans="1:14" x14ac:dyDescent="0.3">
      <c r="A3951" s="2" t="s">
        <v>4017</v>
      </c>
      <c r="B3951" s="6">
        <v>46000</v>
      </c>
      <c r="C3951" s="2" t="s">
        <v>28</v>
      </c>
      <c r="D3951" s="2" t="s">
        <v>126</v>
      </c>
      <c r="E3951" s="2">
        <v>2</v>
      </c>
      <c r="F3951" s="7">
        <v>89</v>
      </c>
      <c r="G3951" s="8">
        <v>0</v>
      </c>
      <c r="H3951" s="9" t="str">
        <f>INDEX(Products!$B$2:$B$37, MATCH(D3951, Products!$A$2:$A$37, 0))</f>
        <v>USB-C Fast Charger</v>
      </c>
      <c r="I3951" t="str">
        <f>INDEX(Products!$C$2:$C$37, MATCH(D3951, Products!$A$2:$A$37, 0))</f>
        <v>Electronics</v>
      </c>
      <c r="J3951">
        <f>INDEX(Products!$E$2:$E$37, MATCH(D3951, Products!$A$2:$A$37, 0))</f>
        <v>35</v>
      </c>
      <c r="K3951" s="9">
        <f t="shared" si="244"/>
        <v>178</v>
      </c>
      <c r="L3951">
        <f t="shared" si="245"/>
        <v>70</v>
      </c>
      <c r="M3951" s="9">
        <f t="shared" si="246"/>
        <v>108</v>
      </c>
      <c r="N3951" t="str">
        <f t="shared" si="247"/>
        <v>Dec</v>
      </c>
    </row>
    <row r="3952" spans="1:14" x14ac:dyDescent="0.3">
      <c r="A3952" s="2" t="s">
        <v>4018</v>
      </c>
      <c r="B3952" s="6">
        <v>46000</v>
      </c>
      <c r="C3952" s="2" t="s">
        <v>48</v>
      </c>
      <c r="D3952" s="2" t="s">
        <v>37</v>
      </c>
      <c r="E3952" s="2">
        <v>3</v>
      </c>
      <c r="F3952" s="7">
        <v>249</v>
      </c>
      <c r="G3952" s="8">
        <v>0.05</v>
      </c>
      <c r="H3952" s="9" t="str">
        <f>INDEX(Products!$B$2:$B$37, MATCH(D3952, Products!$A$2:$A$37, 0))</f>
        <v>Sunglasses Polarised</v>
      </c>
      <c r="I3952" t="str">
        <f>INDEX(Products!$C$2:$C$37, MATCH(D3952, Products!$A$2:$A$37, 0))</f>
        <v>Fashion</v>
      </c>
      <c r="J3952">
        <f>INDEX(Products!$E$2:$E$37, MATCH(D3952, Products!$A$2:$A$37, 0))</f>
        <v>95</v>
      </c>
      <c r="K3952" s="9">
        <f t="shared" si="244"/>
        <v>709.65</v>
      </c>
      <c r="L3952">
        <f t="shared" si="245"/>
        <v>285</v>
      </c>
      <c r="M3952" s="9">
        <f t="shared" si="246"/>
        <v>424.65</v>
      </c>
      <c r="N3952" t="str">
        <f t="shared" si="247"/>
        <v>Dec</v>
      </c>
    </row>
    <row r="3953" spans="1:14" x14ac:dyDescent="0.3">
      <c r="A3953" s="2" t="s">
        <v>4019</v>
      </c>
      <c r="B3953" s="6">
        <v>46000</v>
      </c>
      <c r="C3953" s="2" t="s">
        <v>41</v>
      </c>
      <c r="D3953" s="2" t="s">
        <v>56</v>
      </c>
      <c r="E3953" s="2">
        <v>2</v>
      </c>
      <c r="F3953" s="7">
        <v>289</v>
      </c>
      <c r="G3953" s="8">
        <v>0.3</v>
      </c>
      <c r="H3953" s="9" t="str">
        <f>INDEX(Products!$B$2:$B$37, MATCH(D3953, Products!$A$2:$A$37, 0))</f>
        <v>Ceramic Dinner Set</v>
      </c>
      <c r="I3953" t="str">
        <f>INDEX(Products!$C$2:$C$37, MATCH(D3953, Products!$A$2:$A$37, 0))</f>
        <v>Home &amp; Kitchen</v>
      </c>
      <c r="J3953">
        <f>INDEX(Products!$E$2:$E$37, MATCH(D3953, Products!$A$2:$A$37, 0))</f>
        <v>140</v>
      </c>
      <c r="K3953" s="9">
        <f t="shared" si="244"/>
        <v>404.59999999999997</v>
      </c>
      <c r="L3953">
        <f t="shared" si="245"/>
        <v>280</v>
      </c>
      <c r="M3953" s="9">
        <f t="shared" si="246"/>
        <v>124.59999999999997</v>
      </c>
      <c r="N3953" t="str">
        <f t="shared" si="247"/>
        <v>Dec</v>
      </c>
    </row>
    <row r="3954" spans="1:14" x14ac:dyDescent="0.3">
      <c r="A3954" s="2" t="s">
        <v>4020</v>
      </c>
      <c r="B3954" s="6">
        <v>46000</v>
      </c>
      <c r="C3954" s="2" t="s">
        <v>44</v>
      </c>
      <c r="D3954" s="2" t="s">
        <v>42</v>
      </c>
      <c r="E3954" s="2">
        <v>1</v>
      </c>
      <c r="F3954" s="7">
        <v>399</v>
      </c>
      <c r="G3954" s="8">
        <v>0.2</v>
      </c>
      <c r="H3954" s="9" t="str">
        <f>INDEX(Products!$B$2:$B$37, MATCH(D3954, Products!$A$2:$A$37, 0))</f>
        <v>Wireless Earbuds Pro</v>
      </c>
      <c r="I3954" t="str">
        <f>INDEX(Products!$C$2:$C$37, MATCH(D3954, Products!$A$2:$A$37, 0))</f>
        <v>Electronics</v>
      </c>
      <c r="J3954">
        <f>INDEX(Products!$E$2:$E$37, MATCH(D3954, Products!$A$2:$A$37, 0))</f>
        <v>230</v>
      </c>
      <c r="K3954" s="9">
        <f t="shared" si="244"/>
        <v>319.20000000000005</v>
      </c>
      <c r="L3954">
        <f t="shared" si="245"/>
        <v>230</v>
      </c>
      <c r="M3954" s="9">
        <f t="shared" si="246"/>
        <v>89.200000000000045</v>
      </c>
      <c r="N3954" t="str">
        <f t="shared" si="247"/>
        <v>Dec</v>
      </c>
    </row>
    <row r="3955" spans="1:14" x14ac:dyDescent="0.3">
      <c r="A3955" s="2" t="s">
        <v>4021</v>
      </c>
      <c r="B3955" s="6">
        <v>46000</v>
      </c>
      <c r="C3955" s="2" t="s">
        <v>48</v>
      </c>
      <c r="D3955" s="2" t="s">
        <v>39</v>
      </c>
      <c r="E3955" s="2">
        <v>3</v>
      </c>
      <c r="F3955" s="7">
        <v>199</v>
      </c>
      <c r="G3955" s="8">
        <v>0.1</v>
      </c>
      <c r="H3955" s="9" t="str">
        <f>INDEX(Products!$B$2:$B$37, MATCH(D3955, Products!$A$2:$A$37, 0))</f>
        <v>Bakhoor Gift Set</v>
      </c>
      <c r="I3955" t="str">
        <f>INDEX(Products!$C$2:$C$37, MATCH(D3955, Products!$A$2:$A$37, 0))</f>
        <v>Beauty</v>
      </c>
      <c r="J3955">
        <f>INDEX(Products!$E$2:$E$37, MATCH(D3955, Products!$A$2:$A$37, 0))</f>
        <v>90</v>
      </c>
      <c r="K3955" s="9">
        <f t="shared" si="244"/>
        <v>537.30000000000007</v>
      </c>
      <c r="L3955">
        <f t="shared" si="245"/>
        <v>270</v>
      </c>
      <c r="M3955" s="9">
        <f t="shared" si="246"/>
        <v>267.30000000000007</v>
      </c>
      <c r="N3955" t="str">
        <f t="shared" si="247"/>
        <v>Dec</v>
      </c>
    </row>
    <row r="3956" spans="1:14" x14ac:dyDescent="0.3">
      <c r="A3956" s="2" t="s">
        <v>4022</v>
      </c>
      <c r="B3956" s="6">
        <v>46000</v>
      </c>
      <c r="C3956" s="2" t="s">
        <v>44</v>
      </c>
      <c r="D3956" s="2" t="s">
        <v>68</v>
      </c>
      <c r="E3956" s="2">
        <v>1</v>
      </c>
      <c r="F3956" s="7">
        <v>249</v>
      </c>
      <c r="G3956" s="8">
        <v>0</v>
      </c>
      <c r="H3956" s="9" t="str">
        <f>INDEX(Products!$B$2:$B$37, MATCH(D3956, Products!$A$2:$A$37, 0))</f>
        <v>Bluetooth Speaker Mini</v>
      </c>
      <c r="I3956" t="str">
        <f>INDEX(Products!$C$2:$C$37, MATCH(D3956, Products!$A$2:$A$37, 0))</f>
        <v>Electronics</v>
      </c>
      <c r="J3956">
        <f>INDEX(Products!$E$2:$E$37, MATCH(D3956, Products!$A$2:$A$37, 0))</f>
        <v>150</v>
      </c>
      <c r="K3956" s="9">
        <f t="shared" si="244"/>
        <v>249</v>
      </c>
      <c r="L3956">
        <f t="shared" si="245"/>
        <v>150</v>
      </c>
      <c r="M3956" s="9">
        <f t="shared" si="246"/>
        <v>99</v>
      </c>
      <c r="N3956" t="str">
        <f t="shared" si="247"/>
        <v>Dec</v>
      </c>
    </row>
    <row r="3957" spans="1:14" x14ac:dyDescent="0.3">
      <c r="A3957" s="2" t="s">
        <v>4023</v>
      </c>
      <c r="B3957" s="6">
        <v>46000</v>
      </c>
      <c r="C3957" s="2" t="s">
        <v>31</v>
      </c>
      <c r="D3957" s="2" t="s">
        <v>35</v>
      </c>
      <c r="E3957" s="2">
        <v>2</v>
      </c>
      <c r="F3957" s="7">
        <v>179</v>
      </c>
      <c r="G3957" s="8">
        <v>0.3</v>
      </c>
      <c r="H3957" s="9" t="str">
        <f>INDEX(Products!$B$2:$B$37, MATCH(D3957, Products!$A$2:$A$37, 0))</f>
        <v>Men's Linen Shirt</v>
      </c>
      <c r="I3957" t="str">
        <f>INDEX(Products!$C$2:$C$37, MATCH(D3957, Products!$A$2:$A$37, 0))</f>
        <v>Fashion</v>
      </c>
      <c r="J3957">
        <f>INDEX(Products!$E$2:$E$37, MATCH(D3957, Products!$A$2:$A$37, 0))</f>
        <v>70</v>
      </c>
      <c r="K3957" s="9">
        <f t="shared" si="244"/>
        <v>250.6</v>
      </c>
      <c r="L3957">
        <f t="shared" si="245"/>
        <v>140</v>
      </c>
      <c r="M3957" s="9">
        <f t="shared" si="246"/>
        <v>110.6</v>
      </c>
      <c r="N3957" t="str">
        <f t="shared" si="247"/>
        <v>Dec</v>
      </c>
    </row>
    <row r="3958" spans="1:14" x14ac:dyDescent="0.3">
      <c r="A3958" s="2" t="s">
        <v>4024</v>
      </c>
      <c r="B3958" s="6">
        <v>46000</v>
      </c>
      <c r="C3958" s="2" t="s">
        <v>44</v>
      </c>
      <c r="D3958" s="2" t="s">
        <v>29</v>
      </c>
      <c r="E3958" s="2">
        <v>1</v>
      </c>
      <c r="F3958" s="7">
        <v>229</v>
      </c>
      <c r="G3958" s="8">
        <v>0.2</v>
      </c>
      <c r="H3958" s="9" t="str">
        <f>INDEX(Products!$B$2:$B$37, MATCH(D3958, Products!$A$2:$A$37, 0))</f>
        <v>Women's Summer Dress</v>
      </c>
      <c r="I3958" t="str">
        <f>INDEX(Products!$C$2:$C$37, MATCH(D3958, Products!$A$2:$A$37, 0))</f>
        <v>Fashion</v>
      </c>
      <c r="J3958">
        <f>INDEX(Products!$E$2:$E$37, MATCH(D3958, Products!$A$2:$A$37, 0))</f>
        <v>120</v>
      </c>
      <c r="K3958" s="9">
        <f t="shared" si="244"/>
        <v>183.20000000000002</v>
      </c>
      <c r="L3958">
        <f t="shared" si="245"/>
        <v>120</v>
      </c>
      <c r="M3958" s="9">
        <f t="shared" si="246"/>
        <v>63.200000000000017</v>
      </c>
      <c r="N3958" t="str">
        <f t="shared" si="247"/>
        <v>Dec</v>
      </c>
    </row>
    <row r="3959" spans="1:14" x14ac:dyDescent="0.3">
      <c r="A3959" s="2" t="s">
        <v>4025</v>
      </c>
      <c r="B3959" s="6">
        <v>46000</v>
      </c>
      <c r="C3959" s="2" t="s">
        <v>48</v>
      </c>
      <c r="D3959" s="2" t="s">
        <v>194</v>
      </c>
      <c r="E3959" s="2">
        <v>2</v>
      </c>
      <c r="F3959" s="7">
        <v>699</v>
      </c>
      <c r="G3959" s="8">
        <v>0.2</v>
      </c>
      <c r="H3959" s="9" t="str">
        <f>INDEX(Products!$B$2:$B$37, MATCH(D3959, Products!$A$2:$A$37, 0))</f>
        <v>Leather Handbag</v>
      </c>
      <c r="I3959" t="str">
        <f>INDEX(Products!$C$2:$C$37, MATCH(D3959, Products!$A$2:$A$37, 0))</f>
        <v>Fashion</v>
      </c>
      <c r="J3959">
        <f>INDEX(Products!$E$2:$E$37, MATCH(D3959, Products!$A$2:$A$37, 0))</f>
        <v>380</v>
      </c>
      <c r="K3959" s="9">
        <f t="shared" si="244"/>
        <v>1118.4000000000001</v>
      </c>
      <c r="L3959">
        <f t="shared" si="245"/>
        <v>760</v>
      </c>
      <c r="M3959" s="9">
        <f t="shared" si="246"/>
        <v>358.40000000000009</v>
      </c>
      <c r="N3959" t="str">
        <f t="shared" si="247"/>
        <v>Dec</v>
      </c>
    </row>
    <row r="3960" spans="1:14" x14ac:dyDescent="0.3">
      <c r="A3960" s="2" t="s">
        <v>4026</v>
      </c>
      <c r="B3960" s="6">
        <v>46001</v>
      </c>
      <c r="C3960" s="2" t="s">
        <v>28</v>
      </c>
      <c r="D3960" s="2" t="s">
        <v>80</v>
      </c>
      <c r="E3960" s="2">
        <v>4</v>
      </c>
      <c r="F3960" s="7">
        <v>149</v>
      </c>
      <c r="G3960" s="8">
        <v>0.2</v>
      </c>
      <c r="H3960" s="9" t="str">
        <f>INDEX(Products!$B$2:$B$37, MATCH(D3960, Products!$A$2:$A$37, 0))</f>
        <v>Vitamin C Serum</v>
      </c>
      <c r="I3960" t="str">
        <f>INDEX(Products!$C$2:$C$37, MATCH(D3960, Products!$A$2:$A$37, 0))</f>
        <v>Beauty</v>
      </c>
      <c r="J3960">
        <f>INDEX(Products!$E$2:$E$37, MATCH(D3960, Products!$A$2:$A$37, 0))</f>
        <v>55</v>
      </c>
      <c r="K3960" s="9">
        <f t="shared" si="244"/>
        <v>476.8</v>
      </c>
      <c r="L3960">
        <f t="shared" si="245"/>
        <v>220</v>
      </c>
      <c r="M3960" s="9">
        <f t="shared" si="246"/>
        <v>256.8</v>
      </c>
      <c r="N3960" t="str">
        <f t="shared" si="247"/>
        <v>Dec</v>
      </c>
    </row>
    <row r="3961" spans="1:14" x14ac:dyDescent="0.3">
      <c r="A3961" s="2" t="s">
        <v>4027</v>
      </c>
      <c r="B3961" s="6">
        <v>46001</v>
      </c>
      <c r="C3961" s="2" t="s">
        <v>28</v>
      </c>
      <c r="D3961" s="2" t="s">
        <v>39</v>
      </c>
      <c r="E3961" s="2">
        <v>1</v>
      </c>
      <c r="F3961" s="7">
        <v>199</v>
      </c>
      <c r="G3961" s="8">
        <v>0.2</v>
      </c>
      <c r="H3961" s="9" t="str">
        <f>INDEX(Products!$B$2:$B$37, MATCH(D3961, Products!$A$2:$A$37, 0))</f>
        <v>Bakhoor Gift Set</v>
      </c>
      <c r="I3961" t="str">
        <f>INDEX(Products!$C$2:$C$37, MATCH(D3961, Products!$A$2:$A$37, 0))</f>
        <v>Beauty</v>
      </c>
      <c r="J3961">
        <f>INDEX(Products!$E$2:$E$37, MATCH(D3961, Products!$A$2:$A$37, 0))</f>
        <v>90</v>
      </c>
      <c r="K3961" s="9">
        <f t="shared" si="244"/>
        <v>159.20000000000002</v>
      </c>
      <c r="L3961">
        <f t="shared" si="245"/>
        <v>90</v>
      </c>
      <c r="M3961" s="9">
        <f t="shared" si="246"/>
        <v>69.200000000000017</v>
      </c>
      <c r="N3961" t="str">
        <f t="shared" si="247"/>
        <v>Dec</v>
      </c>
    </row>
    <row r="3962" spans="1:14" x14ac:dyDescent="0.3">
      <c r="A3962" s="2" t="s">
        <v>4028</v>
      </c>
      <c r="B3962" s="6">
        <v>46001</v>
      </c>
      <c r="C3962" s="2" t="s">
        <v>44</v>
      </c>
      <c r="D3962" s="2" t="s">
        <v>75</v>
      </c>
      <c r="E3962" s="2">
        <v>1</v>
      </c>
      <c r="F3962" s="7">
        <v>549</v>
      </c>
      <c r="G3962" s="8">
        <v>0.2</v>
      </c>
      <c r="H3962" s="9" t="str">
        <f>INDEX(Products!$B$2:$B$37, MATCH(D3962, Products!$A$2:$A$37, 0))</f>
        <v>Oud Perfume 100ml</v>
      </c>
      <c r="I3962" t="str">
        <f>INDEX(Products!$C$2:$C$37, MATCH(D3962, Products!$A$2:$A$37, 0))</f>
        <v>Beauty</v>
      </c>
      <c r="J3962">
        <f>INDEX(Products!$E$2:$E$37, MATCH(D3962, Products!$A$2:$A$37, 0))</f>
        <v>250</v>
      </c>
      <c r="K3962" s="9">
        <f t="shared" si="244"/>
        <v>439.20000000000005</v>
      </c>
      <c r="L3962">
        <f t="shared" si="245"/>
        <v>250</v>
      </c>
      <c r="M3962" s="9">
        <f t="shared" si="246"/>
        <v>189.20000000000005</v>
      </c>
      <c r="N3962" t="str">
        <f t="shared" si="247"/>
        <v>Dec</v>
      </c>
    </row>
    <row r="3963" spans="1:14" x14ac:dyDescent="0.3">
      <c r="A3963" s="2" t="s">
        <v>4029</v>
      </c>
      <c r="B3963" s="6">
        <v>46001</v>
      </c>
      <c r="C3963" s="2" t="s">
        <v>41</v>
      </c>
      <c r="D3963" s="2" t="s">
        <v>68</v>
      </c>
      <c r="E3963" s="2">
        <v>3</v>
      </c>
      <c r="F3963" s="7">
        <v>249</v>
      </c>
      <c r="G3963" s="8">
        <v>0.2</v>
      </c>
      <c r="H3963" s="9" t="str">
        <f>INDEX(Products!$B$2:$B$37, MATCH(D3963, Products!$A$2:$A$37, 0))</f>
        <v>Bluetooth Speaker Mini</v>
      </c>
      <c r="I3963" t="str">
        <f>INDEX(Products!$C$2:$C$37, MATCH(D3963, Products!$A$2:$A$37, 0))</f>
        <v>Electronics</v>
      </c>
      <c r="J3963">
        <f>INDEX(Products!$E$2:$E$37, MATCH(D3963, Products!$A$2:$A$37, 0))</f>
        <v>150</v>
      </c>
      <c r="K3963" s="9">
        <f t="shared" si="244"/>
        <v>597.6</v>
      </c>
      <c r="L3963">
        <f t="shared" si="245"/>
        <v>450</v>
      </c>
      <c r="M3963" s="9">
        <f t="shared" si="246"/>
        <v>147.60000000000002</v>
      </c>
      <c r="N3963" t="str">
        <f t="shared" si="247"/>
        <v>Dec</v>
      </c>
    </row>
    <row r="3964" spans="1:14" x14ac:dyDescent="0.3">
      <c r="A3964" s="2" t="s">
        <v>4030</v>
      </c>
      <c r="B3964" s="6">
        <v>46001</v>
      </c>
      <c r="C3964" s="2" t="s">
        <v>28</v>
      </c>
      <c r="D3964" s="2" t="s">
        <v>58</v>
      </c>
      <c r="E3964" s="2">
        <v>1</v>
      </c>
      <c r="F3964" s="7">
        <v>459</v>
      </c>
      <c r="G3964" s="8">
        <v>0.15</v>
      </c>
      <c r="H3964" s="9" t="str">
        <f>INDEX(Products!$B$2:$B$37, MATCH(D3964, Products!$A$2:$A$37, 0))</f>
        <v>Women's Abaya Classic</v>
      </c>
      <c r="I3964" t="str">
        <f>INDEX(Products!$C$2:$C$37, MATCH(D3964, Products!$A$2:$A$37, 0))</f>
        <v>Fashion</v>
      </c>
      <c r="J3964">
        <f>INDEX(Products!$E$2:$E$37, MATCH(D3964, Products!$A$2:$A$37, 0))</f>
        <v>190</v>
      </c>
      <c r="K3964" s="9">
        <f t="shared" si="244"/>
        <v>390.15</v>
      </c>
      <c r="L3964">
        <f t="shared" si="245"/>
        <v>190</v>
      </c>
      <c r="M3964" s="9">
        <f t="shared" si="246"/>
        <v>200.14999999999998</v>
      </c>
      <c r="N3964" t="str">
        <f t="shared" si="247"/>
        <v>Dec</v>
      </c>
    </row>
    <row r="3965" spans="1:14" x14ac:dyDescent="0.3">
      <c r="A3965" s="2" t="s">
        <v>4031</v>
      </c>
      <c r="B3965" s="6">
        <v>46001</v>
      </c>
      <c r="C3965" s="2" t="s">
        <v>28</v>
      </c>
      <c r="D3965" s="2" t="s">
        <v>29</v>
      </c>
      <c r="E3965" s="2">
        <v>4</v>
      </c>
      <c r="F3965" s="7">
        <v>229</v>
      </c>
      <c r="G3965" s="8">
        <v>0.2</v>
      </c>
      <c r="H3965" s="9" t="str">
        <f>INDEX(Products!$B$2:$B$37, MATCH(D3965, Products!$A$2:$A$37, 0))</f>
        <v>Women's Summer Dress</v>
      </c>
      <c r="I3965" t="str">
        <f>INDEX(Products!$C$2:$C$37, MATCH(D3965, Products!$A$2:$A$37, 0))</f>
        <v>Fashion</v>
      </c>
      <c r="J3965">
        <f>INDEX(Products!$E$2:$E$37, MATCH(D3965, Products!$A$2:$A$37, 0))</f>
        <v>120</v>
      </c>
      <c r="K3965" s="9">
        <f t="shared" si="244"/>
        <v>732.80000000000007</v>
      </c>
      <c r="L3965">
        <f t="shared" si="245"/>
        <v>480</v>
      </c>
      <c r="M3965" s="9">
        <f t="shared" si="246"/>
        <v>252.80000000000007</v>
      </c>
      <c r="N3965" t="str">
        <f t="shared" si="247"/>
        <v>Dec</v>
      </c>
    </row>
    <row r="3966" spans="1:14" x14ac:dyDescent="0.3">
      <c r="A3966" s="2" t="s">
        <v>4032</v>
      </c>
      <c r="B3966" s="6">
        <v>46001</v>
      </c>
      <c r="C3966" s="2" t="s">
        <v>28</v>
      </c>
      <c r="D3966" s="2" t="s">
        <v>35</v>
      </c>
      <c r="E3966" s="2">
        <v>3</v>
      </c>
      <c r="F3966" s="7">
        <v>179</v>
      </c>
      <c r="G3966" s="8">
        <v>0.2</v>
      </c>
      <c r="H3966" s="9" t="str">
        <f>INDEX(Products!$B$2:$B$37, MATCH(D3966, Products!$A$2:$A$37, 0))</f>
        <v>Men's Linen Shirt</v>
      </c>
      <c r="I3966" t="str">
        <f>INDEX(Products!$C$2:$C$37, MATCH(D3966, Products!$A$2:$A$37, 0))</f>
        <v>Fashion</v>
      </c>
      <c r="J3966">
        <f>INDEX(Products!$E$2:$E$37, MATCH(D3966, Products!$A$2:$A$37, 0))</f>
        <v>70</v>
      </c>
      <c r="K3966" s="9">
        <f t="shared" si="244"/>
        <v>429.6</v>
      </c>
      <c r="L3966">
        <f t="shared" si="245"/>
        <v>210</v>
      </c>
      <c r="M3966" s="9">
        <f t="shared" si="246"/>
        <v>219.60000000000002</v>
      </c>
      <c r="N3966" t="str">
        <f t="shared" si="247"/>
        <v>Dec</v>
      </c>
    </row>
    <row r="3967" spans="1:14" x14ac:dyDescent="0.3">
      <c r="A3967" s="2" t="s">
        <v>4033</v>
      </c>
      <c r="B3967" s="6">
        <v>46002</v>
      </c>
      <c r="C3967" s="2" t="s">
        <v>48</v>
      </c>
      <c r="D3967" s="2" t="s">
        <v>35</v>
      </c>
      <c r="E3967" s="2">
        <v>1</v>
      </c>
      <c r="F3967" s="7">
        <v>179</v>
      </c>
      <c r="G3967" s="8">
        <v>0.2</v>
      </c>
      <c r="H3967" s="9" t="str">
        <f>INDEX(Products!$B$2:$B$37, MATCH(D3967, Products!$A$2:$A$37, 0))</f>
        <v>Men's Linen Shirt</v>
      </c>
      <c r="I3967" t="str">
        <f>INDEX(Products!$C$2:$C$37, MATCH(D3967, Products!$A$2:$A$37, 0))</f>
        <v>Fashion</v>
      </c>
      <c r="J3967">
        <f>INDEX(Products!$E$2:$E$37, MATCH(D3967, Products!$A$2:$A$37, 0))</f>
        <v>70</v>
      </c>
      <c r="K3967" s="9">
        <f t="shared" si="244"/>
        <v>143.20000000000002</v>
      </c>
      <c r="L3967">
        <f t="shared" si="245"/>
        <v>70</v>
      </c>
      <c r="M3967" s="9">
        <f t="shared" si="246"/>
        <v>73.200000000000017</v>
      </c>
      <c r="N3967" t="str">
        <f t="shared" si="247"/>
        <v>Dec</v>
      </c>
    </row>
    <row r="3968" spans="1:14" x14ac:dyDescent="0.3">
      <c r="A3968" s="2" t="s">
        <v>4034</v>
      </c>
      <c r="B3968" s="6">
        <v>46002</v>
      </c>
      <c r="C3968" s="2" t="s">
        <v>48</v>
      </c>
      <c r="D3968" s="2" t="s">
        <v>106</v>
      </c>
      <c r="E3968" s="2">
        <v>1</v>
      </c>
      <c r="F3968" s="7">
        <v>1299</v>
      </c>
      <c r="G3968" s="8">
        <v>0.2</v>
      </c>
      <c r="H3968" s="9" t="str">
        <f>INDEX(Products!$B$2:$B$37, MATCH(D3968, Products!$A$2:$A$37, 0))</f>
        <v>Smart Watch Series 5</v>
      </c>
      <c r="I3968" t="str">
        <f>INDEX(Products!$C$2:$C$37, MATCH(D3968, Products!$A$2:$A$37, 0))</f>
        <v>Electronics</v>
      </c>
      <c r="J3968">
        <f>INDEX(Products!$E$2:$E$37, MATCH(D3968, Products!$A$2:$A$37, 0))</f>
        <v>820</v>
      </c>
      <c r="K3968" s="9">
        <f t="shared" si="244"/>
        <v>1039.2</v>
      </c>
      <c r="L3968">
        <f t="shared" si="245"/>
        <v>820</v>
      </c>
      <c r="M3968" s="9">
        <f t="shared" si="246"/>
        <v>219.20000000000005</v>
      </c>
      <c r="N3968" t="str">
        <f t="shared" si="247"/>
        <v>Dec</v>
      </c>
    </row>
    <row r="3969" spans="1:14" x14ac:dyDescent="0.3">
      <c r="A3969" s="2" t="s">
        <v>4035</v>
      </c>
      <c r="B3969" s="6">
        <v>46002</v>
      </c>
      <c r="C3969" s="2" t="s">
        <v>31</v>
      </c>
      <c r="D3969" s="2" t="s">
        <v>49</v>
      </c>
      <c r="E3969" s="2">
        <v>2</v>
      </c>
      <c r="F3969" s="7">
        <v>149</v>
      </c>
      <c r="G3969" s="8">
        <v>0.1</v>
      </c>
      <c r="H3969" s="9" t="str">
        <f>INDEX(Products!$B$2:$B$37, MATCH(D3969, Products!$A$2:$A$37, 0))</f>
        <v>Kids' Sneakers</v>
      </c>
      <c r="I3969" t="str">
        <f>INDEX(Products!$C$2:$C$37, MATCH(D3969, Products!$A$2:$A$37, 0))</f>
        <v>Fashion</v>
      </c>
      <c r="J3969">
        <f>INDEX(Products!$E$2:$E$37, MATCH(D3969, Products!$A$2:$A$37, 0))</f>
        <v>80</v>
      </c>
      <c r="K3969" s="9">
        <f t="shared" si="244"/>
        <v>268.2</v>
      </c>
      <c r="L3969">
        <f t="shared" si="245"/>
        <v>160</v>
      </c>
      <c r="M3969" s="9">
        <f t="shared" si="246"/>
        <v>108.19999999999999</v>
      </c>
      <c r="N3969" t="str">
        <f t="shared" si="247"/>
        <v>Dec</v>
      </c>
    </row>
    <row r="3970" spans="1:14" x14ac:dyDescent="0.3">
      <c r="A3970" s="2" t="s">
        <v>4036</v>
      </c>
      <c r="B3970" s="6">
        <v>46002</v>
      </c>
      <c r="C3970" s="2" t="s">
        <v>44</v>
      </c>
      <c r="D3970" s="2" t="s">
        <v>37</v>
      </c>
      <c r="E3970" s="2">
        <v>3</v>
      </c>
      <c r="F3970" s="7">
        <v>249</v>
      </c>
      <c r="G3970" s="8">
        <v>0.2</v>
      </c>
      <c r="H3970" s="9" t="str">
        <f>INDEX(Products!$B$2:$B$37, MATCH(D3970, Products!$A$2:$A$37, 0))</f>
        <v>Sunglasses Polarised</v>
      </c>
      <c r="I3970" t="str">
        <f>INDEX(Products!$C$2:$C$37, MATCH(D3970, Products!$A$2:$A$37, 0))</f>
        <v>Fashion</v>
      </c>
      <c r="J3970">
        <f>INDEX(Products!$E$2:$E$37, MATCH(D3970, Products!$A$2:$A$37, 0))</f>
        <v>95</v>
      </c>
      <c r="K3970" s="9">
        <f t="shared" ref="K3970:K4033" si="248">E3970*F3970*(1-G3970)</f>
        <v>597.6</v>
      </c>
      <c r="L3970">
        <f t="shared" ref="L3970:L4033" si="249">E3970*J3970</f>
        <v>285</v>
      </c>
      <c r="M3970" s="9">
        <f t="shared" ref="M3970:M4033" si="250">K3970-L3970</f>
        <v>312.60000000000002</v>
      </c>
      <c r="N3970" t="str">
        <f t="shared" ref="N3970:N4033" si="251">TEXT(B3970,"mmm")</f>
        <v>Dec</v>
      </c>
    </row>
    <row r="3971" spans="1:14" x14ac:dyDescent="0.3">
      <c r="A3971" s="2" t="s">
        <v>4037</v>
      </c>
      <c r="B3971" s="6">
        <v>46002</v>
      </c>
      <c r="C3971" s="2" t="s">
        <v>41</v>
      </c>
      <c r="D3971" s="2" t="s">
        <v>49</v>
      </c>
      <c r="E3971" s="2">
        <v>1</v>
      </c>
      <c r="F3971" s="7">
        <v>149</v>
      </c>
      <c r="G3971" s="8">
        <v>0</v>
      </c>
      <c r="H3971" s="9" t="str">
        <f>INDEX(Products!$B$2:$B$37, MATCH(D3971, Products!$A$2:$A$37, 0))</f>
        <v>Kids' Sneakers</v>
      </c>
      <c r="I3971" t="str">
        <f>INDEX(Products!$C$2:$C$37, MATCH(D3971, Products!$A$2:$A$37, 0))</f>
        <v>Fashion</v>
      </c>
      <c r="J3971">
        <f>INDEX(Products!$E$2:$E$37, MATCH(D3971, Products!$A$2:$A$37, 0))</f>
        <v>80</v>
      </c>
      <c r="K3971" s="9">
        <f t="shared" si="248"/>
        <v>149</v>
      </c>
      <c r="L3971">
        <f t="shared" si="249"/>
        <v>80</v>
      </c>
      <c r="M3971" s="9">
        <f t="shared" si="250"/>
        <v>69</v>
      </c>
      <c r="N3971" t="str">
        <f t="shared" si="251"/>
        <v>Dec</v>
      </c>
    </row>
    <row r="3972" spans="1:14" x14ac:dyDescent="0.3">
      <c r="A3972" s="2" t="s">
        <v>4038</v>
      </c>
      <c r="B3972" s="6">
        <v>46002</v>
      </c>
      <c r="C3972" s="2" t="s">
        <v>44</v>
      </c>
      <c r="D3972" s="2" t="s">
        <v>46</v>
      </c>
      <c r="E3972" s="2">
        <v>2</v>
      </c>
      <c r="F3972" s="7">
        <v>189</v>
      </c>
      <c r="G3972" s="8">
        <v>0.2</v>
      </c>
      <c r="H3972" s="9" t="str">
        <f>INDEX(Products!$B$2:$B$37, MATCH(D3972, Products!$A$2:$A$37, 0))</f>
        <v>Makeup Palette</v>
      </c>
      <c r="I3972" t="str">
        <f>INDEX(Products!$C$2:$C$37, MATCH(D3972, Products!$A$2:$A$37, 0))</f>
        <v>Beauty</v>
      </c>
      <c r="J3972">
        <f>INDEX(Products!$E$2:$E$37, MATCH(D3972, Products!$A$2:$A$37, 0))</f>
        <v>85</v>
      </c>
      <c r="K3972" s="9">
        <f t="shared" si="248"/>
        <v>302.40000000000003</v>
      </c>
      <c r="L3972">
        <f t="shared" si="249"/>
        <v>170</v>
      </c>
      <c r="M3972" s="9">
        <f t="shared" si="250"/>
        <v>132.40000000000003</v>
      </c>
      <c r="N3972" t="str">
        <f t="shared" si="251"/>
        <v>Dec</v>
      </c>
    </row>
    <row r="3973" spans="1:14" x14ac:dyDescent="0.3">
      <c r="A3973" s="2" t="s">
        <v>4039</v>
      </c>
      <c r="B3973" s="6">
        <v>46002</v>
      </c>
      <c r="C3973" s="2" t="s">
        <v>31</v>
      </c>
      <c r="D3973" s="2" t="s">
        <v>70</v>
      </c>
      <c r="E3973" s="2">
        <v>1</v>
      </c>
      <c r="F3973" s="7">
        <v>429</v>
      </c>
      <c r="G3973" s="8">
        <v>0.1</v>
      </c>
      <c r="H3973" s="9" t="str">
        <f>INDEX(Products!$B$2:$B$37, MATCH(D3973, Products!$A$2:$A$37, 0))</f>
        <v>Running Shoes Elite</v>
      </c>
      <c r="I3973" t="str">
        <f>INDEX(Products!$C$2:$C$37, MATCH(D3973, Products!$A$2:$A$37, 0))</f>
        <v>Fashion</v>
      </c>
      <c r="J3973">
        <f>INDEX(Products!$E$2:$E$37, MATCH(D3973, Products!$A$2:$A$37, 0))</f>
        <v>300</v>
      </c>
      <c r="K3973" s="9">
        <f t="shared" si="248"/>
        <v>386.1</v>
      </c>
      <c r="L3973">
        <f t="shared" si="249"/>
        <v>300</v>
      </c>
      <c r="M3973" s="9">
        <f t="shared" si="250"/>
        <v>86.100000000000023</v>
      </c>
      <c r="N3973" t="str">
        <f t="shared" si="251"/>
        <v>Dec</v>
      </c>
    </row>
    <row r="3974" spans="1:14" x14ac:dyDescent="0.3">
      <c r="A3974" s="2" t="s">
        <v>4040</v>
      </c>
      <c r="B3974" s="6">
        <v>46002</v>
      </c>
      <c r="C3974" s="2" t="s">
        <v>31</v>
      </c>
      <c r="D3974" s="2" t="s">
        <v>115</v>
      </c>
      <c r="E3974" s="2">
        <v>1</v>
      </c>
      <c r="F3974" s="7">
        <v>129</v>
      </c>
      <c r="G3974" s="8">
        <v>0</v>
      </c>
      <c r="H3974" s="9" t="str">
        <f>INDEX(Products!$B$2:$B$37, MATCH(D3974, Products!$A$2:$A$37, 0))</f>
        <v>Electric Kettle</v>
      </c>
      <c r="I3974" t="str">
        <f>INDEX(Products!$C$2:$C$37, MATCH(D3974, Products!$A$2:$A$37, 0))</f>
        <v>Home &amp; Kitchen</v>
      </c>
      <c r="J3974">
        <f>INDEX(Products!$E$2:$E$37, MATCH(D3974, Products!$A$2:$A$37, 0))</f>
        <v>60</v>
      </c>
      <c r="K3974" s="9">
        <f t="shared" si="248"/>
        <v>129</v>
      </c>
      <c r="L3974">
        <f t="shared" si="249"/>
        <v>60</v>
      </c>
      <c r="M3974" s="9">
        <f t="shared" si="250"/>
        <v>69</v>
      </c>
      <c r="N3974" t="str">
        <f t="shared" si="251"/>
        <v>Dec</v>
      </c>
    </row>
    <row r="3975" spans="1:14" x14ac:dyDescent="0.3">
      <c r="A3975" s="2" t="s">
        <v>4041</v>
      </c>
      <c r="B3975" s="6">
        <v>46002</v>
      </c>
      <c r="C3975" s="2" t="s">
        <v>28</v>
      </c>
      <c r="D3975" s="2" t="s">
        <v>80</v>
      </c>
      <c r="E3975" s="2">
        <v>1</v>
      </c>
      <c r="F3975" s="7">
        <v>149</v>
      </c>
      <c r="G3975" s="8">
        <v>0.2</v>
      </c>
      <c r="H3975" s="9" t="str">
        <f>INDEX(Products!$B$2:$B$37, MATCH(D3975, Products!$A$2:$A$37, 0))</f>
        <v>Vitamin C Serum</v>
      </c>
      <c r="I3975" t="str">
        <f>INDEX(Products!$C$2:$C$37, MATCH(D3975, Products!$A$2:$A$37, 0))</f>
        <v>Beauty</v>
      </c>
      <c r="J3975">
        <f>INDEX(Products!$E$2:$E$37, MATCH(D3975, Products!$A$2:$A$37, 0))</f>
        <v>55</v>
      </c>
      <c r="K3975" s="9">
        <f t="shared" si="248"/>
        <v>119.2</v>
      </c>
      <c r="L3975">
        <f t="shared" si="249"/>
        <v>55</v>
      </c>
      <c r="M3975" s="9">
        <f t="shared" si="250"/>
        <v>64.2</v>
      </c>
      <c r="N3975" t="str">
        <f t="shared" si="251"/>
        <v>Dec</v>
      </c>
    </row>
    <row r="3976" spans="1:14" x14ac:dyDescent="0.3">
      <c r="A3976" s="2" t="s">
        <v>4042</v>
      </c>
      <c r="B3976" s="6">
        <v>46002</v>
      </c>
      <c r="C3976" s="2" t="s">
        <v>41</v>
      </c>
      <c r="D3976" s="2" t="s">
        <v>103</v>
      </c>
      <c r="E3976" s="2">
        <v>1</v>
      </c>
      <c r="F3976" s="7">
        <v>89</v>
      </c>
      <c r="G3976" s="8">
        <v>0.1</v>
      </c>
      <c r="H3976" s="9" t="str">
        <f>INDEX(Products!$B$2:$B$37, MATCH(D3976, Products!$A$2:$A$37, 0))</f>
        <v>Sunscreen SPF50</v>
      </c>
      <c r="I3976" t="str">
        <f>INDEX(Products!$C$2:$C$37, MATCH(D3976, Products!$A$2:$A$37, 0))</f>
        <v>Beauty</v>
      </c>
      <c r="J3976">
        <f>INDEX(Products!$E$2:$E$37, MATCH(D3976, Products!$A$2:$A$37, 0))</f>
        <v>40</v>
      </c>
      <c r="K3976" s="9">
        <f t="shared" si="248"/>
        <v>80.100000000000009</v>
      </c>
      <c r="L3976">
        <f t="shared" si="249"/>
        <v>40</v>
      </c>
      <c r="M3976" s="9">
        <f t="shared" si="250"/>
        <v>40.100000000000009</v>
      </c>
      <c r="N3976" t="str">
        <f t="shared" si="251"/>
        <v>Dec</v>
      </c>
    </row>
    <row r="3977" spans="1:14" x14ac:dyDescent="0.3">
      <c r="A3977" s="2" t="s">
        <v>4043</v>
      </c>
      <c r="B3977" s="6">
        <v>46002</v>
      </c>
      <c r="C3977" s="2" t="s">
        <v>44</v>
      </c>
      <c r="D3977" s="2" t="s">
        <v>149</v>
      </c>
      <c r="E3977" s="2">
        <v>2</v>
      </c>
      <c r="F3977" s="7">
        <v>399</v>
      </c>
      <c r="G3977" s="8">
        <v>0.05</v>
      </c>
      <c r="H3977" s="9" t="str">
        <f>INDEX(Products!$B$2:$B$37, MATCH(D3977, Products!$A$2:$A$37, 0))</f>
        <v>Blender Pro 1200W</v>
      </c>
      <c r="I3977" t="str">
        <f>INDEX(Products!$C$2:$C$37, MATCH(D3977, Products!$A$2:$A$37, 0))</f>
        <v>Home &amp; Kitchen</v>
      </c>
      <c r="J3977">
        <f>INDEX(Products!$E$2:$E$37, MATCH(D3977, Products!$A$2:$A$37, 0))</f>
        <v>250</v>
      </c>
      <c r="K3977" s="9">
        <f t="shared" si="248"/>
        <v>758.09999999999991</v>
      </c>
      <c r="L3977">
        <f t="shared" si="249"/>
        <v>500</v>
      </c>
      <c r="M3977" s="9">
        <f t="shared" si="250"/>
        <v>258.09999999999991</v>
      </c>
      <c r="N3977" t="str">
        <f t="shared" si="251"/>
        <v>Dec</v>
      </c>
    </row>
    <row r="3978" spans="1:14" x14ac:dyDescent="0.3">
      <c r="A3978" s="2" t="s">
        <v>4044</v>
      </c>
      <c r="B3978" s="6">
        <v>46002</v>
      </c>
      <c r="C3978" s="2" t="s">
        <v>44</v>
      </c>
      <c r="D3978" s="2" t="s">
        <v>70</v>
      </c>
      <c r="E3978" s="2">
        <v>1</v>
      </c>
      <c r="F3978" s="7">
        <v>429</v>
      </c>
      <c r="G3978" s="8">
        <v>0.05</v>
      </c>
      <c r="H3978" s="9" t="str">
        <f>INDEX(Products!$B$2:$B$37, MATCH(D3978, Products!$A$2:$A$37, 0))</f>
        <v>Running Shoes Elite</v>
      </c>
      <c r="I3978" t="str">
        <f>INDEX(Products!$C$2:$C$37, MATCH(D3978, Products!$A$2:$A$37, 0))</f>
        <v>Fashion</v>
      </c>
      <c r="J3978">
        <f>INDEX(Products!$E$2:$E$37, MATCH(D3978, Products!$A$2:$A$37, 0))</f>
        <v>300</v>
      </c>
      <c r="K3978" s="9">
        <f t="shared" si="248"/>
        <v>407.54999999999995</v>
      </c>
      <c r="L3978">
        <f t="shared" si="249"/>
        <v>300</v>
      </c>
      <c r="M3978" s="9">
        <f t="shared" si="250"/>
        <v>107.54999999999995</v>
      </c>
      <c r="N3978" t="str">
        <f t="shared" si="251"/>
        <v>Dec</v>
      </c>
    </row>
    <row r="3979" spans="1:14" x14ac:dyDescent="0.3">
      <c r="A3979" s="2" t="s">
        <v>4045</v>
      </c>
      <c r="B3979" s="6">
        <v>46002</v>
      </c>
      <c r="C3979" s="2" t="s">
        <v>41</v>
      </c>
      <c r="D3979" s="2" t="s">
        <v>165</v>
      </c>
      <c r="E3979" s="2">
        <v>4</v>
      </c>
      <c r="F3979" s="7">
        <v>69</v>
      </c>
      <c r="G3979" s="8">
        <v>0.2</v>
      </c>
      <c r="H3979" s="9" t="str">
        <f>INDEX(Products!$B$2:$B$37, MATCH(D3979, Products!$A$2:$A$37, 0))</f>
        <v>Swim Goggles</v>
      </c>
      <c r="I3979" t="str">
        <f>INDEX(Products!$C$2:$C$37, MATCH(D3979, Products!$A$2:$A$37, 0))</f>
        <v>Sports</v>
      </c>
      <c r="J3979">
        <f>INDEX(Products!$E$2:$E$37, MATCH(D3979, Products!$A$2:$A$37, 0))</f>
        <v>25</v>
      </c>
      <c r="K3979" s="9">
        <f t="shared" si="248"/>
        <v>220.8</v>
      </c>
      <c r="L3979">
        <f t="shared" si="249"/>
        <v>100</v>
      </c>
      <c r="M3979" s="9">
        <f t="shared" si="250"/>
        <v>120.80000000000001</v>
      </c>
      <c r="N3979" t="str">
        <f t="shared" si="251"/>
        <v>Dec</v>
      </c>
    </row>
    <row r="3980" spans="1:14" x14ac:dyDescent="0.3">
      <c r="A3980" s="2" t="s">
        <v>4046</v>
      </c>
      <c r="B3980" s="6">
        <v>46002</v>
      </c>
      <c r="C3980" s="2" t="s">
        <v>31</v>
      </c>
      <c r="D3980" s="2" t="s">
        <v>56</v>
      </c>
      <c r="E3980" s="2">
        <v>4</v>
      </c>
      <c r="F3980" s="7">
        <v>289</v>
      </c>
      <c r="G3980" s="8">
        <v>0</v>
      </c>
      <c r="H3980" s="9" t="str">
        <f>INDEX(Products!$B$2:$B$37, MATCH(D3980, Products!$A$2:$A$37, 0))</f>
        <v>Ceramic Dinner Set</v>
      </c>
      <c r="I3980" t="str">
        <f>INDEX(Products!$C$2:$C$37, MATCH(D3980, Products!$A$2:$A$37, 0))</f>
        <v>Home &amp; Kitchen</v>
      </c>
      <c r="J3980">
        <f>INDEX(Products!$E$2:$E$37, MATCH(D3980, Products!$A$2:$A$37, 0))</f>
        <v>140</v>
      </c>
      <c r="K3980" s="9">
        <f t="shared" si="248"/>
        <v>1156</v>
      </c>
      <c r="L3980">
        <f t="shared" si="249"/>
        <v>560</v>
      </c>
      <c r="M3980" s="9">
        <f t="shared" si="250"/>
        <v>596</v>
      </c>
      <c r="N3980" t="str">
        <f t="shared" si="251"/>
        <v>Dec</v>
      </c>
    </row>
    <row r="3981" spans="1:14" x14ac:dyDescent="0.3">
      <c r="A3981" s="2" t="s">
        <v>4047</v>
      </c>
      <c r="B3981" s="6">
        <v>46002</v>
      </c>
      <c r="C3981" s="2" t="s">
        <v>44</v>
      </c>
      <c r="D3981" s="2" t="s">
        <v>35</v>
      </c>
      <c r="E3981" s="2">
        <v>1</v>
      </c>
      <c r="F3981" s="7">
        <v>179</v>
      </c>
      <c r="G3981" s="8">
        <v>0.1</v>
      </c>
      <c r="H3981" s="9" t="str">
        <f>INDEX(Products!$B$2:$B$37, MATCH(D3981, Products!$A$2:$A$37, 0))</f>
        <v>Men's Linen Shirt</v>
      </c>
      <c r="I3981" t="str">
        <f>INDEX(Products!$C$2:$C$37, MATCH(D3981, Products!$A$2:$A$37, 0))</f>
        <v>Fashion</v>
      </c>
      <c r="J3981">
        <f>INDEX(Products!$E$2:$E$37, MATCH(D3981, Products!$A$2:$A$37, 0))</f>
        <v>70</v>
      </c>
      <c r="K3981" s="9">
        <f t="shared" si="248"/>
        <v>161.1</v>
      </c>
      <c r="L3981">
        <f t="shared" si="249"/>
        <v>70</v>
      </c>
      <c r="M3981" s="9">
        <f t="shared" si="250"/>
        <v>91.1</v>
      </c>
      <c r="N3981" t="str">
        <f t="shared" si="251"/>
        <v>Dec</v>
      </c>
    </row>
    <row r="3982" spans="1:14" x14ac:dyDescent="0.3">
      <c r="A3982" s="2" t="s">
        <v>4048</v>
      </c>
      <c r="B3982" s="6">
        <v>46003</v>
      </c>
      <c r="C3982" s="2" t="s">
        <v>48</v>
      </c>
      <c r="D3982" s="2" t="s">
        <v>29</v>
      </c>
      <c r="E3982" s="2">
        <v>1</v>
      </c>
      <c r="F3982" s="7">
        <v>229</v>
      </c>
      <c r="G3982" s="8">
        <v>0.15</v>
      </c>
      <c r="H3982" s="9" t="str">
        <f>INDEX(Products!$B$2:$B$37, MATCH(D3982, Products!$A$2:$A$37, 0))</f>
        <v>Women's Summer Dress</v>
      </c>
      <c r="I3982" t="str">
        <f>INDEX(Products!$C$2:$C$37, MATCH(D3982, Products!$A$2:$A$37, 0))</f>
        <v>Fashion</v>
      </c>
      <c r="J3982">
        <f>INDEX(Products!$E$2:$E$37, MATCH(D3982, Products!$A$2:$A$37, 0))</f>
        <v>120</v>
      </c>
      <c r="K3982" s="9">
        <f t="shared" si="248"/>
        <v>194.65</v>
      </c>
      <c r="L3982">
        <f t="shared" si="249"/>
        <v>120</v>
      </c>
      <c r="M3982" s="9">
        <f t="shared" si="250"/>
        <v>74.650000000000006</v>
      </c>
      <c r="N3982" t="str">
        <f t="shared" si="251"/>
        <v>Dec</v>
      </c>
    </row>
    <row r="3983" spans="1:14" x14ac:dyDescent="0.3">
      <c r="A3983" s="2" t="s">
        <v>4049</v>
      </c>
      <c r="B3983" s="6">
        <v>46003</v>
      </c>
      <c r="C3983" s="2" t="s">
        <v>31</v>
      </c>
      <c r="D3983" s="2" t="s">
        <v>115</v>
      </c>
      <c r="E3983" s="2">
        <v>3</v>
      </c>
      <c r="F3983" s="7">
        <v>129</v>
      </c>
      <c r="G3983" s="8">
        <v>0.2</v>
      </c>
      <c r="H3983" s="9" t="str">
        <f>INDEX(Products!$B$2:$B$37, MATCH(D3983, Products!$A$2:$A$37, 0))</f>
        <v>Electric Kettle</v>
      </c>
      <c r="I3983" t="str">
        <f>INDEX(Products!$C$2:$C$37, MATCH(D3983, Products!$A$2:$A$37, 0))</f>
        <v>Home &amp; Kitchen</v>
      </c>
      <c r="J3983">
        <f>INDEX(Products!$E$2:$E$37, MATCH(D3983, Products!$A$2:$A$37, 0))</f>
        <v>60</v>
      </c>
      <c r="K3983" s="9">
        <f t="shared" si="248"/>
        <v>309.60000000000002</v>
      </c>
      <c r="L3983">
        <f t="shared" si="249"/>
        <v>180</v>
      </c>
      <c r="M3983" s="9">
        <f t="shared" si="250"/>
        <v>129.60000000000002</v>
      </c>
      <c r="N3983" t="str">
        <f t="shared" si="251"/>
        <v>Dec</v>
      </c>
    </row>
    <row r="3984" spans="1:14" x14ac:dyDescent="0.3">
      <c r="A3984" s="2" t="s">
        <v>4050</v>
      </c>
      <c r="B3984" s="6">
        <v>46003</v>
      </c>
      <c r="C3984" s="2" t="s">
        <v>31</v>
      </c>
      <c r="D3984" s="2" t="s">
        <v>103</v>
      </c>
      <c r="E3984" s="2">
        <v>2</v>
      </c>
      <c r="F3984" s="7">
        <v>89</v>
      </c>
      <c r="G3984" s="8">
        <v>0.2</v>
      </c>
      <c r="H3984" s="9" t="str">
        <f>INDEX(Products!$B$2:$B$37, MATCH(D3984, Products!$A$2:$A$37, 0))</f>
        <v>Sunscreen SPF50</v>
      </c>
      <c r="I3984" t="str">
        <f>INDEX(Products!$C$2:$C$37, MATCH(D3984, Products!$A$2:$A$37, 0))</f>
        <v>Beauty</v>
      </c>
      <c r="J3984">
        <f>INDEX(Products!$E$2:$E$37, MATCH(D3984, Products!$A$2:$A$37, 0))</f>
        <v>40</v>
      </c>
      <c r="K3984" s="9">
        <f t="shared" si="248"/>
        <v>142.4</v>
      </c>
      <c r="L3984">
        <f t="shared" si="249"/>
        <v>80</v>
      </c>
      <c r="M3984" s="9">
        <f t="shared" si="250"/>
        <v>62.400000000000006</v>
      </c>
      <c r="N3984" t="str">
        <f t="shared" si="251"/>
        <v>Dec</v>
      </c>
    </row>
    <row r="3985" spans="1:14" x14ac:dyDescent="0.3">
      <c r="A3985" s="2" t="s">
        <v>4051</v>
      </c>
      <c r="B3985" s="6">
        <v>46003</v>
      </c>
      <c r="C3985" s="2" t="s">
        <v>44</v>
      </c>
      <c r="D3985" s="2" t="s">
        <v>46</v>
      </c>
      <c r="E3985" s="2">
        <v>2</v>
      </c>
      <c r="F3985" s="7">
        <v>189</v>
      </c>
      <c r="G3985" s="8">
        <v>0.2</v>
      </c>
      <c r="H3985" s="9" t="str">
        <f>INDEX(Products!$B$2:$B$37, MATCH(D3985, Products!$A$2:$A$37, 0))</f>
        <v>Makeup Palette</v>
      </c>
      <c r="I3985" t="str">
        <f>INDEX(Products!$C$2:$C$37, MATCH(D3985, Products!$A$2:$A$37, 0))</f>
        <v>Beauty</v>
      </c>
      <c r="J3985">
        <f>INDEX(Products!$E$2:$E$37, MATCH(D3985, Products!$A$2:$A$37, 0))</f>
        <v>85</v>
      </c>
      <c r="K3985" s="9">
        <f t="shared" si="248"/>
        <v>302.40000000000003</v>
      </c>
      <c r="L3985">
        <f t="shared" si="249"/>
        <v>170</v>
      </c>
      <c r="M3985" s="9">
        <f t="shared" si="250"/>
        <v>132.40000000000003</v>
      </c>
      <c r="N3985" t="str">
        <f t="shared" si="251"/>
        <v>Dec</v>
      </c>
    </row>
    <row r="3986" spans="1:14" x14ac:dyDescent="0.3">
      <c r="A3986" s="2" t="s">
        <v>4052</v>
      </c>
      <c r="B3986" s="6">
        <v>46003</v>
      </c>
      <c r="C3986" s="2" t="s">
        <v>44</v>
      </c>
      <c r="D3986" s="2" t="s">
        <v>131</v>
      </c>
      <c r="E3986" s="2">
        <v>1</v>
      </c>
      <c r="F3986" s="7">
        <v>899</v>
      </c>
      <c r="G3986" s="8">
        <v>0.1</v>
      </c>
      <c r="H3986" s="9" t="str">
        <f>INDEX(Products!$B$2:$B$37, MATCH(D3986, Products!$A$2:$A$37, 0))</f>
        <v>4K Action Camera</v>
      </c>
      <c r="I3986" t="str">
        <f>INDEX(Products!$C$2:$C$37, MATCH(D3986, Products!$A$2:$A$37, 0))</f>
        <v>Electronics</v>
      </c>
      <c r="J3986">
        <f>INDEX(Products!$E$2:$E$37, MATCH(D3986, Products!$A$2:$A$37, 0))</f>
        <v>610</v>
      </c>
      <c r="K3986" s="9">
        <f t="shared" si="248"/>
        <v>809.1</v>
      </c>
      <c r="L3986">
        <f t="shared" si="249"/>
        <v>610</v>
      </c>
      <c r="M3986" s="9">
        <f t="shared" si="250"/>
        <v>199.10000000000002</v>
      </c>
      <c r="N3986" t="str">
        <f t="shared" si="251"/>
        <v>Dec</v>
      </c>
    </row>
    <row r="3987" spans="1:14" x14ac:dyDescent="0.3">
      <c r="A3987" s="2" t="s">
        <v>4053</v>
      </c>
      <c r="B3987" s="6">
        <v>46003</v>
      </c>
      <c r="C3987" s="2" t="s">
        <v>31</v>
      </c>
      <c r="D3987" s="2" t="s">
        <v>52</v>
      </c>
      <c r="E3987" s="2">
        <v>1</v>
      </c>
      <c r="F3987" s="7">
        <v>299</v>
      </c>
      <c r="G3987" s="8">
        <v>0.25</v>
      </c>
      <c r="H3987" s="9" t="str">
        <f>INDEX(Products!$B$2:$B$37, MATCH(D3987, Products!$A$2:$A$37, 0))</f>
        <v>Hair Dryer Ionic</v>
      </c>
      <c r="I3987" t="str">
        <f>INDEX(Products!$C$2:$C$37, MATCH(D3987, Products!$A$2:$A$37, 0))</f>
        <v>Beauty</v>
      </c>
      <c r="J3987">
        <f>INDEX(Products!$E$2:$E$37, MATCH(D3987, Products!$A$2:$A$37, 0))</f>
        <v>240</v>
      </c>
      <c r="K3987" s="9">
        <f t="shared" si="248"/>
        <v>224.25</v>
      </c>
      <c r="L3987">
        <f t="shared" si="249"/>
        <v>240</v>
      </c>
      <c r="M3987" s="9">
        <f t="shared" si="250"/>
        <v>-15.75</v>
      </c>
      <c r="N3987" t="str">
        <f t="shared" si="251"/>
        <v>Dec</v>
      </c>
    </row>
    <row r="3988" spans="1:14" x14ac:dyDescent="0.3">
      <c r="A3988" s="2" t="s">
        <v>4054</v>
      </c>
      <c r="B3988" s="6">
        <v>46003</v>
      </c>
      <c r="C3988" s="2" t="s">
        <v>44</v>
      </c>
      <c r="D3988" s="2" t="s">
        <v>58</v>
      </c>
      <c r="E3988" s="2">
        <v>1</v>
      </c>
      <c r="F3988" s="7">
        <v>459</v>
      </c>
      <c r="G3988" s="8">
        <v>0.2</v>
      </c>
      <c r="H3988" s="9" t="str">
        <f>INDEX(Products!$B$2:$B$37, MATCH(D3988, Products!$A$2:$A$37, 0))</f>
        <v>Women's Abaya Classic</v>
      </c>
      <c r="I3988" t="str">
        <f>INDEX(Products!$C$2:$C$37, MATCH(D3988, Products!$A$2:$A$37, 0))</f>
        <v>Fashion</v>
      </c>
      <c r="J3988">
        <f>INDEX(Products!$E$2:$E$37, MATCH(D3988, Products!$A$2:$A$37, 0))</f>
        <v>190</v>
      </c>
      <c r="K3988" s="9">
        <f t="shared" si="248"/>
        <v>367.20000000000005</v>
      </c>
      <c r="L3988">
        <f t="shared" si="249"/>
        <v>190</v>
      </c>
      <c r="M3988" s="9">
        <f t="shared" si="250"/>
        <v>177.20000000000005</v>
      </c>
      <c r="N3988" t="str">
        <f t="shared" si="251"/>
        <v>Dec</v>
      </c>
    </row>
    <row r="3989" spans="1:14" x14ac:dyDescent="0.3">
      <c r="A3989" s="2" t="s">
        <v>4055</v>
      </c>
      <c r="B3989" s="6">
        <v>46003</v>
      </c>
      <c r="C3989" s="2" t="s">
        <v>31</v>
      </c>
      <c r="D3989" s="2" t="s">
        <v>29</v>
      </c>
      <c r="E3989" s="2">
        <v>1</v>
      </c>
      <c r="F3989" s="7">
        <v>229</v>
      </c>
      <c r="G3989" s="8">
        <v>0.3</v>
      </c>
      <c r="H3989" s="9" t="str">
        <f>INDEX(Products!$B$2:$B$37, MATCH(D3989, Products!$A$2:$A$37, 0))</f>
        <v>Women's Summer Dress</v>
      </c>
      <c r="I3989" t="str">
        <f>INDEX(Products!$C$2:$C$37, MATCH(D3989, Products!$A$2:$A$37, 0))</f>
        <v>Fashion</v>
      </c>
      <c r="J3989">
        <f>INDEX(Products!$E$2:$E$37, MATCH(D3989, Products!$A$2:$A$37, 0))</f>
        <v>120</v>
      </c>
      <c r="K3989" s="9">
        <f t="shared" si="248"/>
        <v>160.29999999999998</v>
      </c>
      <c r="L3989">
        <f t="shared" si="249"/>
        <v>120</v>
      </c>
      <c r="M3989" s="9">
        <f t="shared" si="250"/>
        <v>40.299999999999983</v>
      </c>
      <c r="N3989" t="str">
        <f t="shared" si="251"/>
        <v>Dec</v>
      </c>
    </row>
    <row r="3990" spans="1:14" x14ac:dyDescent="0.3">
      <c r="A3990" s="2" t="s">
        <v>4056</v>
      </c>
      <c r="B3990" s="6">
        <v>46003</v>
      </c>
      <c r="C3990" s="2" t="s">
        <v>41</v>
      </c>
      <c r="D3990" s="2" t="s">
        <v>126</v>
      </c>
      <c r="E3990" s="2">
        <v>1</v>
      </c>
      <c r="F3990" s="7">
        <v>89</v>
      </c>
      <c r="G3990" s="8">
        <v>0.2</v>
      </c>
      <c r="H3990" s="9" t="str">
        <f>INDEX(Products!$B$2:$B$37, MATCH(D3990, Products!$A$2:$A$37, 0))</f>
        <v>USB-C Fast Charger</v>
      </c>
      <c r="I3990" t="str">
        <f>INDEX(Products!$C$2:$C$37, MATCH(D3990, Products!$A$2:$A$37, 0))</f>
        <v>Electronics</v>
      </c>
      <c r="J3990">
        <f>INDEX(Products!$E$2:$E$37, MATCH(D3990, Products!$A$2:$A$37, 0))</f>
        <v>35</v>
      </c>
      <c r="K3990" s="9">
        <f t="shared" si="248"/>
        <v>71.2</v>
      </c>
      <c r="L3990">
        <f t="shared" si="249"/>
        <v>35</v>
      </c>
      <c r="M3990" s="9">
        <f t="shared" si="250"/>
        <v>36.200000000000003</v>
      </c>
      <c r="N3990" t="str">
        <f t="shared" si="251"/>
        <v>Dec</v>
      </c>
    </row>
    <row r="3991" spans="1:14" x14ac:dyDescent="0.3">
      <c r="A3991" s="2" t="s">
        <v>4057</v>
      </c>
      <c r="B3991" s="6">
        <v>46003</v>
      </c>
      <c r="C3991" s="2" t="s">
        <v>41</v>
      </c>
      <c r="D3991" s="2" t="s">
        <v>56</v>
      </c>
      <c r="E3991" s="2">
        <v>1</v>
      </c>
      <c r="F3991" s="7">
        <v>289</v>
      </c>
      <c r="G3991" s="8">
        <v>0.2</v>
      </c>
      <c r="H3991" s="9" t="str">
        <f>INDEX(Products!$B$2:$B$37, MATCH(D3991, Products!$A$2:$A$37, 0))</f>
        <v>Ceramic Dinner Set</v>
      </c>
      <c r="I3991" t="str">
        <f>INDEX(Products!$C$2:$C$37, MATCH(D3991, Products!$A$2:$A$37, 0))</f>
        <v>Home &amp; Kitchen</v>
      </c>
      <c r="J3991">
        <f>INDEX(Products!$E$2:$E$37, MATCH(D3991, Products!$A$2:$A$37, 0))</f>
        <v>140</v>
      </c>
      <c r="K3991" s="9">
        <f t="shared" si="248"/>
        <v>231.20000000000002</v>
      </c>
      <c r="L3991">
        <f t="shared" si="249"/>
        <v>140</v>
      </c>
      <c r="M3991" s="9">
        <f t="shared" si="250"/>
        <v>91.200000000000017</v>
      </c>
      <c r="N3991" t="str">
        <f t="shared" si="251"/>
        <v>Dec</v>
      </c>
    </row>
    <row r="3992" spans="1:14" x14ac:dyDescent="0.3">
      <c r="A3992" s="2" t="s">
        <v>4058</v>
      </c>
      <c r="B3992" s="6">
        <v>46003</v>
      </c>
      <c r="C3992" s="2" t="s">
        <v>28</v>
      </c>
      <c r="D3992" s="2" t="s">
        <v>80</v>
      </c>
      <c r="E3992" s="2">
        <v>1</v>
      </c>
      <c r="F3992" s="7">
        <v>149</v>
      </c>
      <c r="G3992" s="8">
        <v>0.05</v>
      </c>
      <c r="H3992" s="9" t="str">
        <f>INDEX(Products!$B$2:$B$37, MATCH(D3992, Products!$A$2:$A$37, 0))</f>
        <v>Vitamin C Serum</v>
      </c>
      <c r="I3992" t="str">
        <f>INDEX(Products!$C$2:$C$37, MATCH(D3992, Products!$A$2:$A$37, 0))</f>
        <v>Beauty</v>
      </c>
      <c r="J3992">
        <f>INDEX(Products!$E$2:$E$37, MATCH(D3992, Products!$A$2:$A$37, 0))</f>
        <v>55</v>
      </c>
      <c r="K3992" s="9">
        <f t="shared" si="248"/>
        <v>141.54999999999998</v>
      </c>
      <c r="L3992">
        <f t="shared" si="249"/>
        <v>55</v>
      </c>
      <c r="M3992" s="9">
        <f t="shared" si="250"/>
        <v>86.549999999999983</v>
      </c>
      <c r="N3992" t="str">
        <f t="shared" si="251"/>
        <v>Dec</v>
      </c>
    </row>
    <row r="3993" spans="1:14" x14ac:dyDescent="0.3">
      <c r="A3993" s="2" t="s">
        <v>4059</v>
      </c>
      <c r="B3993" s="6">
        <v>46003</v>
      </c>
      <c r="C3993" s="2" t="s">
        <v>48</v>
      </c>
      <c r="D3993" s="2" t="s">
        <v>37</v>
      </c>
      <c r="E3993" s="2">
        <v>2</v>
      </c>
      <c r="F3993" s="7">
        <v>249</v>
      </c>
      <c r="G3993" s="8">
        <v>0.2</v>
      </c>
      <c r="H3993" s="9" t="str">
        <f>INDEX(Products!$B$2:$B$37, MATCH(D3993, Products!$A$2:$A$37, 0))</f>
        <v>Sunglasses Polarised</v>
      </c>
      <c r="I3993" t="str">
        <f>INDEX(Products!$C$2:$C$37, MATCH(D3993, Products!$A$2:$A$37, 0))</f>
        <v>Fashion</v>
      </c>
      <c r="J3993">
        <f>INDEX(Products!$E$2:$E$37, MATCH(D3993, Products!$A$2:$A$37, 0))</f>
        <v>95</v>
      </c>
      <c r="K3993" s="9">
        <f t="shared" si="248"/>
        <v>398.40000000000003</v>
      </c>
      <c r="L3993">
        <f t="shared" si="249"/>
        <v>190</v>
      </c>
      <c r="M3993" s="9">
        <f t="shared" si="250"/>
        <v>208.40000000000003</v>
      </c>
      <c r="N3993" t="str">
        <f t="shared" si="251"/>
        <v>Dec</v>
      </c>
    </row>
    <row r="3994" spans="1:14" x14ac:dyDescent="0.3">
      <c r="A3994" s="2" t="s">
        <v>4060</v>
      </c>
      <c r="B3994" s="6">
        <v>46004</v>
      </c>
      <c r="C3994" s="2" t="s">
        <v>44</v>
      </c>
      <c r="D3994" s="2" t="s">
        <v>37</v>
      </c>
      <c r="E3994" s="2">
        <v>1</v>
      </c>
      <c r="F3994" s="7">
        <v>249</v>
      </c>
      <c r="G3994" s="8">
        <v>0</v>
      </c>
      <c r="H3994" s="9" t="str">
        <f>INDEX(Products!$B$2:$B$37, MATCH(D3994, Products!$A$2:$A$37, 0))</f>
        <v>Sunglasses Polarised</v>
      </c>
      <c r="I3994" t="str">
        <f>INDEX(Products!$C$2:$C$37, MATCH(D3994, Products!$A$2:$A$37, 0))</f>
        <v>Fashion</v>
      </c>
      <c r="J3994">
        <f>INDEX(Products!$E$2:$E$37, MATCH(D3994, Products!$A$2:$A$37, 0))</f>
        <v>95</v>
      </c>
      <c r="K3994" s="9">
        <f t="shared" si="248"/>
        <v>249</v>
      </c>
      <c r="L3994">
        <f t="shared" si="249"/>
        <v>95</v>
      </c>
      <c r="M3994" s="9">
        <f t="shared" si="250"/>
        <v>154</v>
      </c>
      <c r="N3994" t="str">
        <f t="shared" si="251"/>
        <v>Dec</v>
      </c>
    </row>
    <row r="3995" spans="1:14" x14ac:dyDescent="0.3">
      <c r="A3995" s="2" t="s">
        <v>4061</v>
      </c>
      <c r="B3995" s="6">
        <v>46004</v>
      </c>
      <c r="C3995" s="2" t="s">
        <v>28</v>
      </c>
      <c r="D3995" s="2" t="s">
        <v>58</v>
      </c>
      <c r="E3995" s="2">
        <v>2</v>
      </c>
      <c r="F3995" s="7">
        <v>459</v>
      </c>
      <c r="G3995" s="8">
        <v>0.05</v>
      </c>
      <c r="H3995" s="9" t="str">
        <f>INDEX(Products!$B$2:$B$37, MATCH(D3995, Products!$A$2:$A$37, 0))</f>
        <v>Women's Abaya Classic</v>
      </c>
      <c r="I3995" t="str">
        <f>INDEX(Products!$C$2:$C$37, MATCH(D3995, Products!$A$2:$A$37, 0))</f>
        <v>Fashion</v>
      </c>
      <c r="J3995">
        <f>INDEX(Products!$E$2:$E$37, MATCH(D3995, Products!$A$2:$A$37, 0))</f>
        <v>190</v>
      </c>
      <c r="K3995" s="9">
        <f t="shared" si="248"/>
        <v>872.09999999999991</v>
      </c>
      <c r="L3995">
        <f t="shared" si="249"/>
        <v>380</v>
      </c>
      <c r="M3995" s="9">
        <f t="shared" si="250"/>
        <v>492.09999999999991</v>
      </c>
      <c r="N3995" t="str">
        <f t="shared" si="251"/>
        <v>Dec</v>
      </c>
    </row>
    <row r="3996" spans="1:14" x14ac:dyDescent="0.3">
      <c r="A3996" s="2" t="s">
        <v>4062</v>
      </c>
      <c r="B3996" s="6">
        <v>46004</v>
      </c>
      <c r="C3996" s="2" t="s">
        <v>41</v>
      </c>
      <c r="D3996" s="2" t="s">
        <v>49</v>
      </c>
      <c r="E3996" s="2">
        <v>2</v>
      </c>
      <c r="F3996" s="7">
        <v>149</v>
      </c>
      <c r="G3996" s="8">
        <v>0.15</v>
      </c>
      <c r="H3996" s="9" t="str">
        <f>INDEX(Products!$B$2:$B$37, MATCH(D3996, Products!$A$2:$A$37, 0))</f>
        <v>Kids' Sneakers</v>
      </c>
      <c r="I3996" t="str">
        <f>INDEX(Products!$C$2:$C$37, MATCH(D3996, Products!$A$2:$A$37, 0))</f>
        <v>Fashion</v>
      </c>
      <c r="J3996">
        <f>INDEX(Products!$E$2:$E$37, MATCH(D3996, Products!$A$2:$A$37, 0))</f>
        <v>80</v>
      </c>
      <c r="K3996" s="9">
        <f t="shared" si="248"/>
        <v>253.29999999999998</v>
      </c>
      <c r="L3996">
        <f t="shared" si="249"/>
        <v>160</v>
      </c>
      <c r="M3996" s="9">
        <f t="shared" si="250"/>
        <v>93.299999999999983</v>
      </c>
      <c r="N3996" t="str">
        <f t="shared" si="251"/>
        <v>Dec</v>
      </c>
    </row>
    <row r="3997" spans="1:14" x14ac:dyDescent="0.3">
      <c r="A3997" s="2" t="s">
        <v>4063</v>
      </c>
      <c r="B3997" s="6">
        <v>46004</v>
      </c>
      <c r="C3997" s="2" t="s">
        <v>31</v>
      </c>
      <c r="D3997" s="2" t="s">
        <v>78</v>
      </c>
      <c r="E3997" s="2">
        <v>1</v>
      </c>
      <c r="F3997" s="7">
        <v>499</v>
      </c>
      <c r="G3997" s="8">
        <v>0.2</v>
      </c>
      <c r="H3997" s="9" t="str">
        <f>INDEX(Products!$B$2:$B$37, MATCH(D3997, Products!$A$2:$A$37, 0))</f>
        <v>Air Fryer 5L</v>
      </c>
      <c r="I3997" t="str">
        <f>INDEX(Products!$C$2:$C$37, MATCH(D3997, Products!$A$2:$A$37, 0))</f>
        <v>Home &amp; Kitchen</v>
      </c>
      <c r="J3997">
        <f>INDEX(Products!$E$2:$E$37, MATCH(D3997, Products!$A$2:$A$37, 0))</f>
        <v>290</v>
      </c>
      <c r="K3997" s="9">
        <f t="shared" si="248"/>
        <v>399.20000000000005</v>
      </c>
      <c r="L3997">
        <f t="shared" si="249"/>
        <v>290</v>
      </c>
      <c r="M3997" s="9">
        <f t="shared" si="250"/>
        <v>109.20000000000005</v>
      </c>
      <c r="N3997" t="str">
        <f t="shared" si="251"/>
        <v>Dec</v>
      </c>
    </row>
    <row r="3998" spans="1:14" x14ac:dyDescent="0.3">
      <c r="A3998" s="2" t="s">
        <v>4064</v>
      </c>
      <c r="B3998" s="6">
        <v>46004</v>
      </c>
      <c r="C3998" s="2" t="s">
        <v>41</v>
      </c>
      <c r="D3998" s="2" t="s">
        <v>87</v>
      </c>
      <c r="E3998" s="2">
        <v>3</v>
      </c>
      <c r="F3998" s="7">
        <v>799</v>
      </c>
      <c r="G3998" s="8">
        <v>0.15</v>
      </c>
      <c r="H3998" s="9" t="str">
        <f>INDEX(Products!$B$2:$B$37, MATCH(D3998, Products!$A$2:$A$37, 0))</f>
        <v>Adjustable Dumbbells</v>
      </c>
      <c r="I3998" t="str">
        <f>INDEX(Products!$C$2:$C$37, MATCH(D3998, Products!$A$2:$A$37, 0))</f>
        <v>Sports</v>
      </c>
      <c r="J3998">
        <f>INDEX(Products!$E$2:$E$37, MATCH(D3998, Products!$A$2:$A$37, 0))</f>
        <v>700</v>
      </c>
      <c r="K3998" s="9">
        <f t="shared" si="248"/>
        <v>2037.45</v>
      </c>
      <c r="L3998">
        <f t="shared" si="249"/>
        <v>2100</v>
      </c>
      <c r="M3998" s="9">
        <f t="shared" si="250"/>
        <v>-62.549999999999955</v>
      </c>
      <c r="N3998" t="str">
        <f t="shared" si="251"/>
        <v>Dec</v>
      </c>
    </row>
    <row r="3999" spans="1:14" x14ac:dyDescent="0.3">
      <c r="A3999" s="2" t="s">
        <v>4065</v>
      </c>
      <c r="B3999" s="6">
        <v>46004</v>
      </c>
      <c r="C3999" s="2" t="s">
        <v>41</v>
      </c>
      <c r="D3999" s="2" t="s">
        <v>70</v>
      </c>
      <c r="E3999" s="2">
        <v>1</v>
      </c>
      <c r="F3999" s="7">
        <v>429</v>
      </c>
      <c r="G3999" s="8">
        <v>0.3</v>
      </c>
      <c r="H3999" s="9" t="str">
        <f>INDEX(Products!$B$2:$B$37, MATCH(D3999, Products!$A$2:$A$37, 0))</f>
        <v>Running Shoes Elite</v>
      </c>
      <c r="I3999" t="str">
        <f>INDEX(Products!$C$2:$C$37, MATCH(D3999, Products!$A$2:$A$37, 0))</f>
        <v>Fashion</v>
      </c>
      <c r="J3999">
        <f>INDEX(Products!$E$2:$E$37, MATCH(D3999, Products!$A$2:$A$37, 0))</f>
        <v>300</v>
      </c>
      <c r="K3999" s="9">
        <f t="shared" si="248"/>
        <v>300.29999999999995</v>
      </c>
      <c r="L3999">
        <f t="shared" si="249"/>
        <v>300</v>
      </c>
      <c r="M3999" s="9">
        <f t="shared" si="250"/>
        <v>0.29999999999995453</v>
      </c>
      <c r="N3999" t="str">
        <f t="shared" si="251"/>
        <v>Dec</v>
      </c>
    </row>
    <row r="4000" spans="1:14" x14ac:dyDescent="0.3">
      <c r="A4000" s="2" t="s">
        <v>4066</v>
      </c>
      <c r="B4000" s="6">
        <v>46004</v>
      </c>
      <c r="C4000" s="2" t="s">
        <v>48</v>
      </c>
      <c r="D4000" s="2" t="s">
        <v>39</v>
      </c>
      <c r="E4000" s="2">
        <v>1</v>
      </c>
      <c r="F4000" s="7">
        <v>199</v>
      </c>
      <c r="G4000" s="8">
        <v>0.05</v>
      </c>
      <c r="H4000" s="9" t="str">
        <f>INDEX(Products!$B$2:$B$37, MATCH(D4000, Products!$A$2:$A$37, 0))</f>
        <v>Bakhoor Gift Set</v>
      </c>
      <c r="I4000" t="str">
        <f>INDEX(Products!$C$2:$C$37, MATCH(D4000, Products!$A$2:$A$37, 0))</f>
        <v>Beauty</v>
      </c>
      <c r="J4000">
        <f>INDEX(Products!$E$2:$E$37, MATCH(D4000, Products!$A$2:$A$37, 0))</f>
        <v>90</v>
      </c>
      <c r="K4000" s="9">
        <f t="shared" si="248"/>
        <v>189.04999999999998</v>
      </c>
      <c r="L4000">
        <f t="shared" si="249"/>
        <v>90</v>
      </c>
      <c r="M4000" s="9">
        <f t="shared" si="250"/>
        <v>99.049999999999983</v>
      </c>
      <c r="N4000" t="str">
        <f t="shared" si="251"/>
        <v>Dec</v>
      </c>
    </row>
    <row r="4001" spans="1:14" x14ac:dyDescent="0.3">
      <c r="A4001" s="2" t="s">
        <v>4067</v>
      </c>
      <c r="B4001" s="6">
        <v>46004</v>
      </c>
      <c r="C4001" s="2" t="s">
        <v>41</v>
      </c>
      <c r="D4001" s="2" t="s">
        <v>70</v>
      </c>
      <c r="E4001" s="2">
        <v>1</v>
      </c>
      <c r="F4001" s="7">
        <v>429</v>
      </c>
      <c r="G4001" s="8">
        <v>0</v>
      </c>
      <c r="H4001" s="9" t="str">
        <f>INDEX(Products!$B$2:$B$37, MATCH(D4001, Products!$A$2:$A$37, 0))</f>
        <v>Running Shoes Elite</v>
      </c>
      <c r="I4001" t="str">
        <f>INDEX(Products!$C$2:$C$37, MATCH(D4001, Products!$A$2:$A$37, 0))</f>
        <v>Fashion</v>
      </c>
      <c r="J4001">
        <f>INDEX(Products!$E$2:$E$37, MATCH(D4001, Products!$A$2:$A$37, 0))</f>
        <v>300</v>
      </c>
      <c r="K4001" s="9">
        <f t="shared" si="248"/>
        <v>429</v>
      </c>
      <c r="L4001">
        <f t="shared" si="249"/>
        <v>300</v>
      </c>
      <c r="M4001" s="9">
        <f t="shared" si="250"/>
        <v>129</v>
      </c>
      <c r="N4001" t="str">
        <f t="shared" si="251"/>
        <v>Dec</v>
      </c>
    </row>
    <row r="4002" spans="1:14" x14ac:dyDescent="0.3">
      <c r="A4002" s="2" t="s">
        <v>4068</v>
      </c>
      <c r="B4002" s="6">
        <v>46004</v>
      </c>
      <c r="C4002" s="2" t="s">
        <v>44</v>
      </c>
      <c r="D4002" s="2" t="s">
        <v>49</v>
      </c>
      <c r="E4002" s="2">
        <v>2</v>
      </c>
      <c r="F4002" s="7">
        <v>149</v>
      </c>
      <c r="G4002" s="8">
        <v>0.2</v>
      </c>
      <c r="H4002" s="9" t="str">
        <f>INDEX(Products!$B$2:$B$37, MATCH(D4002, Products!$A$2:$A$37, 0))</f>
        <v>Kids' Sneakers</v>
      </c>
      <c r="I4002" t="str">
        <f>INDEX(Products!$C$2:$C$37, MATCH(D4002, Products!$A$2:$A$37, 0))</f>
        <v>Fashion</v>
      </c>
      <c r="J4002">
        <f>INDEX(Products!$E$2:$E$37, MATCH(D4002, Products!$A$2:$A$37, 0))</f>
        <v>80</v>
      </c>
      <c r="K4002" s="9">
        <f t="shared" si="248"/>
        <v>238.4</v>
      </c>
      <c r="L4002">
        <f t="shared" si="249"/>
        <v>160</v>
      </c>
      <c r="M4002" s="9">
        <f t="shared" si="250"/>
        <v>78.400000000000006</v>
      </c>
      <c r="N4002" t="str">
        <f t="shared" si="251"/>
        <v>Dec</v>
      </c>
    </row>
    <row r="4003" spans="1:14" x14ac:dyDescent="0.3">
      <c r="A4003" s="2" t="s">
        <v>4069</v>
      </c>
      <c r="B4003" s="6">
        <v>46004</v>
      </c>
      <c r="C4003" s="2" t="s">
        <v>44</v>
      </c>
      <c r="D4003" s="2" t="s">
        <v>49</v>
      </c>
      <c r="E4003" s="2">
        <v>1</v>
      </c>
      <c r="F4003" s="7">
        <v>149</v>
      </c>
      <c r="G4003" s="8">
        <v>0</v>
      </c>
      <c r="H4003" s="9" t="str">
        <f>INDEX(Products!$B$2:$B$37, MATCH(D4003, Products!$A$2:$A$37, 0))</f>
        <v>Kids' Sneakers</v>
      </c>
      <c r="I4003" t="str">
        <f>INDEX(Products!$C$2:$C$37, MATCH(D4003, Products!$A$2:$A$37, 0))</f>
        <v>Fashion</v>
      </c>
      <c r="J4003">
        <f>INDEX(Products!$E$2:$E$37, MATCH(D4003, Products!$A$2:$A$37, 0))</f>
        <v>80</v>
      </c>
      <c r="K4003" s="9">
        <f t="shared" si="248"/>
        <v>149</v>
      </c>
      <c r="L4003">
        <f t="shared" si="249"/>
        <v>80</v>
      </c>
      <c r="M4003" s="9">
        <f t="shared" si="250"/>
        <v>69</v>
      </c>
      <c r="N4003" t="str">
        <f t="shared" si="251"/>
        <v>Dec</v>
      </c>
    </row>
    <row r="4004" spans="1:14" x14ac:dyDescent="0.3">
      <c r="A4004" s="2" t="s">
        <v>4070</v>
      </c>
      <c r="B4004" s="6">
        <v>46004</v>
      </c>
      <c r="C4004" s="2" t="s">
        <v>28</v>
      </c>
      <c r="D4004" s="2" t="s">
        <v>83</v>
      </c>
      <c r="E4004" s="2">
        <v>1</v>
      </c>
      <c r="F4004" s="7">
        <v>229</v>
      </c>
      <c r="G4004" s="8">
        <v>0</v>
      </c>
      <c r="H4004" s="9" t="str">
        <f>INDEX(Products!$B$2:$B$37, MATCH(D4004, Products!$A$2:$A$37, 0))</f>
        <v>Cycling Helmet</v>
      </c>
      <c r="I4004" t="str">
        <f>INDEX(Products!$C$2:$C$37, MATCH(D4004, Products!$A$2:$A$37, 0))</f>
        <v>Sports</v>
      </c>
      <c r="J4004">
        <f>INDEX(Products!$E$2:$E$37, MATCH(D4004, Products!$A$2:$A$37, 0))</f>
        <v>120</v>
      </c>
      <c r="K4004" s="9">
        <f t="shared" si="248"/>
        <v>229</v>
      </c>
      <c r="L4004">
        <f t="shared" si="249"/>
        <v>120</v>
      </c>
      <c r="M4004" s="9">
        <f t="shared" si="250"/>
        <v>109</v>
      </c>
      <c r="N4004" t="str">
        <f t="shared" si="251"/>
        <v>Dec</v>
      </c>
    </row>
    <row r="4005" spans="1:14" x14ac:dyDescent="0.3">
      <c r="A4005" s="2" t="s">
        <v>4071</v>
      </c>
      <c r="B4005" s="6">
        <v>46004</v>
      </c>
      <c r="C4005" s="2" t="s">
        <v>31</v>
      </c>
      <c r="D4005" s="2" t="s">
        <v>35</v>
      </c>
      <c r="E4005" s="2">
        <v>2</v>
      </c>
      <c r="F4005" s="7">
        <v>179</v>
      </c>
      <c r="G4005" s="8">
        <v>0</v>
      </c>
      <c r="H4005" s="9" t="str">
        <f>INDEX(Products!$B$2:$B$37, MATCH(D4005, Products!$A$2:$A$37, 0))</f>
        <v>Men's Linen Shirt</v>
      </c>
      <c r="I4005" t="str">
        <f>INDEX(Products!$C$2:$C$37, MATCH(D4005, Products!$A$2:$A$37, 0))</f>
        <v>Fashion</v>
      </c>
      <c r="J4005">
        <f>INDEX(Products!$E$2:$E$37, MATCH(D4005, Products!$A$2:$A$37, 0))</f>
        <v>70</v>
      </c>
      <c r="K4005" s="9">
        <f t="shared" si="248"/>
        <v>358</v>
      </c>
      <c r="L4005">
        <f t="shared" si="249"/>
        <v>140</v>
      </c>
      <c r="M4005" s="9">
        <f t="shared" si="250"/>
        <v>218</v>
      </c>
      <c r="N4005" t="str">
        <f t="shared" si="251"/>
        <v>Dec</v>
      </c>
    </row>
    <row r="4006" spans="1:14" x14ac:dyDescent="0.3">
      <c r="A4006" s="2" t="s">
        <v>4072</v>
      </c>
      <c r="B4006" s="6">
        <v>46004</v>
      </c>
      <c r="C4006" s="2" t="s">
        <v>48</v>
      </c>
      <c r="D4006" s="2" t="s">
        <v>115</v>
      </c>
      <c r="E4006" s="2">
        <v>2</v>
      </c>
      <c r="F4006" s="7">
        <v>129</v>
      </c>
      <c r="G4006" s="8">
        <v>0.2</v>
      </c>
      <c r="H4006" s="9" t="str">
        <f>INDEX(Products!$B$2:$B$37, MATCH(D4006, Products!$A$2:$A$37, 0))</f>
        <v>Electric Kettle</v>
      </c>
      <c r="I4006" t="str">
        <f>INDEX(Products!$C$2:$C$37, MATCH(D4006, Products!$A$2:$A$37, 0))</f>
        <v>Home &amp; Kitchen</v>
      </c>
      <c r="J4006">
        <f>INDEX(Products!$E$2:$E$37, MATCH(D4006, Products!$A$2:$A$37, 0))</f>
        <v>60</v>
      </c>
      <c r="K4006" s="9">
        <f t="shared" si="248"/>
        <v>206.4</v>
      </c>
      <c r="L4006">
        <f t="shared" si="249"/>
        <v>120</v>
      </c>
      <c r="M4006" s="9">
        <f t="shared" si="250"/>
        <v>86.4</v>
      </c>
      <c r="N4006" t="str">
        <f t="shared" si="251"/>
        <v>Dec</v>
      </c>
    </row>
    <row r="4007" spans="1:14" x14ac:dyDescent="0.3">
      <c r="A4007" s="2" t="s">
        <v>4073</v>
      </c>
      <c r="B4007" s="6">
        <v>46005</v>
      </c>
      <c r="C4007" s="2" t="s">
        <v>41</v>
      </c>
      <c r="D4007" s="2" t="s">
        <v>37</v>
      </c>
      <c r="E4007" s="2">
        <v>2</v>
      </c>
      <c r="F4007" s="7">
        <v>249</v>
      </c>
      <c r="G4007" s="8">
        <v>0.2</v>
      </c>
      <c r="H4007" s="9" t="str">
        <f>INDEX(Products!$B$2:$B$37, MATCH(D4007, Products!$A$2:$A$37, 0))</f>
        <v>Sunglasses Polarised</v>
      </c>
      <c r="I4007" t="str">
        <f>INDEX(Products!$C$2:$C$37, MATCH(D4007, Products!$A$2:$A$37, 0))</f>
        <v>Fashion</v>
      </c>
      <c r="J4007">
        <f>INDEX(Products!$E$2:$E$37, MATCH(D4007, Products!$A$2:$A$37, 0))</f>
        <v>95</v>
      </c>
      <c r="K4007" s="9">
        <f t="shared" si="248"/>
        <v>398.40000000000003</v>
      </c>
      <c r="L4007">
        <f t="shared" si="249"/>
        <v>190</v>
      </c>
      <c r="M4007" s="9">
        <f t="shared" si="250"/>
        <v>208.40000000000003</v>
      </c>
      <c r="N4007" t="str">
        <f t="shared" si="251"/>
        <v>Dec</v>
      </c>
    </row>
    <row r="4008" spans="1:14" x14ac:dyDescent="0.3">
      <c r="A4008" s="2" t="s">
        <v>4074</v>
      </c>
      <c r="B4008" s="6">
        <v>46005</v>
      </c>
      <c r="C4008" s="2" t="s">
        <v>28</v>
      </c>
      <c r="D4008" s="2" t="s">
        <v>131</v>
      </c>
      <c r="E4008" s="2">
        <v>1</v>
      </c>
      <c r="F4008" s="7">
        <v>899</v>
      </c>
      <c r="G4008" s="8">
        <v>0.2</v>
      </c>
      <c r="H4008" s="9" t="str">
        <f>INDEX(Products!$B$2:$B$37, MATCH(D4008, Products!$A$2:$A$37, 0))</f>
        <v>4K Action Camera</v>
      </c>
      <c r="I4008" t="str">
        <f>INDEX(Products!$C$2:$C$37, MATCH(D4008, Products!$A$2:$A$37, 0))</f>
        <v>Electronics</v>
      </c>
      <c r="J4008">
        <f>INDEX(Products!$E$2:$E$37, MATCH(D4008, Products!$A$2:$A$37, 0))</f>
        <v>610</v>
      </c>
      <c r="K4008" s="9">
        <f t="shared" si="248"/>
        <v>719.2</v>
      </c>
      <c r="L4008">
        <f t="shared" si="249"/>
        <v>610</v>
      </c>
      <c r="M4008" s="9">
        <f t="shared" si="250"/>
        <v>109.20000000000005</v>
      </c>
      <c r="N4008" t="str">
        <f t="shared" si="251"/>
        <v>Dec</v>
      </c>
    </row>
    <row r="4009" spans="1:14" x14ac:dyDescent="0.3">
      <c r="A4009" s="2" t="s">
        <v>4075</v>
      </c>
      <c r="B4009" s="6">
        <v>46005</v>
      </c>
      <c r="C4009" s="2" t="s">
        <v>44</v>
      </c>
      <c r="D4009" s="2" t="s">
        <v>194</v>
      </c>
      <c r="E4009" s="2">
        <v>1</v>
      </c>
      <c r="F4009" s="7">
        <v>699</v>
      </c>
      <c r="G4009" s="8">
        <v>0</v>
      </c>
      <c r="H4009" s="9" t="str">
        <f>INDEX(Products!$B$2:$B$37, MATCH(D4009, Products!$A$2:$A$37, 0))</f>
        <v>Leather Handbag</v>
      </c>
      <c r="I4009" t="str">
        <f>INDEX(Products!$C$2:$C$37, MATCH(D4009, Products!$A$2:$A$37, 0))</f>
        <v>Fashion</v>
      </c>
      <c r="J4009">
        <f>INDEX(Products!$E$2:$E$37, MATCH(D4009, Products!$A$2:$A$37, 0))</f>
        <v>380</v>
      </c>
      <c r="K4009" s="9">
        <f t="shared" si="248"/>
        <v>699</v>
      </c>
      <c r="L4009">
        <f t="shared" si="249"/>
        <v>380</v>
      </c>
      <c r="M4009" s="9">
        <f t="shared" si="250"/>
        <v>319</v>
      </c>
      <c r="N4009" t="str">
        <f t="shared" si="251"/>
        <v>Dec</v>
      </c>
    </row>
    <row r="4010" spans="1:14" x14ac:dyDescent="0.3">
      <c r="A4010" s="2" t="s">
        <v>4076</v>
      </c>
      <c r="B4010" s="6">
        <v>46005</v>
      </c>
      <c r="C4010" s="2" t="s">
        <v>31</v>
      </c>
      <c r="D4010" s="2" t="s">
        <v>129</v>
      </c>
      <c r="E4010" s="2">
        <v>1</v>
      </c>
      <c r="F4010" s="7">
        <v>149</v>
      </c>
      <c r="G4010" s="8">
        <v>0.15</v>
      </c>
      <c r="H4010" s="9" t="str">
        <f>INDEX(Products!$B$2:$B$37, MATCH(D4010, Products!$A$2:$A$37, 0))</f>
        <v>Power Bank 20000mAh</v>
      </c>
      <c r="I4010" t="str">
        <f>INDEX(Products!$C$2:$C$37, MATCH(D4010, Products!$A$2:$A$37, 0))</f>
        <v>Electronics</v>
      </c>
      <c r="J4010">
        <f>INDEX(Products!$E$2:$E$37, MATCH(D4010, Products!$A$2:$A$37, 0))</f>
        <v>70</v>
      </c>
      <c r="K4010" s="9">
        <f t="shared" si="248"/>
        <v>126.64999999999999</v>
      </c>
      <c r="L4010">
        <f t="shared" si="249"/>
        <v>70</v>
      </c>
      <c r="M4010" s="9">
        <f t="shared" si="250"/>
        <v>56.649999999999991</v>
      </c>
      <c r="N4010" t="str">
        <f t="shared" si="251"/>
        <v>Dec</v>
      </c>
    </row>
    <row r="4011" spans="1:14" x14ac:dyDescent="0.3">
      <c r="A4011" s="2" t="s">
        <v>4077</v>
      </c>
      <c r="B4011" s="6">
        <v>46005</v>
      </c>
      <c r="C4011" s="2" t="s">
        <v>31</v>
      </c>
      <c r="D4011" s="2" t="s">
        <v>78</v>
      </c>
      <c r="E4011" s="2">
        <v>2</v>
      </c>
      <c r="F4011" s="7">
        <v>499</v>
      </c>
      <c r="G4011" s="8">
        <v>0.2</v>
      </c>
      <c r="H4011" s="9" t="str">
        <f>INDEX(Products!$B$2:$B$37, MATCH(D4011, Products!$A$2:$A$37, 0))</f>
        <v>Air Fryer 5L</v>
      </c>
      <c r="I4011" t="str">
        <f>INDEX(Products!$C$2:$C$37, MATCH(D4011, Products!$A$2:$A$37, 0))</f>
        <v>Home &amp; Kitchen</v>
      </c>
      <c r="J4011">
        <f>INDEX(Products!$E$2:$E$37, MATCH(D4011, Products!$A$2:$A$37, 0))</f>
        <v>290</v>
      </c>
      <c r="K4011" s="9">
        <f t="shared" si="248"/>
        <v>798.40000000000009</v>
      </c>
      <c r="L4011">
        <f t="shared" si="249"/>
        <v>580</v>
      </c>
      <c r="M4011" s="9">
        <f t="shared" si="250"/>
        <v>218.40000000000009</v>
      </c>
      <c r="N4011" t="str">
        <f t="shared" si="251"/>
        <v>Dec</v>
      </c>
    </row>
    <row r="4012" spans="1:14" x14ac:dyDescent="0.3">
      <c r="A4012" s="2" t="s">
        <v>4078</v>
      </c>
      <c r="B4012" s="6">
        <v>46005</v>
      </c>
      <c r="C4012" s="2" t="s">
        <v>44</v>
      </c>
      <c r="D4012" s="2" t="s">
        <v>99</v>
      </c>
      <c r="E4012" s="2">
        <v>1</v>
      </c>
      <c r="F4012" s="7">
        <v>459</v>
      </c>
      <c r="G4012" s="8">
        <v>0</v>
      </c>
      <c r="H4012" s="9" t="str">
        <f>INDEX(Products!$B$2:$B$37, MATCH(D4012, Products!$A$2:$A$37, 0))</f>
        <v>Gaming Headset X</v>
      </c>
      <c r="I4012" t="str">
        <f>INDEX(Products!$C$2:$C$37, MATCH(D4012, Products!$A$2:$A$37, 0))</f>
        <v>Electronics</v>
      </c>
      <c r="J4012">
        <f>INDEX(Products!$E$2:$E$37, MATCH(D4012, Products!$A$2:$A$37, 0))</f>
        <v>300</v>
      </c>
      <c r="K4012" s="9">
        <f t="shared" si="248"/>
        <v>459</v>
      </c>
      <c r="L4012">
        <f t="shared" si="249"/>
        <v>300</v>
      </c>
      <c r="M4012" s="9">
        <f t="shared" si="250"/>
        <v>159</v>
      </c>
      <c r="N4012" t="str">
        <f t="shared" si="251"/>
        <v>Dec</v>
      </c>
    </row>
    <row r="4013" spans="1:14" x14ac:dyDescent="0.3">
      <c r="A4013" s="2" t="s">
        <v>4079</v>
      </c>
      <c r="B4013" s="6">
        <v>46005</v>
      </c>
      <c r="C4013" s="2" t="s">
        <v>28</v>
      </c>
      <c r="D4013" s="2" t="s">
        <v>92</v>
      </c>
      <c r="E4013" s="2">
        <v>2</v>
      </c>
      <c r="F4013" s="7">
        <v>349</v>
      </c>
      <c r="G4013" s="8">
        <v>0</v>
      </c>
      <c r="H4013" s="9" t="str">
        <f>INDEX(Products!$B$2:$B$37, MATCH(D4013, Products!$A$2:$A$37, 0))</f>
        <v>Non-stick Cookware Set</v>
      </c>
      <c r="I4013" t="str">
        <f>INDEX(Products!$C$2:$C$37, MATCH(D4013, Products!$A$2:$A$37, 0))</f>
        <v>Home &amp; Kitchen</v>
      </c>
      <c r="J4013">
        <f>INDEX(Products!$E$2:$E$37, MATCH(D4013, Products!$A$2:$A$37, 0))</f>
        <v>170</v>
      </c>
      <c r="K4013" s="9">
        <f t="shared" si="248"/>
        <v>698</v>
      </c>
      <c r="L4013">
        <f t="shared" si="249"/>
        <v>340</v>
      </c>
      <c r="M4013" s="9">
        <f t="shared" si="250"/>
        <v>358</v>
      </c>
      <c r="N4013" t="str">
        <f t="shared" si="251"/>
        <v>Dec</v>
      </c>
    </row>
    <row r="4014" spans="1:14" x14ac:dyDescent="0.3">
      <c r="A4014" s="2" t="s">
        <v>4080</v>
      </c>
      <c r="B4014" s="6">
        <v>46005</v>
      </c>
      <c r="C4014" s="2" t="s">
        <v>31</v>
      </c>
      <c r="D4014" s="2" t="s">
        <v>33</v>
      </c>
      <c r="E4014" s="2">
        <v>1</v>
      </c>
      <c r="F4014" s="7">
        <v>199</v>
      </c>
      <c r="G4014" s="8">
        <v>0.1</v>
      </c>
      <c r="H4014" s="9" t="str">
        <f>INDEX(Products!$B$2:$B$37, MATCH(D4014, Products!$A$2:$A$37, 0))</f>
        <v>Fitness Band Lite</v>
      </c>
      <c r="I4014" t="str">
        <f>INDEX(Products!$C$2:$C$37, MATCH(D4014, Products!$A$2:$A$37, 0))</f>
        <v>Electronics</v>
      </c>
      <c r="J4014">
        <f>INDEX(Products!$E$2:$E$37, MATCH(D4014, Products!$A$2:$A$37, 0))</f>
        <v>175</v>
      </c>
      <c r="K4014" s="9">
        <f t="shared" si="248"/>
        <v>179.1</v>
      </c>
      <c r="L4014">
        <f t="shared" si="249"/>
        <v>175</v>
      </c>
      <c r="M4014" s="9">
        <f t="shared" si="250"/>
        <v>4.0999999999999943</v>
      </c>
      <c r="N4014" t="str">
        <f t="shared" si="251"/>
        <v>Dec</v>
      </c>
    </row>
    <row r="4015" spans="1:14" x14ac:dyDescent="0.3">
      <c r="A4015" s="2" t="s">
        <v>4081</v>
      </c>
      <c r="B4015" s="6">
        <v>46005</v>
      </c>
      <c r="C4015" s="2" t="s">
        <v>28</v>
      </c>
      <c r="D4015" s="2" t="s">
        <v>89</v>
      </c>
      <c r="E4015" s="2">
        <v>1</v>
      </c>
      <c r="F4015" s="7">
        <v>399</v>
      </c>
      <c r="G4015" s="8">
        <v>0.15</v>
      </c>
      <c r="H4015" s="9" t="str">
        <f>INDEX(Products!$B$2:$B$37, MATCH(D4015, Products!$A$2:$A$37, 0))</f>
        <v>Men's Kandura Premium</v>
      </c>
      <c r="I4015" t="str">
        <f>INDEX(Products!$C$2:$C$37, MATCH(D4015, Products!$A$2:$A$37, 0))</f>
        <v>Fashion</v>
      </c>
      <c r="J4015">
        <f>INDEX(Products!$E$2:$E$37, MATCH(D4015, Products!$A$2:$A$37, 0))</f>
        <v>210</v>
      </c>
      <c r="K4015" s="9">
        <f t="shared" si="248"/>
        <v>339.15</v>
      </c>
      <c r="L4015">
        <f t="shared" si="249"/>
        <v>210</v>
      </c>
      <c r="M4015" s="9">
        <f t="shared" si="250"/>
        <v>129.14999999999998</v>
      </c>
      <c r="N4015" t="str">
        <f t="shared" si="251"/>
        <v>Dec</v>
      </c>
    </row>
    <row r="4016" spans="1:14" x14ac:dyDescent="0.3">
      <c r="A4016" s="2" t="s">
        <v>4082</v>
      </c>
      <c r="B4016" s="6">
        <v>46005</v>
      </c>
      <c r="C4016" s="2" t="s">
        <v>28</v>
      </c>
      <c r="D4016" s="2" t="s">
        <v>95</v>
      </c>
      <c r="E4016" s="2">
        <v>3</v>
      </c>
      <c r="F4016" s="7">
        <v>259</v>
      </c>
      <c r="G4016" s="8">
        <v>0</v>
      </c>
      <c r="H4016" s="9" t="str">
        <f>INDEX(Products!$B$2:$B$37, MATCH(D4016, Products!$A$2:$A$37, 0))</f>
        <v>Bed Linen Set (King)</v>
      </c>
      <c r="I4016" t="str">
        <f>INDEX(Products!$C$2:$C$37, MATCH(D4016, Products!$A$2:$A$37, 0))</f>
        <v>Home &amp; Kitchen</v>
      </c>
      <c r="J4016">
        <f>INDEX(Products!$E$2:$E$37, MATCH(D4016, Products!$A$2:$A$37, 0))</f>
        <v>115</v>
      </c>
      <c r="K4016" s="9">
        <f t="shared" si="248"/>
        <v>777</v>
      </c>
      <c r="L4016">
        <f t="shared" si="249"/>
        <v>345</v>
      </c>
      <c r="M4016" s="9">
        <f t="shared" si="250"/>
        <v>432</v>
      </c>
      <c r="N4016" t="str">
        <f t="shared" si="251"/>
        <v>Dec</v>
      </c>
    </row>
    <row r="4017" spans="1:14" x14ac:dyDescent="0.3">
      <c r="A4017" s="2" t="s">
        <v>4083</v>
      </c>
      <c r="B4017" s="6">
        <v>46005</v>
      </c>
      <c r="C4017" s="2" t="s">
        <v>48</v>
      </c>
      <c r="D4017" s="2" t="s">
        <v>129</v>
      </c>
      <c r="E4017" s="2">
        <v>1</v>
      </c>
      <c r="F4017" s="7">
        <v>149</v>
      </c>
      <c r="G4017" s="8">
        <v>0.15</v>
      </c>
      <c r="H4017" s="9" t="str">
        <f>INDEX(Products!$B$2:$B$37, MATCH(D4017, Products!$A$2:$A$37, 0))</f>
        <v>Power Bank 20000mAh</v>
      </c>
      <c r="I4017" t="str">
        <f>INDEX(Products!$C$2:$C$37, MATCH(D4017, Products!$A$2:$A$37, 0))</f>
        <v>Electronics</v>
      </c>
      <c r="J4017">
        <f>INDEX(Products!$E$2:$E$37, MATCH(D4017, Products!$A$2:$A$37, 0))</f>
        <v>70</v>
      </c>
      <c r="K4017" s="9">
        <f t="shared" si="248"/>
        <v>126.64999999999999</v>
      </c>
      <c r="L4017">
        <f t="shared" si="249"/>
        <v>70</v>
      </c>
      <c r="M4017" s="9">
        <f t="shared" si="250"/>
        <v>56.649999999999991</v>
      </c>
      <c r="N4017" t="str">
        <f t="shared" si="251"/>
        <v>Dec</v>
      </c>
    </row>
    <row r="4018" spans="1:14" x14ac:dyDescent="0.3">
      <c r="A4018" s="2" t="s">
        <v>4084</v>
      </c>
      <c r="B4018" s="6">
        <v>46005</v>
      </c>
      <c r="C4018" s="2" t="s">
        <v>41</v>
      </c>
      <c r="D4018" s="2" t="s">
        <v>78</v>
      </c>
      <c r="E4018" s="2">
        <v>4</v>
      </c>
      <c r="F4018" s="7">
        <v>499</v>
      </c>
      <c r="G4018" s="8">
        <v>0.2</v>
      </c>
      <c r="H4018" s="9" t="str">
        <f>INDEX(Products!$B$2:$B$37, MATCH(D4018, Products!$A$2:$A$37, 0))</f>
        <v>Air Fryer 5L</v>
      </c>
      <c r="I4018" t="str">
        <f>INDEX(Products!$C$2:$C$37, MATCH(D4018, Products!$A$2:$A$37, 0))</f>
        <v>Home &amp; Kitchen</v>
      </c>
      <c r="J4018">
        <f>INDEX(Products!$E$2:$E$37, MATCH(D4018, Products!$A$2:$A$37, 0))</f>
        <v>290</v>
      </c>
      <c r="K4018" s="9">
        <f t="shared" si="248"/>
        <v>1596.8000000000002</v>
      </c>
      <c r="L4018">
        <f t="shared" si="249"/>
        <v>1160</v>
      </c>
      <c r="M4018" s="9">
        <f t="shared" si="250"/>
        <v>436.80000000000018</v>
      </c>
      <c r="N4018" t="str">
        <f t="shared" si="251"/>
        <v>Dec</v>
      </c>
    </row>
    <row r="4019" spans="1:14" x14ac:dyDescent="0.3">
      <c r="A4019" s="2" t="s">
        <v>4085</v>
      </c>
      <c r="B4019" s="6">
        <v>46005</v>
      </c>
      <c r="C4019" s="2" t="s">
        <v>28</v>
      </c>
      <c r="D4019" s="2" t="s">
        <v>42</v>
      </c>
      <c r="E4019" s="2">
        <v>1</v>
      </c>
      <c r="F4019" s="7">
        <v>399</v>
      </c>
      <c r="G4019" s="8">
        <v>0.1</v>
      </c>
      <c r="H4019" s="9" t="str">
        <f>INDEX(Products!$B$2:$B$37, MATCH(D4019, Products!$A$2:$A$37, 0))</f>
        <v>Wireless Earbuds Pro</v>
      </c>
      <c r="I4019" t="str">
        <f>INDEX(Products!$C$2:$C$37, MATCH(D4019, Products!$A$2:$A$37, 0))</f>
        <v>Electronics</v>
      </c>
      <c r="J4019">
        <f>INDEX(Products!$E$2:$E$37, MATCH(D4019, Products!$A$2:$A$37, 0))</f>
        <v>230</v>
      </c>
      <c r="K4019" s="9">
        <f t="shared" si="248"/>
        <v>359.1</v>
      </c>
      <c r="L4019">
        <f t="shared" si="249"/>
        <v>230</v>
      </c>
      <c r="M4019" s="9">
        <f t="shared" si="250"/>
        <v>129.10000000000002</v>
      </c>
      <c r="N4019" t="str">
        <f t="shared" si="251"/>
        <v>Dec</v>
      </c>
    </row>
    <row r="4020" spans="1:14" x14ac:dyDescent="0.3">
      <c r="A4020" s="2" t="s">
        <v>4086</v>
      </c>
      <c r="B4020" s="6">
        <v>46006</v>
      </c>
      <c r="C4020" s="2" t="s">
        <v>44</v>
      </c>
      <c r="D4020" s="2" t="s">
        <v>56</v>
      </c>
      <c r="E4020" s="2">
        <v>1</v>
      </c>
      <c r="F4020" s="7">
        <v>289</v>
      </c>
      <c r="G4020" s="8">
        <v>0.2</v>
      </c>
      <c r="H4020" s="9" t="str">
        <f>INDEX(Products!$B$2:$B$37, MATCH(D4020, Products!$A$2:$A$37, 0))</f>
        <v>Ceramic Dinner Set</v>
      </c>
      <c r="I4020" t="str">
        <f>INDEX(Products!$C$2:$C$37, MATCH(D4020, Products!$A$2:$A$37, 0))</f>
        <v>Home &amp; Kitchen</v>
      </c>
      <c r="J4020">
        <f>INDEX(Products!$E$2:$E$37, MATCH(D4020, Products!$A$2:$A$37, 0))</f>
        <v>140</v>
      </c>
      <c r="K4020" s="9">
        <f t="shared" si="248"/>
        <v>231.20000000000002</v>
      </c>
      <c r="L4020">
        <f t="shared" si="249"/>
        <v>140</v>
      </c>
      <c r="M4020" s="9">
        <f t="shared" si="250"/>
        <v>91.200000000000017</v>
      </c>
      <c r="N4020" t="str">
        <f t="shared" si="251"/>
        <v>Dec</v>
      </c>
    </row>
    <row r="4021" spans="1:14" x14ac:dyDescent="0.3">
      <c r="A4021" s="2" t="s">
        <v>4087</v>
      </c>
      <c r="B4021" s="6">
        <v>46006</v>
      </c>
      <c r="C4021" s="2" t="s">
        <v>28</v>
      </c>
      <c r="D4021" s="2" t="s">
        <v>194</v>
      </c>
      <c r="E4021" s="2">
        <v>1</v>
      </c>
      <c r="F4021" s="7">
        <v>699</v>
      </c>
      <c r="G4021" s="8">
        <v>0.1</v>
      </c>
      <c r="H4021" s="9" t="str">
        <f>INDEX(Products!$B$2:$B$37, MATCH(D4021, Products!$A$2:$A$37, 0))</f>
        <v>Leather Handbag</v>
      </c>
      <c r="I4021" t="str">
        <f>INDEX(Products!$C$2:$C$37, MATCH(D4021, Products!$A$2:$A$37, 0))</f>
        <v>Fashion</v>
      </c>
      <c r="J4021">
        <f>INDEX(Products!$E$2:$E$37, MATCH(D4021, Products!$A$2:$A$37, 0))</f>
        <v>380</v>
      </c>
      <c r="K4021" s="9">
        <f t="shared" si="248"/>
        <v>629.1</v>
      </c>
      <c r="L4021">
        <f t="shared" si="249"/>
        <v>380</v>
      </c>
      <c r="M4021" s="9">
        <f t="shared" si="250"/>
        <v>249.10000000000002</v>
      </c>
      <c r="N4021" t="str">
        <f t="shared" si="251"/>
        <v>Dec</v>
      </c>
    </row>
    <row r="4022" spans="1:14" x14ac:dyDescent="0.3">
      <c r="A4022" s="2" t="s">
        <v>4088</v>
      </c>
      <c r="B4022" s="6">
        <v>46006</v>
      </c>
      <c r="C4022" s="2" t="s">
        <v>41</v>
      </c>
      <c r="D4022" s="2" t="s">
        <v>89</v>
      </c>
      <c r="E4022" s="2">
        <v>2</v>
      </c>
      <c r="F4022" s="7">
        <v>399</v>
      </c>
      <c r="G4022" s="8">
        <v>0.2</v>
      </c>
      <c r="H4022" s="9" t="str">
        <f>INDEX(Products!$B$2:$B$37, MATCH(D4022, Products!$A$2:$A$37, 0))</f>
        <v>Men's Kandura Premium</v>
      </c>
      <c r="I4022" t="str">
        <f>INDEX(Products!$C$2:$C$37, MATCH(D4022, Products!$A$2:$A$37, 0))</f>
        <v>Fashion</v>
      </c>
      <c r="J4022">
        <f>INDEX(Products!$E$2:$E$37, MATCH(D4022, Products!$A$2:$A$37, 0))</f>
        <v>210</v>
      </c>
      <c r="K4022" s="9">
        <f t="shared" si="248"/>
        <v>638.40000000000009</v>
      </c>
      <c r="L4022">
        <f t="shared" si="249"/>
        <v>420</v>
      </c>
      <c r="M4022" s="9">
        <f t="shared" si="250"/>
        <v>218.40000000000009</v>
      </c>
      <c r="N4022" t="str">
        <f t="shared" si="251"/>
        <v>Dec</v>
      </c>
    </row>
    <row r="4023" spans="1:14" x14ac:dyDescent="0.3">
      <c r="A4023" s="2" t="s">
        <v>4089</v>
      </c>
      <c r="B4023" s="6">
        <v>46006</v>
      </c>
      <c r="C4023" s="2" t="s">
        <v>41</v>
      </c>
      <c r="D4023" s="2" t="s">
        <v>99</v>
      </c>
      <c r="E4023" s="2">
        <v>1</v>
      </c>
      <c r="F4023" s="7">
        <v>459</v>
      </c>
      <c r="G4023" s="8">
        <v>0.2</v>
      </c>
      <c r="H4023" s="9" t="str">
        <f>INDEX(Products!$B$2:$B$37, MATCH(D4023, Products!$A$2:$A$37, 0))</f>
        <v>Gaming Headset X</v>
      </c>
      <c r="I4023" t="str">
        <f>INDEX(Products!$C$2:$C$37, MATCH(D4023, Products!$A$2:$A$37, 0))</f>
        <v>Electronics</v>
      </c>
      <c r="J4023">
        <f>INDEX(Products!$E$2:$E$37, MATCH(D4023, Products!$A$2:$A$37, 0))</f>
        <v>300</v>
      </c>
      <c r="K4023" s="9">
        <f t="shared" si="248"/>
        <v>367.20000000000005</v>
      </c>
      <c r="L4023">
        <f t="shared" si="249"/>
        <v>300</v>
      </c>
      <c r="M4023" s="9">
        <f t="shared" si="250"/>
        <v>67.200000000000045</v>
      </c>
      <c r="N4023" t="str">
        <f t="shared" si="251"/>
        <v>Dec</v>
      </c>
    </row>
    <row r="4024" spans="1:14" x14ac:dyDescent="0.3">
      <c r="A4024" s="2" t="s">
        <v>4090</v>
      </c>
      <c r="B4024" s="6">
        <v>46006</v>
      </c>
      <c r="C4024" s="2" t="s">
        <v>31</v>
      </c>
      <c r="D4024" s="2" t="s">
        <v>58</v>
      </c>
      <c r="E4024" s="2">
        <v>1</v>
      </c>
      <c r="F4024" s="7">
        <v>459</v>
      </c>
      <c r="G4024" s="8">
        <v>0</v>
      </c>
      <c r="H4024" s="9" t="str">
        <f>INDEX(Products!$B$2:$B$37, MATCH(D4024, Products!$A$2:$A$37, 0))</f>
        <v>Women's Abaya Classic</v>
      </c>
      <c r="I4024" t="str">
        <f>INDEX(Products!$C$2:$C$37, MATCH(D4024, Products!$A$2:$A$37, 0))</f>
        <v>Fashion</v>
      </c>
      <c r="J4024">
        <f>INDEX(Products!$E$2:$E$37, MATCH(D4024, Products!$A$2:$A$37, 0))</f>
        <v>190</v>
      </c>
      <c r="K4024" s="9">
        <f t="shared" si="248"/>
        <v>459</v>
      </c>
      <c r="L4024">
        <f t="shared" si="249"/>
        <v>190</v>
      </c>
      <c r="M4024" s="9">
        <f t="shared" si="250"/>
        <v>269</v>
      </c>
      <c r="N4024" t="str">
        <f t="shared" si="251"/>
        <v>Dec</v>
      </c>
    </row>
    <row r="4025" spans="1:14" x14ac:dyDescent="0.3">
      <c r="A4025" s="2" t="s">
        <v>4091</v>
      </c>
      <c r="B4025" s="6">
        <v>46006</v>
      </c>
      <c r="C4025" s="2" t="s">
        <v>28</v>
      </c>
      <c r="D4025" s="2" t="s">
        <v>194</v>
      </c>
      <c r="E4025" s="2">
        <v>2</v>
      </c>
      <c r="F4025" s="7">
        <v>699</v>
      </c>
      <c r="G4025" s="8">
        <v>0.1</v>
      </c>
      <c r="H4025" s="9" t="str">
        <f>INDEX(Products!$B$2:$B$37, MATCH(D4025, Products!$A$2:$A$37, 0))</f>
        <v>Leather Handbag</v>
      </c>
      <c r="I4025" t="str">
        <f>INDEX(Products!$C$2:$C$37, MATCH(D4025, Products!$A$2:$A$37, 0))</f>
        <v>Fashion</v>
      </c>
      <c r="J4025">
        <f>INDEX(Products!$E$2:$E$37, MATCH(D4025, Products!$A$2:$A$37, 0))</f>
        <v>380</v>
      </c>
      <c r="K4025" s="9">
        <f t="shared" si="248"/>
        <v>1258.2</v>
      </c>
      <c r="L4025">
        <f t="shared" si="249"/>
        <v>760</v>
      </c>
      <c r="M4025" s="9">
        <f t="shared" si="250"/>
        <v>498.20000000000005</v>
      </c>
      <c r="N4025" t="str">
        <f t="shared" si="251"/>
        <v>Dec</v>
      </c>
    </row>
    <row r="4026" spans="1:14" x14ac:dyDescent="0.3">
      <c r="A4026" s="2" t="s">
        <v>4092</v>
      </c>
      <c r="B4026" s="6">
        <v>46006</v>
      </c>
      <c r="C4026" s="2" t="s">
        <v>31</v>
      </c>
      <c r="D4026" s="2" t="s">
        <v>35</v>
      </c>
      <c r="E4026" s="2">
        <v>2</v>
      </c>
      <c r="F4026" s="7">
        <v>179</v>
      </c>
      <c r="G4026" s="8">
        <v>0.2</v>
      </c>
      <c r="H4026" s="9" t="str">
        <f>INDEX(Products!$B$2:$B$37, MATCH(D4026, Products!$A$2:$A$37, 0))</f>
        <v>Men's Linen Shirt</v>
      </c>
      <c r="I4026" t="str">
        <f>INDEX(Products!$C$2:$C$37, MATCH(D4026, Products!$A$2:$A$37, 0))</f>
        <v>Fashion</v>
      </c>
      <c r="J4026">
        <f>INDEX(Products!$E$2:$E$37, MATCH(D4026, Products!$A$2:$A$37, 0))</f>
        <v>70</v>
      </c>
      <c r="K4026" s="9">
        <f t="shared" si="248"/>
        <v>286.40000000000003</v>
      </c>
      <c r="L4026">
        <f t="shared" si="249"/>
        <v>140</v>
      </c>
      <c r="M4026" s="9">
        <f t="shared" si="250"/>
        <v>146.40000000000003</v>
      </c>
      <c r="N4026" t="str">
        <f t="shared" si="251"/>
        <v>Dec</v>
      </c>
    </row>
    <row r="4027" spans="1:14" x14ac:dyDescent="0.3">
      <c r="A4027" s="2" t="s">
        <v>4093</v>
      </c>
      <c r="B4027" s="6">
        <v>46006</v>
      </c>
      <c r="C4027" s="2" t="s">
        <v>41</v>
      </c>
      <c r="D4027" s="2" t="s">
        <v>33</v>
      </c>
      <c r="E4027" s="2">
        <v>2</v>
      </c>
      <c r="F4027" s="7">
        <v>199</v>
      </c>
      <c r="G4027" s="8">
        <v>0.2</v>
      </c>
      <c r="H4027" s="9" t="str">
        <f>INDEX(Products!$B$2:$B$37, MATCH(D4027, Products!$A$2:$A$37, 0))</f>
        <v>Fitness Band Lite</v>
      </c>
      <c r="I4027" t="str">
        <f>INDEX(Products!$C$2:$C$37, MATCH(D4027, Products!$A$2:$A$37, 0))</f>
        <v>Electronics</v>
      </c>
      <c r="J4027">
        <f>INDEX(Products!$E$2:$E$37, MATCH(D4027, Products!$A$2:$A$37, 0))</f>
        <v>175</v>
      </c>
      <c r="K4027" s="9">
        <f t="shared" si="248"/>
        <v>318.40000000000003</v>
      </c>
      <c r="L4027">
        <f t="shared" si="249"/>
        <v>350</v>
      </c>
      <c r="M4027" s="9">
        <f t="shared" si="250"/>
        <v>-31.599999999999966</v>
      </c>
      <c r="N4027" t="str">
        <f t="shared" si="251"/>
        <v>Dec</v>
      </c>
    </row>
    <row r="4028" spans="1:14" x14ac:dyDescent="0.3">
      <c r="A4028" s="2" t="s">
        <v>4094</v>
      </c>
      <c r="B4028" s="6">
        <v>46007</v>
      </c>
      <c r="C4028" s="2" t="s">
        <v>41</v>
      </c>
      <c r="D4028" s="2" t="s">
        <v>33</v>
      </c>
      <c r="E4028" s="2">
        <v>1</v>
      </c>
      <c r="F4028" s="7">
        <v>199</v>
      </c>
      <c r="G4028" s="8">
        <v>0.2</v>
      </c>
      <c r="H4028" s="9" t="str">
        <f>INDEX(Products!$B$2:$B$37, MATCH(D4028, Products!$A$2:$A$37, 0))</f>
        <v>Fitness Band Lite</v>
      </c>
      <c r="I4028" t="str">
        <f>INDEX(Products!$C$2:$C$37, MATCH(D4028, Products!$A$2:$A$37, 0))</f>
        <v>Electronics</v>
      </c>
      <c r="J4028">
        <f>INDEX(Products!$E$2:$E$37, MATCH(D4028, Products!$A$2:$A$37, 0))</f>
        <v>175</v>
      </c>
      <c r="K4028" s="9">
        <f t="shared" si="248"/>
        <v>159.20000000000002</v>
      </c>
      <c r="L4028">
        <f t="shared" si="249"/>
        <v>175</v>
      </c>
      <c r="M4028" s="9">
        <f t="shared" si="250"/>
        <v>-15.799999999999983</v>
      </c>
      <c r="N4028" t="str">
        <f t="shared" si="251"/>
        <v>Dec</v>
      </c>
    </row>
    <row r="4029" spans="1:14" x14ac:dyDescent="0.3">
      <c r="A4029" s="2" t="s">
        <v>4095</v>
      </c>
      <c r="B4029" s="6">
        <v>46007</v>
      </c>
      <c r="C4029" s="2" t="s">
        <v>31</v>
      </c>
      <c r="D4029" s="2" t="s">
        <v>129</v>
      </c>
      <c r="E4029" s="2">
        <v>1</v>
      </c>
      <c r="F4029" s="7">
        <v>149</v>
      </c>
      <c r="G4029" s="8">
        <v>0.2</v>
      </c>
      <c r="H4029" s="9" t="str">
        <f>INDEX(Products!$B$2:$B$37, MATCH(D4029, Products!$A$2:$A$37, 0))</f>
        <v>Power Bank 20000mAh</v>
      </c>
      <c r="I4029" t="str">
        <f>INDEX(Products!$C$2:$C$37, MATCH(D4029, Products!$A$2:$A$37, 0))</f>
        <v>Electronics</v>
      </c>
      <c r="J4029">
        <f>INDEX(Products!$E$2:$E$37, MATCH(D4029, Products!$A$2:$A$37, 0))</f>
        <v>70</v>
      </c>
      <c r="K4029" s="9">
        <f t="shared" si="248"/>
        <v>119.2</v>
      </c>
      <c r="L4029">
        <f t="shared" si="249"/>
        <v>70</v>
      </c>
      <c r="M4029" s="9">
        <f t="shared" si="250"/>
        <v>49.2</v>
      </c>
      <c r="N4029" t="str">
        <f t="shared" si="251"/>
        <v>Dec</v>
      </c>
    </row>
    <row r="4030" spans="1:14" x14ac:dyDescent="0.3">
      <c r="A4030" s="2" t="s">
        <v>4096</v>
      </c>
      <c r="B4030" s="6">
        <v>46007</v>
      </c>
      <c r="C4030" s="2" t="s">
        <v>41</v>
      </c>
      <c r="D4030" s="2" t="s">
        <v>52</v>
      </c>
      <c r="E4030" s="2">
        <v>3</v>
      </c>
      <c r="F4030" s="7">
        <v>299</v>
      </c>
      <c r="G4030" s="8">
        <v>0.1</v>
      </c>
      <c r="H4030" s="9" t="str">
        <f>INDEX(Products!$B$2:$B$37, MATCH(D4030, Products!$A$2:$A$37, 0))</f>
        <v>Hair Dryer Ionic</v>
      </c>
      <c r="I4030" t="str">
        <f>INDEX(Products!$C$2:$C$37, MATCH(D4030, Products!$A$2:$A$37, 0))</f>
        <v>Beauty</v>
      </c>
      <c r="J4030">
        <f>INDEX(Products!$E$2:$E$37, MATCH(D4030, Products!$A$2:$A$37, 0))</f>
        <v>240</v>
      </c>
      <c r="K4030" s="9">
        <f t="shared" si="248"/>
        <v>807.30000000000007</v>
      </c>
      <c r="L4030">
        <f t="shared" si="249"/>
        <v>720</v>
      </c>
      <c r="M4030" s="9">
        <f t="shared" si="250"/>
        <v>87.300000000000068</v>
      </c>
      <c r="N4030" t="str">
        <f t="shared" si="251"/>
        <v>Dec</v>
      </c>
    </row>
    <row r="4031" spans="1:14" x14ac:dyDescent="0.3">
      <c r="A4031" s="2" t="s">
        <v>4097</v>
      </c>
      <c r="B4031" s="6">
        <v>46007</v>
      </c>
      <c r="C4031" s="2" t="s">
        <v>44</v>
      </c>
      <c r="D4031" s="2" t="s">
        <v>39</v>
      </c>
      <c r="E4031" s="2">
        <v>2</v>
      </c>
      <c r="F4031" s="7">
        <v>199</v>
      </c>
      <c r="G4031" s="8">
        <v>0.2</v>
      </c>
      <c r="H4031" s="9" t="str">
        <f>INDEX(Products!$B$2:$B$37, MATCH(D4031, Products!$A$2:$A$37, 0))</f>
        <v>Bakhoor Gift Set</v>
      </c>
      <c r="I4031" t="str">
        <f>INDEX(Products!$C$2:$C$37, MATCH(D4031, Products!$A$2:$A$37, 0))</f>
        <v>Beauty</v>
      </c>
      <c r="J4031">
        <f>INDEX(Products!$E$2:$E$37, MATCH(D4031, Products!$A$2:$A$37, 0))</f>
        <v>90</v>
      </c>
      <c r="K4031" s="9">
        <f t="shared" si="248"/>
        <v>318.40000000000003</v>
      </c>
      <c r="L4031">
        <f t="shared" si="249"/>
        <v>180</v>
      </c>
      <c r="M4031" s="9">
        <f t="shared" si="250"/>
        <v>138.40000000000003</v>
      </c>
      <c r="N4031" t="str">
        <f t="shared" si="251"/>
        <v>Dec</v>
      </c>
    </row>
    <row r="4032" spans="1:14" x14ac:dyDescent="0.3">
      <c r="A4032" s="2" t="s">
        <v>4098</v>
      </c>
      <c r="B4032" s="6">
        <v>46007</v>
      </c>
      <c r="C4032" s="2" t="s">
        <v>31</v>
      </c>
      <c r="D4032" s="2" t="s">
        <v>39</v>
      </c>
      <c r="E4032" s="2">
        <v>1</v>
      </c>
      <c r="F4032" s="7">
        <v>199</v>
      </c>
      <c r="G4032" s="8">
        <v>0</v>
      </c>
      <c r="H4032" s="9" t="str">
        <f>INDEX(Products!$B$2:$B$37, MATCH(D4032, Products!$A$2:$A$37, 0))</f>
        <v>Bakhoor Gift Set</v>
      </c>
      <c r="I4032" t="str">
        <f>INDEX(Products!$C$2:$C$37, MATCH(D4032, Products!$A$2:$A$37, 0))</f>
        <v>Beauty</v>
      </c>
      <c r="J4032">
        <f>INDEX(Products!$E$2:$E$37, MATCH(D4032, Products!$A$2:$A$37, 0))</f>
        <v>90</v>
      </c>
      <c r="K4032" s="9">
        <f t="shared" si="248"/>
        <v>199</v>
      </c>
      <c r="L4032">
        <f t="shared" si="249"/>
        <v>90</v>
      </c>
      <c r="M4032" s="9">
        <f t="shared" si="250"/>
        <v>109</v>
      </c>
      <c r="N4032" t="str">
        <f t="shared" si="251"/>
        <v>Dec</v>
      </c>
    </row>
    <row r="4033" spans="1:14" x14ac:dyDescent="0.3">
      <c r="A4033" s="2" t="s">
        <v>4099</v>
      </c>
      <c r="B4033" s="6">
        <v>46007</v>
      </c>
      <c r="C4033" s="2" t="s">
        <v>31</v>
      </c>
      <c r="D4033" s="2" t="s">
        <v>35</v>
      </c>
      <c r="E4033" s="2">
        <v>1</v>
      </c>
      <c r="F4033" s="7">
        <v>179</v>
      </c>
      <c r="G4033" s="8">
        <v>0.2</v>
      </c>
      <c r="H4033" s="9" t="str">
        <f>INDEX(Products!$B$2:$B$37, MATCH(D4033, Products!$A$2:$A$37, 0))</f>
        <v>Men's Linen Shirt</v>
      </c>
      <c r="I4033" t="str">
        <f>INDEX(Products!$C$2:$C$37, MATCH(D4033, Products!$A$2:$A$37, 0))</f>
        <v>Fashion</v>
      </c>
      <c r="J4033">
        <f>INDEX(Products!$E$2:$E$37, MATCH(D4033, Products!$A$2:$A$37, 0))</f>
        <v>70</v>
      </c>
      <c r="K4033" s="9">
        <f t="shared" si="248"/>
        <v>143.20000000000002</v>
      </c>
      <c r="L4033">
        <f t="shared" si="249"/>
        <v>70</v>
      </c>
      <c r="M4033" s="9">
        <f t="shared" si="250"/>
        <v>73.200000000000017</v>
      </c>
      <c r="N4033" t="str">
        <f t="shared" si="251"/>
        <v>Dec</v>
      </c>
    </row>
    <row r="4034" spans="1:14" x14ac:dyDescent="0.3">
      <c r="A4034" s="2" t="s">
        <v>4100</v>
      </c>
      <c r="B4034" s="6">
        <v>46007</v>
      </c>
      <c r="C4034" s="2" t="s">
        <v>28</v>
      </c>
      <c r="D4034" s="2" t="s">
        <v>39</v>
      </c>
      <c r="E4034" s="2">
        <v>1</v>
      </c>
      <c r="F4034" s="7">
        <v>199</v>
      </c>
      <c r="G4034" s="8">
        <v>0</v>
      </c>
      <c r="H4034" s="9" t="str">
        <f>INDEX(Products!$B$2:$B$37, MATCH(D4034, Products!$A$2:$A$37, 0))</f>
        <v>Bakhoor Gift Set</v>
      </c>
      <c r="I4034" t="str">
        <f>INDEX(Products!$C$2:$C$37, MATCH(D4034, Products!$A$2:$A$37, 0))</f>
        <v>Beauty</v>
      </c>
      <c r="J4034">
        <f>INDEX(Products!$E$2:$E$37, MATCH(D4034, Products!$A$2:$A$37, 0))</f>
        <v>90</v>
      </c>
      <c r="K4034" s="9">
        <f t="shared" ref="K4034:K4097" si="252">E4034*F4034*(1-G4034)</f>
        <v>199</v>
      </c>
      <c r="L4034">
        <f t="shared" ref="L4034:L4097" si="253">E4034*J4034</f>
        <v>90</v>
      </c>
      <c r="M4034" s="9">
        <f t="shared" ref="M4034:M4097" si="254">K4034-L4034</f>
        <v>109</v>
      </c>
      <c r="N4034" t="str">
        <f t="shared" ref="N4034:N4097" si="255">TEXT(B4034,"mmm")</f>
        <v>Dec</v>
      </c>
    </row>
    <row r="4035" spans="1:14" x14ac:dyDescent="0.3">
      <c r="A4035" s="2" t="s">
        <v>4101</v>
      </c>
      <c r="B4035" s="6">
        <v>46007</v>
      </c>
      <c r="C4035" s="2" t="s">
        <v>44</v>
      </c>
      <c r="D4035" s="2" t="s">
        <v>60</v>
      </c>
      <c r="E4035" s="2">
        <v>2</v>
      </c>
      <c r="F4035" s="7">
        <v>99</v>
      </c>
      <c r="G4035" s="8">
        <v>0</v>
      </c>
      <c r="H4035" s="9" t="str">
        <f>INDEX(Products!$B$2:$B$37, MATCH(D4035, Products!$A$2:$A$37, 0))</f>
        <v>Football Size 5</v>
      </c>
      <c r="I4035" t="str">
        <f>INDEX(Products!$C$2:$C$37, MATCH(D4035, Products!$A$2:$A$37, 0))</f>
        <v>Sports</v>
      </c>
      <c r="J4035">
        <f>INDEX(Products!$E$2:$E$37, MATCH(D4035, Products!$A$2:$A$37, 0))</f>
        <v>45</v>
      </c>
      <c r="K4035" s="9">
        <f t="shared" si="252"/>
        <v>198</v>
      </c>
      <c r="L4035">
        <f t="shared" si="253"/>
        <v>90</v>
      </c>
      <c r="M4035" s="9">
        <f t="shared" si="254"/>
        <v>108</v>
      </c>
      <c r="N4035" t="str">
        <f t="shared" si="255"/>
        <v>Dec</v>
      </c>
    </row>
    <row r="4036" spans="1:14" x14ac:dyDescent="0.3">
      <c r="A4036" s="2" t="s">
        <v>4102</v>
      </c>
      <c r="B4036" s="6">
        <v>46007</v>
      </c>
      <c r="C4036" s="2" t="s">
        <v>41</v>
      </c>
      <c r="D4036" s="2" t="s">
        <v>68</v>
      </c>
      <c r="E4036" s="2">
        <v>2</v>
      </c>
      <c r="F4036" s="7">
        <v>249</v>
      </c>
      <c r="G4036" s="8">
        <v>0.3</v>
      </c>
      <c r="H4036" s="9" t="str">
        <f>INDEX(Products!$B$2:$B$37, MATCH(D4036, Products!$A$2:$A$37, 0))</f>
        <v>Bluetooth Speaker Mini</v>
      </c>
      <c r="I4036" t="str">
        <f>INDEX(Products!$C$2:$C$37, MATCH(D4036, Products!$A$2:$A$37, 0))</f>
        <v>Electronics</v>
      </c>
      <c r="J4036">
        <f>INDEX(Products!$E$2:$E$37, MATCH(D4036, Products!$A$2:$A$37, 0))</f>
        <v>150</v>
      </c>
      <c r="K4036" s="9">
        <f t="shared" si="252"/>
        <v>348.59999999999997</v>
      </c>
      <c r="L4036">
        <f t="shared" si="253"/>
        <v>300</v>
      </c>
      <c r="M4036" s="9">
        <f t="shared" si="254"/>
        <v>48.599999999999966</v>
      </c>
      <c r="N4036" t="str">
        <f t="shared" si="255"/>
        <v>Dec</v>
      </c>
    </row>
    <row r="4037" spans="1:14" x14ac:dyDescent="0.3">
      <c r="A4037" s="2" t="s">
        <v>4103</v>
      </c>
      <c r="B4037" s="6">
        <v>46007</v>
      </c>
      <c r="C4037" s="2" t="s">
        <v>44</v>
      </c>
      <c r="D4037" s="2" t="s">
        <v>39</v>
      </c>
      <c r="E4037" s="2">
        <v>2</v>
      </c>
      <c r="F4037" s="7">
        <v>199</v>
      </c>
      <c r="G4037" s="8">
        <v>0.1</v>
      </c>
      <c r="H4037" s="9" t="str">
        <f>INDEX(Products!$B$2:$B$37, MATCH(D4037, Products!$A$2:$A$37, 0))</f>
        <v>Bakhoor Gift Set</v>
      </c>
      <c r="I4037" t="str">
        <f>INDEX(Products!$C$2:$C$37, MATCH(D4037, Products!$A$2:$A$37, 0))</f>
        <v>Beauty</v>
      </c>
      <c r="J4037">
        <f>INDEX(Products!$E$2:$E$37, MATCH(D4037, Products!$A$2:$A$37, 0))</f>
        <v>90</v>
      </c>
      <c r="K4037" s="9">
        <f t="shared" si="252"/>
        <v>358.2</v>
      </c>
      <c r="L4037">
        <f t="shared" si="253"/>
        <v>180</v>
      </c>
      <c r="M4037" s="9">
        <f t="shared" si="254"/>
        <v>178.2</v>
      </c>
      <c r="N4037" t="str">
        <f t="shared" si="255"/>
        <v>Dec</v>
      </c>
    </row>
    <row r="4038" spans="1:14" x14ac:dyDescent="0.3">
      <c r="A4038" s="2" t="s">
        <v>4104</v>
      </c>
      <c r="B4038" s="6">
        <v>46008</v>
      </c>
      <c r="C4038" s="2" t="s">
        <v>28</v>
      </c>
      <c r="D4038" s="2" t="s">
        <v>80</v>
      </c>
      <c r="E4038" s="2">
        <v>1</v>
      </c>
      <c r="F4038" s="7">
        <v>149</v>
      </c>
      <c r="G4038" s="8">
        <v>0.2</v>
      </c>
      <c r="H4038" s="9" t="str">
        <f>INDEX(Products!$B$2:$B$37, MATCH(D4038, Products!$A$2:$A$37, 0))</f>
        <v>Vitamin C Serum</v>
      </c>
      <c r="I4038" t="str">
        <f>INDEX(Products!$C$2:$C$37, MATCH(D4038, Products!$A$2:$A$37, 0))</f>
        <v>Beauty</v>
      </c>
      <c r="J4038">
        <f>INDEX(Products!$E$2:$E$37, MATCH(D4038, Products!$A$2:$A$37, 0))</f>
        <v>55</v>
      </c>
      <c r="K4038" s="9">
        <f t="shared" si="252"/>
        <v>119.2</v>
      </c>
      <c r="L4038">
        <f t="shared" si="253"/>
        <v>55</v>
      </c>
      <c r="M4038" s="9">
        <f t="shared" si="254"/>
        <v>64.2</v>
      </c>
      <c r="N4038" t="str">
        <f t="shared" si="255"/>
        <v>Dec</v>
      </c>
    </row>
    <row r="4039" spans="1:14" x14ac:dyDescent="0.3">
      <c r="A4039" s="2" t="s">
        <v>4105</v>
      </c>
      <c r="B4039" s="6">
        <v>46008</v>
      </c>
      <c r="C4039" s="2" t="s">
        <v>48</v>
      </c>
      <c r="D4039" s="2" t="s">
        <v>149</v>
      </c>
      <c r="E4039" s="2">
        <v>2</v>
      </c>
      <c r="F4039" s="7">
        <v>399</v>
      </c>
      <c r="G4039" s="8">
        <v>0</v>
      </c>
      <c r="H4039" s="9" t="str">
        <f>INDEX(Products!$B$2:$B$37, MATCH(D4039, Products!$A$2:$A$37, 0))</f>
        <v>Blender Pro 1200W</v>
      </c>
      <c r="I4039" t="str">
        <f>INDEX(Products!$C$2:$C$37, MATCH(D4039, Products!$A$2:$A$37, 0))</f>
        <v>Home &amp; Kitchen</v>
      </c>
      <c r="J4039">
        <f>INDEX(Products!$E$2:$E$37, MATCH(D4039, Products!$A$2:$A$37, 0))</f>
        <v>250</v>
      </c>
      <c r="K4039" s="9">
        <f t="shared" si="252"/>
        <v>798</v>
      </c>
      <c r="L4039">
        <f t="shared" si="253"/>
        <v>500</v>
      </c>
      <c r="M4039" s="9">
        <f t="shared" si="254"/>
        <v>298</v>
      </c>
      <c r="N4039" t="str">
        <f t="shared" si="255"/>
        <v>Dec</v>
      </c>
    </row>
    <row r="4040" spans="1:14" x14ac:dyDescent="0.3">
      <c r="A4040" s="2" t="s">
        <v>4106</v>
      </c>
      <c r="B4040" s="6">
        <v>46008</v>
      </c>
      <c r="C4040" s="2" t="s">
        <v>28</v>
      </c>
      <c r="D4040" s="2" t="s">
        <v>78</v>
      </c>
      <c r="E4040" s="2">
        <v>2</v>
      </c>
      <c r="F4040" s="7">
        <v>499</v>
      </c>
      <c r="G4040" s="8">
        <v>0.2</v>
      </c>
      <c r="H4040" s="9" t="str">
        <f>INDEX(Products!$B$2:$B$37, MATCH(D4040, Products!$A$2:$A$37, 0))</f>
        <v>Air Fryer 5L</v>
      </c>
      <c r="I4040" t="str">
        <f>INDEX(Products!$C$2:$C$37, MATCH(D4040, Products!$A$2:$A$37, 0))</f>
        <v>Home &amp; Kitchen</v>
      </c>
      <c r="J4040">
        <f>INDEX(Products!$E$2:$E$37, MATCH(D4040, Products!$A$2:$A$37, 0))</f>
        <v>290</v>
      </c>
      <c r="K4040" s="9">
        <f t="shared" si="252"/>
        <v>798.40000000000009</v>
      </c>
      <c r="L4040">
        <f t="shared" si="253"/>
        <v>580</v>
      </c>
      <c r="M4040" s="9">
        <f t="shared" si="254"/>
        <v>218.40000000000009</v>
      </c>
      <c r="N4040" t="str">
        <f t="shared" si="255"/>
        <v>Dec</v>
      </c>
    </row>
    <row r="4041" spans="1:14" x14ac:dyDescent="0.3">
      <c r="A4041" s="2" t="s">
        <v>4107</v>
      </c>
      <c r="B4041" s="6">
        <v>46008</v>
      </c>
      <c r="C4041" s="2" t="s">
        <v>28</v>
      </c>
      <c r="D4041" s="2" t="s">
        <v>58</v>
      </c>
      <c r="E4041" s="2">
        <v>1</v>
      </c>
      <c r="F4041" s="7">
        <v>459</v>
      </c>
      <c r="G4041" s="8">
        <v>0</v>
      </c>
      <c r="H4041" s="9" t="str">
        <f>INDEX(Products!$B$2:$B$37, MATCH(D4041, Products!$A$2:$A$37, 0))</f>
        <v>Women's Abaya Classic</v>
      </c>
      <c r="I4041" t="str">
        <f>INDEX(Products!$C$2:$C$37, MATCH(D4041, Products!$A$2:$A$37, 0))</f>
        <v>Fashion</v>
      </c>
      <c r="J4041">
        <f>INDEX(Products!$E$2:$E$37, MATCH(D4041, Products!$A$2:$A$37, 0))</f>
        <v>190</v>
      </c>
      <c r="K4041" s="9">
        <f t="shared" si="252"/>
        <v>459</v>
      </c>
      <c r="L4041">
        <f t="shared" si="253"/>
        <v>190</v>
      </c>
      <c r="M4041" s="9">
        <f t="shared" si="254"/>
        <v>269</v>
      </c>
      <c r="N4041" t="str">
        <f t="shared" si="255"/>
        <v>Dec</v>
      </c>
    </row>
    <row r="4042" spans="1:14" x14ac:dyDescent="0.3">
      <c r="A4042" s="2" t="s">
        <v>4108</v>
      </c>
      <c r="B4042" s="6">
        <v>46008</v>
      </c>
      <c r="C4042" s="2" t="s">
        <v>31</v>
      </c>
      <c r="D4042" s="2" t="s">
        <v>165</v>
      </c>
      <c r="E4042" s="2">
        <v>2</v>
      </c>
      <c r="F4042" s="7">
        <v>69</v>
      </c>
      <c r="G4042" s="8">
        <v>0</v>
      </c>
      <c r="H4042" s="9" t="str">
        <f>INDEX(Products!$B$2:$B$37, MATCH(D4042, Products!$A$2:$A$37, 0))</f>
        <v>Swim Goggles</v>
      </c>
      <c r="I4042" t="str">
        <f>INDEX(Products!$C$2:$C$37, MATCH(D4042, Products!$A$2:$A$37, 0))</f>
        <v>Sports</v>
      </c>
      <c r="J4042">
        <f>INDEX(Products!$E$2:$E$37, MATCH(D4042, Products!$A$2:$A$37, 0))</f>
        <v>25</v>
      </c>
      <c r="K4042" s="9">
        <f t="shared" si="252"/>
        <v>138</v>
      </c>
      <c r="L4042">
        <f t="shared" si="253"/>
        <v>50</v>
      </c>
      <c r="M4042" s="9">
        <f t="shared" si="254"/>
        <v>88</v>
      </c>
      <c r="N4042" t="str">
        <f t="shared" si="255"/>
        <v>Dec</v>
      </c>
    </row>
    <row r="4043" spans="1:14" x14ac:dyDescent="0.3">
      <c r="A4043" s="2" t="s">
        <v>4109</v>
      </c>
      <c r="B4043" s="6">
        <v>46008</v>
      </c>
      <c r="C4043" s="2" t="s">
        <v>28</v>
      </c>
      <c r="D4043" s="2" t="s">
        <v>52</v>
      </c>
      <c r="E4043" s="2">
        <v>1</v>
      </c>
      <c r="F4043" s="7">
        <v>299</v>
      </c>
      <c r="G4043" s="8">
        <v>0.2</v>
      </c>
      <c r="H4043" s="9" t="str">
        <f>INDEX(Products!$B$2:$B$37, MATCH(D4043, Products!$A$2:$A$37, 0))</f>
        <v>Hair Dryer Ionic</v>
      </c>
      <c r="I4043" t="str">
        <f>INDEX(Products!$C$2:$C$37, MATCH(D4043, Products!$A$2:$A$37, 0))</f>
        <v>Beauty</v>
      </c>
      <c r="J4043">
        <f>INDEX(Products!$E$2:$E$37, MATCH(D4043, Products!$A$2:$A$37, 0))</f>
        <v>240</v>
      </c>
      <c r="K4043" s="9">
        <f t="shared" si="252"/>
        <v>239.20000000000002</v>
      </c>
      <c r="L4043">
        <f t="shared" si="253"/>
        <v>240</v>
      </c>
      <c r="M4043" s="9">
        <f t="shared" si="254"/>
        <v>-0.79999999999998295</v>
      </c>
      <c r="N4043" t="str">
        <f t="shared" si="255"/>
        <v>Dec</v>
      </c>
    </row>
    <row r="4044" spans="1:14" x14ac:dyDescent="0.3">
      <c r="A4044" s="2" t="s">
        <v>4110</v>
      </c>
      <c r="B4044" s="6">
        <v>46008</v>
      </c>
      <c r="C4044" s="2" t="s">
        <v>48</v>
      </c>
      <c r="D4044" s="2" t="s">
        <v>42</v>
      </c>
      <c r="E4044" s="2">
        <v>1</v>
      </c>
      <c r="F4044" s="7">
        <v>399</v>
      </c>
      <c r="G4044" s="8">
        <v>0.2</v>
      </c>
      <c r="H4044" s="9" t="str">
        <f>INDEX(Products!$B$2:$B$37, MATCH(D4044, Products!$A$2:$A$37, 0))</f>
        <v>Wireless Earbuds Pro</v>
      </c>
      <c r="I4044" t="str">
        <f>INDEX(Products!$C$2:$C$37, MATCH(D4044, Products!$A$2:$A$37, 0))</f>
        <v>Electronics</v>
      </c>
      <c r="J4044">
        <f>INDEX(Products!$E$2:$E$37, MATCH(D4044, Products!$A$2:$A$37, 0))</f>
        <v>230</v>
      </c>
      <c r="K4044" s="9">
        <f t="shared" si="252"/>
        <v>319.20000000000005</v>
      </c>
      <c r="L4044">
        <f t="shared" si="253"/>
        <v>230</v>
      </c>
      <c r="M4044" s="9">
        <f t="shared" si="254"/>
        <v>89.200000000000045</v>
      </c>
      <c r="N4044" t="str">
        <f t="shared" si="255"/>
        <v>Dec</v>
      </c>
    </row>
    <row r="4045" spans="1:14" x14ac:dyDescent="0.3">
      <c r="A4045" s="2" t="s">
        <v>4111</v>
      </c>
      <c r="B4045" s="6">
        <v>46008</v>
      </c>
      <c r="C4045" s="2" t="s">
        <v>44</v>
      </c>
      <c r="D4045" s="2" t="s">
        <v>46</v>
      </c>
      <c r="E4045" s="2">
        <v>2</v>
      </c>
      <c r="F4045" s="7">
        <v>189</v>
      </c>
      <c r="G4045" s="8">
        <v>0.15</v>
      </c>
      <c r="H4045" s="9" t="str">
        <f>INDEX(Products!$B$2:$B$37, MATCH(D4045, Products!$A$2:$A$37, 0))</f>
        <v>Makeup Palette</v>
      </c>
      <c r="I4045" t="str">
        <f>INDEX(Products!$C$2:$C$37, MATCH(D4045, Products!$A$2:$A$37, 0))</f>
        <v>Beauty</v>
      </c>
      <c r="J4045">
        <f>INDEX(Products!$E$2:$E$37, MATCH(D4045, Products!$A$2:$A$37, 0))</f>
        <v>85</v>
      </c>
      <c r="K4045" s="9">
        <f t="shared" si="252"/>
        <v>321.3</v>
      </c>
      <c r="L4045">
        <f t="shared" si="253"/>
        <v>170</v>
      </c>
      <c r="M4045" s="9">
        <f t="shared" si="254"/>
        <v>151.30000000000001</v>
      </c>
      <c r="N4045" t="str">
        <f t="shared" si="255"/>
        <v>Dec</v>
      </c>
    </row>
    <row r="4046" spans="1:14" x14ac:dyDescent="0.3">
      <c r="A4046" s="2" t="s">
        <v>4112</v>
      </c>
      <c r="B4046" s="6">
        <v>46008</v>
      </c>
      <c r="C4046" s="2" t="s">
        <v>48</v>
      </c>
      <c r="D4046" s="2" t="s">
        <v>131</v>
      </c>
      <c r="E4046" s="2">
        <v>2</v>
      </c>
      <c r="F4046" s="7">
        <v>899</v>
      </c>
      <c r="G4046" s="8">
        <v>0.2</v>
      </c>
      <c r="H4046" s="9" t="str">
        <f>INDEX(Products!$B$2:$B$37, MATCH(D4046, Products!$A$2:$A$37, 0))</f>
        <v>4K Action Camera</v>
      </c>
      <c r="I4046" t="str">
        <f>INDEX(Products!$C$2:$C$37, MATCH(D4046, Products!$A$2:$A$37, 0))</f>
        <v>Electronics</v>
      </c>
      <c r="J4046">
        <f>INDEX(Products!$E$2:$E$37, MATCH(D4046, Products!$A$2:$A$37, 0))</f>
        <v>610</v>
      </c>
      <c r="K4046" s="9">
        <f t="shared" si="252"/>
        <v>1438.4</v>
      </c>
      <c r="L4046">
        <f t="shared" si="253"/>
        <v>1220</v>
      </c>
      <c r="M4046" s="9">
        <f t="shared" si="254"/>
        <v>218.40000000000009</v>
      </c>
      <c r="N4046" t="str">
        <f t="shared" si="255"/>
        <v>Dec</v>
      </c>
    </row>
    <row r="4047" spans="1:14" x14ac:dyDescent="0.3">
      <c r="A4047" s="2" t="s">
        <v>4113</v>
      </c>
      <c r="B4047" s="6">
        <v>46009</v>
      </c>
      <c r="C4047" s="2" t="s">
        <v>31</v>
      </c>
      <c r="D4047" s="2" t="s">
        <v>35</v>
      </c>
      <c r="E4047" s="2">
        <v>2</v>
      </c>
      <c r="F4047" s="7">
        <v>179</v>
      </c>
      <c r="G4047" s="8">
        <v>0.2</v>
      </c>
      <c r="H4047" s="9" t="str">
        <f>INDEX(Products!$B$2:$B$37, MATCH(D4047, Products!$A$2:$A$37, 0))</f>
        <v>Men's Linen Shirt</v>
      </c>
      <c r="I4047" t="str">
        <f>INDEX(Products!$C$2:$C$37, MATCH(D4047, Products!$A$2:$A$37, 0))</f>
        <v>Fashion</v>
      </c>
      <c r="J4047">
        <f>INDEX(Products!$E$2:$E$37, MATCH(D4047, Products!$A$2:$A$37, 0))</f>
        <v>70</v>
      </c>
      <c r="K4047" s="9">
        <f t="shared" si="252"/>
        <v>286.40000000000003</v>
      </c>
      <c r="L4047">
        <f t="shared" si="253"/>
        <v>140</v>
      </c>
      <c r="M4047" s="9">
        <f t="shared" si="254"/>
        <v>146.40000000000003</v>
      </c>
      <c r="N4047" t="str">
        <f t="shared" si="255"/>
        <v>Dec</v>
      </c>
    </row>
    <row r="4048" spans="1:14" x14ac:dyDescent="0.3">
      <c r="A4048" s="2" t="s">
        <v>4114</v>
      </c>
      <c r="B4048" s="6">
        <v>46009</v>
      </c>
      <c r="C4048" s="2" t="s">
        <v>28</v>
      </c>
      <c r="D4048" s="2" t="s">
        <v>42</v>
      </c>
      <c r="E4048" s="2">
        <v>4</v>
      </c>
      <c r="F4048" s="7">
        <v>399</v>
      </c>
      <c r="G4048" s="8">
        <v>0</v>
      </c>
      <c r="H4048" s="9" t="str">
        <f>INDEX(Products!$B$2:$B$37, MATCH(D4048, Products!$A$2:$A$37, 0))</f>
        <v>Wireless Earbuds Pro</v>
      </c>
      <c r="I4048" t="str">
        <f>INDEX(Products!$C$2:$C$37, MATCH(D4048, Products!$A$2:$A$37, 0))</f>
        <v>Electronics</v>
      </c>
      <c r="J4048">
        <f>INDEX(Products!$E$2:$E$37, MATCH(D4048, Products!$A$2:$A$37, 0))</f>
        <v>230</v>
      </c>
      <c r="K4048" s="9">
        <f t="shared" si="252"/>
        <v>1596</v>
      </c>
      <c r="L4048">
        <f t="shared" si="253"/>
        <v>920</v>
      </c>
      <c r="M4048" s="9">
        <f t="shared" si="254"/>
        <v>676</v>
      </c>
      <c r="N4048" t="str">
        <f t="shared" si="255"/>
        <v>Dec</v>
      </c>
    </row>
    <row r="4049" spans="1:14" x14ac:dyDescent="0.3">
      <c r="A4049" s="2" t="s">
        <v>4115</v>
      </c>
      <c r="B4049" s="6">
        <v>46009</v>
      </c>
      <c r="C4049" s="2" t="s">
        <v>28</v>
      </c>
      <c r="D4049" s="2" t="s">
        <v>37</v>
      </c>
      <c r="E4049" s="2">
        <v>1</v>
      </c>
      <c r="F4049" s="7">
        <v>249</v>
      </c>
      <c r="G4049" s="8">
        <v>0</v>
      </c>
      <c r="H4049" s="9" t="str">
        <f>INDEX(Products!$B$2:$B$37, MATCH(D4049, Products!$A$2:$A$37, 0))</f>
        <v>Sunglasses Polarised</v>
      </c>
      <c r="I4049" t="str">
        <f>INDEX(Products!$C$2:$C$37, MATCH(D4049, Products!$A$2:$A$37, 0))</f>
        <v>Fashion</v>
      </c>
      <c r="J4049">
        <f>INDEX(Products!$E$2:$E$37, MATCH(D4049, Products!$A$2:$A$37, 0))</f>
        <v>95</v>
      </c>
      <c r="K4049" s="9">
        <f t="shared" si="252"/>
        <v>249</v>
      </c>
      <c r="L4049">
        <f t="shared" si="253"/>
        <v>95</v>
      </c>
      <c r="M4049" s="9">
        <f t="shared" si="254"/>
        <v>154</v>
      </c>
      <c r="N4049" t="str">
        <f t="shared" si="255"/>
        <v>Dec</v>
      </c>
    </row>
    <row r="4050" spans="1:14" x14ac:dyDescent="0.3">
      <c r="A4050" s="2" t="s">
        <v>4116</v>
      </c>
      <c r="B4050" s="6">
        <v>46009</v>
      </c>
      <c r="C4050" s="2" t="s">
        <v>31</v>
      </c>
      <c r="D4050" s="2" t="s">
        <v>126</v>
      </c>
      <c r="E4050" s="2">
        <v>1</v>
      </c>
      <c r="F4050" s="7">
        <v>89</v>
      </c>
      <c r="G4050" s="8">
        <v>0</v>
      </c>
      <c r="H4050" s="9" t="str">
        <f>INDEX(Products!$B$2:$B$37, MATCH(D4050, Products!$A$2:$A$37, 0))</f>
        <v>USB-C Fast Charger</v>
      </c>
      <c r="I4050" t="str">
        <f>INDEX(Products!$C$2:$C$37, MATCH(D4050, Products!$A$2:$A$37, 0))</f>
        <v>Electronics</v>
      </c>
      <c r="J4050">
        <f>INDEX(Products!$E$2:$E$37, MATCH(D4050, Products!$A$2:$A$37, 0))</f>
        <v>35</v>
      </c>
      <c r="K4050" s="9">
        <f t="shared" si="252"/>
        <v>89</v>
      </c>
      <c r="L4050">
        <f t="shared" si="253"/>
        <v>35</v>
      </c>
      <c r="M4050" s="9">
        <f t="shared" si="254"/>
        <v>54</v>
      </c>
      <c r="N4050" t="str">
        <f t="shared" si="255"/>
        <v>Dec</v>
      </c>
    </row>
    <row r="4051" spans="1:14" x14ac:dyDescent="0.3">
      <c r="A4051" s="2" t="s">
        <v>4117</v>
      </c>
      <c r="B4051" s="6">
        <v>46009</v>
      </c>
      <c r="C4051" s="2" t="s">
        <v>41</v>
      </c>
      <c r="D4051" s="2" t="s">
        <v>42</v>
      </c>
      <c r="E4051" s="2">
        <v>1</v>
      </c>
      <c r="F4051" s="7">
        <v>399</v>
      </c>
      <c r="G4051" s="8">
        <v>0.2</v>
      </c>
      <c r="H4051" s="9" t="str">
        <f>INDEX(Products!$B$2:$B$37, MATCH(D4051, Products!$A$2:$A$37, 0))</f>
        <v>Wireless Earbuds Pro</v>
      </c>
      <c r="I4051" t="str">
        <f>INDEX(Products!$C$2:$C$37, MATCH(D4051, Products!$A$2:$A$37, 0))</f>
        <v>Electronics</v>
      </c>
      <c r="J4051">
        <f>INDEX(Products!$E$2:$E$37, MATCH(D4051, Products!$A$2:$A$37, 0))</f>
        <v>230</v>
      </c>
      <c r="K4051" s="9">
        <f t="shared" si="252"/>
        <v>319.20000000000005</v>
      </c>
      <c r="L4051">
        <f t="shared" si="253"/>
        <v>230</v>
      </c>
      <c r="M4051" s="9">
        <f t="shared" si="254"/>
        <v>89.200000000000045</v>
      </c>
      <c r="N4051" t="str">
        <f t="shared" si="255"/>
        <v>Dec</v>
      </c>
    </row>
    <row r="4052" spans="1:14" x14ac:dyDescent="0.3">
      <c r="A4052" s="2" t="s">
        <v>4118</v>
      </c>
      <c r="B4052" s="6">
        <v>46009</v>
      </c>
      <c r="C4052" s="2" t="s">
        <v>28</v>
      </c>
      <c r="D4052" s="2" t="s">
        <v>115</v>
      </c>
      <c r="E4052" s="2">
        <v>1</v>
      </c>
      <c r="F4052" s="7">
        <v>129</v>
      </c>
      <c r="G4052" s="8">
        <v>0</v>
      </c>
      <c r="H4052" s="9" t="str">
        <f>INDEX(Products!$B$2:$B$37, MATCH(D4052, Products!$A$2:$A$37, 0))</f>
        <v>Electric Kettle</v>
      </c>
      <c r="I4052" t="str">
        <f>INDEX(Products!$C$2:$C$37, MATCH(D4052, Products!$A$2:$A$37, 0))</f>
        <v>Home &amp; Kitchen</v>
      </c>
      <c r="J4052">
        <f>INDEX(Products!$E$2:$E$37, MATCH(D4052, Products!$A$2:$A$37, 0))</f>
        <v>60</v>
      </c>
      <c r="K4052" s="9">
        <f t="shared" si="252"/>
        <v>129</v>
      </c>
      <c r="L4052">
        <f t="shared" si="253"/>
        <v>60</v>
      </c>
      <c r="M4052" s="9">
        <f t="shared" si="254"/>
        <v>69</v>
      </c>
      <c r="N4052" t="str">
        <f t="shared" si="255"/>
        <v>Dec</v>
      </c>
    </row>
    <row r="4053" spans="1:14" x14ac:dyDescent="0.3">
      <c r="A4053" s="2" t="s">
        <v>4119</v>
      </c>
      <c r="B4053" s="6">
        <v>46009</v>
      </c>
      <c r="C4053" s="2" t="s">
        <v>28</v>
      </c>
      <c r="D4053" s="2" t="s">
        <v>46</v>
      </c>
      <c r="E4053" s="2">
        <v>3</v>
      </c>
      <c r="F4053" s="7">
        <v>189</v>
      </c>
      <c r="G4053" s="8">
        <v>0.2</v>
      </c>
      <c r="H4053" s="9" t="str">
        <f>INDEX(Products!$B$2:$B$37, MATCH(D4053, Products!$A$2:$A$37, 0))</f>
        <v>Makeup Palette</v>
      </c>
      <c r="I4053" t="str">
        <f>INDEX(Products!$C$2:$C$37, MATCH(D4053, Products!$A$2:$A$37, 0))</f>
        <v>Beauty</v>
      </c>
      <c r="J4053">
        <f>INDEX(Products!$E$2:$E$37, MATCH(D4053, Products!$A$2:$A$37, 0))</f>
        <v>85</v>
      </c>
      <c r="K4053" s="9">
        <f t="shared" si="252"/>
        <v>453.6</v>
      </c>
      <c r="L4053">
        <f t="shared" si="253"/>
        <v>255</v>
      </c>
      <c r="M4053" s="9">
        <f t="shared" si="254"/>
        <v>198.60000000000002</v>
      </c>
      <c r="N4053" t="str">
        <f t="shared" si="255"/>
        <v>Dec</v>
      </c>
    </row>
    <row r="4054" spans="1:14" x14ac:dyDescent="0.3">
      <c r="A4054" s="2" t="s">
        <v>4120</v>
      </c>
      <c r="B4054" s="6">
        <v>46010</v>
      </c>
      <c r="C4054" s="2" t="s">
        <v>41</v>
      </c>
      <c r="D4054" s="2" t="s">
        <v>37</v>
      </c>
      <c r="E4054" s="2">
        <v>2</v>
      </c>
      <c r="F4054" s="7">
        <v>249</v>
      </c>
      <c r="G4054" s="8">
        <v>0</v>
      </c>
      <c r="H4054" s="9" t="str">
        <f>INDEX(Products!$B$2:$B$37, MATCH(D4054, Products!$A$2:$A$37, 0))</f>
        <v>Sunglasses Polarised</v>
      </c>
      <c r="I4054" t="str">
        <f>INDEX(Products!$C$2:$C$37, MATCH(D4054, Products!$A$2:$A$37, 0))</f>
        <v>Fashion</v>
      </c>
      <c r="J4054">
        <f>INDEX(Products!$E$2:$E$37, MATCH(D4054, Products!$A$2:$A$37, 0))</f>
        <v>95</v>
      </c>
      <c r="K4054" s="9">
        <f t="shared" si="252"/>
        <v>498</v>
      </c>
      <c r="L4054">
        <f t="shared" si="253"/>
        <v>190</v>
      </c>
      <c r="M4054" s="9">
        <f t="shared" si="254"/>
        <v>308</v>
      </c>
      <c r="N4054" t="str">
        <f t="shared" si="255"/>
        <v>Dec</v>
      </c>
    </row>
    <row r="4055" spans="1:14" x14ac:dyDescent="0.3">
      <c r="A4055" s="2" t="s">
        <v>4121</v>
      </c>
      <c r="B4055" s="6">
        <v>46010</v>
      </c>
      <c r="C4055" s="2" t="s">
        <v>31</v>
      </c>
      <c r="D4055" s="2" t="s">
        <v>131</v>
      </c>
      <c r="E4055" s="2">
        <v>1</v>
      </c>
      <c r="F4055" s="7">
        <v>899</v>
      </c>
      <c r="G4055" s="8">
        <v>0</v>
      </c>
      <c r="H4055" s="9" t="str">
        <f>INDEX(Products!$B$2:$B$37, MATCH(D4055, Products!$A$2:$A$37, 0))</f>
        <v>4K Action Camera</v>
      </c>
      <c r="I4055" t="str">
        <f>INDEX(Products!$C$2:$C$37, MATCH(D4055, Products!$A$2:$A$37, 0))</f>
        <v>Electronics</v>
      </c>
      <c r="J4055">
        <f>INDEX(Products!$E$2:$E$37, MATCH(D4055, Products!$A$2:$A$37, 0))</f>
        <v>610</v>
      </c>
      <c r="K4055" s="9">
        <f t="shared" si="252"/>
        <v>899</v>
      </c>
      <c r="L4055">
        <f t="shared" si="253"/>
        <v>610</v>
      </c>
      <c r="M4055" s="9">
        <f t="shared" si="254"/>
        <v>289</v>
      </c>
      <c r="N4055" t="str">
        <f t="shared" si="255"/>
        <v>Dec</v>
      </c>
    </row>
    <row r="4056" spans="1:14" x14ac:dyDescent="0.3">
      <c r="A4056" s="2" t="s">
        <v>4122</v>
      </c>
      <c r="B4056" s="6">
        <v>46010</v>
      </c>
      <c r="C4056" s="2" t="s">
        <v>41</v>
      </c>
      <c r="D4056" s="2" t="s">
        <v>56</v>
      </c>
      <c r="E4056" s="2">
        <v>2</v>
      </c>
      <c r="F4056" s="7">
        <v>289</v>
      </c>
      <c r="G4056" s="8">
        <v>0.2</v>
      </c>
      <c r="H4056" s="9" t="str">
        <f>INDEX(Products!$B$2:$B$37, MATCH(D4056, Products!$A$2:$A$37, 0))</f>
        <v>Ceramic Dinner Set</v>
      </c>
      <c r="I4056" t="str">
        <f>INDEX(Products!$C$2:$C$37, MATCH(D4056, Products!$A$2:$A$37, 0))</f>
        <v>Home &amp; Kitchen</v>
      </c>
      <c r="J4056">
        <f>INDEX(Products!$E$2:$E$37, MATCH(D4056, Products!$A$2:$A$37, 0))</f>
        <v>140</v>
      </c>
      <c r="K4056" s="9">
        <f t="shared" si="252"/>
        <v>462.40000000000003</v>
      </c>
      <c r="L4056">
        <f t="shared" si="253"/>
        <v>280</v>
      </c>
      <c r="M4056" s="9">
        <f t="shared" si="254"/>
        <v>182.40000000000003</v>
      </c>
      <c r="N4056" t="str">
        <f t="shared" si="255"/>
        <v>Dec</v>
      </c>
    </row>
    <row r="4057" spans="1:14" x14ac:dyDescent="0.3">
      <c r="A4057" s="2" t="s">
        <v>4123</v>
      </c>
      <c r="B4057" s="6">
        <v>46010</v>
      </c>
      <c r="C4057" s="2" t="s">
        <v>28</v>
      </c>
      <c r="D4057" s="2" t="s">
        <v>49</v>
      </c>
      <c r="E4057" s="2">
        <v>1</v>
      </c>
      <c r="F4057" s="7">
        <v>149</v>
      </c>
      <c r="G4057" s="8">
        <v>0</v>
      </c>
      <c r="H4057" s="9" t="str">
        <f>INDEX(Products!$B$2:$B$37, MATCH(D4057, Products!$A$2:$A$37, 0))</f>
        <v>Kids' Sneakers</v>
      </c>
      <c r="I4057" t="str">
        <f>INDEX(Products!$C$2:$C$37, MATCH(D4057, Products!$A$2:$A$37, 0))</f>
        <v>Fashion</v>
      </c>
      <c r="J4057">
        <f>INDEX(Products!$E$2:$E$37, MATCH(D4057, Products!$A$2:$A$37, 0))</f>
        <v>80</v>
      </c>
      <c r="K4057" s="9">
        <f t="shared" si="252"/>
        <v>149</v>
      </c>
      <c r="L4057">
        <f t="shared" si="253"/>
        <v>80</v>
      </c>
      <c r="M4057" s="9">
        <f t="shared" si="254"/>
        <v>69</v>
      </c>
      <c r="N4057" t="str">
        <f t="shared" si="255"/>
        <v>Dec</v>
      </c>
    </row>
    <row r="4058" spans="1:14" x14ac:dyDescent="0.3">
      <c r="A4058" s="2" t="s">
        <v>4124</v>
      </c>
      <c r="B4058" s="6">
        <v>46010</v>
      </c>
      <c r="C4058" s="2" t="s">
        <v>48</v>
      </c>
      <c r="D4058" s="2" t="s">
        <v>70</v>
      </c>
      <c r="E4058" s="2">
        <v>1</v>
      </c>
      <c r="F4058" s="7">
        <v>429</v>
      </c>
      <c r="G4058" s="8">
        <v>0.1</v>
      </c>
      <c r="H4058" s="9" t="str">
        <f>INDEX(Products!$B$2:$B$37, MATCH(D4058, Products!$A$2:$A$37, 0))</f>
        <v>Running Shoes Elite</v>
      </c>
      <c r="I4058" t="str">
        <f>INDEX(Products!$C$2:$C$37, MATCH(D4058, Products!$A$2:$A$37, 0))</f>
        <v>Fashion</v>
      </c>
      <c r="J4058">
        <f>INDEX(Products!$E$2:$E$37, MATCH(D4058, Products!$A$2:$A$37, 0))</f>
        <v>300</v>
      </c>
      <c r="K4058" s="9">
        <f t="shared" si="252"/>
        <v>386.1</v>
      </c>
      <c r="L4058">
        <f t="shared" si="253"/>
        <v>300</v>
      </c>
      <c r="M4058" s="9">
        <f t="shared" si="254"/>
        <v>86.100000000000023</v>
      </c>
      <c r="N4058" t="str">
        <f t="shared" si="255"/>
        <v>Dec</v>
      </c>
    </row>
    <row r="4059" spans="1:14" x14ac:dyDescent="0.3">
      <c r="A4059" s="2" t="s">
        <v>4125</v>
      </c>
      <c r="B4059" s="6">
        <v>46010</v>
      </c>
      <c r="C4059" s="2" t="s">
        <v>44</v>
      </c>
      <c r="D4059" s="2" t="s">
        <v>78</v>
      </c>
      <c r="E4059" s="2">
        <v>2</v>
      </c>
      <c r="F4059" s="7">
        <v>499</v>
      </c>
      <c r="G4059" s="8">
        <v>0.2</v>
      </c>
      <c r="H4059" s="9" t="str">
        <f>INDEX(Products!$B$2:$B$37, MATCH(D4059, Products!$A$2:$A$37, 0))</f>
        <v>Air Fryer 5L</v>
      </c>
      <c r="I4059" t="str">
        <f>INDEX(Products!$C$2:$C$37, MATCH(D4059, Products!$A$2:$A$37, 0))</f>
        <v>Home &amp; Kitchen</v>
      </c>
      <c r="J4059">
        <f>INDEX(Products!$E$2:$E$37, MATCH(D4059, Products!$A$2:$A$37, 0))</f>
        <v>290</v>
      </c>
      <c r="K4059" s="9">
        <f t="shared" si="252"/>
        <v>798.40000000000009</v>
      </c>
      <c r="L4059">
        <f t="shared" si="253"/>
        <v>580</v>
      </c>
      <c r="M4059" s="9">
        <f t="shared" si="254"/>
        <v>218.40000000000009</v>
      </c>
      <c r="N4059" t="str">
        <f t="shared" si="255"/>
        <v>Dec</v>
      </c>
    </row>
    <row r="4060" spans="1:14" x14ac:dyDescent="0.3">
      <c r="A4060" s="2" t="s">
        <v>4126</v>
      </c>
      <c r="B4060" s="6">
        <v>46010</v>
      </c>
      <c r="C4060" s="2" t="s">
        <v>31</v>
      </c>
      <c r="D4060" s="2" t="s">
        <v>149</v>
      </c>
      <c r="E4060" s="2">
        <v>3</v>
      </c>
      <c r="F4060" s="7">
        <v>399</v>
      </c>
      <c r="G4060" s="8">
        <v>0.2</v>
      </c>
      <c r="H4060" s="9" t="str">
        <f>INDEX(Products!$B$2:$B$37, MATCH(D4060, Products!$A$2:$A$37, 0))</f>
        <v>Blender Pro 1200W</v>
      </c>
      <c r="I4060" t="str">
        <f>INDEX(Products!$C$2:$C$37, MATCH(D4060, Products!$A$2:$A$37, 0))</f>
        <v>Home &amp; Kitchen</v>
      </c>
      <c r="J4060">
        <f>INDEX(Products!$E$2:$E$37, MATCH(D4060, Products!$A$2:$A$37, 0))</f>
        <v>250</v>
      </c>
      <c r="K4060" s="9">
        <f t="shared" si="252"/>
        <v>957.6</v>
      </c>
      <c r="L4060">
        <f t="shared" si="253"/>
        <v>750</v>
      </c>
      <c r="M4060" s="9">
        <f t="shared" si="254"/>
        <v>207.60000000000002</v>
      </c>
      <c r="N4060" t="str">
        <f t="shared" si="255"/>
        <v>Dec</v>
      </c>
    </row>
    <row r="4061" spans="1:14" x14ac:dyDescent="0.3">
      <c r="A4061" s="2" t="s">
        <v>4127</v>
      </c>
      <c r="B4061" s="6">
        <v>46010</v>
      </c>
      <c r="C4061" s="2" t="s">
        <v>41</v>
      </c>
      <c r="D4061" s="2" t="s">
        <v>39</v>
      </c>
      <c r="E4061" s="2">
        <v>4</v>
      </c>
      <c r="F4061" s="7">
        <v>199</v>
      </c>
      <c r="G4061" s="8">
        <v>0.2</v>
      </c>
      <c r="H4061" s="9" t="str">
        <f>INDEX(Products!$B$2:$B$37, MATCH(D4061, Products!$A$2:$A$37, 0))</f>
        <v>Bakhoor Gift Set</v>
      </c>
      <c r="I4061" t="str">
        <f>INDEX(Products!$C$2:$C$37, MATCH(D4061, Products!$A$2:$A$37, 0))</f>
        <v>Beauty</v>
      </c>
      <c r="J4061">
        <f>INDEX(Products!$E$2:$E$37, MATCH(D4061, Products!$A$2:$A$37, 0))</f>
        <v>90</v>
      </c>
      <c r="K4061" s="9">
        <f t="shared" si="252"/>
        <v>636.80000000000007</v>
      </c>
      <c r="L4061">
        <f t="shared" si="253"/>
        <v>360</v>
      </c>
      <c r="M4061" s="9">
        <f t="shared" si="254"/>
        <v>276.80000000000007</v>
      </c>
      <c r="N4061" t="str">
        <f t="shared" si="255"/>
        <v>Dec</v>
      </c>
    </row>
    <row r="4062" spans="1:14" x14ac:dyDescent="0.3">
      <c r="A4062" s="2" t="s">
        <v>4128</v>
      </c>
      <c r="B4062" s="6">
        <v>46010</v>
      </c>
      <c r="C4062" s="2" t="s">
        <v>41</v>
      </c>
      <c r="D4062" s="2" t="s">
        <v>39</v>
      </c>
      <c r="E4062" s="2">
        <v>2</v>
      </c>
      <c r="F4062" s="7">
        <v>199</v>
      </c>
      <c r="G4062" s="8">
        <v>0.1</v>
      </c>
      <c r="H4062" s="9" t="str">
        <f>INDEX(Products!$B$2:$B$37, MATCH(D4062, Products!$A$2:$A$37, 0))</f>
        <v>Bakhoor Gift Set</v>
      </c>
      <c r="I4062" t="str">
        <f>INDEX(Products!$C$2:$C$37, MATCH(D4062, Products!$A$2:$A$37, 0))</f>
        <v>Beauty</v>
      </c>
      <c r="J4062">
        <f>INDEX(Products!$E$2:$E$37, MATCH(D4062, Products!$A$2:$A$37, 0))</f>
        <v>90</v>
      </c>
      <c r="K4062" s="9">
        <f t="shared" si="252"/>
        <v>358.2</v>
      </c>
      <c r="L4062">
        <f t="shared" si="253"/>
        <v>180</v>
      </c>
      <c r="M4062" s="9">
        <f t="shared" si="254"/>
        <v>178.2</v>
      </c>
      <c r="N4062" t="str">
        <f t="shared" si="255"/>
        <v>Dec</v>
      </c>
    </row>
    <row r="4063" spans="1:14" x14ac:dyDescent="0.3">
      <c r="A4063" s="2" t="s">
        <v>4129</v>
      </c>
      <c r="B4063" s="6">
        <v>46010</v>
      </c>
      <c r="C4063" s="2" t="s">
        <v>31</v>
      </c>
      <c r="D4063" s="2" t="s">
        <v>39</v>
      </c>
      <c r="E4063" s="2">
        <v>1</v>
      </c>
      <c r="F4063" s="7">
        <v>199</v>
      </c>
      <c r="G4063" s="8">
        <v>0</v>
      </c>
      <c r="H4063" s="9" t="str">
        <f>INDEX(Products!$B$2:$B$37, MATCH(D4063, Products!$A$2:$A$37, 0))</f>
        <v>Bakhoor Gift Set</v>
      </c>
      <c r="I4063" t="str">
        <f>INDEX(Products!$C$2:$C$37, MATCH(D4063, Products!$A$2:$A$37, 0))</f>
        <v>Beauty</v>
      </c>
      <c r="J4063">
        <f>INDEX(Products!$E$2:$E$37, MATCH(D4063, Products!$A$2:$A$37, 0))</f>
        <v>90</v>
      </c>
      <c r="K4063" s="9">
        <f t="shared" si="252"/>
        <v>199</v>
      </c>
      <c r="L4063">
        <f t="shared" si="253"/>
        <v>90</v>
      </c>
      <c r="M4063" s="9">
        <f t="shared" si="254"/>
        <v>109</v>
      </c>
      <c r="N4063" t="str">
        <f t="shared" si="255"/>
        <v>Dec</v>
      </c>
    </row>
    <row r="4064" spans="1:14" x14ac:dyDescent="0.3">
      <c r="A4064" s="2" t="s">
        <v>4130</v>
      </c>
      <c r="B4064" s="6">
        <v>46010</v>
      </c>
      <c r="C4064" s="2" t="s">
        <v>31</v>
      </c>
      <c r="D4064" s="2" t="s">
        <v>49</v>
      </c>
      <c r="E4064" s="2">
        <v>2</v>
      </c>
      <c r="F4064" s="7">
        <v>149</v>
      </c>
      <c r="G4064" s="8">
        <v>0.3</v>
      </c>
      <c r="H4064" s="9" t="str">
        <f>INDEX(Products!$B$2:$B$37, MATCH(D4064, Products!$A$2:$A$37, 0))</f>
        <v>Kids' Sneakers</v>
      </c>
      <c r="I4064" t="str">
        <f>INDEX(Products!$C$2:$C$37, MATCH(D4064, Products!$A$2:$A$37, 0))</f>
        <v>Fashion</v>
      </c>
      <c r="J4064">
        <f>INDEX(Products!$E$2:$E$37, MATCH(D4064, Products!$A$2:$A$37, 0))</f>
        <v>80</v>
      </c>
      <c r="K4064" s="9">
        <f t="shared" si="252"/>
        <v>208.6</v>
      </c>
      <c r="L4064">
        <f t="shared" si="253"/>
        <v>160</v>
      </c>
      <c r="M4064" s="9">
        <f t="shared" si="254"/>
        <v>48.599999999999994</v>
      </c>
      <c r="N4064" t="str">
        <f t="shared" si="255"/>
        <v>Dec</v>
      </c>
    </row>
    <row r="4065" spans="1:14" x14ac:dyDescent="0.3">
      <c r="A4065" s="2" t="s">
        <v>4131</v>
      </c>
      <c r="B4065" s="6">
        <v>46011</v>
      </c>
      <c r="C4065" s="2" t="s">
        <v>28</v>
      </c>
      <c r="D4065" s="2" t="s">
        <v>80</v>
      </c>
      <c r="E4065" s="2">
        <v>1</v>
      </c>
      <c r="F4065" s="7">
        <v>149</v>
      </c>
      <c r="G4065" s="8">
        <v>0.15</v>
      </c>
      <c r="H4065" s="9" t="str">
        <f>INDEX(Products!$B$2:$B$37, MATCH(D4065, Products!$A$2:$A$37, 0))</f>
        <v>Vitamin C Serum</v>
      </c>
      <c r="I4065" t="str">
        <f>INDEX(Products!$C$2:$C$37, MATCH(D4065, Products!$A$2:$A$37, 0))</f>
        <v>Beauty</v>
      </c>
      <c r="J4065">
        <f>INDEX(Products!$E$2:$E$37, MATCH(D4065, Products!$A$2:$A$37, 0))</f>
        <v>55</v>
      </c>
      <c r="K4065" s="9">
        <f t="shared" si="252"/>
        <v>126.64999999999999</v>
      </c>
      <c r="L4065">
        <f t="shared" si="253"/>
        <v>55</v>
      </c>
      <c r="M4065" s="9">
        <f t="shared" si="254"/>
        <v>71.649999999999991</v>
      </c>
      <c r="N4065" t="str">
        <f t="shared" si="255"/>
        <v>Dec</v>
      </c>
    </row>
    <row r="4066" spans="1:14" x14ac:dyDescent="0.3">
      <c r="A4066" s="2" t="s">
        <v>4132</v>
      </c>
      <c r="B4066" s="6">
        <v>46011</v>
      </c>
      <c r="C4066" s="2" t="s">
        <v>31</v>
      </c>
      <c r="D4066" s="2" t="s">
        <v>126</v>
      </c>
      <c r="E4066" s="2">
        <v>2</v>
      </c>
      <c r="F4066" s="7">
        <v>89</v>
      </c>
      <c r="G4066" s="8">
        <v>0.2</v>
      </c>
      <c r="H4066" s="9" t="str">
        <f>INDEX(Products!$B$2:$B$37, MATCH(D4066, Products!$A$2:$A$37, 0))</f>
        <v>USB-C Fast Charger</v>
      </c>
      <c r="I4066" t="str">
        <f>INDEX(Products!$C$2:$C$37, MATCH(D4066, Products!$A$2:$A$37, 0))</f>
        <v>Electronics</v>
      </c>
      <c r="J4066">
        <f>INDEX(Products!$E$2:$E$37, MATCH(D4066, Products!$A$2:$A$37, 0))</f>
        <v>35</v>
      </c>
      <c r="K4066" s="9">
        <f t="shared" si="252"/>
        <v>142.4</v>
      </c>
      <c r="L4066">
        <f t="shared" si="253"/>
        <v>70</v>
      </c>
      <c r="M4066" s="9">
        <f t="shared" si="254"/>
        <v>72.400000000000006</v>
      </c>
      <c r="N4066" t="str">
        <f t="shared" si="255"/>
        <v>Dec</v>
      </c>
    </row>
    <row r="4067" spans="1:14" x14ac:dyDescent="0.3">
      <c r="A4067" s="2" t="s">
        <v>4133</v>
      </c>
      <c r="B4067" s="6">
        <v>46011</v>
      </c>
      <c r="C4067" s="2" t="s">
        <v>44</v>
      </c>
      <c r="D4067" s="2" t="s">
        <v>80</v>
      </c>
      <c r="E4067" s="2">
        <v>3</v>
      </c>
      <c r="F4067" s="7">
        <v>149</v>
      </c>
      <c r="G4067" s="8">
        <v>0.2</v>
      </c>
      <c r="H4067" s="9" t="str">
        <f>INDEX(Products!$B$2:$B$37, MATCH(D4067, Products!$A$2:$A$37, 0))</f>
        <v>Vitamin C Serum</v>
      </c>
      <c r="I4067" t="str">
        <f>INDEX(Products!$C$2:$C$37, MATCH(D4067, Products!$A$2:$A$37, 0))</f>
        <v>Beauty</v>
      </c>
      <c r="J4067">
        <f>INDEX(Products!$E$2:$E$37, MATCH(D4067, Products!$A$2:$A$37, 0))</f>
        <v>55</v>
      </c>
      <c r="K4067" s="9">
        <f t="shared" si="252"/>
        <v>357.6</v>
      </c>
      <c r="L4067">
        <f t="shared" si="253"/>
        <v>165</v>
      </c>
      <c r="M4067" s="9">
        <f t="shared" si="254"/>
        <v>192.60000000000002</v>
      </c>
      <c r="N4067" t="str">
        <f t="shared" si="255"/>
        <v>Dec</v>
      </c>
    </row>
    <row r="4068" spans="1:14" x14ac:dyDescent="0.3">
      <c r="A4068" s="2" t="s">
        <v>4134</v>
      </c>
      <c r="B4068" s="6">
        <v>46011</v>
      </c>
      <c r="C4068" s="2" t="s">
        <v>41</v>
      </c>
      <c r="D4068" s="2" t="s">
        <v>35</v>
      </c>
      <c r="E4068" s="2">
        <v>1</v>
      </c>
      <c r="F4068" s="7">
        <v>179</v>
      </c>
      <c r="G4068" s="8">
        <v>0.1</v>
      </c>
      <c r="H4068" s="9" t="str">
        <f>INDEX(Products!$B$2:$B$37, MATCH(D4068, Products!$A$2:$A$37, 0))</f>
        <v>Men's Linen Shirt</v>
      </c>
      <c r="I4068" t="str">
        <f>INDEX(Products!$C$2:$C$37, MATCH(D4068, Products!$A$2:$A$37, 0))</f>
        <v>Fashion</v>
      </c>
      <c r="J4068">
        <f>INDEX(Products!$E$2:$E$37, MATCH(D4068, Products!$A$2:$A$37, 0))</f>
        <v>70</v>
      </c>
      <c r="K4068" s="9">
        <f t="shared" si="252"/>
        <v>161.1</v>
      </c>
      <c r="L4068">
        <f t="shared" si="253"/>
        <v>70</v>
      </c>
      <c r="M4068" s="9">
        <f t="shared" si="254"/>
        <v>91.1</v>
      </c>
      <c r="N4068" t="str">
        <f t="shared" si="255"/>
        <v>Dec</v>
      </c>
    </row>
    <row r="4069" spans="1:14" x14ac:dyDescent="0.3">
      <c r="A4069" s="2" t="s">
        <v>4135</v>
      </c>
      <c r="B4069" s="6">
        <v>46011</v>
      </c>
      <c r="C4069" s="2" t="s">
        <v>48</v>
      </c>
      <c r="D4069" s="2" t="s">
        <v>126</v>
      </c>
      <c r="E4069" s="2">
        <v>4</v>
      </c>
      <c r="F4069" s="7">
        <v>89</v>
      </c>
      <c r="G4069" s="8">
        <v>0.2</v>
      </c>
      <c r="H4069" s="9" t="str">
        <f>INDEX(Products!$B$2:$B$37, MATCH(D4069, Products!$A$2:$A$37, 0))</f>
        <v>USB-C Fast Charger</v>
      </c>
      <c r="I4069" t="str">
        <f>INDEX(Products!$C$2:$C$37, MATCH(D4069, Products!$A$2:$A$37, 0))</f>
        <v>Electronics</v>
      </c>
      <c r="J4069">
        <f>INDEX(Products!$E$2:$E$37, MATCH(D4069, Products!$A$2:$A$37, 0))</f>
        <v>35</v>
      </c>
      <c r="K4069" s="9">
        <f t="shared" si="252"/>
        <v>284.8</v>
      </c>
      <c r="L4069">
        <f t="shared" si="253"/>
        <v>140</v>
      </c>
      <c r="M4069" s="9">
        <f t="shared" si="254"/>
        <v>144.80000000000001</v>
      </c>
      <c r="N4069" t="str">
        <f t="shared" si="255"/>
        <v>Dec</v>
      </c>
    </row>
    <row r="4070" spans="1:14" x14ac:dyDescent="0.3">
      <c r="A4070" s="2" t="s">
        <v>4136</v>
      </c>
      <c r="B4070" s="6">
        <v>46011</v>
      </c>
      <c r="C4070" s="2" t="s">
        <v>41</v>
      </c>
      <c r="D4070" s="2" t="s">
        <v>131</v>
      </c>
      <c r="E4070" s="2">
        <v>1</v>
      </c>
      <c r="F4070" s="7">
        <v>899</v>
      </c>
      <c r="G4070" s="8">
        <v>0</v>
      </c>
      <c r="H4070" s="9" t="str">
        <f>INDEX(Products!$B$2:$B$37, MATCH(D4070, Products!$A$2:$A$37, 0))</f>
        <v>4K Action Camera</v>
      </c>
      <c r="I4070" t="str">
        <f>INDEX(Products!$C$2:$C$37, MATCH(D4070, Products!$A$2:$A$37, 0))</f>
        <v>Electronics</v>
      </c>
      <c r="J4070">
        <f>INDEX(Products!$E$2:$E$37, MATCH(D4070, Products!$A$2:$A$37, 0))</f>
        <v>610</v>
      </c>
      <c r="K4070" s="9">
        <f t="shared" si="252"/>
        <v>899</v>
      </c>
      <c r="L4070">
        <f t="shared" si="253"/>
        <v>610</v>
      </c>
      <c r="M4070" s="9">
        <f t="shared" si="254"/>
        <v>289</v>
      </c>
      <c r="N4070" t="str">
        <f t="shared" si="255"/>
        <v>Dec</v>
      </c>
    </row>
    <row r="4071" spans="1:14" x14ac:dyDescent="0.3">
      <c r="A4071" s="2" t="s">
        <v>4137</v>
      </c>
      <c r="B4071" s="6">
        <v>46011</v>
      </c>
      <c r="C4071" s="2" t="s">
        <v>41</v>
      </c>
      <c r="D4071" s="2" t="s">
        <v>80</v>
      </c>
      <c r="E4071" s="2">
        <v>2</v>
      </c>
      <c r="F4071" s="7">
        <v>149</v>
      </c>
      <c r="G4071" s="8">
        <v>0.2</v>
      </c>
      <c r="H4071" s="9" t="str">
        <f>INDEX(Products!$B$2:$B$37, MATCH(D4071, Products!$A$2:$A$37, 0))</f>
        <v>Vitamin C Serum</v>
      </c>
      <c r="I4071" t="str">
        <f>INDEX(Products!$C$2:$C$37, MATCH(D4071, Products!$A$2:$A$37, 0))</f>
        <v>Beauty</v>
      </c>
      <c r="J4071">
        <f>INDEX(Products!$E$2:$E$37, MATCH(D4071, Products!$A$2:$A$37, 0))</f>
        <v>55</v>
      </c>
      <c r="K4071" s="9">
        <f t="shared" si="252"/>
        <v>238.4</v>
      </c>
      <c r="L4071">
        <f t="shared" si="253"/>
        <v>110</v>
      </c>
      <c r="M4071" s="9">
        <f t="shared" si="254"/>
        <v>128.4</v>
      </c>
      <c r="N4071" t="str">
        <f t="shared" si="255"/>
        <v>Dec</v>
      </c>
    </row>
    <row r="4072" spans="1:14" x14ac:dyDescent="0.3">
      <c r="A4072" s="2" t="s">
        <v>4138</v>
      </c>
      <c r="B4072" s="6">
        <v>46011</v>
      </c>
      <c r="C4072" s="2" t="s">
        <v>31</v>
      </c>
      <c r="D4072" s="2" t="s">
        <v>33</v>
      </c>
      <c r="E4072" s="2">
        <v>4</v>
      </c>
      <c r="F4072" s="7">
        <v>199</v>
      </c>
      <c r="G4072" s="8">
        <v>0.25</v>
      </c>
      <c r="H4072" s="9" t="str">
        <f>INDEX(Products!$B$2:$B$37, MATCH(D4072, Products!$A$2:$A$37, 0))</f>
        <v>Fitness Band Lite</v>
      </c>
      <c r="I4072" t="str">
        <f>INDEX(Products!$C$2:$C$37, MATCH(D4072, Products!$A$2:$A$37, 0))</f>
        <v>Electronics</v>
      </c>
      <c r="J4072">
        <f>INDEX(Products!$E$2:$E$37, MATCH(D4072, Products!$A$2:$A$37, 0))</f>
        <v>175</v>
      </c>
      <c r="K4072" s="9">
        <f t="shared" si="252"/>
        <v>597</v>
      </c>
      <c r="L4072">
        <f t="shared" si="253"/>
        <v>700</v>
      </c>
      <c r="M4072" s="9">
        <f t="shared" si="254"/>
        <v>-103</v>
      </c>
      <c r="N4072" t="str">
        <f t="shared" si="255"/>
        <v>Dec</v>
      </c>
    </row>
    <row r="4073" spans="1:14" x14ac:dyDescent="0.3">
      <c r="A4073" s="2" t="s">
        <v>4139</v>
      </c>
      <c r="B4073" s="6">
        <v>46011</v>
      </c>
      <c r="C4073" s="2" t="s">
        <v>28</v>
      </c>
      <c r="D4073" s="2" t="s">
        <v>80</v>
      </c>
      <c r="E4073" s="2">
        <v>2</v>
      </c>
      <c r="F4073" s="7">
        <v>149</v>
      </c>
      <c r="G4073" s="8">
        <v>0</v>
      </c>
      <c r="H4073" s="9" t="str">
        <f>INDEX(Products!$B$2:$B$37, MATCH(D4073, Products!$A$2:$A$37, 0))</f>
        <v>Vitamin C Serum</v>
      </c>
      <c r="I4073" t="str">
        <f>INDEX(Products!$C$2:$C$37, MATCH(D4073, Products!$A$2:$A$37, 0))</f>
        <v>Beauty</v>
      </c>
      <c r="J4073">
        <f>INDEX(Products!$E$2:$E$37, MATCH(D4073, Products!$A$2:$A$37, 0))</f>
        <v>55</v>
      </c>
      <c r="K4073" s="9">
        <f t="shared" si="252"/>
        <v>298</v>
      </c>
      <c r="L4073">
        <f t="shared" si="253"/>
        <v>110</v>
      </c>
      <c r="M4073" s="9">
        <f t="shared" si="254"/>
        <v>188</v>
      </c>
      <c r="N4073" t="str">
        <f t="shared" si="255"/>
        <v>Dec</v>
      </c>
    </row>
    <row r="4074" spans="1:14" x14ac:dyDescent="0.3">
      <c r="A4074" s="2" t="s">
        <v>4140</v>
      </c>
      <c r="B4074" s="6">
        <v>46012</v>
      </c>
      <c r="C4074" s="2" t="s">
        <v>31</v>
      </c>
      <c r="D4074" s="2" t="s">
        <v>126</v>
      </c>
      <c r="E4074" s="2">
        <v>3</v>
      </c>
      <c r="F4074" s="7">
        <v>89</v>
      </c>
      <c r="G4074" s="8">
        <v>0.2</v>
      </c>
      <c r="H4074" s="9" t="str">
        <f>INDEX(Products!$B$2:$B$37, MATCH(D4074, Products!$A$2:$A$37, 0))</f>
        <v>USB-C Fast Charger</v>
      </c>
      <c r="I4074" t="str">
        <f>INDEX(Products!$C$2:$C$37, MATCH(D4074, Products!$A$2:$A$37, 0))</f>
        <v>Electronics</v>
      </c>
      <c r="J4074">
        <f>INDEX(Products!$E$2:$E$37, MATCH(D4074, Products!$A$2:$A$37, 0))</f>
        <v>35</v>
      </c>
      <c r="K4074" s="9">
        <f t="shared" si="252"/>
        <v>213.60000000000002</v>
      </c>
      <c r="L4074">
        <f t="shared" si="253"/>
        <v>105</v>
      </c>
      <c r="M4074" s="9">
        <f t="shared" si="254"/>
        <v>108.60000000000002</v>
      </c>
      <c r="N4074" t="str">
        <f t="shared" si="255"/>
        <v>Dec</v>
      </c>
    </row>
    <row r="4075" spans="1:14" x14ac:dyDescent="0.3">
      <c r="A4075" s="2" t="s">
        <v>4141</v>
      </c>
      <c r="B4075" s="6">
        <v>46012</v>
      </c>
      <c r="C4075" s="2" t="s">
        <v>28</v>
      </c>
      <c r="D4075" s="2" t="s">
        <v>194</v>
      </c>
      <c r="E4075" s="2">
        <v>2</v>
      </c>
      <c r="F4075" s="7">
        <v>699</v>
      </c>
      <c r="G4075" s="8">
        <v>0.2</v>
      </c>
      <c r="H4075" s="9" t="str">
        <f>INDEX(Products!$B$2:$B$37, MATCH(D4075, Products!$A$2:$A$37, 0))</f>
        <v>Leather Handbag</v>
      </c>
      <c r="I4075" t="str">
        <f>INDEX(Products!$C$2:$C$37, MATCH(D4075, Products!$A$2:$A$37, 0))</f>
        <v>Fashion</v>
      </c>
      <c r="J4075">
        <f>INDEX(Products!$E$2:$E$37, MATCH(D4075, Products!$A$2:$A$37, 0))</f>
        <v>380</v>
      </c>
      <c r="K4075" s="9">
        <f t="shared" si="252"/>
        <v>1118.4000000000001</v>
      </c>
      <c r="L4075">
        <f t="shared" si="253"/>
        <v>760</v>
      </c>
      <c r="M4075" s="9">
        <f t="shared" si="254"/>
        <v>358.40000000000009</v>
      </c>
      <c r="N4075" t="str">
        <f t="shared" si="255"/>
        <v>Dec</v>
      </c>
    </row>
    <row r="4076" spans="1:14" x14ac:dyDescent="0.3">
      <c r="A4076" s="2" t="s">
        <v>4142</v>
      </c>
      <c r="B4076" s="6">
        <v>46012</v>
      </c>
      <c r="C4076" s="2" t="s">
        <v>41</v>
      </c>
      <c r="D4076" s="2" t="s">
        <v>42</v>
      </c>
      <c r="E4076" s="2">
        <v>1</v>
      </c>
      <c r="F4076" s="7">
        <v>399</v>
      </c>
      <c r="G4076" s="8">
        <v>0</v>
      </c>
      <c r="H4076" s="9" t="str">
        <f>INDEX(Products!$B$2:$B$37, MATCH(D4076, Products!$A$2:$A$37, 0))</f>
        <v>Wireless Earbuds Pro</v>
      </c>
      <c r="I4076" t="str">
        <f>INDEX(Products!$C$2:$C$37, MATCH(D4076, Products!$A$2:$A$37, 0))</f>
        <v>Electronics</v>
      </c>
      <c r="J4076">
        <f>INDEX(Products!$E$2:$E$37, MATCH(D4076, Products!$A$2:$A$37, 0))</f>
        <v>230</v>
      </c>
      <c r="K4076" s="9">
        <f t="shared" si="252"/>
        <v>399</v>
      </c>
      <c r="L4076">
        <f t="shared" si="253"/>
        <v>230</v>
      </c>
      <c r="M4076" s="9">
        <f t="shared" si="254"/>
        <v>169</v>
      </c>
      <c r="N4076" t="str">
        <f t="shared" si="255"/>
        <v>Dec</v>
      </c>
    </row>
    <row r="4077" spans="1:14" x14ac:dyDescent="0.3">
      <c r="A4077" s="2" t="s">
        <v>4143</v>
      </c>
      <c r="B4077" s="6">
        <v>46012</v>
      </c>
      <c r="C4077" s="2" t="s">
        <v>44</v>
      </c>
      <c r="D4077" s="2" t="s">
        <v>95</v>
      </c>
      <c r="E4077" s="2">
        <v>1</v>
      </c>
      <c r="F4077" s="7">
        <v>259</v>
      </c>
      <c r="G4077" s="8">
        <v>0.2</v>
      </c>
      <c r="H4077" s="9" t="str">
        <f>INDEX(Products!$B$2:$B$37, MATCH(D4077, Products!$A$2:$A$37, 0))</f>
        <v>Bed Linen Set (King)</v>
      </c>
      <c r="I4077" t="str">
        <f>INDEX(Products!$C$2:$C$37, MATCH(D4077, Products!$A$2:$A$37, 0))</f>
        <v>Home &amp; Kitchen</v>
      </c>
      <c r="J4077">
        <f>INDEX(Products!$E$2:$E$37, MATCH(D4077, Products!$A$2:$A$37, 0))</f>
        <v>115</v>
      </c>
      <c r="K4077" s="9">
        <f t="shared" si="252"/>
        <v>207.20000000000002</v>
      </c>
      <c r="L4077">
        <f t="shared" si="253"/>
        <v>115</v>
      </c>
      <c r="M4077" s="9">
        <f t="shared" si="254"/>
        <v>92.200000000000017</v>
      </c>
      <c r="N4077" t="str">
        <f t="shared" si="255"/>
        <v>Dec</v>
      </c>
    </row>
    <row r="4078" spans="1:14" x14ac:dyDescent="0.3">
      <c r="A4078" s="2" t="s">
        <v>4144</v>
      </c>
      <c r="B4078" s="6">
        <v>46012</v>
      </c>
      <c r="C4078" s="2" t="s">
        <v>48</v>
      </c>
      <c r="D4078" s="2" t="s">
        <v>109</v>
      </c>
      <c r="E4078" s="2">
        <v>1</v>
      </c>
      <c r="F4078" s="7">
        <v>1499</v>
      </c>
      <c r="G4078" s="8">
        <v>0.2</v>
      </c>
      <c r="H4078" s="9" t="str">
        <f>INDEX(Products!$B$2:$B$37, MATCH(D4078, Products!$A$2:$A$37, 0))</f>
        <v>Espresso Machine</v>
      </c>
      <c r="I4078" t="str">
        <f>INDEX(Products!$C$2:$C$37, MATCH(D4078, Products!$A$2:$A$37, 0))</f>
        <v>Home &amp; Kitchen</v>
      </c>
      <c r="J4078">
        <f>INDEX(Products!$E$2:$E$37, MATCH(D4078, Products!$A$2:$A$37, 0))</f>
        <v>1050</v>
      </c>
      <c r="K4078" s="9">
        <f t="shared" si="252"/>
        <v>1199.2</v>
      </c>
      <c r="L4078">
        <f t="shared" si="253"/>
        <v>1050</v>
      </c>
      <c r="M4078" s="9">
        <f t="shared" si="254"/>
        <v>149.20000000000005</v>
      </c>
      <c r="N4078" t="str">
        <f t="shared" si="255"/>
        <v>Dec</v>
      </c>
    </row>
    <row r="4079" spans="1:14" x14ac:dyDescent="0.3">
      <c r="A4079" s="2" t="s">
        <v>4145</v>
      </c>
      <c r="B4079" s="6">
        <v>46012</v>
      </c>
      <c r="C4079" s="2" t="s">
        <v>31</v>
      </c>
      <c r="D4079" s="2" t="s">
        <v>37</v>
      </c>
      <c r="E4079" s="2">
        <v>2</v>
      </c>
      <c r="F4079" s="7">
        <v>249</v>
      </c>
      <c r="G4079" s="8">
        <v>0.05</v>
      </c>
      <c r="H4079" s="9" t="str">
        <f>INDEX(Products!$B$2:$B$37, MATCH(D4079, Products!$A$2:$A$37, 0))</f>
        <v>Sunglasses Polarised</v>
      </c>
      <c r="I4079" t="str">
        <f>INDEX(Products!$C$2:$C$37, MATCH(D4079, Products!$A$2:$A$37, 0))</f>
        <v>Fashion</v>
      </c>
      <c r="J4079">
        <f>INDEX(Products!$E$2:$E$37, MATCH(D4079, Products!$A$2:$A$37, 0))</f>
        <v>95</v>
      </c>
      <c r="K4079" s="9">
        <f t="shared" si="252"/>
        <v>473.09999999999997</v>
      </c>
      <c r="L4079">
        <f t="shared" si="253"/>
        <v>190</v>
      </c>
      <c r="M4079" s="9">
        <f t="shared" si="254"/>
        <v>283.09999999999997</v>
      </c>
      <c r="N4079" t="str">
        <f t="shared" si="255"/>
        <v>Dec</v>
      </c>
    </row>
    <row r="4080" spans="1:14" x14ac:dyDescent="0.3">
      <c r="A4080" s="2" t="s">
        <v>4146</v>
      </c>
      <c r="B4080" s="6">
        <v>46012</v>
      </c>
      <c r="C4080" s="2" t="s">
        <v>41</v>
      </c>
      <c r="D4080" s="2" t="s">
        <v>35</v>
      </c>
      <c r="E4080" s="2">
        <v>3</v>
      </c>
      <c r="F4080" s="7">
        <v>179</v>
      </c>
      <c r="G4080" s="8">
        <v>0.05</v>
      </c>
      <c r="H4080" s="9" t="str">
        <f>INDEX(Products!$B$2:$B$37, MATCH(D4080, Products!$A$2:$A$37, 0))</f>
        <v>Men's Linen Shirt</v>
      </c>
      <c r="I4080" t="str">
        <f>INDEX(Products!$C$2:$C$37, MATCH(D4080, Products!$A$2:$A$37, 0))</f>
        <v>Fashion</v>
      </c>
      <c r="J4080">
        <f>INDEX(Products!$E$2:$E$37, MATCH(D4080, Products!$A$2:$A$37, 0))</f>
        <v>70</v>
      </c>
      <c r="K4080" s="9">
        <f t="shared" si="252"/>
        <v>510.15</v>
      </c>
      <c r="L4080">
        <f t="shared" si="253"/>
        <v>210</v>
      </c>
      <c r="M4080" s="9">
        <f t="shared" si="254"/>
        <v>300.14999999999998</v>
      </c>
      <c r="N4080" t="str">
        <f t="shared" si="255"/>
        <v>Dec</v>
      </c>
    </row>
    <row r="4081" spans="1:14" x14ac:dyDescent="0.3">
      <c r="A4081" s="2" t="s">
        <v>4147</v>
      </c>
      <c r="B4081" s="6">
        <v>46012</v>
      </c>
      <c r="C4081" s="2" t="s">
        <v>31</v>
      </c>
      <c r="D4081" s="2" t="s">
        <v>52</v>
      </c>
      <c r="E4081" s="2">
        <v>3</v>
      </c>
      <c r="F4081" s="7">
        <v>299</v>
      </c>
      <c r="G4081" s="8">
        <v>0.25</v>
      </c>
      <c r="H4081" s="9" t="str">
        <f>INDEX(Products!$B$2:$B$37, MATCH(D4081, Products!$A$2:$A$37, 0))</f>
        <v>Hair Dryer Ionic</v>
      </c>
      <c r="I4081" t="str">
        <f>INDEX(Products!$C$2:$C$37, MATCH(D4081, Products!$A$2:$A$37, 0))</f>
        <v>Beauty</v>
      </c>
      <c r="J4081">
        <f>INDEX(Products!$E$2:$E$37, MATCH(D4081, Products!$A$2:$A$37, 0))</f>
        <v>240</v>
      </c>
      <c r="K4081" s="9">
        <f t="shared" si="252"/>
        <v>672.75</v>
      </c>
      <c r="L4081">
        <f t="shared" si="253"/>
        <v>720</v>
      </c>
      <c r="M4081" s="9">
        <f t="shared" si="254"/>
        <v>-47.25</v>
      </c>
      <c r="N4081" t="str">
        <f t="shared" si="255"/>
        <v>Dec</v>
      </c>
    </row>
    <row r="4082" spans="1:14" x14ac:dyDescent="0.3">
      <c r="A4082" s="2" t="s">
        <v>4148</v>
      </c>
      <c r="B4082" s="6">
        <v>46012</v>
      </c>
      <c r="C4082" s="2" t="s">
        <v>41</v>
      </c>
      <c r="D4082" s="2" t="s">
        <v>39</v>
      </c>
      <c r="E4082" s="2">
        <v>1</v>
      </c>
      <c r="F4082" s="7">
        <v>199</v>
      </c>
      <c r="G4082" s="8">
        <v>0.2</v>
      </c>
      <c r="H4082" s="9" t="str">
        <f>INDEX(Products!$B$2:$B$37, MATCH(D4082, Products!$A$2:$A$37, 0))</f>
        <v>Bakhoor Gift Set</v>
      </c>
      <c r="I4082" t="str">
        <f>INDEX(Products!$C$2:$C$37, MATCH(D4082, Products!$A$2:$A$37, 0))</f>
        <v>Beauty</v>
      </c>
      <c r="J4082">
        <f>INDEX(Products!$E$2:$E$37, MATCH(D4082, Products!$A$2:$A$37, 0))</f>
        <v>90</v>
      </c>
      <c r="K4082" s="9">
        <f t="shared" si="252"/>
        <v>159.20000000000002</v>
      </c>
      <c r="L4082">
        <f t="shared" si="253"/>
        <v>90</v>
      </c>
      <c r="M4082" s="9">
        <f t="shared" si="254"/>
        <v>69.200000000000017</v>
      </c>
      <c r="N4082" t="str">
        <f t="shared" si="255"/>
        <v>Dec</v>
      </c>
    </row>
    <row r="4083" spans="1:14" x14ac:dyDescent="0.3">
      <c r="A4083" s="2" t="s">
        <v>4149</v>
      </c>
      <c r="B4083" s="6">
        <v>46012</v>
      </c>
      <c r="C4083" s="2" t="s">
        <v>31</v>
      </c>
      <c r="D4083" s="2" t="s">
        <v>95</v>
      </c>
      <c r="E4083" s="2">
        <v>1</v>
      </c>
      <c r="F4083" s="7">
        <v>259</v>
      </c>
      <c r="G4083" s="8">
        <v>0.1</v>
      </c>
      <c r="H4083" s="9" t="str">
        <f>INDEX(Products!$B$2:$B$37, MATCH(D4083, Products!$A$2:$A$37, 0))</f>
        <v>Bed Linen Set (King)</v>
      </c>
      <c r="I4083" t="str">
        <f>INDEX(Products!$C$2:$C$37, MATCH(D4083, Products!$A$2:$A$37, 0))</f>
        <v>Home &amp; Kitchen</v>
      </c>
      <c r="J4083">
        <f>INDEX(Products!$E$2:$E$37, MATCH(D4083, Products!$A$2:$A$37, 0))</f>
        <v>115</v>
      </c>
      <c r="K4083" s="9">
        <f t="shared" si="252"/>
        <v>233.1</v>
      </c>
      <c r="L4083">
        <f t="shared" si="253"/>
        <v>115</v>
      </c>
      <c r="M4083" s="9">
        <f t="shared" si="254"/>
        <v>118.1</v>
      </c>
      <c r="N4083" t="str">
        <f t="shared" si="255"/>
        <v>Dec</v>
      </c>
    </row>
    <row r="4084" spans="1:14" x14ac:dyDescent="0.3">
      <c r="A4084" s="2" t="s">
        <v>4150</v>
      </c>
      <c r="B4084" s="6">
        <v>46013</v>
      </c>
      <c r="C4084" s="2" t="s">
        <v>31</v>
      </c>
      <c r="D4084" s="2" t="s">
        <v>95</v>
      </c>
      <c r="E4084" s="2">
        <v>1</v>
      </c>
      <c r="F4084" s="7">
        <v>259</v>
      </c>
      <c r="G4084" s="8">
        <v>0.2</v>
      </c>
      <c r="H4084" s="9" t="str">
        <f>INDEX(Products!$B$2:$B$37, MATCH(D4084, Products!$A$2:$A$37, 0))</f>
        <v>Bed Linen Set (King)</v>
      </c>
      <c r="I4084" t="str">
        <f>INDEX(Products!$C$2:$C$37, MATCH(D4084, Products!$A$2:$A$37, 0))</f>
        <v>Home &amp; Kitchen</v>
      </c>
      <c r="J4084">
        <f>INDEX(Products!$E$2:$E$37, MATCH(D4084, Products!$A$2:$A$37, 0))</f>
        <v>115</v>
      </c>
      <c r="K4084" s="9">
        <f t="shared" si="252"/>
        <v>207.20000000000002</v>
      </c>
      <c r="L4084">
        <f t="shared" si="253"/>
        <v>115</v>
      </c>
      <c r="M4084" s="9">
        <f t="shared" si="254"/>
        <v>92.200000000000017</v>
      </c>
      <c r="N4084" t="str">
        <f t="shared" si="255"/>
        <v>Dec</v>
      </c>
    </row>
    <row r="4085" spans="1:14" x14ac:dyDescent="0.3">
      <c r="A4085" s="2" t="s">
        <v>4151</v>
      </c>
      <c r="B4085" s="6">
        <v>46013</v>
      </c>
      <c r="C4085" s="2" t="s">
        <v>48</v>
      </c>
      <c r="D4085" s="2" t="s">
        <v>115</v>
      </c>
      <c r="E4085" s="2">
        <v>1</v>
      </c>
      <c r="F4085" s="7">
        <v>129</v>
      </c>
      <c r="G4085" s="8">
        <v>0.1</v>
      </c>
      <c r="H4085" s="9" t="str">
        <f>INDEX(Products!$B$2:$B$37, MATCH(D4085, Products!$A$2:$A$37, 0))</f>
        <v>Electric Kettle</v>
      </c>
      <c r="I4085" t="str">
        <f>INDEX(Products!$C$2:$C$37, MATCH(D4085, Products!$A$2:$A$37, 0))</f>
        <v>Home &amp; Kitchen</v>
      </c>
      <c r="J4085">
        <f>INDEX(Products!$E$2:$E$37, MATCH(D4085, Products!$A$2:$A$37, 0))</f>
        <v>60</v>
      </c>
      <c r="K4085" s="9">
        <f t="shared" si="252"/>
        <v>116.10000000000001</v>
      </c>
      <c r="L4085">
        <f t="shared" si="253"/>
        <v>60</v>
      </c>
      <c r="M4085" s="9">
        <f t="shared" si="254"/>
        <v>56.100000000000009</v>
      </c>
      <c r="N4085" t="str">
        <f t="shared" si="255"/>
        <v>Dec</v>
      </c>
    </row>
    <row r="4086" spans="1:14" x14ac:dyDescent="0.3">
      <c r="A4086" s="2" t="s">
        <v>4152</v>
      </c>
      <c r="B4086" s="6">
        <v>46013</v>
      </c>
      <c r="C4086" s="2" t="s">
        <v>41</v>
      </c>
      <c r="D4086" s="2" t="s">
        <v>37</v>
      </c>
      <c r="E4086" s="2">
        <v>4</v>
      </c>
      <c r="F4086" s="7">
        <v>249</v>
      </c>
      <c r="G4086" s="8">
        <v>0.05</v>
      </c>
      <c r="H4086" s="9" t="str">
        <f>INDEX(Products!$B$2:$B$37, MATCH(D4086, Products!$A$2:$A$37, 0))</f>
        <v>Sunglasses Polarised</v>
      </c>
      <c r="I4086" t="str">
        <f>INDEX(Products!$C$2:$C$37, MATCH(D4086, Products!$A$2:$A$37, 0))</f>
        <v>Fashion</v>
      </c>
      <c r="J4086">
        <f>INDEX(Products!$E$2:$E$37, MATCH(D4086, Products!$A$2:$A$37, 0))</f>
        <v>95</v>
      </c>
      <c r="K4086" s="9">
        <f t="shared" si="252"/>
        <v>946.19999999999993</v>
      </c>
      <c r="L4086">
        <f t="shared" si="253"/>
        <v>380</v>
      </c>
      <c r="M4086" s="9">
        <f t="shared" si="254"/>
        <v>566.19999999999993</v>
      </c>
      <c r="N4086" t="str">
        <f t="shared" si="255"/>
        <v>Dec</v>
      </c>
    </row>
    <row r="4087" spans="1:14" x14ac:dyDescent="0.3">
      <c r="A4087" s="2" t="s">
        <v>4153</v>
      </c>
      <c r="B4087" s="6">
        <v>46013</v>
      </c>
      <c r="C4087" s="2" t="s">
        <v>44</v>
      </c>
      <c r="D4087" s="2" t="s">
        <v>35</v>
      </c>
      <c r="E4087" s="2">
        <v>1</v>
      </c>
      <c r="F4087" s="7">
        <v>179</v>
      </c>
      <c r="G4087" s="8">
        <v>0.1</v>
      </c>
      <c r="H4087" s="9" t="str">
        <f>INDEX(Products!$B$2:$B$37, MATCH(D4087, Products!$A$2:$A$37, 0))</f>
        <v>Men's Linen Shirt</v>
      </c>
      <c r="I4087" t="str">
        <f>INDEX(Products!$C$2:$C$37, MATCH(D4087, Products!$A$2:$A$37, 0))</f>
        <v>Fashion</v>
      </c>
      <c r="J4087">
        <f>INDEX(Products!$E$2:$E$37, MATCH(D4087, Products!$A$2:$A$37, 0))</f>
        <v>70</v>
      </c>
      <c r="K4087" s="9">
        <f t="shared" si="252"/>
        <v>161.1</v>
      </c>
      <c r="L4087">
        <f t="shared" si="253"/>
        <v>70</v>
      </c>
      <c r="M4087" s="9">
        <f t="shared" si="254"/>
        <v>91.1</v>
      </c>
      <c r="N4087" t="str">
        <f t="shared" si="255"/>
        <v>Dec</v>
      </c>
    </row>
    <row r="4088" spans="1:14" x14ac:dyDescent="0.3">
      <c r="A4088" s="2" t="s">
        <v>4154</v>
      </c>
      <c r="B4088" s="6">
        <v>46013</v>
      </c>
      <c r="C4088" s="2" t="s">
        <v>31</v>
      </c>
      <c r="D4088" s="2" t="s">
        <v>42</v>
      </c>
      <c r="E4088" s="2">
        <v>1</v>
      </c>
      <c r="F4088" s="7">
        <v>399</v>
      </c>
      <c r="G4088" s="8">
        <v>0.2</v>
      </c>
      <c r="H4088" s="9" t="str">
        <f>INDEX(Products!$B$2:$B$37, MATCH(D4088, Products!$A$2:$A$37, 0))</f>
        <v>Wireless Earbuds Pro</v>
      </c>
      <c r="I4088" t="str">
        <f>INDEX(Products!$C$2:$C$37, MATCH(D4088, Products!$A$2:$A$37, 0))</f>
        <v>Electronics</v>
      </c>
      <c r="J4088">
        <f>INDEX(Products!$E$2:$E$37, MATCH(D4088, Products!$A$2:$A$37, 0))</f>
        <v>230</v>
      </c>
      <c r="K4088" s="9">
        <f t="shared" si="252"/>
        <v>319.20000000000005</v>
      </c>
      <c r="L4088">
        <f t="shared" si="253"/>
        <v>230</v>
      </c>
      <c r="M4088" s="9">
        <f t="shared" si="254"/>
        <v>89.200000000000045</v>
      </c>
      <c r="N4088" t="str">
        <f t="shared" si="255"/>
        <v>Dec</v>
      </c>
    </row>
    <row r="4089" spans="1:14" x14ac:dyDescent="0.3">
      <c r="A4089" s="2" t="s">
        <v>4155</v>
      </c>
      <c r="B4089" s="6">
        <v>46013</v>
      </c>
      <c r="C4089" s="2" t="s">
        <v>48</v>
      </c>
      <c r="D4089" s="2" t="s">
        <v>49</v>
      </c>
      <c r="E4089" s="2">
        <v>2</v>
      </c>
      <c r="F4089" s="7">
        <v>149</v>
      </c>
      <c r="G4089" s="8">
        <v>0.2</v>
      </c>
      <c r="H4089" s="9" t="str">
        <f>INDEX(Products!$B$2:$B$37, MATCH(D4089, Products!$A$2:$A$37, 0))</f>
        <v>Kids' Sneakers</v>
      </c>
      <c r="I4089" t="str">
        <f>INDEX(Products!$C$2:$C$37, MATCH(D4089, Products!$A$2:$A$37, 0))</f>
        <v>Fashion</v>
      </c>
      <c r="J4089">
        <f>INDEX(Products!$E$2:$E$37, MATCH(D4089, Products!$A$2:$A$37, 0))</f>
        <v>80</v>
      </c>
      <c r="K4089" s="9">
        <f t="shared" si="252"/>
        <v>238.4</v>
      </c>
      <c r="L4089">
        <f t="shared" si="253"/>
        <v>160</v>
      </c>
      <c r="M4089" s="9">
        <f t="shared" si="254"/>
        <v>78.400000000000006</v>
      </c>
      <c r="N4089" t="str">
        <f t="shared" si="255"/>
        <v>Dec</v>
      </c>
    </row>
    <row r="4090" spans="1:14" x14ac:dyDescent="0.3">
      <c r="A4090" s="2" t="s">
        <v>4156</v>
      </c>
      <c r="B4090" s="6">
        <v>46013</v>
      </c>
      <c r="C4090" s="2" t="s">
        <v>48</v>
      </c>
      <c r="D4090" s="2" t="s">
        <v>99</v>
      </c>
      <c r="E4090" s="2">
        <v>1</v>
      </c>
      <c r="F4090" s="7">
        <v>459</v>
      </c>
      <c r="G4090" s="8">
        <v>0</v>
      </c>
      <c r="H4090" s="9" t="str">
        <f>INDEX(Products!$B$2:$B$37, MATCH(D4090, Products!$A$2:$A$37, 0))</f>
        <v>Gaming Headset X</v>
      </c>
      <c r="I4090" t="str">
        <f>INDEX(Products!$C$2:$C$37, MATCH(D4090, Products!$A$2:$A$37, 0))</f>
        <v>Electronics</v>
      </c>
      <c r="J4090">
        <f>INDEX(Products!$E$2:$E$37, MATCH(D4090, Products!$A$2:$A$37, 0))</f>
        <v>300</v>
      </c>
      <c r="K4090" s="9">
        <f t="shared" si="252"/>
        <v>459</v>
      </c>
      <c r="L4090">
        <f t="shared" si="253"/>
        <v>300</v>
      </c>
      <c r="M4090" s="9">
        <f t="shared" si="254"/>
        <v>159</v>
      </c>
      <c r="N4090" t="str">
        <f t="shared" si="255"/>
        <v>Dec</v>
      </c>
    </row>
    <row r="4091" spans="1:14" x14ac:dyDescent="0.3">
      <c r="A4091" s="2" t="s">
        <v>4157</v>
      </c>
      <c r="B4091" s="6">
        <v>46013</v>
      </c>
      <c r="C4091" s="2" t="s">
        <v>44</v>
      </c>
      <c r="D4091" s="2" t="s">
        <v>103</v>
      </c>
      <c r="E4091" s="2">
        <v>2</v>
      </c>
      <c r="F4091" s="7">
        <v>89</v>
      </c>
      <c r="G4091" s="8">
        <v>0</v>
      </c>
      <c r="H4091" s="9" t="str">
        <f>INDEX(Products!$B$2:$B$37, MATCH(D4091, Products!$A$2:$A$37, 0))</f>
        <v>Sunscreen SPF50</v>
      </c>
      <c r="I4091" t="str">
        <f>INDEX(Products!$C$2:$C$37, MATCH(D4091, Products!$A$2:$A$37, 0))</f>
        <v>Beauty</v>
      </c>
      <c r="J4091">
        <f>INDEX(Products!$E$2:$E$37, MATCH(D4091, Products!$A$2:$A$37, 0))</f>
        <v>40</v>
      </c>
      <c r="K4091" s="9">
        <f t="shared" si="252"/>
        <v>178</v>
      </c>
      <c r="L4091">
        <f t="shared" si="253"/>
        <v>80</v>
      </c>
      <c r="M4091" s="9">
        <f t="shared" si="254"/>
        <v>98</v>
      </c>
      <c r="N4091" t="str">
        <f t="shared" si="255"/>
        <v>Dec</v>
      </c>
    </row>
    <row r="4092" spans="1:14" x14ac:dyDescent="0.3">
      <c r="A4092" s="2" t="s">
        <v>4158</v>
      </c>
      <c r="B4092" s="6">
        <v>46013</v>
      </c>
      <c r="C4092" s="2" t="s">
        <v>44</v>
      </c>
      <c r="D4092" s="2" t="s">
        <v>46</v>
      </c>
      <c r="E4092" s="2">
        <v>1</v>
      </c>
      <c r="F4092" s="7">
        <v>189</v>
      </c>
      <c r="G4092" s="8">
        <v>0.2</v>
      </c>
      <c r="H4092" s="9" t="str">
        <f>INDEX(Products!$B$2:$B$37, MATCH(D4092, Products!$A$2:$A$37, 0))</f>
        <v>Makeup Palette</v>
      </c>
      <c r="I4092" t="str">
        <f>INDEX(Products!$C$2:$C$37, MATCH(D4092, Products!$A$2:$A$37, 0))</f>
        <v>Beauty</v>
      </c>
      <c r="J4092">
        <f>INDEX(Products!$E$2:$E$37, MATCH(D4092, Products!$A$2:$A$37, 0))</f>
        <v>85</v>
      </c>
      <c r="K4092" s="9">
        <f t="shared" si="252"/>
        <v>151.20000000000002</v>
      </c>
      <c r="L4092">
        <f t="shared" si="253"/>
        <v>85</v>
      </c>
      <c r="M4092" s="9">
        <f t="shared" si="254"/>
        <v>66.200000000000017</v>
      </c>
      <c r="N4092" t="str">
        <f t="shared" si="255"/>
        <v>Dec</v>
      </c>
    </row>
    <row r="4093" spans="1:14" x14ac:dyDescent="0.3">
      <c r="A4093" s="2" t="s">
        <v>4159</v>
      </c>
      <c r="B4093" s="6">
        <v>46013</v>
      </c>
      <c r="C4093" s="2" t="s">
        <v>28</v>
      </c>
      <c r="D4093" s="2" t="s">
        <v>89</v>
      </c>
      <c r="E4093" s="2">
        <v>3</v>
      </c>
      <c r="F4093" s="7">
        <v>399</v>
      </c>
      <c r="G4093" s="8">
        <v>0.05</v>
      </c>
      <c r="H4093" s="9" t="str">
        <f>INDEX(Products!$B$2:$B$37, MATCH(D4093, Products!$A$2:$A$37, 0))</f>
        <v>Men's Kandura Premium</v>
      </c>
      <c r="I4093" t="str">
        <f>INDEX(Products!$C$2:$C$37, MATCH(D4093, Products!$A$2:$A$37, 0))</f>
        <v>Fashion</v>
      </c>
      <c r="J4093">
        <f>INDEX(Products!$E$2:$E$37, MATCH(D4093, Products!$A$2:$A$37, 0))</f>
        <v>210</v>
      </c>
      <c r="K4093" s="9">
        <f t="shared" si="252"/>
        <v>1137.1499999999999</v>
      </c>
      <c r="L4093">
        <f t="shared" si="253"/>
        <v>630</v>
      </c>
      <c r="M4093" s="9">
        <f t="shared" si="254"/>
        <v>507.14999999999986</v>
      </c>
      <c r="N4093" t="str">
        <f t="shared" si="255"/>
        <v>Dec</v>
      </c>
    </row>
    <row r="4094" spans="1:14" x14ac:dyDescent="0.3">
      <c r="A4094" s="2" t="s">
        <v>4160</v>
      </c>
      <c r="B4094" s="6">
        <v>46013</v>
      </c>
      <c r="C4094" s="2" t="s">
        <v>28</v>
      </c>
      <c r="D4094" s="2" t="s">
        <v>83</v>
      </c>
      <c r="E4094" s="2">
        <v>4</v>
      </c>
      <c r="F4094" s="7">
        <v>229</v>
      </c>
      <c r="G4094" s="8">
        <v>0.2</v>
      </c>
      <c r="H4094" s="9" t="str">
        <f>INDEX(Products!$B$2:$B$37, MATCH(D4094, Products!$A$2:$A$37, 0))</f>
        <v>Cycling Helmet</v>
      </c>
      <c r="I4094" t="str">
        <f>INDEX(Products!$C$2:$C$37, MATCH(D4094, Products!$A$2:$A$37, 0))</f>
        <v>Sports</v>
      </c>
      <c r="J4094">
        <f>INDEX(Products!$E$2:$E$37, MATCH(D4094, Products!$A$2:$A$37, 0))</f>
        <v>120</v>
      </c>
      <c r="K4094" s="9">
        <f t="shared" si="252"/>
        <v>732.80000000000007</v>
      </c>
      <c r="L4094">
        <f t="shared" si="253"/>
        <v>480</v>
      </c>
      <c r="M4094" s="9">
        <f t="shared" si="254"/>
        <v>252.80000000000007</v>
      </c>
      <c r="N4094" t="str">
        <f t="shared" si="255"/>
        <v>Dec</v>
      </c>
    </row>
    <row r="4095" spans="1:14" x14ac:dyDescent="0.3">
      <c r="A4095" s="2" t="s">
        <v>4161</v>
      </c>
      <c r="B4095" s="6">
        <v>46013</v>
      </c>
      <c r="C4095" s="2" t="s">
        <v>41</v>
      </c>
      <c r="D4095" s="2" t="s">
        <v>75</v>
      </c>
      <c r="E4095" s="2">
        <v>3</v>
      </c>
      <c r="F4095" s="7">
        <v>549</v>
      </c>
      <c r="G4095" s="8">
        <v>0.15</v>
      </c>
      <c r="H4095" s="9" t="str">
        <f>INDEX(Products!$B$2:$B$37, MATCH(D4095, Products!$A$2:$A$37, 0))</f>
        <v>Oud Perfume 100ml</v>
      </c>
      <c r="I4095" t="str">
        <f>INDEX(Products!$C$2:$C$37, MATCH(D4095, Products!$A$2:$A$37, 0))</f>
        <v>Beauty</v>
      </c>
      <c r="J4095">
        <f>INDEX(Products!$E$2:$E$37, MATCH(D4095, Products!$A$2:$A$37, 0))</f>
        <v>250</v>
      </c>
      <c r="K4095" s="9">
        <f t="shared" si="252"/>
        <v>1399.95</v>
      </c>
      <c r="L4095">
        <f t="shared" si="253"/>
        <v>750</v>
      </c>
      <c r="M4095" s="9">
        <f t="shared" si="254"/>
        <v>649.95000000000005</v>
      </c>
      <c r="N4095" t="str">
        <f t="shared" si="255"/>
        <v>Dec</v>
      </c>
    </row>
    <row r="4096" spans="1:14" x14ac:dyDescent="0.3">
      <c r="A4096" s="2" t="s">
        <v>4162</v>
      </c>
      <c r="B4096" s="6">
        <v>46014</v>
      </c>
      <c r="C4096" s="2" t="s">
        <v>41</v>
      </c>
      <c r="D4096" s="2" t="s">
        <v>80</v>
      </c>
      <c r="E4096" s="2">
        <v>2</v>
      </c>
      <c r="F4096" s="7">
        <v>149</v>
      </c>
      <c r="G4096" s="8">
        <v>0.2</v>
      </c>
      <c r="H4096" s="9" t="str">
        <f>INDEX(Products!$B$2:$B$37, MATCH(D4096, Products!$A$2:$A$37, 0))</f>
        <v>Vitamin C Serum</v>
      </c>
      <c r="I4096" t="str">
        <f>INDEX(Products!$C$2:$C$37, MATCH(D4096, Products!$A$2:$A$37, 0))</f>
        <v>Beauty</v>
      </c>
      <c r="J4096">
        <f>INDEX(Products!$E$2:$E$37, MATCH(D4096, Products!$A$2:$A$37, 0))</f>
        <v>55</v>
      </c>
      <c r="K4096" s="9">
        <f t="shared" si="252"/>
        <v>238.4</v>
      </c>
      <c r="L4096">
        <f t="shared" si="253"/>
        <v>110</v>
      </c>
      <c r="M4096" s="9">
        <f t="shared" si="254"/>
        <v>128.4</v>
      </c>
      <c r="N4096" t="str">
        <f t="shared" si="255"/>
        <v>Dec</v>
      </c>
    </row>
    <row r="4097" spans="1:14" x14ac:dyDescent="0.3">
      <c r="A4097" s="2" t="s">
        <v>4163</v>
      </c>
      <c r="B4097" s="6">
        <v>46014</v>
      </c>
      <c r="C4097" s="2" t="s">
        <v>44</v>
      </c>
      <c r="D4097" s="2" t="s">
        <v>83</v>
      </c>
      <c r="E4097" s="2">
        <v>1</v>
      </c>
      <c r="F4097" s="7">
        <v>229</v>
      </c>
      <c r="G4097" s="8">
        <v>0.2</v>
      </c>
      <c r="H4097" s="9" t="str">
        <f>INDEX(Products!$B$2:$B$37, MATCH(D4097, Products!$A$2:$A$37, 0))</f>
        <v>Cycling Helmet</v>
      </c>
      <c r="I4097" t="str">
        <f>INDEX(Products!$C$2:$C$37, MATCH(D4097, Products!$A$2:$A$37, 0))</f>
        <v>Sports</v>
      </c>
      <c r="J4097">
        <f>INDEX(Products!$E$2:$E$37, MATCH(D4097, Products!$A$2:$A$37, 0))</f>
        <v>120</v>
      </c>
      <c r="K4097" s="9">
        <f t="shared" si="252"/>
        <v>183.20000000000002</v>
      </c>
      <c r="L4097">
        <f t="shared" si="253"/>
        <v>120</v>
      </c>
      <c r="M4097" s="9">
        <f t="shared" si="254"/>
        <v>63.200000000000017</v>
      </c>
      <c r="N4097" t="str">
        <f t="shared" si="255"/>
        <v>Dec</v>
      </c>
    </row>
    <row r="4098" spans="1:14" x14ac:dyDescent="0.3">
      <c r="A4098" s="2" t="s">
        <v>4164</v>
      </c>
      <c r="B4098" s="6">
        <v>46014</v>
      </c>
      <c r="C4098" s="2" t="s">
        <v>28</v>
      </c>
      <c r="D4098" s="2" t="s">
        <v>78</v>
      </c>
      <c r="E4098" s="2">
        <v>4</v>
      </c>
      <c r="F4098" s="7">
        <v>499</v>
      </c>
      <c r="G4098" s="8">
        <v>0.2</v>
      </c>
      <c r="H4098" s="9" t="str">
        <f>INDEX(Products!$B$2:$B$37, MATCH(D4098, Products!$A$2:$A$37, 0))</f>
        <v>Air Fryer 5L</v>
      </c>
      <c r="I4098" t="str">
        <f>INDEX(Products!$C$2:$C$37, MATCH(D4098, Products!$A$2:$A$37, 0))</f>
        <v>Home &amp; Kitchen</v>
      </c>
      <c r="J4098">
        <f>INDEX(Products!$E$2:$E$37, MATCH(D4098, Products!$A$2:$A$37, 0))</f>
        <v>290</v>
      </c>
      <c r="K4098" s="9">
        <f t="shared" ref="K4098:K4161" si="256">E4098*F4098*(1-G4098)</f>
        <v>1596.8000000000002</v>
      </c>
      <c r="L4098">
        <f t="shared" ref="L4098:L4161" si="257">E4098*J4098</f>
        <v>1160</v>
      </c>
      <c r="M4098" s="9">
        <f t="shared" ref="M4098:M4161" si="258">K4098-L4098</f>
        <v>436.80000000000018</v>
      </c>
      <c r="N4098" t="str">
        <f t="shared" ref="N4098:N4161" si="259">TEXT(B4098,"mmm")</f>
        <v>Dec</v>
      </c>
    </row>
    <row r="4099" spans="1:14" x14ac:dyDescent="0.3">
      <c r="A4099" s="2" t="s">
        <v>4165</v>
      </c>
      <c r="B4099" s="6">
        <v>46014</v>
      </c>
      <c r="C4099" s="2" t="s">
        <v>44</v>
      </c>
      <c r="D4099" s="2" t="s">
        <v>126</v>
      </c>
      <c r="E4099" s="2">
        <v>2</v>
      </c>
      <c r="F4099" s="7">
        <v>89</v>
      </c>
      <c r="G4099" s="8">
        <v>0.2</v>
      </c>
      <c r="H4099" s="9" t="str">
        <f>INDEX(Products!$B$2:$B$37, MATCH(D4099, Products!$A$2:$A$37, 0))</f>
        <v>USB-C Fast Charger</v>
      </c>
      <c r="I4099" t="str">
        <f>INDEX(Products!$C$2:$C$37, MATCH(D4099, Products!$A$2:$A$37, 0))</f>
        <v>Electronics</v>
      </c>
      <c r="J4099">
        <f>INDEX(Products!$E$2:$E$37, MATCH(D4099, Products!$A$2:$A$37, 0))</f>
        <v>35</v>
      </c>
      <c r="K4099" s="9">
        <f t="shared" si="256"/>
        <v>142.4</v>
      </c>
      <c r="L4099">
        <f t="shared" si="257"/>
        <v>70</v>
      </c>
      <c r="M4099" s="9">
        <f t="shared" si="258"/>
        <v>72.400000000000006</v>
      </c>
      <c r="N4099" t="str">
        <f t="shared" si="259"/>
        <v>Dec</v>
      </c>
    </row>
    <row r="4100" spans="1:14" x14ac:dyDescent="0.3">
      <c r="A4100" s="2" t="s">
        <v>4166</v>
      </c>
      <c r="B4100" s="6">
        <v>46014</v>
      </c>
      <c r="C4100" s="2" t="s">
        <v>31</v>
      </c>
      <c r="D4100" s="2" t="s">
        <v>80</v>
      </c>
      <c r="E4100" s="2">
        <v>1</v>
      </c>
      <c r="F4100" s="7">
        <v>149</v>
      </c>
      <c r="G4100" s="8">
        <v>0.15</v>
      </c>
      <c r="H4100" s="9" t="str">
        <f>INDEX(Products!$B$2:$B$37, MATCH(D4100, Products!$A$2:$A$37, 0))</f>
        <v>Vitamin C Serum</v>
      </c>
      <c r="I4100" t="str">
        <f>INDEX(Products!$C$2:$C$37, MATCH(D4100, Products!$A$2:$A$37, 0))</f>
        <v>Beauty</v>
      </c>
      <c r="J4100">
        <f>INDEX(Products!$E$2:$E$37, MATCH(D4100, Products!$A$2:$A$37, 0))</f>
        <v>55</v>
      </c>
      <c r="K4100" s="9">
        <f t="shared" si="256"/>
        <v>126.64999999999999</v>
      </c>
      <c r="L4100">
        <f t="shared" si="257"/>
        <v>55</v>
      </c>
      <c r="M4100" s="9">
        <f t="shared" si="258"/>
        <v>71.649999999999991</v>
      </c>
      <c r="N4100" t="str">
        <f t="shared" si="259"/>
        <v>Dec</v>
      </c>
    </row>
    <row r="4101" spans="1:14" x14ac:dyDescent="0.3">
      <c r="A4101" s="2" t="s">
        <v>4167</v>
      </c>
      <c r="B4101" s="6">
        <v>46014</v>
      </c>
      <c r="C4101" s="2" t="s">
        <v>31</v>
      </c>
      <c r="D4101" s="2" t="s">
        <v>126</v>
      </c>
      <c r="E4101" s="2">
        <v>1</v>
      </c>
      <c r="F4101" s="7">
        <v>89</v>
      </c>
      <c r="G4101" s="8">
        <v>0.3</v>
      </c>
      <c r="H4101" s="9" t="str">
        <f>INDEX(Products!$B$2:$B$37, MATCH(D4101, Products!$A$2:$A$37, 0))</f>
        <v>USB-C Fast Charger</v>
      </c>
      <c r="I4101" t="str">
        <f>INDEX(Products!$C$2:$C$37, MATCH(D4101, Products!$A$2:$A$37, 0))</f>
        <v>Electronics</v>
      </c>
      <c r="J4101">
        <f>INDEX(Products!$E$2:$E$37, MATCH(D4101, Products!$A$2:$A$37, 0))</f>
        <v>35</v>
      </c>
      <c r="K4101" s="9">
        <f t="shared" si="256"/>
        <v>62.3</v>
      </c>
      <c r="L4101">
        <f t="shared" si="257"/>
        <v>35</v>
      </c>
      <c r="M4101" s="9">
        <f t="shared" si="258"/>
        <v>27.299999999999997</v>
      </c>
      <c r="N4101" t="str">
        <f t="shared" si="259"/>
        <v>Dec</v>
      </c>
    </row>
    <row r="4102" spans="1:14" x14ac:dyDescent="0.3">
      <c r="A4102" s="2" t="s">
        <v>4168</v>
      </c>
      <c r="B4102" s="6">
        <v>46014</v>
      </c>
      <c r="C4102" s="2" t="s">
        <v>41</v>
      </c>
      <c r="D4102" s="2" t="s">
        <v>56</v>
      </c>
      <c r="E4102" s="2">
        <v>2</v>
      </c>
      <c r="F4102" s="7">
        <v>289</v>
      </c>
      <c r="G4102" s="8">
        <v>0</v>
      </c>
      <c r="H4102" s="9" t="str">
        <f>INDEX(Products!$B$2:$B$37, MATCH(D4102, Products!$A$2:$A$37, 0))</f>
        <v>Ceramic Dinner Set</v>
      </c>
      <c r="I4102" t="str">
        <f>INDEX(Products!$C$2:$C$37, MATCH(D4102, Products!$A$2:$A$37, 0))</f>
        <v>Home &amp; Kitchen</v>
      </c>
      <c r="J4102">
        <f>INDEX(Products!$E$2:$E$37, MATCH(D4102, Products!$A$2:$A$37, 0))</f>
        <v>140</v>
      </c>
      <c r="K4102" s="9">
        <f t="shared" si="256"/>
        <v>578</v>
      </c>
      <c r="L4102">
        <f t="shared" si="257"/>
        <v>280</v>
      </c>
      <c r="M4102" s="9">
        <f t="shared" si="258"/>
        <v>298</v>
      </c>
      <c r="N4102" t="str">
        <f t="shared" si="259"/>
        <v>Dec</v>
      </c>
    </row>
    <row r="4103" spans="1:14" x14ac:dyDescent="0.3">
      <c r="A4103" s="2" t="s">
        <v>4169</v>
      </c>
      <c r="B4103" s="6">
        <v>46014</v>
      </c>
      <c r="C4103" s="2" t="s">
        <v>48</v>
      </c>
      <c r="D4103" s="2" t="s">
        <v>109</v>
      </c>
      <c r="E4103" s="2">
        <v>3</v>
      </c>
      <c r="F4103" s="7">
        <v>1499</v>
      </c>
      <c r="G4103" s="8">
        <v>0.1</v>
      </c>
      <c r="H4103" s="9" t="str">
        <f>INDEX(Products!$B$2:$B$37, MATCH(D4103, Products!$A$2:$A$37, 0))</f>
        <v>Espresso Machine</v>
      </c>
      <c r="I4103" t="str">
        <f>INDEX(Products!$C$2:$C$37, MATCH(D4103, Products!$A$2:$A$37, 0))</f>
        <v>Home &amp; Kitchen</v>
      </c>
      <c r="J4103">
        <f>INDEX(Products!$E$2:$E$37, MATCH(D4103, Products!$A$2:$A$37, 0))</f>
        <v>1050</v>
      </c>
      <c r="K4103" s="9">
        <f t="shared" si="256"/>
        <v>4047.3</v>
      </c>
      <c r="L4103">
        <f t="shared" si="257"/>
        <v>3150</v>
      </c>
      <c r="M4103" s="9">
        <f t="shared" si="258"/>
        <v>897.30000000000018</v>
      </c>
      <c r="N4103" t="str">
        <f t="shared" si="259"/>
        <v>Dec</v>
      </c>
    </row>
    <row r="4104" spans="1:14" x14ac:dyDescent="0.3">
      <c r="A4104" s="2" t="s">
        <v>4170</v>
      </c>
      <c r="B4104" s="6">
        <v>46014</v>
      </c>
      <c r="C4104" s="2" t="s">
        <v>28</v>
      </c>
      <c r="D4104" s="2" t="s">
        <v>37</v>
      </c>
      <c r="E4104" s="2">
        <v>1</v>
      </c>
      <c r="F4104" s="7">
        <v>249</v>
      </c>
      <c r="G4104" s="8">
        <v>0.1</v>
      </c>
      <c r="H4104" s="9" t="str">
        <f>INDEX(Products!$B$2:$B$37, MATCH(D4104, Products!$A$2:$A$37, 0))</f>
        <v>Sunglasses Polarised</v>
      </c>
      <c r="I4104" t="str">
        <f>INDEX(Products!$C$2:$C$37, MATCH(D4104, Products!$A$2:$A$37, 0))</f>
        <v>Fashion</v>
      </c>
      <c r="J4104">
        <f>INDEX(Products!$E$2:$E$37, MATCH(D4104, Products!$A$2:$A$37, 0))</f>
        <v>95</v>
      </c>
      <c r="K4104" s="9">
        <f t="shared" si="256"/>
        <v>224.1</v>
      </c>
      <c r="L4104">
        <f t="shared" si="257"/>
        <v>95</v>
      </c>
      <c r="M4104" s="9">
        <f t="shared" si="258"/>
        <v>129.1</v>
      </c>
      <c r="N4104" t="str">
        <f t="shared" si="259"/>
        <v>Dec</v>
      </c>
    </row>
    <row r="4105" spans="1:14" x14ac:dyDescent="0.3">
      <c r="A4105" s="2" t="s">
        <v>4171</v>
      </c>
      <c r="B4105" s="6">
        <v>46014</v>
      </c>
      <c r="C4105" s="2" t="s">
        <v>28</v>
      </c>
      <c r="D4105" s="2" t="s">
        <v>115</v>
      </c>
      <c r="E4105" s="2">
        <v>1</v>
      </c>
      <c r="F4105" s="7">
        <v>129</v>
      </c>
      <c r="G4105" s="8">
        <v>0</v>
      </c>
      <c r="H4105" s="9" t="str">
        <f>INDEX(Products!$B$2:$B$37, MATCH(D4105, Products!$A$2:$A$37, 0))</f>
        <v>Electric Kettle</v>
      </c>
      <c r="I4105" t="str">
        <f>INDEX(Products!$C$2:$C$37, MATCH(D4105, Products!$A$2:$A$37, 0))</f>
        <v>Home &amp; Kitchen</v>
      </c>
      <c r="J4105">
        <f>INDEX(Products!$E$2:$E$37, MATCH(D4105, Products!$A$2:$A$37, 0))</f>
        <v>60</v>
      </c>
      <c r="K4105" s="9">
        <f t="shared" si="256"/>
        <v>129</v>
      </c>
      <c r="L4105">
        <f t="shared" si="257"/>
        <v>60</v>
      </c>
      <c r="M4105" s="9">
        <f t="shared" si="258"/>
        <v>69</v>
      </c>
      <c r="N4105" t="str">
        <f t="shared" si="259"/>
        <v>Dec</v>
      </c>
    </row>
    <row r="4106" spans="1:14" x14ac:dyDescent="0.3">
      <c r="A4106" s="2" t="s">
        <v>4172</v>
      </c>
      <c r="B4106" s="6">
        <v>46014</v>
      </c>
      <c r="C4106" s="2" t="s">
        <v>28</v>
      </c>
      <c r="D4106" s="2" t="s">
        <v>83</v>
      </c>
      <c r="E4106" s="2">
        <v>1</v>
      </c>
      <c r="F4106" s="7">
        <v>229</v>
      </c>
      <c r="G4106" s="8">
        <v>0.15</v>
      </c>
      <c r="H4106" s="9" t="str">
        <f>INDEX(Products!$B$2:$B$37, MATCH(D4106, Products!$A$2:$A$37, 0))</f>
        <v>Cycling Helmet</v>
      </c>
      <c r="I4106" t="str">
        <f>INDEX(Products!$C$2:$C$37, MATCH(D4106, Products!$A$2:$A$37, 0))</f>
        <v>Sports</v>
      </c>
      <c r="J4106">
        <f>INDEX(Products!$E$2:$E$37, MATCH(D4106, Products!$A$2:$A$37, 0))</f>
        <v>120</v>
      </c>
      <c r="K4106" s="9">
        <f t="shared" si="256"/>
        <v>194.65</v>
      </c>
      <c r="L4106">
        <f t="shared" si="257"/>
        <v>120</v>
      </c>
      <c r="M4106" s="9">
        <f t="shared" si="258"/>
        <v>74.650000000000006</v>
      </c>
      <c r="N4106" t="str">
        <f t="shared" si="259"/>
        <v>Dec</v>
      </c>
    </row>
    <row r="4107" spans="1:14" x14ac:dyDescent="0.3">
      <c r="A4107" s="2" t="s">
        <v>4173</v>
      </c>
      <c r="B4107" s="6">
        <v>46014</v>
      </c>
      <c r="C4107" s="2" t="s">
        <v>41</v>
      </c>
      <c r="D4107" s="2" t="s">
        <v>60</v>
      </c>
      <c r="E4107" s="2">
        <v>2</v>
      </c>
      <c r="F4107" s="7">
        <v>99</v>
      </c>
      <c r="G4107" s="8">
        <v>0.2</v>
      </c>
      <c r="H4107" s="9" t="str">
        <f>INDEX(Products!$B$2:$B$37, MATCH(D4107, Products!$A$2:$A$37, 0))</f>
        <v>Football Size 5</v>
      </c>
      <c r="I4107" t="str">
        <f>INDEX(Products!$C$2:$C$37, MATCH(D4107, Products!$A$2:$A$37, 0))</f>
        <v>Sports</v>
      </c>
      <c r="J4107">
        <f>INDEX(Products!$E$2:$E$37, MATCH(D4107, Products!$A$2:$A$37, 0))</f>
        <v>45</v>
      </c>
      <c r="K4107" s="9">
        <f t="shared" si="256"/>
        <v>158.4</v>
      </c>
      <c r="L4107">
        <f t="shared" si="257"/>
        <v>90</v>
      </c>
      <c r="M4107" s="9">
        <f t="shared" si="258"/>
        <v>68.400000000000006</v>
      </c>
      <c r="N4107" t="str">
        <f t="shared" si="259"/>
        <v>Dec</v>
      </c>
    </row>
    <row r="4108" spans="1:14" x14ac:dyDescent="0.3">
      <c r="A4108" s="2" t="s">
        <v>4174</v>
      </c>
      <c r="B4108" s="6">
        <v>46015</v>
      </c>
      <c r="C4108" s="2" t="s">
        <v>48</v>
      </c>
      <c r="D4108" s="2" t="s">
        <v>83</v>
      </c>
      <c r="E4108" s="2">
        <v>4</v>
      </c>
      <c r="F4108" s="7">
        <v>229</v>
      </c>
      <c r="G4108" s="8">
        <v>0</v>
      </c>
      <c r="H4108" s="9" t="str">
        <f>INDEX(Products!$B$2:$B$37, MATCH(D4108, Products!$A$2:$A$37, 0))</f>
        <v>Cycling Helmet</v>
      </c>
      <c r="I4108" t="str">
        <f>INDEX(Products!$C$2:$C$37, MATCH(D4108, Products!$A$2:$A$37, 0))</f>
        <v>Sports</v>
      </c>
      <c r="J4108">
        <f>INDEX(Products!$E$2:$E$37, MATCH(D4108, Products!$A$2:$A$37, 0))</f>
        <v>120</v>
      </c>
      <c r="K4108" s="9">
        <f t="shared" si="256"/>
        <v>916</v>
      </c>
      <c r="L4108">
        <f t="shared" si="257"/>
        <v>480</v>
      </c>
      <c r="M4108" s="9">
        <f t="shared" si="258"/>
        <v>436</v>
      </c>
      <c r="N4108" t="str">
        <f t="shared" si="259"/>
        <v>Dec</v>
      </c>
    </row>
    <row r="4109" spans="1:14" x14ac:dyDescent="0.3">
      <c r="A4109" s="2" t="s">
        <v>4175</v>
      </c>
      <c r="B4109" s="6">
        <v>46015</v>
      </c>
      <c r="C4109" s="2" t="s">
        <v>41</v>
      </c>
      <c r="D4109" s="2" t="s">
        <v>115</v>
      </c>
      <c r="E4109" s="2">
        <v>1</v>
      </c>
      <c r="F4109" s="7">
        <v>129</v>
      </c>
      <c r="G4109" s="8">
        <v>0.1</v>
      </c>
      <c r="H4109" s="9" t="str">
        <f>INDEX(Products!$B$2:$B$37, MATCH(D4109, Products!$A$2:$A$37, 0))</f>
        <v>Electric Kettle</v>
      </c>
      <c r="I4109" t="str">
        <f>INDEX(Products!$C$2:$C$37, MATCH(D4109, Products!$A$2:$A$37, 0))</f>
        <v>Home &amp; Kitchen</v>
      </c>
      <c r="J4109">
        <f>INDEX(Products!$E$2:$E$37, MATCH(D4109, Products!$A$2:$A$37, 0))</f>
        <v>60</v>
      </c>
      <c r="K4109" s="9">
        <f t="shared" si="256"/>
        <v>116.10000000000001</v>
      </c>
      <c r="L4109">
        <f t="shared" si="257"/>
        <v>60</v>
      </c>
      <c r="M4109" s="9">
        <f t="shared" si="258"/>
        <v>56.100000000000009</v>
      </c>
      <c r="N4109" t="str">
        <f t="shared" si="259"/>
        <v>Dec</v>
      </c>
    </row>
    <row r="4110" spans="1:14" x14ac:dyDescent="0.3">
      <c r="A4110" s="2" t="s">
        <v>4176</v>
      </c>
      <c r="B4110" s="6">
        <v>46015</v>
      </c>
      <c r="C4110" s="2" t="s">
        <v>31</v>
      </c>
      <c r="D4110" s="2" t="s">
        <v>103</v>
      </c>
      <c r="E4110" s="2">
        <v>1</v>
      </c>
      <c r="F4110" s="7">
        <v>89</v>
      </c>
      <c r="G4110" s="8">
        <v>0.2</v>
      </c>
      <c r="H4110" s="9" t="str">
        <f>INDEX(Products!$B$2:$B$37, MATCH(D4110, Products!$A$2:$A$37, 0))</f>
        <v>Sunscreen SPF50</v>
      </c>
      <c r="I4110" t="str">
        <f>INDEX(Products!$C$2:$C$37, MATCH(D4110, Products!$A$2:$A$37, 0))</f>
        <v>Beauty</v>
      </c>
      <c r="J4110">
        <f>INDEX(Products!$E$2:$E$37, MATCH(D4110, Products!$A$2:$A$37, 0))</f>
        <v>40</v>
      </c>
      <c r="K4110" s="9">
        <f t="shared" si="256"/>
        <v>71.2</v>
      </c>
      <c r="L4110">
        <f t="shared" si="257"/>
        <v>40</v>
      </c>
      <c r="M4110" s="9">
        <f t="shared" si="258"/>
        <v>31.200000000000003</v>
      </c>
      <c r="N4110" t="str">
        <f t="shared" si="259"/>
        <v>Dec</v>
      </c>
    </row>
    <row r="4111" spans="1:14" x14ac:dyDescent="0.3">
      <c r="A4111" s="2" t="s">
        <v>4177</v>
      </c>
      <c r="B4111" s="6">
        <v>46015</v>
      </c>
      <c r="C4111" s="2" t="s">
        <v>44</v>
      </c>
      <c r="D4111" s="2" t="s">
        <v>70</v>
      </c>
      <c r="E4111" s="2">
        <v>1</v>
      </c>
      <c r="F4111" s="7">
        <v>429</v>
      </c>
      <c r="G4111" s="8">
        <v>0</v>
      </c>
      <c r="H4111" s="9" t="str">
        <f>INDEX(Products!$B$2:$B$37, MATCH(D4111, Products!$A$2:$A$37, 0))</f>
        <v>Running Shoes Elite</v>
      </c>
      <c r="I4111" t="str">
        <f>INDEX(Products!$C$2:$C$37, MATCH(D4111, Products!$A$2:$A$37, 0))</f>
        <v>Fashion</v>
      </c>
      <c r="J4111">
        <f>INDEX(Products!$E$2:$E$37, MATCH(D4111, Products!$A$2:$A$37, 0))</f>
        <v>300</v>
      </c>
      <c r="K4111" s="9">
        <f t="shared" si="256"/>
        <v>429</v>
      </c>
      <c r="L4111">
        <f t="shared" si="257"/>
        <v>300</v>
      </c>
      <c r="M4111" s="9">
        <f t="shared" si="258"/>
        <v>129</v>
      </c>
      <c r="N4111" t="str">
        <f t="shared" si="259"/>
        <v>Dec</v>
      </c>
    </row>
    <row r="4112" spans="1:14" x14ac:dyDescent="0.3">
      <c r="A4112" s="2" t="s">
        <v>4178</v>
      </c>
      <c r="B4112" s="6">
        <v>46015</v>
      </c>
      <c r="C4112" s="2" t="s">
        <v>48</v>
      </c>
      <c r="D4112" s="2" t="s">
        <v>68</v>
      </c>
      <c r="E4112" s="2">
        <v>1</v>
      </c>
      <c r="F4112" s="7">
        <v>249</v>
      </c>
      <c r="G4112" s="8">
        <v>0.2</v>
      </c>
      <c r="H4112" s="9" t="str">
        <f>INDEX(Products!$B$2:$B$37, MATCH(D4112, Products!$A$2:$A$37, 0))</f>
        <v>Bluetooth Speaker Mini</v>
      </c>
      <c r="I4112" t="str">
        <f>INDEX(Products!$C$2:$C$37, MATCH(D4112, Products!$A$2:$A$37, 0))</f>
        <v>Electronics</v>
      </c>
      <c r="J4112">
        <f>INDEX(Products!$E$2:$E$37, MATCH(D4112, Products!$A$2:$A$37, 0))</f>
        <v>150</v>
      </c>
      <c r="K4112" s="9">
        <f t="shared" si="256"/>
        <v>199.20000000000002</v>
      </c>
      <c r="L4112">
        <f t="shared" si="257"/>
        <v>150</v>
      </c>
      <c r="M4112" s="9">
        <f t="shared" si="258"/>
        <v>49.200000000000017</v>
      </c>
      <c r="N4112" t="str">
        <f t="shared" si="259"/>
        <v>Dec</v>
      </c>
    </row>
    <row r="4113" spans="1:14" x14ac:dyDescent="0.3">
      <c r="A4113" s="2" t="s">
        <v>4179</v>
      </c>
      <c r="B4113" s="6">
        <v>46015</v>
      </c>
      <c r="C4113" s="2" t="s">
        <v>31</v>
      </c>
      <c r="D4113" s="2" t="s">
        <v>163</v>
      </c>
      <c r="E4113" s="2">
        <v>1</v>
      </c>
      <c r="F4113" s="7">
        <v>2499</v>
      </c>
      <c r="G4113" s="8">
        <v>0.2</v>
      </c>
      <c r="H4113" s="9" t="str">
        <f>INDEX(Products!$B$2:$B$37, MATCH(D4113, Products!$A$2:$A$37, 0))</f>
        <v>Treadmill Compact</v>
      </c>
      <c r="I4113" t="str">
        <f>INDEX(Products!$C$2:$C$37, MATCH(D4113, Products!$A$2:$A$37, 0))</f>
        <v>Sports</v>
      </c>
      <c r="J4113">
        <f>INDEX(Products!$E$2:$E$37, MATCH(D4113, Products!$A$2:$A$37, 0))</f>
        <v>2150</v>
      </c>
      <c r="K4113" s="9">
        <f t="shared" si="256"/>
        <v>1999.2</v>
      </c>
      <c r="L4113">
        <f t="shared" si="257"/>
        <v>2150</v>
      </c>
      <c r="M4113" s="9">
        <f t="shared" si="258"/>
        <v>-150.79999999999995</v>
      </c>
      <c r="N4113" t="str">
        <f t="shared" si="259"/>
        <v>Dec</v>
      </c>
    </row>
    <row r="4114" spans="1:14" x14ac:dyDescent="0.3">
      <c r="A4114" s="2" t="s">
        <v>4180</v>
      </c>
      <c r="B4114" s="6">
        <v>46015</v>
      </c>
      <c r="C4114" s="2" t="s">
        <v>41</v>
      </c>
      <c r="D4114" s="2" t="s">
        <v>113</v>
      </c>
      <c r="E4114" s="2">
        <v>2</v>
      </c>
      <c r="F4114" s="7">
        <v>1199</v>
      </c>
      <c r="G4114" s="8">
        <v>0.2</v>
      </c>
      <c r="H4114" s="9" t="str">
        <f>INDEX(Products!$B$2:$B$37, MATCH(D4114, Products!$A$2:$A$37, 0))</f>
        <v>Robot Vacuum S3</v>
      </c>
      <c r="I4114" t="str">
        <f>INDEX(Products!$C$2:$C$37, MATCH(D4114, Products!$A$2:$A$37, 0))</f>
        <v>Home &amp; Kitchen</v>
      </c>
      <c r="J4114">
        <f>INDEX(Products!$E$2:$E$37, MATCH(D4114, Products!$A$2:$A$37, 0))</f>
        <v>1080</v>
      </c>
      <c r="K4114" s="9">
        <f t="shared" si="256"/>
        <v>1918.4</v>
      </c>
      <c r="L4114">
        <f t="shared" si="257"/>
        <v>2160</v>
      </c>
      <c r="M4114" s="9">
        <f t="shared" si="258"/>
        <v>-241.59999999999991</v>
      </c>
      <c r="N4114" t="str">
        <f t="shared" si="259"/>
        <v>Dec</v>
      </c>
    </row>
    <row r="4115" spans="1:14" x14ac:dyDescent="0.3">
      <c r="A4115" s="2" t="s">
        <v>4181</v>
      </c>
      <c r="B4115" s="6">
        <v>46015</v>
      </c>
      <c r="C4115" s="2" t="s">
        <v>41</v>
      </c>
      <c r="D4115" s="2" t="s">
        <v>49</v>
      </c>
      <c r="E4115" s="2">
        <v>1</v>
      </c>
      <c r="F4115" s="7">
        <v>149</v>
      </c>
      <c r="G4115" s="8">
        <v>0.3</v>
      </c>
      <c r="H4115" s="9" t="str">
        <f>INDEX(Products!$B$2:$B$37, MATCH(D4115, Products!$A$2:$A$37, 0))</f>
        <v>Kids' Sneakers</v>
      </c>
      <c r="I4115" t="str">
        <f>INDEX(Products!$C$2:$C$37, MATCH(D4115, Products!$A$2:$A$37, 0))</f>
        <v>Fashion</v>
      </c>
      <c r="J4115">
        <f>INDEX(Products!$E$2:$E$37, MATCH(D4115, Products!$A$2:$A$37, 0))</f>
        <v>80</v>
      </c>
      <c r="K4115" s="9">
        <f t="shared" si="256"/>
        <v>104.3</v>
      </c>
      <c r="L4115">
        <f t="shared" si="257"/>
        <v>80</v>
      </c>
      <c r="M4115" s="9">
        <f t="shared" si="258"/>
        <v>24.299999999999997</v>
      </c>
      <c r="N4115" t="str">
        <f t="shared" si="259"/>
        <v>Dec</v>
      </c>
    </row>
    <row r="4116" spans="1:14" x14ac:dyDescent="0.3">
      <c r="A4116" s="2" t="s">
        <v>4182</v>
      </c>
      <c r="B4116" s="6">
        <v>46015</v>
      </c>
      <c r="C4116" s="2" t="s">
        <v>41</v>
      </c>
      <c r="D4116" s="2" t="s">
        <v>115</v>
      </c>
      <c r="E4116" s="2">
        <v>1</v>
      </c>
      <c r="F4116" s="7">
        <v>129</v>
      </c>
      <c r="G4116" s="8">
        <v>0.2</v>
      </c>
      <c r="H4116" s="9" t="str">
        <f>INDEX(Products!$B$2:$B$37, MATCH(D4116, Products!$A$2:$A$37, 0))</f>
        <v>Electric Kettle</v>
      </c>
      <c r="I4116" t="str">
        <f>INDEX(Products!$C$2:$C$37, MATCH(D4116, Products!$A$2:$A$37, 0))</f>
        <v>Home &amp; Kitchen</v>
      </c>
      <c r="J4116">
        <f>INDEX(Products!$E$2:$E$37, MATCH(D4116, Products!$A$2:$A$37, 0))</f>
        <v>60</v>
      </c>
      <c r="K4116" s="9">
        <f t="shared" si="256"/>
        <v>103.2</v>
      </c>
      <c r="L4116">
        <f t="shared" si="257"/>
        <v>60</v>
      </c>
      <c r="M4116" s="9">
        <f t="shared" si="258"/>
        <v>43.2</v>
      </c>
      <c r="N4116" t="str">
        <f t="shared" si="259"/>
        <v>Dec</v>
      </c>
    </row>
    <row r="4117" spans="1:14" x14ac:dyDescent="0.3">
      <c r="A4117" s="2" t="s">
        <v>4183</v>
      </c>
      <c r="B4117" s="6">
        <v>46015</v>
      </c>
      <c r="C4117" s="2" t="s">
        <v>28</v>
      </c>
      <c r="D4117" s="2" t="s">
        <v>109</v>
      </c>
      <c r="E4117" s="2">
        <v>1</v>
      </c>
      <c r="F4117" s="7">
        <v>1499</v>
      </c>
      <c r="G4117" s="8">
        <v>0</v>
      </c>
      <c r="H4117" s="9" t="str">
        <f>INDEX(Products!$B$2:$B$37, MATCH(D4117, Products!$A$2:$A$37, 0))</f>
        <v>Espresso Machine</v>
      </c>
      <c r="I4117" t="str">
        <f>INDEX(Products!$C$2:$C$37, MATCH(D4117, Products!$A$2:$A$37, 0))</f>
        <v>Home &amp; Kitchen</v>
      </c>
      <c r="J4117">
        <f>INDEX(Products!$E$2:$E$37, MATCH(D4117, Products!$A$2:$A$37, 0))</f>
        <v>1050</v>
      </c>
      <c r="K4117" s="9">
        <f t="shared" si="256"/>
        <v>1499</v>
      </c>
      <c r="L4117">
        <f t="shared" si="257"/>
        <v>1050</v>
      </c>
      <c r="M4117" s="9">
        <f t="shared" si="258"/>
        <v>449</v>
      </c>
      <c r="N4117" t="str">
        <f t="shared" si="259"/>
        <v>Dec</v>
      </c>
    </row>
    <row r="4118" spans="1:14" x14ac:dyDescent="0.3">
      <c r="A4118" s="2" t="s">
        <v>4184</v>
      </c>
      <c r="B4118" s="6">
        <v>46015</v>
      </c>
      <c r="C4118" s="2" t="s">
        <v>41</v>
      </c>
      <c r="D4118" s="2" t="s">
        <v>29</v>
      </c>
      <c r="E4118" s="2">
        <v>4</v>
      </c>
      <c r="F4118" s="7">
        <v>229</v>
      </c>
      <c r="G4118" s="8">
        <v>0.1</v>
      </c>
      <c r="H4118" s="9" t="str">
        <f>INDEX(Products!$B$2:$B$37, MATCH(D4118, Products!$A$2:$A$37, 0))</f>
        <v>Women's Summer Dress</v>
      </c>
      <c r="I4118" t="str">
        <f>INDEX(Products!$C$2:$C$37, MATCH(D4118, Products!$A$2:$A$37, 0))</f>
        <v>Fashion</v>
      </c>
      <c r="J4118">
        <f>INDEX(Products!$E$2:$E$37, MATCH(D4118, Products!$A$2:$A$37, 0))</f>
        <v>120</v>
      </c>
      <c r="K4118" s="9">
        <f t="shared" si="256"/>
        <v>824.4</v>
      </c>
      <c r="L4118">
        <f t="shared" si="257"/>
        <v>480</v>
      </c>
      <c r="M4118" s="9">
        <f t="shared" si="258"/>
        <v>344.4</v>
      </c>
      <c r="N4118" t="str">
        <f t="shared" si="259"/>
        <v>Dec</v>
      </c>
    </row>
    <row r="4119" spans="1:14" x14ac:dyDescent="0.3">
      <c r="A4119" s="2" t="s">
        <v>4185</v>
      </c>
      <c r="B4119" s="6">
        <v>46015</v>
      </c>
      <c r="C4119" s="2" t="s">
        <v>41</v>
      </c>
      <c r="D4119" s="2" t="s">
        <v>126</v>
      </c>
      <c r="E4119" s="2">
        <v>2</v>
      </c>
      <c r="F4119" s="7">
        <v>89</v>
      </c>
      <c r="G4119" s="8">
        <v>0</v>
      </c>
      <c r="H4119" s="9" t="str">
        <f>INDEX(Products!$B$2:$B$37, MATCH(D4119, Products!$A$2:$A$37, 0))</f>
        <v>USB-C Fast Charger</v>
      </c>
      <c r="I4119" t="str">
        <f>INDEX(Products!$C$2:$C$37, MATCH(D4119, Products!$A$2:$A$37, 0))</f>
        <v>Electronics</v>
      </c>
      <c r="J4119">
        <f>INDEX(Products!$E$2:$E$37, MATCH(D4119, Products!$A$2:$A$37, 0))</f>
        <v>35</v>
      </c>
      <c r="K4119" s="9">
        <f t="shared" si="256"/>
        <v>178</v>
      </c>
      <c r="L4119">
        <f t="shared" si="257"/>
        <v>70</v>
      </c>
      <c r="M4119" s="9">
        <f t="shared" si="258"/>
        <v>108</v>
      </c>
      <c r="N4119" t="str">
        <f t="shared" si="259"/>
        <v>Dec</v>
      </c>
    </row>
    <row r="4120" spans="1:14" x14ac:dyDescent="0.3">
      <c r="A4120" s="2" t="s">
        <v>4186</v>
      </c>
      <c r="B4120" s="6">
        <v>46015</v>
      </c>
      <c r="C4120" s="2" t="s">
        <v>44</v>
      </c>
      <c r="D4120" s="2" t="s">
        <v>126</v>
      </c>
      <c r="E4120" s="2">
        <v>2</v>
      </c>
      <c r="F4120" s="7">
        <v>89</v>
      </c>
      <c r="G4120" s="8">
        <v>0</v>
      </c>
      <c r="H4120" s="9" t="str">
        <f>INDEX(Products!$B$2:$B$37, MATCH(D4120, Products!$A$2:$A$37, 0))</f>
        <v>USB-C Fast Charger</v>
      </c>
      <c r="I4120" t="str">
        <f>INDEX(Products!$C$2:$C$37, MATCH(D4120, Products!$A$2:$A$37, 0))</f>
        <v>Electronics</v>
      </c>
      <c r="J4120">
        <f>INDEX(Products!$E$2:$E$37, MATCH(D4120, Products!$A$2:$A$37, 0))</f>
        <v>35</v>
      </c>
      <c r="K4120" s="9">
        <f t="shared" si="256"/>
        <v>178</v>
      </c>
      <c r="L4120">
        <f t="shared" si="257"/>
        <v>70</v>
      </c>
      <c r="M4120" s="9">
        <f t="shared" si="258"/>
        <v>108</v>
      </c>
      <c r="N4120" t="str">
        <f t="shared" si="259"/>
        <v>Dec</v>
      </c>
    </row>
    <row r="4121" spans="1:14" x14ac:dyDescent="0.3">
      <c r="A4121" s="2" t="s">
        <v>4187</v>
      </c>
      <c r="B4121" s="6">
        <v>46015</v>
      </c>
      <c r="C4121" s="2" t="s">
        <v>41</v>
      </c>
      <c r="D4121" s="2" t="s">
        <v>42</v>
      </c>
      <c r="E4121" s="2">
        <v>2</v>
      </c>
      <c r="F4121" s="7">
        <v>399</v>
      </c>
      <c r="G4121" s="8">
        <v>0.2</v>
      </c>
      <c r="H4121" s="9" t="str">
        <f>INDEX(Products!$B$2:$B$37, MATCH(D4121, Products!$A$2:$A$37, 0))</f>
        <v>Wireless Earbuds Pro</v>
      </c>
      <c r="I4121" t="str">
        <f>INDEX(Products!$C$2:$C$37, MATCH(D4121, Products!$A$2:$A$37, 0))</f>
        <v>Electronics</v>
      </c>
      <c r="J4121">
        <f>INDEX(Products!$E$2:$E$37, MATCH(D4121, Products!$A$2:$A$37, 0))</f>
        <v>230</v>
      </c>
      <c r="K4121" s="9">
        <f t="shared" si="256"/>
        <v>638.40000000000009</v>
      </c>
      <c r="L4121">
        <f t="shared" si="257"/>
        <v>460</v>
      </c>
      <c r="M4121" s="9">
        <f t="shared" si="258"/>
        <v>178.40000000000009</v>
      </c>
      <c r="N4121" t="str">
        <f t="shared" si="259"/>
        <v>Dec</v>
      </c>
    </row>
    <row r="4122" spans="1:14" x14ac:dyDescent="0.3">
      <c r="A4122" s="2" t="s">
        <v>4188</v>
      </c>
      <c r="B4122" s="6">
        <v>46016</v>
      </c>
      <c r="C4122" s="2" t="s">
        <v>44</v>
      </c>
      <c r="D4122" s="2" t="s">
        <v>65</v>
      </c>
      <c r="E4122" s="2">
        <v>3</v>
      </c>
      <c r="F4122" s="7">
        <v>129</v>
      </c>
      <c r="G4122" s="8">
        <v>0.2</v>
      </c>
      <c r="H4122" s="9" t="str">
        <f>INDEX(Products!$B$2:$B$37, MATCH(D4122, Products!$A$2:$A$37, 0))</f>
        <v>Yoga Mat Premium</v>
      </c>
      <c r="I4122" t="str">
        <f>INDEX(Products!$C$2:$C$37, MATCH(D4122, Products!$A$2:$A$37, 0))</f>
        <v>Sports</v>
      </c>
      <c r="J4122">
        <f>INDEX(Products!$E$2:$E$37, MATCH(D4122, Products!$A$2:$A$37, 0))</f>
        <v>60</v>
      </c>
      <c r="K4122" s="9">
        <f t="shared" si="256"/>
        <v>309.60000000000002</v>
      </c>
      <c r="L4122">
        <f t="shared" si="257"/>
        <v>180</v>
      </c>
      <c r="M4122" s="9">
        <f t="shared" si="258"/>
        <v>129.60000000000002</v>
      </c>
      <c r="N4122" t="str">
        <f t="shared" si="259"/>
        <v>Dec</v>
      </c>
    </row>
    <row r="4123" spans="1:14" x14ac:dyDescent="0.3">
      <c r="A4123" s="2" t="s">
        <v>4189</v>
      </c>
      <c r="B4123" s="6">
        <v>46016</v>
      </c>
      <c r="C4123" s="2" t="s">
        <v>41</v>
      </c>
      <c r="D4123" s="2" t="s">
        <v>56</v>
      </c>
      <c r="E4123" s="2">
        <v>1</v>
      </c>
      <c r="F4123" s="7">
        <v>289</v>
      </c>
      <c r="G4123" s="8">
        <v>0.3</v>
      </c>
      <c r="H4123" s="9" t="str">
        <f>INDEX(Products!$B$2:$B$37, MATCH(D4123, Products!$A$2:$A$37, 0))</f>
        <v>Ceramic Dinner Set</v>
      </c>
      <c r="I4123" t="str">
        <f>INDEX(Products!$C$2:$C$37, MATCH(D4123, Products!$A$2:$A$37, 0))</f>
        <v>Home &amp; Kitchen</v>
      </c>
      <c r="J4123">
        <f>INDEX(Products!$E$2:$E$37, MATCH(D4123, Products!$A$2:$A$37, 0))</f>
        <v>140</v>
      </c>
      <c r="K4123" s="9">
        <f t="shared" si="256"/>
        <v>202.29999999999998</v>
      </c>
      <c r="L4123">
        <f t="shared" si="257"/>
        <v>140</v>
      </c>
      <c r="M4123" s="9">
        <f t="shared" si="258"/>
        <v>62.299999999999983</v>
      </c>
      <c r="N4123" t="str">
        <f t="shared" si="259"/>
        <v>Dec</v>
      </c>
    </row>
    <row r="4124" spans="1:14" x14ac:dyDescent="0.3">
      <c r="A4124" s="2" t="s">
        <v>4190</v>
      </c>
      <c r="B4124" s="6">
        <v>46016</v>
      </c>
      <c r="C4124" s="2" t="s">
        <v>44</v>
      </c>
      <c r="D4124" s="2" t="s">
        <v>33</v>
      </c>
      <c r="E4124" s="2">
        <v>4</v>
      </c>
      <c r="F4124" s="7">
        <v>199</v>
      </c>
      <c r="G4124" s="8">
        <v>0.25</v>
      </c>
      <c r="H4124" s="9" t="str">
        <f>INDEX(Products!$B$2:$B$37, MATCH(D4124, Products!$A$2:$A$37, 0))</f>
        <v>Fitness Band Lite</v>
      </c>
      <c r="I4124" t="str">
        <f>INDEX(Products!$C$2:$C$37, MATCH(D4124, Products!$A$2:$A$37, 0))</f>
        <v>Electronics</v>
      </c>
      <c r="J4124">
        <f>INDEX(Products!$E$2:$E$37, MATCH(D4124, Products!$A$2:$A$37, 0))</f>
        <v>175</v>
      </c>
      <c r="K4124" s="9">
        <f t="shared" si="256"/>
        <v>597</v>
      </c>
      <c r="L4124">
        <f t="shared" si="257"/>
        <v>700</v>
      </c>
      <c r="M4124" s="9">
        <f t="shared" si="258"/>
        <v>-103</v>
      </c>
      <c r="N4124" t="str">
        <f t="shared" si="259"/>
        <v>Dec</v>
      </c>
    </row>
    <row r="4125" spans="1:14" x14ac:dyDescent="0.3">
      <c r="A4125" s="2" t="s">
        <v>4191</v>
      </c>
      <c r="B4125" s="6">
        <v>46016</v>
      </c>
      <c r="C4125" s="2" t="s">
        <v>44</v>
      </c>
      <c r="D4125" s="2" t="s">
        <v>165</v>
      </c>
      <c r="E4125" s="2">
        <v>1</v>
      </c>
      <c r="F4125" s="7">
        <v>69</v>
      </c>
      <c r="G4125" s="8">
        <v>0.2</v>
      </c>
      <c r="H4125" s="9" t="str">
        <f>INDEX(Products!$B$2:$B$37, MATCH(D4125, Products!$A$2:$A$37, 0))</f>
        <v>Swim Goggles</v>
      </c>
      <c r="I4125" t="str">
        <f>INDEX(Products!$C$2:$C$37, MATCH(D4125, Products!$A$2:$A$37, 0))</f>
        <v>Sports</v>
      </c>
      <c r="J4125">
        <f>INDEX(Products!$E$2:$E$37, MATCH(D4125, Products!$A$2:$A$37, 0))</f>
        <v>25</v>
      </c>
      <c r="K4125" s="9">
        <f t="shared" si="256"/>
        <v>55.2</v>
      </c>
      <c r="L4125">
        <f t="shared" si="257"/>
        <v>25</v>
      </c>
      <c r="M4125" s="9">
        <f t="shared" si="258"/>
        <v>30.200000000000003</v>
      </c>
      <c r="N4125" t="str">
        <f t="shared" si="259"/>
        <v>Dec</v>
      </c>
    </row>
    <row r="4126" spans="1:14" x14ac:dyDescent="0.3">
      <c r="A4126" s="2" t="s">
        <v>4192</v>
      </c>
      <c r="B4126" s="6">
        <v>46016</v>
      </c>
      <c r="C4126" s="2" t="s">
        <v>28</v>
      </c>
      <c r="D4126" s="2" t="s">
        <v>80</v>
      </c>
      <c r="E4126" s="2">
        <v>1</v>
      </c>
      <c r="F4126" s="7">
        <v>149</v>
      </c>
      <c r="G4126" s="8">
        <v>0.1</v>
      </c>
      <c r="H4126" s="9" t="str">
        <f>INDEX(Products!$B$2:$B$37, MATCH(D4126, Products!$A$2:$A$37, 0))</f>
        <v>Vitamin C Serum</v>
      </c>
      <c r="I4126" t="str">
        <f>INDEX(Products!$C$2:$C$37, MATCH(D4126, Products!$A$2:$A$37, 0))</f>
        <v>Beauty</v>
      </c>
      <c r="J4126">
        <f>INDEX(Products!$E$2:$E$37, MATCH(D4126, Products!$A$2:$A$37, 0))</f>
        <v>55</v>
      </c>
      <c r="K4126" s="9">
        <f t="shared" si="256"/>
        <v>134.1</v>
      </c>
      <c r="L4126">
        <f t="shared" si="257"/>
        <v>55</v>
      </c>
      <c r="M4126" s="9">
        <f t="shared" si="258"/>
        <v>79.099999999999994</v>
      </c>
      <c r="N4126" t="str">
        <f t="shared" si="259"/>
        <v>Dec</v>
      </c>
    </row>
    <row r="4127" spans="1:14" x14ac:dyDescent="0.3">
      <c r="A4127" s="2" t="s">
        <v>4193</v>
      </c>
      <c r="B4127" s="6">
        <v>46016</v>
      </c>
      <c r="C4127" s="2" t="s">
        <v>44</v>
      </c>
      <c r="D4127" s="2" t="s">
        <v>99</v>
      </c>
      <c r="E4127" s="2">
        <v>2</v>
      </c>
      <c r="F4127" s="7">
        <v>459</v>
      </c>
      <c r="G4127" s="8">
        <v>0.15</v>
      </c>
      <c r="H4127" s="9" t="str">
        <f>INDEX(Products!$B$2:$B$37, MATCH(D4127, Products!$A$2:$A$37, 0))</f>
        <v>Gaming Headset X</v>
      </c>
      <c r="I4127" t="str">
        <f>INDEX(Products!$C$2:$C$37, MATCH(D4127, Products!$A$2:$A$37, 0))</f>
        <v>Electronics</v>
      </c>
      <c r="J4127">
        <f>INDEX(Products!$E$2:$E$37, MATCH(D4127, Products!$A$2:$A$37, 0))</f>
        <v>300</v>
      </c>
      <c r="K4127" s="9">
        <f t="shared" si="256"/>
        <v>780.3</v>
      </c>
      <c r="L4127">
        <f t="shared" si="257"/>
        <v>600</v>
      </c>
      <c r="M4127" s="9">
        <f t="shared" si="258"/>
        <v>180.29999999999995</v>
      </c>
      <c r="N4127" t="str">
        <f t="shared" si="259"/>
        <v>Dec</v>
      </c>
    </row>
    <row r="4128" spans="1:14" x14ac:dyDescent="0.3">
      <c r="A4128" s="2" t="s">
        <v>4194</v>
      </c>
      <c r="B4128" s="6">
        <v>46016</v>
      </c>
      <c r="C4128" s="2" t="s">
        <v>41</v>
      </c>
      <c r="D4128" s="2" t="s">
        <v>42</v>
      </c>
      <c r="E4128" s="2">
        <v>1</v>
      </c>
      <c r="F4128" s="7">
        <v>399</v>
      </c>
      <c r="G4128" s="8">
        <v>0</v>
      </c>
      <c r="H4128" s="9" t="str">
        <f>INDEX(Products!$B$2:$B$37, MATCH(D4128, Products!$A$2:$A$37, 0))</f>
        <v>Wireless Earbuds Pro</v>
      </c>
      <c r="I4128" t="str">
        <f>INDEX(Products!$C$2:$C$37, MATCH(D4128, Products!$A$2:$A$37, 0))</f>
        <v>Electronics</v>
      </c>
      <c r="J4128">
        <f>INDEX(Products!$E$2:$E$37, MATCH(D4128, Products!$A$2:$A$37, 0))</f>
        <v>230</v>
      </c>
      <c r="K4128" s="9">
        <f t="shared" si="256"/>
        <v>399</v>
      </c>
      <c r="L4128">
        <f t="shared" si="257"/>
        <v>230</v>
      </c>
      <c r="M4128" s="9">
        <f t="shared" si="258"/>
        <v>169</v>
      </c>
      <c r="N4128" t="str">
        <f t="shared" si="259"/>
        <v>Dec</v>
      </c>
    </row>
    <row r="4129" spans="1:14" x14ac:dyDescent="0.3">
      <c r="A4129" s="2" t="s">
        <v>4195</v>
      </c>
      <c r="B4129" s="6">
        <v>46016</v>
      </c>
      <c r="C4129" s="2" t="s">
        <v>41</v>
      </c>
      <c r="D4129" s="2" t="s">
        <v>75</v>
      </c>
      <c r="E4129" s="2">
        <v>4</v>
      </c>
      <c r="F4129" s="7">
        <v>549</v>
      </c>
      <c r="G4129" s="8">
        <v>0</v>
      </c>
      <c r="H4129" s="9" t="str">
        <f>INDEX(Products!$B$2:$B$37, MATCH(D4129, Products!$A$2:$A$37, 0))</f>
        <v>Oud Perfume 100ml</v>
      </c>
      <c r="I4129" t="str">
        <f>INDEX(Products!$C$2:$C$37, MATCH(D4129, Products!$A$2:$A$37, 0))</f>
        <v>Beauty</v>
      </c>
      <c r="J4129">
        <f>INDEX(Products!$E$2:$E$37, MATCH(D4129, Products!$A$2:$A$37, 0))</f>
        <v>250</v>
      </c>
      <c r="K4129" s="9">
        <f t="shared" si="256"/>
        <v>2196</v>
      </c>
      <c r="L4129">
        <f t="shared" si="257"/>
        <v>1000</v>
      </c>
      <c r="M4129" s="9">
        <f t="shared" si="258"/>
        <v>1196</v>
      </c>
      <c r="N4129" t="str">
        <f t="shared" si="259"/>
        <v>Dec</v>
      </c>
    </row>
    <row r="4130" spans="1:14" x14ac:dyDescent="0.3">
      <c r="A4130" s="2" t="s">
        <v>4196</v>
      </c>
      <c r="B4130" s="6">
        <v>46016</v>
      </c>
      <c r="C4130" s="2" t="s">
        <v>44</v>
      </c>
      <c r="D4130" s="2" t="s">
        <v>126</v>
      </c>
      <c r="E4130" s="2">
        <v>1</v>
      </c>
      <c r="F4130" s="7">
        <v>89</v>
      </c>
      <c r="G4130" s="8">
        <v>0.15</v>
      </c>
      <c r="H4130" s="9" t="str">
        <f>INDEX(Products!$B$2:$B$37, MATCH(D4130, Products!$A$2:$A$37, 0))</f>
        <v>USB-C Fast Charger</v>
      </c>
      <c r="I4130" t="str">
        <f>INDEX(Products!$C$2:$C$37, MATCH(D4130, Products!$A$2:$A$37, 0))</f>
        <v>Electronics</v>
      </c>
      <c r="J4130">
        <f>INDEX(Products!$E$2:$E$37, MATCH(D4130, Products!$A$2:$A$37, 0))</f>
        <v>35</v>
      </c>
      <c r="K4130" s="9">
        <f t="shared" si="256"/>
        <v>75.649999999999991</v>
      </c>
      <c r="L4130">
        <f t="shared" si="257"/>
        <v>35</v>
      </c>
      <c r="M4130" s="9">
        <f t="shared" si="258"/>
        <v>40.649999999999991</v>
      </c>
      <c r="N4130" t="str">
        <f t="shared" si="259"/>
        <v>Dec</v>
      </c>
    </row>
    <row r="4131" spans="1:14" x14ac:dyDescent="0.3">
      <c r="A4131" s="2" t="s">
        <v>4197</v>
      </c>
      <c r="B4131" s="6">
        <v>46016</v>
      </c>
      <c r="C4131" s="2" t="s">
        <v>31</v>
      </c>
      <c r="D4131" s="2" t="s">
        <v>115</v>
      </c>
      <c r="E4131" s="2">
        <v>1</v>
      </c>
      <c r="F4131" s="7">
        <v>129</v>
      </c>
      <c r="G4131" s="8">
        <v>0</v>
      </c>
      <c r="H4131" s="9" t="str">
        <f>INDEX(Products!$B$2:$B$37, MATCH(D4131, Products!$A$2:$A$37, 0))</f>
        <v>Electric Kettle</v>
      </c>
      <c r="I4131" t="str">
        <f>INDEX(Products!$C$2:$C$37, MATCH(D4131, Products!$A$2:$A$37, 0))</f>
        <v>Home &amp; Kitchen</v>
      </c>
      <c r="J4131">
        <f>INDEX(Products!$E$2:$E$37, MATCH(D4131, Products!$A$2:$A$37, 0))</f>
        <v>60</v>
      </c>
      <c r="K4131" s="9">
        <f t="shared" si="256"/>
        <v>129</v>
      </c>
      <c r="L4131">
        <f t="shared" si="257"/>
        <v>60</v>
      </c>
      <c r="M4131" s="9">
        <f t="shared" si="258"/>
        <v>69</v>
      </c>
      <c r="N4131" t="str">
        <f t="shared" si="259"/>
        <v>Dec</v>
      </c>
    </row>
    <row r="4132" spans="1:14" x14ac:dyDescent="0.3">
      <c r="A4132" s="2" t="s">
        <v>4198</v>
      </c>
      <c r="B4132" s="6">
        <v>46016</v>
      </c>
      <c r="C4132" s="2" t="s">
        <v>41</v>
      </c>
      <c r="D4132" s="2" t="s">
        <v>103</v>
      </c>
      <c r="E4132" s="2">
        <v>1</v>
      </c>
      <c r="F4132" s="7">
        <v>89</v>
      </c>
      <c r="G4132" s="8">
        <v>0.2</v>
      </c>
      <c r="H4132" s="9" t="str">
        <f>INDEX(Products!$B$2:$B$37, MATCH(D4132, Products!$A$2:$A$37, 0))</f>
        <v>Sunscreen SPF50</v>
      </c>
      <c r="I4132" t="str">
        <f>INDEX(Products!$C$2:$C$37, MATCH(D4132, Products!$A$2:$A$37, 0))</f>
        <v>Beauty</v>
      </c>
      <c r="J4132">
        <f>INDEX(Products!$E$2:$E$37, MATCH(D4132, Products!$A$2:$A$37, 0))</f>
        <v>40</v>
      </c>
      <c r="K4132" s="9">
        <f t="shared" si="256"/>
        <v>71.2</v>
      </c>
      <c r="L4132">
        <f t="shared" si="257"/>
        <v>40</v>
      </c>
      <c r="M4132" s="9">
        <f t="shared" si="258"/>
        <v>31.200000000000003</v>
      </c>
      <c r="N4132" t="str">
        <f t="shared" si="259"/>
        <v>Dec</v>
      </c>
    </row>
    <row r="4133" spans="1:14" x14ac:dyDescent="0.3">
      <c r="A4133" s="2" t="s">
        <v>4199</v>
      </c>
      <c r="B4133" s="6">
        <v>46016</v>
      </c>
      <c r="C4133" s="2" t="s">
        <v>41</v>
      </c>
      <c r="D4133" s="2" t="s">
        <v>39</v>
      </c>
      <c r="E4133" s="2">
        <v>1</v>
      </c>
      <c r="F4133" s="7">
        <v>199</v>
      </c>
      <c r="G4133" s="8">
        <v>0.3</v>
      </c>
      <c r="H4133" s="9" t="str">
        <f>INDEX(Products!$B$2:$B$37, MATCH(D4133, Products!$A$2:$A$37, 0))</f>
        <v>Bakhoor Gift Set</v>
      </c>
      <c r="I4133" t="str">
        <f>INDEX(Products!$C$2:$C$37, MATCH(D4133, Products!$A$2:$A$37, 0))</f>
        <v>Beauty</v>
      </c>
      <c r="J4133">
        <f>INDEX(Products!$E$2:$E$37, MATCH(D4133, Products!$A$2:$A$37, 0))</f>
        <v>90</v>
      </c>
      <c r="K4133" s="9">
        <f t="shared" si="256"/>
        <v>139.29999999999998</v>
      </c>
      <c r="L4133">
        <f t="shared" si="257"/>
        <v>90</v>
      </c>
      <c r="M4133" s="9">
        <f t="shared" si="258"/>
        <v>49.299999999999983</v>
      </c>
      <c r="N4133" t="str">
        <f t="shared" si="259"/>
        <v>Dec</v>
      </c>
    </row>
    <row r="4134" spans="1:14" x14ac:dyDescent="0.3">
      <c r="A4134" s="2" t="s">
        <v>4200</v>
      </c>
      <c r="B4134" s="6">
        <v>46016</v>
      </c>
      <c r="C4134" s="2" t="s">
        <v>41</v>
      </c>
      <c r="D4134" s="2" t="s">
        <v>80</v>
      </c>
      <c r="E4134" s="2">
        <v>1</v>
      </c>
      <c r="F4134" s="7">
        <v>149</v>
      </c>
      <c r="G4134" s="8">
        <v>0.05</v>
      </c>
      <c r="H4134" s="9" t="str">
        <f>INDEX(Products!$B$2:$B$37, MATCH(D4134, Products!$A$2:$A$37, 0))</f>
        <v>Vitamin C Serum</v>
      </c>
      <c r="I4134" t="str">
        <f>INDEX(Products!$C$2:$C$37, MATCH(D4134, Products!$A$2:$A$37, 0))</f>
        <v>Beauty</v>
      </c>
      <c r="J4134">
        <f>INDEX(Products!$E$2:$E$37, MATCH(D4134, Products!$A$2:$A$37, 0))</f>
        <v>55</v>
      </c>
      <c r="K4134" s="9">
        <f t="shared" si="256"/>
        <v>141.54999999999998</v>
      </c>
      <c r="L4134">
        <f t="shared" si="257"/>
        <v>55</v>
      </c>
      <c r="M4134" s="9">
        <f t="shared" si="258"/>
        <v>86.549999999999983</v>
      </c>
      <c r="N4134" t="str">
        <f t="shared" si="259"/>
        <v>Dec</v>
      </c>
    </row>
    <row r="4135" spans="1:14" x14ac:dyDescent="0.3">
      <c r="A4135" s="2" t="s">
        <v>4201</v>
      </c>
      <c r="B4135" s="6">
        <v>46016</v>
      </c>
      <c r="C4135" s="2" t="s">
        <v>41</v>
      </c>
      <c r="D4135" s="2" t="s">
        <v>92</v>
      </c>
      <c r="E4135" s="2">
        <v>1</v>
      </c>
      <c r="F4135" s="7">
        <v>349</v>
      </c>
      <c r="G4135" s="8">
        <v>0</v>
      </c>
      <c r="H4135" s="9" t="str">
        <f>INDEX(Products!$B$2:$B$37, MATCH(D4135, Products!$A$2:$A$37, 0))</f>
        <v>Non-stick Cookware Set</v>
      </c>
      <c r="I4135" t="str">
        <f>INDEX(Products!$C$2:$C$37, MATCH(D4135, Products!$A$2:$A$37, 0))</f>
        <v>Home &amp; Kitchen</v>
      </c>
      <c r="J4135">
        <f>INDEX(Products!$E$2:$E$37, MATCH(D4135, Products!$A$2:$A$37, 0))</f>
        <v>170</v>
      </c>
      <c r="K4135" s="9">
        <f t="shared" si="256"/>
        <v>349</v>
      </c>
      <c r="L4135">
        <f t="shared" si="257"/>
        <v>170</v>
      </c>
      <c r="M4135" s="9">
        <f t="shared" si="258"/>
        <v>179</v>
      </c>
      <c r="N4135" t="str">
        <f t="shared" si="259"/>
        <v>Dec</v>
      </c>
    </row>
    <row r="4136" spans="1:14" x14ac:dyDescent="0.3">
      <c r="A4136" s="2" t="s">
        <v>4202</v>
      </c>
      <c r="B4136" s="6">
        <v>46016</v>
      </c>
      <c r="C4136" s="2" t="s">
        <v>41</v>
      </c>
      <c r="D4136" s="2" t="s">
        <v>126</v>
      </c>
      <c r="E4136" s="2">
        <v>1</v>
      </c>
      <c r="F4136" s="7">
        <v>89</v>
      </c>
      <c r="G4136" s="8">
        <v>0.15</v>
      </c>
      <c r="H4136" s="9" t="str">
        <f>INDEX(Products!$B$2:$B$37, MATCH(D4136, Products!$A$2:$A$37, 0))</f>
        <v>USB-C Fast Charger</v>
      </c>
      <c r="I4136" t="str">
        <f>INDEX(Products!$C$2:$C$37, MATCH(D4136, Products!$A$2:$A$37, 0))</f>
        <v>Electronics</v>
      </c>
      <c r="J4136">
        <f>INDEX(Products!$E$2:$E$37, MATCH(D4136, Products!$A$2:$A$37, 0))</f>
        <v>35</v>
      </c>
      <c r="K4136" s="9">
        <f t="shared" si="256"/>
        <v>75.649999999999991</v>
      </c>
      <c r="L4136">
        <f t="shared" si="257"/>
        <v>35</v>
      </c>
      <c r="M4136" s="9">
        <f t="shared" si="258"/>
        <v>40.649999999999991</v>
      </c>
      <c r="N4136" t="str">
        <f t="shared" si="259"/>
        <v>Dec</v>
      </c>
    </row>
    <row r="4137" spans="1:14" x14ac:dyDescent="0.3">
      <c r="A4137" s="2" t="s">
        <v>4203</v>
      </c>
      <c r="B4137" s="6">
        <v>46016</v>
      </c>
      <c r="C4137" s="2" t="s">
        <v>41</v>
      </c>
      <c r="D4137" s="2" t="s">
        <v>56</v>
      </c>
      <c r="E4137" s="2">
        <v>2</v>
      </c>
      <c r="F4137" s="7">
        <v>289</v>
      </c>
      <c r="G4137" s="8">
        <v>0.2</v>
      </c>
      <c r="H4137" s="9" t="str">
        <f>INDEX(Products!$B$2:$B$37, MATCH(D4137, Products!$A$2:$A$37, 0))</f>
        <v>Ceramic Dinner Set</v>
      </c>
      <c r="I4137" t="str">
        <f>INDEX(Products!$C$2:$C$37, MATCH(D4137, Products!$A$2:$A$37, 0))</f>
        <v>Home &amp; Kitchen</v>
      </c>
      <c r="J4137">
        <f>INDEX(Products!$E$2:$E$37, MATCH(D4137, Products!$A$2:$A$37, 0))</f>
        <v>140</v>
      </c>
      <c r="K4137" s="9">
        <f t="shared" si="256"/>
        <v>462.40000000000003</v>
      </c>
      <c r="L4137">
        <f t="shared" si="257"/>
        <v>280</v>
      </c>
      <c r="M4137" s="9">
        <f t="shared" si="258"/>
        <v>182.40000000000003</v>
      </c>
      <c r="N4137" t="str">
        <f t="shared" si="259"/>
        <v>Dec</v>
      </c>
    </row>
    <row r="4138" spans="1:14" x14ac:dyDescent="0.3">
      <c r="A4138" s="2" t="s">
        <v>4204</v>
      </c>
      <c r="B4138" s="6">
        <v>46016</v>
      </c>
      <c r="C4138" s="2" t="s">
        <v>41</v>
      </c>
      <c r="D4138" s="2" t="s">
        <v>35</v>
      </c>
      <c r="E4138" s="2">
        <v>1</v>
      </c>
      <c r="F4138" s="7">
        <v>179</v>
      </c>
      <c r="G4138" s="8">
        <v>0</v>
      </c>
      <c r="H4138" s="9" t="str">
        <f>INDEX(Products!$B$2:$B$37, MATCH(D4138, Products!$A$2:$A$37, 0))</f>
        <v>Men's Linen Shirt</v>
      </c>
      <c r="I4138" t="str">
        <f>INDEX(Products!$C$2:$C$37, MATCH(D4138, Products!$A$2:$A$37, 0))</f>
        <v>Fashion</v>
      </c>
      <c r="J4138">
        <f>INDEX(Products!$E$2:$E$37, MATCH(D4138, Products!$A$2:$A$37, 0))</f>
        <v>70</v>
      </c>
      <c r="K4138" s="9">
        <f t="shared" si="256"/>
        <v>179</v>
      </c>
      <c r="L4138">
        <f t="shared" si="257"/>
        <v>70</v>
      </c>
      <c r="M4138" s="9">
        <f t="shared" si="258"/>
        <v>109</v>
      </c>
      <c r="N4138" t="str">
        <f t="shared" si="259"/>
        <v>Dec</v>
      </c>
    </row>
    <row r="4139" spans="1:14" x14ac:dyDescent="0.3">
      <c r="A4139" s="2" t="s">
        <v>4205</v>
      </c>
      <c r="B4139" s="6">
        <v>46017</v>
      </c>
      <c r="C4139" s="2" t="s">
        <v>44</v>
      </c>
      <c r="D4139" s="2" t="s">
        <v>56</v>
      </c>
      <c r="E4139" s="2">
        <v>2</v>
      </c>
      <c r="F4139" s="7">
        <v>289</v>
      </c>
      <c r="G4139" s="8">
        <v>0.05</v>
      </c>
      <c r="H4139" s="9" t="str">
        <f>INDEX(Products!$B$2:$B$37, MATCH(D4139, Products!$A$2:$A$37, 0))</f>
        <v>Ceramic Dinner Set</v>
      </c>
      <c r="I4139" t="str">
        <f>INDEX(Products!$C$2:$C$37, MATCH(D4139, Products!$A$2:$A$37, 0))</f>
        <v>Home &amp; Kitchen</v>
      </c>
      <c r="J4139">
        <f>INDEX(Products!$E$2:$E$37, MATCH(D4139, Products!$A$2:$A$37, 0))</f>
        <v>140</v>
      </c>
      <c r="K4139" s="9">
        <f t="shared" si="256"/>
        <v>549.1</v>
      </c>
      <c r="L4139">
        <f t="shared" si="257"/>
        <v>280</v>
      </c>
      <c r="M4139" s="9">
        <f t="shared" si="258"/>
        <v>269.10000000000002</v>
      </c>
      <c r="N4139" t="str">
        <f t="shared" si="259"/>
        <v>Dec</v>
      </c>
    </row>
    <row r="4140" spans="1:14" x14ac:dyDescent="0.3">
      <c r="A4140" s="2" t="s">
        <v>4206</v>
      </c>
      <c r="B4140" s="6">
        <v>46017</v>
      </c>
      <c r="C4140" s="2" t="s">
        <v>28</v>
      </c>
      <c r="D4140" s="2" t="s">
        <v>49</v>
      </c>
      <c r="E4140" s="2">
        <v>2</v>
      </c>
      <c r="F4140" s="7">
        <v>149</v>
      </c>
      <c r="G4140" s="8">
        <v>0</v>
      </c>
      <c r="H4140" s="9" t="str">
        <f>INDEX(Products!$B$2:$B$37, MATCH(D4140, Products!$A$2:$A$37, 0))</f>
        <v>Kids' Sneakers</v>
      </c>
      <c r="I4140" t="str">
        <f>INDEX(Products!$C$2:$C$37, MATCH(D4140, Products!$A$2:$A$37, 0))</f>
        <v>Fashion</v>
      </c>
      <c r="J4140">
        <f>INDEX(Products!$E$2:$E$37, MATCH(D4140, Products!$A$2:$A$37, 0))</f>
        <v>80</v>
      </c>
      <c r="K4140" s="9">
        <f t="shared" si="256"/>
        <v>298</v>
      </c>
      <c r="L4140">
        <f t="shared" si="257"/>
        <v>160</v>
      </c>
      <c r="M4140" s="9">
        <f t="shared" si="258"/>
        <v>138</v>
      </c>
      <c r="N4140" t="str">
        <f t="shared" si="259"/>
        <v>Dec</v>
      </c>
    </row>
    <row r="4141" spans="1:14" x14ac:dyDescent="0.3">
      <c r="A4141" s="2" t="s">
        <v>4207</v>
      </c>
      <c r="B4141" s="6">
        <v>46017</v>
      </c>
      <c r="C4141" s="2" t="s">
        <v>41</v>
      </c>
      <c r="D4141" s="2" t="s">
        <v>75</v>
      </c>
      <c r="E4141" s="2">
        <v>1</v>
      </c>
      <c r="F4141" s="7">
        <v>549</v>
      </c>
      <c r="G4141" s="8">
        <v>0.1</v>
      </c>
      <c r="H4141" s="9" t="str">
        <f>INDEX(Products!$B$2:$B$37, MATCH(D4141, Products!$A$2:$A$37, 0))</f>
        <v>Oud Perfume 100ml</v>
      </c>
      <c r="I4141" t="str">
        <f>INDEX(Products!$C$2:$C$37, MATCH(D4141, Products!$A$2:$A$37, 0))</f>
        <v>Beauty</v>
      </c>
      <c r="J4141">
        <f>INDEX(Products!$E$2:$E$37, MATCH(D4141, Products!$A$2:$A$37, 0))</f>
        <v>250</v>
      </c>
      <c r="K4141" s="9">
        <f t="shared" si="256"/>
        <v>494.1</v>
      </c>
      <c r="L4141">
        <f t="shared" si="257"/>
        <v>250</v>
      </c>
      <c r="M4141" s="9">
        <f t="shared" si="258"/>
        <v>244.10000000000002</v>
      </c>
      <c r="N4141" t="str">
        <f t="shared" si="259"/>
        <v>Dec</v>
      </c>
    </row>
    <row r="4142" spans="1:14" x14ac:dyDescent="0.3">
      <c r="A4142" s="2" t="s">
        <v>4208</v>
      </c>
      <c r="B4142" s="6">
        <v>46018</v>
      </c>
      <c r="C4142" s="2" t="s">
        <v>41</v>
      </c>
      <c r="D4142" s="2" t="s">
        <v>131</v>
      </c>
      <c r="E4142" s="2">
        <v>1</v>
      </c>
      <c r="F4142" s="7">
        <v>899</v>
      </c>
      <c r="G4142" s="8">
        <v>0</v>
      </c>
      <c r="H4142" s="9" t="str">
        <f>INDEX(Products!$B$2:$B$37, MATCH(D4142, Products!$A$2:$A$37, 0))</f>
        <v>4K Action Camera</v>
      </c>
      <c r="I4142" t="str">
        <f>INDEX(Products!$C$2:$C$37, MATCH(D4142, Products!$A$2:$A$37, 0))</f>
        <v>Electronics</v>
      </c>
      <c r="J4142">
        <f>INDEX(Products!$E$2:$E$37, MATCH(D4142, Products!$A$2:$A$37, 0))</f>
        <v>610</v>
      </c>
      <c r="K4142" s="9">
        <f t="shared" si="256"/>
        <v>899</v>
      </c>
      <c r="L4142">
        <f t="shared" si="257"/>
        <v>610</v>
      </c>
      <c r="M4142" s="9">
        <f t="shared" si="258"/>
        <v>289</v>
      </c>
      <c r="N4142" t="str">
        <f t="shared" si="259"/>
        <v>Dec</v>
      </c>
    </row>
    <row r="4143" spans="1:14" x14ac:dyDescent="0.3">
      <c r="A4143" s="2" t="s">
        <v>4209</v>
      </c>
      <c r="B4143" s="6">
        <v>46018</v>
      </c>
      <c r="C4143" s="2" t="s">
        <v>44</v>
      </c>
      <c r="D4143" s="2" t="s">
        <v>33</v>
      </c>
      <c r="E4143" s="2">
        <v>1</v>
      </c>
      <c r="F4143" s="7">
        <v>199</v>
      </c>
      <c r="G4143" s="8">
        <v>0.2</v>
      </c>
      <c r="H4143" s="9" t="str">
        <f>INDEX(Products!$B$2:$B$37, MATCH(D4143, Products!$A$2:$A$37, 0))</f>
        <v>Fitness Band Lite</v>
      </c>
      <c r="I4143" t="str">
        <f>INDEX(Products!$C$2:$C$37, MATCH(D4143, Products!$A$2:$A$37, 0))</f>
        <v>Electronics</v>
      </c>
      <c r="J4143">
        <f>INDEX(Products!$E$2:$E$37, MATCH(D4143, Products!$A$2:$A$37, 0))</f>
        <v>175</v>
      </c>
      <c r="K4143" s="9">
        <f t="shared" si="256"/>
        <v>159.20000000000002</v>
      </c>
      <c r="L4143">
        <f t="shared" si="257"/>
        <v>175</v>
      </c>
      <c r="M4143" s="9">
        <f t="shared" si="258"/>
        <v>-15.799999999999983</v>
      </c>
      <c r="N4143" t="str">
        <f t="shared" si="259"/>
        <v>Dec</v>
      </c>
    </row>
    <row r="4144" spans="1:14" x14ac:dyDescent="0.3">
      <c r="A4144" s="2" t="s">
        <v>4210</v>
      </c>
      <c r="B4144" s="6">
        <v>46018</v>
      </c>
      <c r="C4144" s="2" t="s">
        <v>28</v>
      </c>
      <c r="D4144" s="2" t="s">
        <v>194</v>
      </c>
      <c r="E4144" s="2">
        <v>3</v>
      </c>
      <c r="F4144" s="7">
        <v>699</v>
      </c>
      <c r="G4144" s="8">
        <v>0.3</v>
      </c>
      <c r="H4144" s="9" t="str">
        <f>INDEX(Products!$B$2:$B$37, MATCH(D4144, Products!$A$2:$A$37, 0))</f>
        <v>Leather Handbag</v>
      </c>
      <c r="I4144" t="str">
        <f>INDEX(Products!$C$2:$C$37, MATCH(D4144, Products!$A$2:$A$37, 0))</f>
        <v>Fashion</v>
      </c>
      <c r="J4144">
        <f>INDEX(Products!$E$2:$E$37, MATCH(D4144, Products!$A$2:$A$37, 0))</f>
        <v>380</v>
      </c>
      <c r="K4144" s="9">
        <f t="shared" si="256"/>
        <v>1467.8999999999999</v>
      </c>
      <c r="L4144">
        <f t="shared" si="257"/>
        <v>1140</v>
      </c>
      <c r="M4144" s="9">
        <f t="shared" si="258"/>
        <v>327.89999999999986</v>
      </c>
      <c r="N4144" t="str">
        <f t="shared" si="259"/>
        <v>Dec</v>
      </c>
    </row>
    <row r="4145" spans="1:14" x14ac:dyDescent="0.3">
      <c r="A4145" s="2" t="s">
        <v>4211</v>
      </c>
      <c r="B4145" s="6">
        <v>46018</v>
      </c>
      <c r="C4145" s="2" t="s">
        <v>28</v>
      </c>
      <c r="D4145" s="2" t="s">
        <v>126</v>
      </c>
      <c r="E4145" s="2">
        <v>1</v>
      </c>
      <c r="F4145" s="7">
        <v>89</v>
      </c>
      <c r="G4145" s="8">
        <v>0.2</v>
      </c>
      <c r="H4145" s="9" t="str">
        <f>INDEX(Products!$B$2:$B$37, MATCH(D4145, Products!$A$2:$A$37, 0))</f>
        <v>USB-C Fast Charger</v>
      </c>
      <c r="I4145" t="str">
        <f>INDEX(Products!$C$2:$C$37, MATCH(D4145, Products!$A$2:$A$37, 0))</f>
        <v>Electronics</v>
      </c>
      <c r="J4145">
        <f>INDEX(Products!$E$2:$E$37, MATCH(D4145, Products!$A$2:$A$37, 0))</f>
        <v>35</v>
      </c>
      <c r="K4145" s="9">
        <f t="shared" si="256"/>
        <v>71.2</v>
      </c>
      <c r="L4145">
        <f t="shared" si="257"/>
        <v>35</v>
      </c>
      <c r="M4145" s="9">
        <f t="shared" si="258"/>
        <v>36.200000000000003</v>
      </c>
      <c r="N4145" t="str">
        <f t="shared" si="259"/>
        <v>Dec</v>
      </c>
    </row>
    <row r="4146" spans="1:14" x14ac:dyDescent="0.3">
      <c r="A4146" s="2" t="s">
        <v>4212</v>
      </c>
      <c r="B4146" s="6">
        <v>46018</v>
      </c>
      <c r="C4146" s="2" t="s">
        <v>28</v>
      </c>
      <c r="D4146" s="2" t="s">
        <v>68</v>
      </c>
      <c r="E4146" s="2">
        <v>2</v>
      </c>
      <c r="F4146" s="7">
        <v>249</v>
      </c>
      <c r="G4146" s="8">
        <v>0.2</v>
      </c>
      <c r="H4146" s="9" t="str">
        <f>INDEX(Products!$B$2:$B$37, MATCH(D4146, Products!$A$2:$A$37, 0))</f>
        <v>Bluetooth Speaker Mini</v>
      </c>
      <c r="I4146" t="str">
        <f>INDEX(Products!$C$2:$C$37, MATCH(D4146, Products!$A$2:$A$37, 0))</f>
        <v>Electronics</v>
      </c>
      <c r="J4146">
        <f>INDEX(Products!$E$2:$E$37, MATCH(D4146, Products!$A$2:$A$37, 0))</f>
        <v>150</v>
      </c>
      <c r="K4146" s="9">
        <f t="shared" si="256"/>
        <v>398.40000000000003</v>
      </c>
      <c r="L4146">
        <f t="shared" si="257"/>
        <v>300</v>
      </c>
      <c r="M4146" s="9">
        <f t="shared" si="258"/>
        <v>98.400000000000034</v>
      </c>
      <c r="N4146" t="str">
        <f t="shared" si="259"/>
        <v>Dec</v>
      </c>
    </row>
    <row r="4147" spans="1:14" x14ac:dyDescent="0.3">
      <c r="A4147" s="2" t="s">
        <v>4213</v>
      </c>
      <c r="B4147" s="6">
        <v>46018</v>
      </c>
      <c r="C4147" s="2" t="s">
        <v>31</v>
      </c>
      <c r="D4147" s="2" t="s">
        <v>126</v>
      </c>
      <c r="E4147" s="2">
        <v>2</v>
      </c>
      <c r="F4147" s="7">
        <v>89</v>
      </c>
      <c r="G4147" s="8">
        <v>0.2</v>
      </c>
      <c r="H4147" s="9" t="str">
        <f>INDEX(Products!$B$2:$B$37, MATCH(D4147, Products!$A$2:$A$37, 0))</f>
        <v>USB-C Fast Charger</v>
      </c>
      <c r="I4147" t="str">
        <f>INDEX(Products!$C$2:$C$37, MATCH(D4147, Products!$A$2:$A$37, 0))</f>
        <v>Electronics</v>
      </c>
      <c r="J4147">
        <f>INDEX(Products!$E$2:$E$37, MATCH(D4147, Products!$A$2:$A$37, 0))</f>
        <v>35</v>
      </c>
      <c r="K4147" s="9">
        <f t="shared" si="256"/>
        <v>142.4</v>
      </c>
      <c r="L4147">
        <f t="shared" si="257"/>
        <v>70</v>
      </c>
      <c r="M4147" s="9">
        <f t="shared" si="258"/>
        <v>72.400000000000006</v>
      </c>
      <c r="N4147" t="str">
        <f t="shared" si="259"/>
        <v>Dec</v>
      </c>
    </row>
    <row r="4148" spans="1:14" x14ac:dyDescent="0.3">
      <c r="A4148" s="2" t="s">
        <v>4214</v>
      </c>
      <c r="B4148" s="6">
        <v>46018</v>
      </c>
      <c r="C4148" s="2" t="s">
        <v>28</v>
      </c>
      <c r="D4148" s="2" t="s">
        <v>106</v>
      </c>
      <c r="E4148" s="2">
        <v>1</v>
      </c>
      <c r="F4148" s="7">
        <v>1299</v>
      </c>
      <c r="G4148" s="8">
        <v>0.2</v>
      </c>
      <c r="H4148" s="9" t="str">
        <f>INDEX(Products!$B$2:$B$37, MATCH(D4148, Products!$A$2:$A$37, 0))</f>
        <v>Smart Watch Series 5</v>
      </c>
      <c r="I4148" t="str">
        <f>INDEX(Products!$C$2:$C$37, MATCH(D4148, Products!$A$2:$A$37, 0))</f>
        <v>Electronics</v>
      </c>
      <c r="J4148">
        <f>INDEX(Products!$E$2:$E$37, MATCH(D4148, Products!$A$2:$A$37, 0))</f>
        <v>820</v>
      </c>
      <c r="K4148" s="9">
        <f t="shared" si="256"/>
        <v>1039.2</v>
      </c>
      <c r="L4148">
        <f t="shared" si="257"/>
        <v>820</v>
      </c>
      <c r="M4148" s="9">
        <f t="shared" si="258"/>
        <v>219.20000000000005</v>
      </c>
      <c r="N4148" t="str">
        <f t="shared" si="259"/>
        <v>Dec</v>
      </c>
    </row>
    <row r="4149" spans="1:14" x14ac:dyDescent="0.3">
      <c r="A4149" s="2" t="s">
        <v>4215</v>
      </c>
      <c r="B4149" s="6">
        <v>46018</v>
      </c>
      <c r="C4149" s="2" t="s">
        <v>28</v>
      </c>
      <c r="D4149" s="2" t="s">
        <v>129</v>
      </c>
      <c r="E4149" s="2">
        <v>1</v>
      </c>
      <c r="F4149" s="7">
        <v>149</v>
      </c>
      <c r="G4149" s="8">
        <v>0.2</v>
      </c>
      <c r="H4149" s="9" t="str">
        <f>INDEX(Products!$B$2:$B$37, MATCH(D4149, Products!$A$2:$A$37, 0))</f>
        <v>Power Bank 20000mAh</v>
      </c>
      <c r="I4149" t="str">
        <f>INDEX(Products!$C$2:$C$37, MATCH(D4149, Products!$A$2:$A$37, 0))</f>
        <v>Electronics</v>
      </c>
      <c r="J4149">
        <f>INDEX(Products!$E$2:$E$37, MATCH(D4149, Products!$A$2:$A$37, 0))</f>
        <v>70</v>
      </c>
      <c r="K4149" s="9">
        <f t="shared" si="256"/>
        <v>119.2</v>
      </c>
      <c r="L4149">
        <f t="shared" si="257"/>
        <v>70</v>
      </c>
      <c r="M4149" s="9">
        <f t="shared" si="258"/>
        <v>49.2</v>
      </c>
      <c r="N4149" t="str">
        <f t="shared" si="259"/>
        <v>Dec</v>
      </c>
    </row>
    <row r="4150" spans="1:14" x14ac:dyDescent="0.3">
      <c r="A4150" s="2" t="s">
        <v>4216</v>
      </c>
      <c r="B4150" s="6">
        <v>46018</v>
      </c>
      <c r="C4150" s="2" t="s">
        <v>44</v>
      </c>
      <c r="D4150" s="2" t="s">
        <v>95</v>
      </c>
      <c r="E4150" s="2">
        <v>1</v>
      </c>
      <c r="F4150" s="7">
        <v>259</v>
      </c>
      <c r="G4150" s="8">
        <v>0</v>
      </c>
      <c r="H4150" s="9" t="str">
        <f>INDEX(Products!$B$2:$B$37, MATCH(D4150, Products!$A$2:$A$37, 0))</f>
        <v>Bed Linen Set (King)</v>
      </c>
      <c r="I4150" t="str">
        <f>INDEX(Products!$C$2:$C$37, MATCH(D4150, Products!$A$2:$A$37, 0))</f>
        <v>Home &amp; Kitchen</v>
      </c>
      <c r="J4150">
        <f>INDEX(Products!$E$2:$E$37, MATCH(D4150, Products!$A$2:$A$37, 0))</f>
        <v>115</v>
      </c>
      <c r="K4150" s="9">
        <f t="shared" si="256"/>
        <v>259</v>
      </c>
      <c r="L4150">
        <f t="shared" si="257"/>
        <v>115</v>
      </c>
      <c r="M4150" s="9">
        <f t="shared" si="258"/>
        <v>144</v>
      </c>
      <c r="N4150" t="str">
        <f t="shared" si="259"/>
        <v>Dec</v>
      </c>
    </row>
    <row r="4151" spans="1:14" x14ac:dyDescent="0.3">
      <c r="A4151" s="2" t="s">
        <v>4217</v>
      </c>
      <c r="B4151" s="6">
        <v>46019</v>
      </c>
      <c r="C4151" s="2" t="s">
        <v>44</v>
      </c>
      <c r="D4151" s="2" t="s">
        <v>103</v>
      </c>
      <c r="E4151" s="2">
        <v>3</v>
      </c>
      <c r="F4151" s="7">
        <v>89</v>
      </c>
      <c r="G4151" s="8">
        <v>0.2</v>
      </c>
      <c r="H4151" s="9" t="str">
        <f>INDEX(Products!$B$2:$B$37, MATCH(D4151, Products!$A$2:$A$37, 0))</f>
        <v>Sunscreen SPF50</v>
      </c>
      <c r="I4151" t="str">
        <f>INDEX(Products!$C$2:$C$37, MATCH(D4151, Products!$A$2:$A$37, 0))</f>
        <v>Beauty</v>
      </c>
      <c r="J4151">
        <f>INDEX(Products!$E$2:$E$37, MATCH(D4151, Products!$A$2:$A$37, 0))</f>
        <v>40</v>
      </c>
      <c r="K4151" s="9">
        <f t="shared" si="256"/>
        <v>213.60000000000002</v>
      </c>
      <c r="L4151">
        <f t="shared" si="257"/>
        <v>120</v>
      </c>
      <c r="M4151" s="9">
        <f t="shared" si="258"/>
        <v>93.600000000000023</v>
      </c>
      <c r="N4151" t="str">
        <f t="shared" si="259"/>
        <v>Dec</v>
      </c>
    </row>
    <row r="4152" spans="1:14" x14ac:dyDescent="0.3">
      <c r="A4152" s="2" t="s">
        <v>4218</v>
      </c>
      <c r="B4152" s="6">
        <v>46019</v>
      </c>
      <c r="C4152" s="2" t="s">
        <v>44</v>
      </c>
      <c r="D4152" s="2" t="s">
        <v>68</v>
      </c>
      <c r="E4152" s="2">
        <v>4</v>
      </c>
      <c r="F4152" s="7">
        <v>249</v>
      </c>
      <c r="G4152" s="8">
        <v>0.3</v>
      </c>
      <c r="H4152" s="9" t="str">
        <f>INDEX(Products!$B$2:$B$37, MATCH(D4152, Products!$A$2:$A$37, 0))</f>
        <v>Bluetooth Speaker Mini</v>
      </c>
      <c r="I4152" t="str">
        <f>INDEX(Products!$C$2:$C$37, MATCH(D4152, Products!$A$2:$A$37, 0))</f>
        <v>Electronics</v>
      </c>
      <c r="J4152">
        <f>INDEX(Products!$E$2:$E$37, MATCH(D4152, Products!$A$2:$A$37, 0))</f>
        <v>150</v>
      </c>
      <c r="K4152" s="9">
        <f t="shared" si="256"/>
        <v>697.19999999999993</v>
      </c>
      <c r="L4152">
        <f t="shared" si="257"/>
        <v>600</v>
      </c>
      <c r="M4152" s="9">
        <f t="shared" si="258"/>
        <v>97.199999999999932</v>
      </c>
      <c r="N4152" t="str">
        <f t="shared" si="259"/>
        <v>Dec</v>
      </c>
    </row>
    <row r="4153" spans="1:14" x14ac:dyDescent="0.3">
      <c r="A4153" s="2" t="s">
        <v>4219</v>
      </c>
      <c r="B4153" s="6">
        <v>46019</v>
      </c>
      <c r="C4153" s="2" t="s">
        <v>44</v>
      </c>
      <c r="D4153" s="2" t="s">
        <v>89</v>
      </c>
      <c r="E4153" s="2">
        <v>2</v>
      </c>
      <c r="F4153" s="7">
        <v>399</v>
      </c>
      <c r="G4153" s="8">
        <v>0</v>
      </c>
      <c r="H4153" s="9" t="str">
        <f>INDEX(Products!$B$2:$B$37, MATCH(D4153, Products!$A$2:$A$37, 0))</f>
        <v>Men's Kandura Premium</v>
      </c>
      <c r="I4153" t="str">
        <f>INDEX(Products!$C$2:$C$37, MATCH(D4153, Products!$A$2:$A$37, 0))</f>
        <v>Fashion</v>
      </c>
      <c r="J4153">
        <f>INDEX(Products!$E$2:$E$37, MATCH(D4153, Products!$A$2:$A$37, 0))</f>
        <v>210</v>
      </c>
      <c r="K4153" s="9">
        <f t="shared" si="256"/>
        <v>798</v>
      </c>
      <c r="L4153">
        <f t="shared" si="257"/>
        <v>420</v>
      </c>
      <c r="M4153" s="9">
        <f t="shared" si="258"/>
        <v>378</v>
      </c>
      <c r="N4153" t="str">
        <f t="shared" si="259"/>
        <v>Dec</v>
      </c>
    </row>
    <row r="4154" spans="1:14" x14ac:dyDescent="0.3">
      <c r="A4154" s="2" t="s">
        <v>4220</v>
      </c>
      <c r="B4154" s="6">
        <v>46019</v>
      </c>
      <c r="C4154" s="2" t="s">
        <v>44</v>
      </c>
      <c r="D4154" s="2" t="s">
        <v>33</v>
      </c>
      <c r="E4154" s="2">
        <v>1</v>
      </c>
      <c r="F4154" s="7">
        <v>199</v>
      </c>
      <c r="G4154" s="8">
        <v>0.2</v>
      </c>
      <c r="H4154" s="9" t="str">
        <f>INDEX(Products!$B$2:$B$37, MATCH(D4154, Products!$A$2:$A$37, 0))</f>
        <v>Fitness Band Lite</v>
      </c>
      <c r="I4154" t="str">
        <f>INDEX(Products!$C$2:$C$37, MATCH(D4154, Products!$A$2:$A$37, 0))</f>
        <v>Electronics</v>
      </c>
      <c r="J4154">
        <f>INDEX(Products!$E$2:$E$37, MATCH(D4154, Products!$A$2:$A$37, 0))</f>
        <v>175</v>
      </c>
      <c r="K4154" s="9">
        <f t="shared" si="256"/>
        <v>159.20000000000002</v>
      </c>
      <c r="L4154">
        <f t="shared" si="257"/>
        <v>175</v>
      </c>
      <c r="M4154" s="9">
        <f t="shared" si="258"/>
        <v>-15.799999999999983</v>
      </c>
      <c r="N4154" t="str">
        <f t="shared" si="259"/>
        <v>Dec</v>
      </c>
    </row>
    <row r="4155" spans="1:14" x14ac:dyDescent="0.3">
      <c r="A4155" s="2" t="s">
        <v>4221</v>
      </c>
      <c r="B4155" s="6">
        <v>46019</v>
      </c>
      <c r="C4155" s="2" t="s">
        <v>31</v>
      </c>
      <c r="D4155" s="2" t="s">
        <v>33</v>
      </c>
      <c r="E4155" s="2">
        <v>1</v>
      </c>
      <c r="F4155" s="7">
        <v>199</v>
      </c>
      <c r="G4155" s="8">
        <v>0.2</v>
      </c>
      <c r="H4155" s="9" t="str">
        <f>INDEX(Products!$B$2:$B$37, MATCH(D4155, Products!$A$2:$A$37, 0))</f>
        <v>Fitness Band Lite</v>
      </c>
      <c r="I4155" t="str">
        <f>INDEX(Products!$C$2:$C$37, MATCH(D4155, Products!$A$2:$A$37, 0))</f>
        <v>Electronics</v>
      </c>
      <c r="J4155">
        <f>INDEX(Products!$E$2:$E$37, MATCH(D4155, Products!$A$2:$A$37, 0))</f>
        <v>175</v>
      </c>
      <c r="K4155" s="9">
        <f t="shared" si="256"/>
        <v>159.20000000000002</v>
      </c>
      <c r="L4155">
        <f t="shared" si="257"/>
        <v>175</v>
      </c>
      <c r="M4155" s="9">
        <f t="shared" si="258"/>
        <v>-15.799999999999983</v>
      </c>
      <c r="N4155" t="str">
        <f t="shared" si="259"/>
        <v>Dec</v>
      </c>
    </row>
    <row r="4156" spans="1:14" x14ac:dyDescent="0.3">
      <c r="A4156" s="2" t="s">
        <v>4222</v>
      </c>
      <c r="B4156" s="6">
        <v>46019</v>
      </c>
      <c r="C4156" s="2" t="s">
        <v>44</v>
      </c>
      <c r="D4156" s="2" t="s">
        <v>65</v>
      </c>
      <c r="E4156" s="2">
        <v>4</v>
      </c>
      <c r="F4156" s="7">
        <v>129</v>
      </c>
      <c r="G4156" s="8">
        <v>0</v>
      </c>
      <c r="H4156" s="9" t="str">
        <f>INDEX(Products!$B$2:$B$37, MATCH(D4156, Products!$A$2:$A$37, 0))</f>
        <v>Yoga Mat Premium</v>
      </c>
      <c r="I4156" t="str">
        <f>INDEX(Products!$C$2:$C$37, MATCH(D4156, Products!$A$2:$A$37, 0))</f>
        <v>Sports</v>
      </c>
      <c r="J4156">
        <f>INDEX(Products!$E$2:$E$37, MATCH(D4156, Products!$A$2:$A$37, 0))</f>
        <v>60</v>
      </c>
      <c r="K4156" s="9">
        <f t="shared" si="256"/>
        <v>516</v>
      </c>
      <c r="L4156">
        <f t="shared" si="257"/>
        <v>240</v>
      </c>
      <c r="M4156" s="9">
        <f t="shared" si="258"/>
        <v>276</v>
      </c>
      <c r="N4156" t="str">
        <f t="shared" si="259"/>
        <v>Dec</v>
      </c>
    </row>
    <row r="4157" spans="1:14" x14ac:dyDescent="0.3">
      <c r="A4157" s="2" t="s">
        <v>4223</v>
      </c>
      <c r="B4157" s="6">
        <v>46019</v>
      </c>
      <c r="C4157" s="2" t="s">
        <v>48</v>
      </c>
      <c r="D4157" s="2" t="s">
        <v>80</v>
      </c>
      <c r="E4157" s="2">
        <v>1</v>
      </c>
      <c r="F4157" s="7">
        <v>149</v>
      </c>
      <c r="G4157" s="8">
        <v>0.3</v>
      </c>
      <c r="H4157" s="9" t="str">
        <f>INDEX(Products!$B$2:$B$37, MATCH(D4157, Products!$A$2:$A$37, 0))</f>
        <v>Vitamin C Serum</v>
      </c>
      <c r="I4157" t="str">
        <f>INDEX(Products!$C$2:$C$37, MATCH(D4157, Products!$A$2:$A$37, 0))</f>
        <v>Beauty</v>
      </c>
      <c r="J4157">
        <f>INDEX(Products!$E$2:$E$37, MATCH(D4157, Products!$A$2:$A$37, 0))</f>
        <v>55</v>
      </c>
      <c r="K4157" s="9">
        <f t="shared" si="256"/>
        <v>104.3</v>
      </c>
      <c r="L4157">
        <f t="shared" si="257"/>
        <v>55</v>
      </c>
      <c r="M4157" s="9">
        <f t="shared" si="258"/>
        <v>49.3</v>
      </c>
      <c r="N4157" t="str">
        <f t="shared" si="259"/>
        <v>Dec</v>
      </c>
    </row>
    <row r="4158" spans="1:14" x14ac:dyDescent="0.3">
      <c r="A4158" s="2" t="s">
        <v>4224</v>
      </c>
      <c r="B4158" s="6">
        <v>46019</v>
      </c>
      <c r="C4158" s="2" t="s">
        <v>31</v>
      </c>
      <c r="D4158" s="2" t="s">
        <v>126</v>
      </c>
      <c r="E4158" s="2">
        <v>1</v>
      </c>
      <c r="F4158" s="7">
        <v>89</v>
      </c>
      <c r="G4158" s="8">
        <v>0.05</v>
      </c>
      <c r="H4158" s="9" t="str">
        <f>INDEX(Products!$B$2:$B$37, MATCH(D4158, Products!$A$2:$A$37, 0))</f>
        <v>USB-C Fast Charger</v>
      </c>
      <c r="I4158" t="str">
        <f>INDEX(Products!$C$2:$C$37, MATCH(D4158, Products!$A$2:$A$37, 0))</f>
        <v>Electronics</v>
      </c>
      <c r="J4158">
        <f>INDEX(Products!$E$2:$E$37, MATCH(D4158, Products!$A$2:$A$37, 0))</f>
        <v>35</v>
      </c>
      <c r="K4158" s="9">
        <f t="shared" si="256"/>
        <v>84.55</v>
      </c>
      <c r="L4158">
        <f t="shared" si="257"/>
        <v>35</v>
      </c>
      <c r="M4158" s="9">
        <f t="shared" si="258"/>
        <v>49.55</v>
      </c>
      <c r="N4158" t="str">
        <f t="shared" si="259"/>
        <v>Dec</v>
      </c>
    </row>
    <row r="4159" spans="1:14" x14ac:dyDescent="0.3">
      <c r="A4159" s="2" t="s">
        <v>4225</v>
      </c>
      <c r="B4159" s="6">
        <v>46019</v>
      </c>
      <c r="C4159" s="2" t="s">
        <v>44</v>
      </c>
      <c r="D4159" s="2" t="s">
        <v>33</v>
      </c>
      <c r="E4159" s="2">
        <v>1</v>
      </c>
      <c r="F4159" s="7">
        <v>199</v>
      </c>
      <c r="G4159" s="8">
        <v>0.2</v>
      </c>
      <c r="H4159" s="9" t="str">
        <f>INDEX(Products!$B$2:$B$37, MATCH(D4159, Products!$A$2:$A$37, 0))</f>
        <v>Fitness Band Lite</v>
      </c>
      <c r="I4159" t="str">
        <f>INDEX(Products!$C$2:$C$37, MATCH(D4159, Products!$A$2:$A$37, 0))</f>
        <v>Electronics</v>
      </c>
      <c r="J4159">
        <f>INDEX(Products!$E$2:$E$37, MATCH(D4159, Products!$A$2:$A$37, 0))</f>
        <v>175</v>
      </c>
      <c r="K4159" s="9">
        <f t="shared" si="256"/>
        <v>159.20000000000002</v>
      </c>
      <c r="L4159">
        <f t="shared" si="257"/>
        <v>175</v>
      </c>
      <c r="M4159" s="9">
        <f t="shared" si="258"/>
        <v>-15.799999999999983</v>
      </c>
      <c r="N4159" t="str">
        <f t="shared" si="259"/>
        <v>Dec</v>
      </c>
    </row>
    <row r="4160" spans="1:14" x14ac:dyDescent="0.3">
      <c r="A4160" s="2" t="s">
        <v>4226</v>
      </c>
      <c r="B4160" s="6">
        <v>46019</v>
      </c>
      <c r="C4160" s="2" t="s">
        <v>44</v>
      </c>
      <c r="D4160" s="2" t="s">
        <v>95</v>
      </c>
      <c r="E4160" s="2">
        <v>2</v>
      </c>
      <c r="F4160" s="7">
        <v>259</v>
      </c>
      <c r="G4160" s="8">
        <v>0.1</v>
      </c>
      <c r="H4160" s="9" t="str">
        <f>INDEX(Products!$B$2:$B$37, MATCH(D4160, Products!$A$2:$A$37, 0))</f>
        <v>Bed Linen Set (King)</v>
      </c>
      <c r="I4160" t="str">
        <f>INDEX(Products!$C$2:$C$37, MATCH(D4160, Products!$A$2:$A$37, 0))</f>
        <v>Home &amp; Kitchen</v>
      </c>
      <c r="J4160">
        <f>INDEX(Products!$E$2:$E$37, MATCH(D4160, Products!$A$2:$A$37, 0))</f>
        <v>115</v>
      </c>
      <c r="K4160" s="9">
        <f t="shared" si="256"/>
        <v>466.2</v>
      </c>
      <c r="L4160">
        <f t="shared" si="257"/>
        <v>230</v>
      </c>
      <c r="M4160" s="9">
        <f t="shared" si="258"/>
        <v>236.2</v>
      </c>
      <c r="N4160" t="str">
        <f t="shared" si="259"/>
        <v>Dec</v>
      </c>
    </row>
    <row r="4161" spans="1:14" x14ac:dyDescent="0.3">
      <c r="A4161" s="2" t="s">
        <v>4227</v>
      </c>
      <c r="B4161" s="6">
        <v>46020</v>
      </c>
      <c r="C4161" s="2" t="s">
        <v>28</v>
      </c>
      <c r="D4161" s="2" t="s">
        <v>92</v>
      </c>
      <c r="E4161" s="2">
        <v>2</v>
      </c>
      <c r="F4161" s="7">
        <v>349</v>
      </c>
      <c r="G4161" s="8">
        <v>0.05</v>
      </c>
      <c r="H4161" s="9" t="str">
        <f>INDEX(Products!$B$2:$B$37, MATCH(D4161, Products!$A$2:$A$37, 0))</f>
        <v>Non-stick Cookware Set</v>
      </c>
      <c r="I4161" t="str">
        <f>INDEX(Products!$C$2:$C$37, MATCH(D4161, Products!$A$2:$A$37, 0))</f>
        <v>Home &amp; Kitchen</v>
      </c>
      <c r="J4161">
        <f>INDEX(Products!$E$2:$E$37, MATCH(D4161, Products!$A$2:$A$37, 0))</f>
        <v>170</v>
      </c>
      <c r="K4161" s="9">
        <f t="shared" si="256"/>
        <v>663.1</v>
      </c>
      <c r="L4161">
        <f t="shared" si="257"/>
        <v>340</v>
      </c>
      <c r="M4161" s="9">
        <f t="shared" si="258"/>
        <v>323.10000000000002</v>
      </c>
      <c r="N4161" t="str">
        <f t="shared" si="259"/>
        <v>Dec</v>
      </c>
    </row>
    <row r="4162" spans="1:14" x14ac:dyDescent="0.3">
      <c r="A4162" s="2" t="s">
        <v>4228</v>
      </c>
      <c r="B4162" s="6">
        <v>46020</v>
      </c>
      <c r="C4162" s="2" t="s">
        <v>44</v>
      </c>
      <c r="D4162" s="2" t="s">
        <v>37</v>
      </c>
      <c r="E4162" s="2">
        <v>2</v>
      </c>
      <c r="F4162" s="7">
        <v>249</v>
      </c>
      <c r="G4162" s="8">
        <v>0.3</v>
      </c>
      <c r="H4162" s="9" t="str">
        <f>INDEX(Products!$B$2:$B$37, MATCH(D4162, Products!$A$2:$A$37, 0))</f>
        <v>Sunglasses Polarised</v>
      </c>
      <c r="I4162" t="str">
        <f>INDEX(Products!$C$2:$C$37, MATCH(D4162, Products!$A$2:$A$37, 0))</f>
        <v>Fashion</v>
      </c>
      <c r="J4162">
        <f>INDEX(Products!$E$2:$E$37, MATCH(D4162, Products!$A$2:$A$37, 0))</f>
        <v>95</v>
      </c>
      <c r="K4162" s="9">
        <f t="shared" ref="K4162:K4201" si="260">E4162*F4162*(1-G4162)</f>
        <v>348.59999999999997</v>
      </c>
      <c r="L4162">
        <f t="shared" ref="L4162:L4201" si="261">E4162*J4162</f>
        <v>190</v>
      </c>
      <c r="M4162" s="9">
        <f t="shared" ref="M4162:M4201" si="262">K4162-L4162</f>
        <v>158.59999999999997</v>
      </c>
      <c r="N4162" t="str">
        <f t="shared" ref="N4162:N4201" si="263">TEXT(B4162,"mmm")</f>
        <v>Dec</v>
      </c>
    </row>
    <row r="4163" spans="1:14" x14ac:dyDescent="0.3">
      <c r="A4163" s="2" t="s">
        <v>4229</v>
      </c>
      <c r="B4163" s="6">
        <v>46020</v>
      </c>
      <c r="C4163" s="2" t="s">
        <v>41</v>
      </c>
      <c r="D4163" s="2" t="s">
        <v>39</v>
      </c>
      <c r="E4163" s="2">
        <v>1</v>
      </c>
      <c r="F4163" s="7">
        <v>199</v>
      </c>
      <c r="G4163" s="8">
        <v>0.2</v>
      </c>
      <c r="H4163" s="9" t="str">
        <f>INDEX(Products!$B$2:$B$37, MATCH(D4163, Products!$A$2:$A$37, 0))</f>
        <v>Bakhoor Gift Set</v>
      </c>
      <c r="I4163" t="str">
        <f>INDEX(Products!$C$2:$C$37, MATCH(D4163, Products!$A$2:$A$37, 0))</f>
        <v>Beauty</v>
      </c>
      <c r="J4163">
        <f>INDEX(Products!$E$2:$E$37, MATCH(D4163, Products!$A$2:$A$37, 0))</f>
        <v>90</v>
      </c>
      <c r="K4163" s="9">
        <f t="shared" si="260"/>
        <v>159.20000000000002</v>
      </c>
      <c r="L4163">
        <f t="shared" si="261"/>
        <v>90</v>
      </c>
      <c r="M4163" s="9">
        <f t="shared" si="262"/>
        <v>69.200000000000017</v>
      </c>
      <c r="N4163" t="str">
        <f t="shared" si="263"/>
        <v>Dec</v>
      </c>
    </row>
    <row r="4164" spans="1:14" x14ac:dyDescent="0.3">
      <c r="A4164" s="2" t="s">
        <v>4230</v>
      </c>
      <c r="B4164" s="6">
        <v>46020</v>
      </c>
      <c r="C4164" s="2" t="s">
        <v>44</v>
      </c>
      <c r="D4164" s="2" t="s">
        <v>103</v>
      </c>
      <c r="E4164" s="2">
        <v>1</v>
      </c>
      <c r="F4164" s="7">
        <v>89</v>
      </c>
      <c r="G4164" s="8">
        <v>0.2</v>
      </c>
      <c r="H4164" s="9" t="str">
        <f>INDEX(Products!$B$2:$B$37, MATCH(D4164, Products!$A$2:$A$37, 0))</f>
        <v>Sunscreen SPF50</v>
      </c>
      <c r="I4164" t="str">
        <f>INDEX(Products!$C$2:$C$37, MATCH(D4164, Products!$A$2:$A$37, 0))</f>
        <v>Beauty</v>
      </c>
      <c r="J4164">
        <f>INDEX(Products!$E$2:$E$37, MATCH(D4164, Products!$A$2:$A$37, 0))</f>
        <v>40</v>
      </c>
      <c r="K4164" s="9">
        <f t="shared" si="260"/>
        <v>71.2</v>
      </c>
      <c r="L4164">
        <f t="shared" si="261"/>
        <v>40</v>
      </c>
      <c r="M4164" s="9">
        <f t="shared" si="262"/>
        <v>31.200000000000003</v>
      </c>
      <c r="N4164" t="str">
        <f t="shared" si="263"/>
        <v>Dec</v>
      </c>
    </row>
    <row r="4165" spans="1:14" x14ac:dyDescent="0.3">
      <c r="A4165" s="2" t="s">
        <v>4231</v>
      </c>
      <c r="B4165" s="6">
        <v>46020</v>
      </c>
      <c r="C4165" s="2" t="s">
        <v>44</v>
      </c>
      <c r="D4165" s="2" t="s">
        <v>33</v>
      </c>
      <c r="E4165" s="2">
        <v>1</v>
      </c>
      <c r="F4165" s="7">
        <v>199</v>
      </c>
      <c r="G4165" s="8">
        <v>0.1</v>
      </c>
      <c r="H4165" s="9" t="str">
        <f>INDEX(Products!$B$2:$B$37, MATCH(D4165, Products!$A$2:$A$37, 0))</f>
        <v>Fitness Band Lite</v>
      </c>
      <c r="I4165" t="str">
        <f>INDEX(Products!$C$2:$C$37, MATCH(D4165, Products!$A$2:$A$37, 0))</f>
        <v>Electronics</v>
      </c>
      <c r="J4165">
        <f>INDEX(Products!$E$2:$E$37, MATCH(D4165, Products!$A$2:$A$37, 0))</f>
        <v>175</v>
      </c>
      <c r="K4165" s="9">
        <f t="shared" si="260"/>
        <v>179.1</v>
      </c>
      <c r="L4165">
        <f t="shared" si="261"/>
        <v>175</v>
      </c>
      <c r="M4165" s="9">
        <f t="shared" si="262"/>
        <v>4.0999999999999943</v>
      </c>
      <c r="N4165" t="str">
        <f t="shared" si="263"/>
        <v>Dec</v>
      </c>
    </row>
    <row r="4166" spans="1:14" x14ac:dyDescent="0.3">
      <c r="A4166" s="2" t="s">
        <v>4232</v>
      </c>
      <c r="B4166" s="6">
        <v>46020</v>
      </c>
      <c r="C4166" s="2" t="s">
        <v>41</v>
      </c>
      <c r="D4166" s="2" t="s">
        <v>131</v>
      </c>
      <c r="E4166" s="2">
        <v>1</v>
      </c>
      <c r="F4166" s="7">
        <v>899</v>
      </c>
      <c r="G4166" s="8">
        <v>0.05</v>
      </c>
      <c r="H4166" s="9" t="str">
        <f>INDEX(Products!$B$2:$B$37, MATCH(D4166, Products!$A$2:$A$37, 0))</f>
        <v>4K Action Camera</v>
      </c>
      <c r="I4166" t="str">
        <f>INDEX(Products!$C$2:$C$37, MATCH(D4166, Products!$A$2:$A$37, 0))</f>
        <v>Electronics</v>
      </c>
      <c r="J4166">
        <f>INDEX(Products!$E$2:$E$37, MATCH(D4166, Products!$A$2:$A$37, 0))</f>
        <v>610</v>
      </c>
      <c r="K4166" s="9">
        <f t="shared" si="260"/>
        <v>854.05</v>
      </c>
      <c r="L4166">
        <f t="shared" si="261"/>
        <v>610</v>
      </c>
      <c r="M4166" s="9">
        <f t="shared" si="262"/>
        <v>244.04999999999995</v>
      </c>
      <c r="N4166" t="str">
        <f t="shared" si="263"/>
        <v>Dec</v>
      </c>
    </row>
    <row r="4167" spans="1:14" x14ac:dyDescent="0.3">
      <c r="A4167" s="2" t="s">
        <v>4233</v>
      </c>
      <c r="B4167" s="6">
        <v>46020</v>
      </c>
      <c r="C4167" s="2" t="s">
        <v>41</v>
      </c>
      <c r="D4167" s="2" t="s">
        <v>33</v>
      </c>
      <c r="E4167" s="2">
        <v>3</v>
      </c>
      <c r="F4167" s="7">
        <v>199</v>
      </c>
      <c r="G4167" s="8">
        <v>0.2</v>
      </c>
      <c r="H4167" s="9" t="str">
        <f>INDEX(Products!$B$2:$B$37, MATCH(D4167, Products!$A$2:$A$37, 0))</f>
        <v>Fitness Band Lite</v>
      </c>
      <c r="I4167" t="str">
        <f>INDEX(Products!$C$2:$C$37, MATCH(D4167, Products!$A$2:$A$37, 0))</f>
        <v>Electronics</v>
      </c>
      <c r="J4167">
        <f>INDEX(Products!$E$2:$E$37, MATCH(D4167, Products!$A$2:$A$37, 0))</f>
        <v>175</v>
      </c>
      <c r="K4167" s="9">
        <f t="shared" si="260"/>
        <v>477.6</v>
      </c>
      <c r="L4167">
        <f t="shared" si="261"/>
        <v>525</v>
      </c>
      <c r="M4167" s="9">
        <f t="shared" si="262"/>
        <v>-47.399999999999977</v>
      </c>
      <c r="N4167" t="str">
        <f t="shared" si="263"/>
        <v>Dec</v>
      </c>
    </row>
    <row r="4168" spans="1:14" x14ac:dyDescent="0.3">
      <c r="A4168" s="2" t="s">
        <v>4234</v>
      </c>
      <c r="B4168" s="6">
        <v>46020</v>
      </c>
      <c r="C4168" s="2" t="s">
        <v>41</v>
      </c>
      <c r="D4168" s="2" t="s">
        <v>92</v>
      </c>
      <c r="E4168" s="2">
        <v>1</v>
      </c>
      <c r="F4168" s="7">
        <v>349</v>
      </c>
      <c r="G4168" s="8">
        <v>0.3</v>
      </c>
      <c r="H4168" s="9" t="str">
        <f>INDEX(Products!$B$2:$B$37, MATCH(D4168, Products!$A$2:$A$37, 0))</f>
        <v>Non-stick Cookware Set</v>
      </c>
      <c r="I4168" t="str">
        <f>INDEX(Products!$C$2:$C$37, MATCH(D4168, Products!$A$2:$A$37, 0))</f>
        <v>Home &amp; Kitchen</v>
      </c>
      <c r="J4168">
        <f>INDEX(Products!$E$2:$E$37, MATCH(D4168, Products!$A$2:$A$37, 0))</f>
        <v>170</v>
      </c>
      <c r="K4168" s="9">
        <f t="shared" si="260"/>
        <v>244.29999999999998</v>
      </c>
      <c r="L4168">
        <f t="shared" si="261"/>
        <v>170</v>
      </c>
      <c r="M4168" s="9">
        <f t="shared" si="262"/>
        <v>74.299999999999983</v>
      </c>
      <c r="N4168" t="str">
        <f t="shared" si="263"/>
        <v>Dec</v>
      </c>
    </row>
    <row r="4169" spans="1:14" x14ac:dyDescent="0.3">
      <c r="A4169" s="2" t="s">
        <v>4235</v>
      </c>
      <c r="B4169" s="6">
        <v>46020</v>
      </c>
      <c r="C4169" s="2" t="s">
        <v>31</v>
      </c>
      <c r="D4169" s="2" t="s">
        <v>95</v>
      </c>
      <c r="E4169" s="2">
        <v>2</v>
      </c>
      <c r="F4169" s="7">
        <v>259</v>
      </c>
      <c r="G4169" s="8">
        <v>0</v>
      </c>
      <c r="H4169" s="9" t="str">
        <f>INDEX(Products!$B$2:$B$37, MATCH(D4169, Products!$A$2:$A$37, 0))</f>
        <v>Bed Linen Set (King)</v>
      </c>
      <c r="I4169" t="str">
        <f>INDEX(Products!$C$2:$C$37, MATCH(D4169, Products!$A$2:$A$37, 0))</f>
        <v>Home &amp; Kitchen</v>
      </c>
      <c r="J4169">
        <f>INDEX(Products!$E$2:$E$37, MATCH(D4169, Products!$A$2:$A$37, 0))</f>
        <v>115</v>
      </c>
      <c r="K4169" s="9">
        <f t="shared" si="260"/>
        <v>518</v>
      </c>
      <c r="L4169">
        <f t="shared" si="261"/>
        <v>230</v>
      </c>
      <c r="M4169" s="9">
        <f t="shared" si="262"/>
        <v>288</v>
      </c>
      <c r="N4169" t="str">
        <f t="shared" si="263"/>
        <v>Dec</v>
      </c>
    </row>
    <row r="4170" spans="1:14" x14ac:dyDescent="0.3">
      <c r="A4170" s="2" t="s">
        <v>4236</v>
      </c>
      <c r="B4170" s="6">
        <v>46020</v>
      </c>
      <c r="C4170" s="2" t="s">
        <v>31</v>
      </c>
      <c r="D4170" s="2" t="s">
        <v>65</v>
      </c>
      <c r="E4170" s="2">
        <v>1</v>
      </c>
      <c r="F4170" s="7">
        <v>129</v>
      </c>
      <c r="G4170" s="8">
        <v>0.15</v>
      </c>
      <c r="H4170" s="9" t="str">
        <f>INDEX(Products!$B$2:$B$37, MATCH(D4170, Products!$A$2:$A$37, 0))</f>
        <v>Yoga Mat Premium</v>
      </c>
      <c r="I4170" t="str">
        <f>INDEX(Products!$C$2:$C$37, MATCH(D4170, Products!$A$2:$A$37, 0))</f>
        <v>Sports</v>
      </c>
      <c r="J4170">
        <f>INDEX(Products!$E$2:$E$37, MATCH(D4170, Products!$A$2:$A$37, 0))</f>
        <v>60</v>
      </c>
      <c r="K4170" s="9">
        <f t="shared" si="260"/>
        <v>109.64999999999999</v>
      </c>
      <c r="L4170">
        <f t="shared" si="261"/>
        <v>60</v>
      </c>
      <c r="M4170" s="9">
        <f t="shared" si="262"/>
        <v>49.649999999999991</v>
      </c>
      <c r="N4170" t="str">
        <f t="shared" si="263"/>
        <v>Dec</v>
      </c>
    </row>
    <row r="4171" spans="1:14" x14ac:dyDescent="0.3">
      <c r="A4171" s="2" t="s">
        <v>4237</v>
      </c>
      <c r="B4171" s="6">
        <v>46020</v>
      </c>
      <c r="C4171" s="2" t="s">
        <v>48</v>
      </c>
      <c r="D4171" s="2" t="s">
        <v>126</v>
      </c>
      <c r="E4171" s="2">
        <v>1</v>
      </c>
      <c r="F4171" s="7">
        <v>89</v>
      </c>
      <c r="G4171" s="8">
        <v>0</v>
      </c>
      <c r="H4171" s="9" t="str">
        <f>INDEX(Products!$B$2:$B$37, MATCH(D4171, Products!$A$2:$A$37, 0))</f>
        <v>USB-C Fast Charger</v>
      </c>
      <c r="I4171" t="str">
        <f>INDEX(Products!$C$2:$C$37, MATCH(D4171, Products!$A$2:$A$37, 0))</f>
        <v>Electronics</v>
      </c>
      <c r="J4171">
        <f>INDEX(Products!$E$2:$E$37, MATCH(D4171, Products!$A$2:$A$37, 0))</f>
        <v>35</v>
      </c>
      <c r="K4171" s="9">
        <f t="shared" si="260"/>
        <v>89</v>
      </c>
      <c r="L4171">
        <f t="shared" si="261"/>
        <v>35</v>
      </c>
      <c r="M4171" s="9">
        <f t="shared" si="262"/>
        <v>54</v>
      </c>
      <c r="N4171" t="str">
        <f t="shared" si="263"/>
        <v>Dec</v>
      </c>
    </row>
    <row r="4172" spans="1:14" x14ac:dyDescent="0.3">
      <c r="A4172" s="2" t="s">
        <v>4238</v>
      </c>
      <c r="B4172" s="6">
        <v>46020</v>
      </c>
      <c r="C4172" s="2" t="s">
        <v>31</v>
      </c>
      <c r="D4172" s="2" t="s">
        <v>42</v>
      </c>
      <c r="E4172" s="2">
        <v>1</v>
      </c>
      <c r="F4172" s="7">
        <v>399</v>
      </c>
      <c r="G4172" s="8">
        <v>0</v>
      </c>
      <c r="H4172" s="9" t="str">
        <f>INDEX(Products!$B$2:$B$37, MATCH(D4172, Products!$A$2:$A$37, 0))</f>
        <v>Wireless Earbuds Pro</v>
      </c>
      <c r="I4172" t="str">
        <f>INDEX(Products!$C$2:$C$37, MATCH(D4172, Products!$A$2:$A$37, 0))</f>
        <v>Electronics</v>
      </c>
      <c r="J4172">
        <f>INDEX(Products!$E$2:$E$37, MATCH(D4172, Products!$A$2:$A$37, 0))</f>
        <v>230</v>
      </c>
      <c r="K4172" s="9">
        <f t="shared" si="260"/>
        <v>399</v>
      </c>
      <c r="L4172">
        <f t="shared" si="261"/>
        <v>230</v>
      </c>
      <c r="M4172" s="9">
        <f t="shared" si="262"/>
        <v>169</v>
      </c>
      <c r="N4172" t="str">
        <f t="shared" si="263"/>
        <v>Dec</v>
      </c>
    </row>
    <row r="4173" spans="1:14" x14ac:dyDescent="0.3">
      <c r="A4173" s="2" t="s">
        <v>4239</v>
      </c>
      <c r="B4173" s="6">
        <v>46020</v>
      </c>
      <c r="C4173" s="2" t="s">
        <v>41</v>
      </c>
      <c r="D4173" s="2" t="s">
        <v>37</v>
      </c>
      <c r="E4173" s="2">
        <v>2</v>
      </c>
      <c r="F4173" s="7">
        <v>249</v>
      </c>
      <c r="G4173" s="8">
        <v>0.2</v>
      </c>
      <c r="H4173" s="9" t="str">
        <f>INDEX(Products!$B$2:$B$37, MATCH(D4173, Products!$A$2:$A$37, 0))</f>
        <v>Sunglasses Polarised</v>
      </c>
      <c r="I4173" t="str">
        <f>INDEX(Products!$C$2:$C$37, MATCH(D4173, Products!$A$2:$A$37, 0))</f>
        <v>Fashion</v>
      </c>
      <c r="J4173">
        <f>INDEX(Products!$E$2:$E$37, MATCH(D4173, Products!$A$2:$A$37, 0))</f>
        <v>95</v>
      </c>
      <c r="K4173" s="9">
        <f t="shared" si="260"/>
        <v>398.40000000000003</v>
      </c>
      <c r="L4173">
        <f t="shared" si="261"/>
        <v>190</v>
      </c>
      <c r="M4173" s="9">
        <f t="shared" si="262"/>
        <v>208.40000000000003</v>
      </c>
      <c r="N4173" t="str">
        <f t="shared" si="263"/>
        <v>Dec</v>
      </c>
    </row>
    <row r="4174" spans="1:14" x14ac:dyDescent="0.3">
      <c r="A4174" s="2" t="s">
        <v>4240</v>
      </c>
      <c r="B4174" s="6">
        <v>46020</v>
      </c>
      <c r="C4174" s="2" t="s">
        <v>31</v>
      </c>
      <c r="D4174" s="2" t="s">
        <v>52</v>
      </c>
      <c r="E4174" s="2">
        <v>3</v>
      </c>
      <c r="F4174" s="7">
        <v>299</v>
      </c>
      <c r="G4174" s="8">
        <v>0.25</v>
      </c>
      <c r="H4174" s="9" t="str">
        <f>INDEX(Products!$B$2:$B$37, MATCH(D4174, Products!$A$2:$A$37, 0))</f>
        <v>Hair Dryer Ionic</v>
      </c>
      <c r="I4174" t="str">
        <f>INDEX(Products!$C$2:$C$37, MATCH(D4174, Products!$A$2:$A$37, 0))</f>
        <v>Beauty</v>
      </c>
      <c r="J4174">
        <f>INDEX(Products!$E$2:$E$37, MATCH(D4174, Products!$A$2:$A$37, 0))</f>
        <v>240</v>
      </c>
      <c r="K4174" s="9">
        <f t="shared" si="260"/>
        <v>672.75</v>
      </c>
      <c r="L4174">
        <f t="shared" si="261"/>
        <v>720</v>
      </c>
      <c r="M4174" s="9">
        <f t="shared" si="262"/>
        <v>-47.25</v>
      </c>
      <c r="N4174" t="str">
        <f t="shared" si="263"/>
        <v>Dec</v>
      </c>
    </row>
    <row r="4175" spans="1:14" x14ac:dyDescent="0.3">
      <c r="A4175" s="2" t="s">
        <v>4241</v>
      </c>
      <c r="B4175" s="6">
        <v>46021</v>
      </c>
      <c r="C4175" s="2" t="s">
        <v>48</v>
      </c>
      <c r="D4175" s="2" t="s">
        <v>35</v>
      </c>
      <c r="E4175" s="2">
        <v>3</v>
      </c>
      <c r="F4175" s="7">
        <v>179</v>
      </c>
      <c r="G4175" s="8">
        <v>0.2</v>
      </c>
      <c r="H4175" s="9" t="str">
        <f>INDEX(Products!$B$2:$B$37, MATCH(D4175, Products!$A$2:$A$37, 0))</f>
        <v>Men's Linen Shirt</v>
      </c>
      <c r="I4175" t="str">
        <f>INDEX(Products!$C$2:$C$37, MATCH(D4175, Products!$A$2:$A$37, 0))</f>
        <v>Fashion</v>
      </c>
      <c r="J4175">
        <f>INDEX(Products!$E$2:$E$37, MATCH(D4175, Products!$A$2:$A$37, 0))</f>
        <v>70</v>
      </c>
      <c r="K4175" s="9">
        <f t="shared" si="260"/>
        <v>429.6</v>
      </c>
      <c r="L4175">
        <f t="shared" si="261"/>
        <v>210</v>
      </c>
      <c r="M4175" s="9">
        <f t="shared" si="262"/>
        <v>219.60000000000002</v>
      </c>
      <c r="N4175" t="str">
        <f t="shared" si="263"/>
        <v>Dec</v>
      </c>
    </row>
    <row r="4176" spans="1:14" x14ac:dyDescent="0.3">
      <c r="A4176" s="2" t="s">
        <v>4242</v>
      </c>
      <c r="B4176" s="6">
        <v>46021</v>
      </c>
      <c r="C4176" s="2" t="s">
        <v>41</v>
      </c>
      <c r="D4176" s="2" t="s">
        <v>35</v>
      </c>
      <c r="E4176" s="2">
        <v>1</v>
      </c>
      <c r="F4176" s="7">
        <v>179</v>
      </c>
      <c r="G4176" s="8">
        <v>0.2</v>
      </c>
      <c r="H4176" s="9" t="str">
        <f>INDEX(Products!$B$2:$B$37, MATCH(D4176, Products!$A$2:$A$37, 0))</f>
        <v>Men's Linen Shirt</v>
      </c>
      <c r="I4176" t="str">
        <f>INDEX(Products!$C$2:$C$37, MATCH(D4176, Products!$A$2:$A$37, 0))</f>
        <v>Fashion</v>
      </c>
      <c r="J4176">
        <f>INDEX(Products!$E$2:$E$37, MATCH(D4176, Products!$A$2:$A$37, 0))</f>
        <v>70</v>
      </c>
      <c r="K4176" s="9">
        <f t="shared" si="260"/>
        <v>143.20000000000002</v>
      </c>
      <c r="L4176">
        <f t="shared" si="261"/>
        <v>70</v>
      </c>
      <c r="M4176" s="9">
        <f t="shared" si="262"/>
        <v>73.200000000000017</v>
      </c>
      <c r="N4176" t="str">
        <f t="shared" si="263"/>
        <v>Dec</v>
      </c>
    </row>
    <row r="4177" spans="1:14" x14ac:dyDescent="0.3">
      <c r="A4177" s="2" t="s">
        <v>4243</v>
      </c>
      <c r="B4177" s="6">
        <v>46021</v>
      </c>
      <c r="C4177" s="2" t="s">
        <v>44</v>
      </c>
      <c r="D4177" s="2" t="s">
        <v>35</v>
      </c>
      <c r="E4177" s="2">
        <v>1</v>
      </c>
      <c r="F4177" s="7">
        <v>179</v>
      </c>
      <c r="G4177" s="8">
        <v>0</v>
      </c>
      <c r="H4177" s="9" t="str">
        <f>INDEX(Products!$B$2:$B$37, MATCH(D4177, Products!$A$2:$A$37, 0))</f>
        <v>Men's Linen Shirt</v>
      </c>
      <c r="I4177" t="str">
        <f>INDEX(Products!$C$2:$C$37, MATCH(D4177, Products!$A$2:$A$37, 0))</f>
        <v>Fashion</v>
      </c>
      <c r="J4177">
        <f>INDEX(Products!$E$2:$E$37, MATCH(D4177, Products!$A$2:$A$37, 0))</f>
        <v>70</v>
      </c>
      <c r="K4177" s="9">
        <f t="shared" si="260"/>
        <v>179</v>
      </c>
      <c r="L4177">
        <f t="shared" si="261"/>
        <v>70</v>
      </c>
      <c r="M4177" s="9">
        <f t="shared" si="262"/>
        <v>109</v>
      </c>
      <c r="N4177" t="str">
        <f t="shared" si="263"/>
        <v>Dec</v>
      </c>
    </row>
    <row r="4178" spans="1:14" x14ac:dyDescent="0.3">
      <c r="A4178" s="2" t="s">
        <v>4244</v>
      </c>
      <c r="B4178" s="6">
        <v>46021</v>
      </c>
      <c r="C4178" s="2" t="s">
        <v>28</v>
      </c>
      <c r="D4178" s="2" t="s">
        <v>113</v>
      </c>
      <c r="E4178" s="2">
        <v>3</v>
      </c>
      <c r="F4178" s="7">
        <v>1199</v>
      </c>
      <c r="G4178" s="8">
        <v>0.1</v>
      </c>
      <c r="H4178" s="9" t="str">
        <f>INDEX(Products!$B$2:$B$37, MATCH(D4178, Products!$A$2:$A$37, 0))</f>
        <v>Robot Vacuum S3</v>
      </c>
      <c r="I4178" t="str">
        <f>INDEX(Products!$C$2:$C$37, MATCH(D4178, Products!$A$2:$A$37, 0))</f>
        <v>Home &amp; Kitchen</v>
      </c>
      <c r="J4178">
        <f>INDEX(Products!$E$2:$E$37, MATCH(D4178, Products!$A$2:$A$37, 0))</f>
        <v>1080</v>
      </c>
      <c r="K4178" s="9">
        <f t="shared" si="260"/>
        <v>3237.3</v>
      </c>
      <c r="L4178">
        <f t="shared" si="261"/>
        <v>3240</v>
      </c>
      <c r="M4178" s="9">
        <f t="shared" si="262"/>
        <v>-2.6999999999998181</v>
      </c>
      <c r="N4178" t="str">
        <f t="shared" si="263"/>
        <v>Dec</v>
      </c>
    </row>
    <row r="4179" spans="1:14" x14ac:dyDescent="0.3">
      <c r="A4179" s="2" t="s">
        <v>4245</v>
      </c>
      <c r="B4179" s="6">
        <v>46021</v>
      </c>
      <c r="C4179" s="2" t="s">
        <v>48</v>
      </c>
      <c r="D4179" s="2" t="s">
        <v>78</v>
      </c>
      <c r="E4179" s="2">
        <v>1</v>
      </c>
      <c r="F4179" s="7">
        <v>499</v>
      </c>
      <c r="G4179" s="8">
        <v>0.2</v>
      </c>
      <c r="H4179" s="9" t="str">
        <f>INDEX(Products!$B$2:$B$37, MATCH(D4179, Products!$A$2:$A$37, 0))</f>
        <v>Air Fryer 5L</v>
      </c>
      <c r="I4179" t="str">
        <f>INDEX(Products!$C$2:$C$37, MATCH(D4179, Products!$A$2:$A$37, 0))</f>
        <v>Home &amp; Kitchen</v>
      </c>
      <c r="J4179">
        <f>INDEX(Products!$E$2:$E$37, MATCH(D4179, Products!$A$2:$A$37, 0))</f>
        <v>290</v>
      </c>
      <c r="K4179" s="9">
        <f t="shared" si="260"/>
        <v>399.20000000000005</v>
      </c>
      <c r="L4179">
        <f t="shared" si="261"/>
        <v>290</v>
      </c>
      <c r="M4179" s="9">
        <f t="shared" si="262"/>
        <v>109.20000000000005</v>
      </c>
      <c r="N4179" t="str">
        <f t="shared" si="263"/>
        <v>Dec</v>
      </c>
    </row>
    <row r="4180" spans="1:14" x14ac:dyDescent="0.3">
      <c r="A4180" s="2" t="s">
        <v>4246</v>
      </c>
      <c r="B4180" s="6">
        <v>46021</v>
      </c>
      <c r="C4180" s="2" t="s">
        <v>41</v>
      </c>
      <c r="D4180" s="2" t="s">
        <v>70</v>
      </c>
      <c r="E4180" s="2">
        <v>1</v>
      </c>
      <c r="F4180" s="7">
        <v>429</v>
      </c>
      <c r="G4180" s="8">
        <v>0.2</v>
      </c>
      <c r="H4180" s="9" t="str">
        <f>INDEX(Products!$B$2:$B$37, MATCH(D4180, Products!$A$2:$A$37, 0))</f>
        <v>Running Shoes Elite</v>
      </c>
      <c r="I4180" t="str">
        <f>INDEX(Products!$C$2:$C$37, MATCH(D4180, Products!$A$2:$A$37, 0))</f>
        <v>Fashion</v>
      </c>
      <c r="J4180">
        <f>INDEX(Products!$E$2:$E$37, MATCH(D4180, Products!$A$2:$A$37, 0))</f>
        <v>300</v>
      </c>
      <c r="K4180" s="9">
        <f t="shared" si="260"/>
        <v>343.20000000000005</v>
      </c>
      <c r="L4180">
        <f t="shared" si="261"/>
        <v>300</v>
      </c>
      <c r="M4180" s="9">
        <f t="shared" si="262"/>
        <v>43.200000000000045</v>
      </c>
      <c r="N4180" t="str">
        <f t="shared" si="263"/>
        <v>Dec</v>
      </c>
    </row>
    <row r="4181" spans="1:14" x14ac:dyDescent="0.3">
      <c r="A4181" s="2" t="s">
        <v>4247</v>
      </c>
      <c r="B4181" s="6">
        <v>46021</v>
      </c>
      <c r="C4181" s="2" t="s">
        <v>44</v>
      </c>
      <c r="D4181" s="2" t="s">
        <v>37</v>
      </c>
      <c r="E4181" s="2">
        <v>1</v>
      </c>
      <c r="F4181" s="7">
        <v>249</v>
      </c>
      <c r="G4181" s="8">
        <v>0.3</v>
      </c>
      <c r="H4181" s="9" t="str">
        <f>INDEX(Products!$B$2:$B$37, MATCH(D4181, Products!$A$2:$A$37, 0))</f>
        <v>Sunglasses Polarised</v>
      </c>
      <c r="I4181" t="str">
        <f>INDEX(Products!$C$2:$C$37, MATCH(D4181, Products!$A$2:$A$37, 0))</f>
        <v>Fashion</v>
      </c>
      <c r="J4181">
        <f>INDEX(Products!$E$2:$E$37, MATCH(D4181, Products!$A$2:$A$37, 0))</f>
        <v>95</v>
      </c>
      <c r="K4181" s="9">
        <f t="shared" si="260"/>
        <v>174.29999999999998</v>
      </c>
      <c r="L4181">
        <f t="shared" si="261"/>
        <v>95</v>
      </c>
      <c r="M4181" s="9">
        <f t="shared" si="262"/>
        <v>79.299999999999983</v>
      </c>
      <c r="N4181" t="str">
        <f t="shared" si="263"/>
        <v>Dec</v>
      </c>
    </row>
    <row r="4182" spans="1:14" x14ac:dyDescent="0.3">
      <c r="A4182" s="2" t="s">
        <v>4248</v>
      </c>
      <c r="B4182" s="6">
        <v>46021</v>
      </c>
      <c r="C4182" s="2" t="s">
        <v>44</v>
      </c>
      <c r="D4182" s="2" t="s">
        <v>103</v>
      </c>
      <c r="E4182" s="2">
        <v>1</v>
      </c>
      <c r="F4182" s="7">
        <v>89</v>
      </c>
      <c r="G4182" s="8">
        <v>0.2</v>
      </c>
      <c r="H4182" s="9" t="str">
        <f>INDEX(Products!$B$2:$B$37, MATCH(D4182, Products!$A$2:$A$37, 0))</f>
        <v>Sunscreen SPF50</v>
      </c>
      <c r="I4182" t="str">
        <f>INDEX(Products!$C$2:$C$37, MATCH(D4182, Products!$A$2:$A$37, 0))</f>
        <v>Beauty</v>
      </c>
      <c r="J4182">
        <f>INDEX(Products!$E$2:$E$37, MATCH(D4182, Products!$A$2:$A$37, 0))</f>
        <v>40</v>
      </c>
      <c r="K4182" s="9">
        <f t="shared" si="260"/>
        <v>71.2</v>
      </c>
      <c r="L4182">
        <f t="shared" si="261"/>
        <v>40</v>
      </c>
      <c r="M4182" s="9">
        <f t="shared" si="262"/>
        <v>31.200000000000003</v>
      </c>
      <c r="N4182" t="str">
        <f t="shared" si="263"/>
        <v>Dec</v>
      </c>
    </row>
    <row r="4183" spans="1:14" x14ac:dyDescent="0.3">
      <c r="A4183" s="2" t="s">
        <v>4249</v>
      </c>
      <c r="B4183" s="6">
        <v>46021</v>
      </c>
      <c r="C4183" s="2" t="s">
        <v>41</v>
      </c>
      <c r="D4183" s="2" t="s">
        <v>103</v>
      </c>
      <c r="E4183" s="2">
        <v>1</v>
      </c>
      <c r="F4183" s="7">
        <v>89</v>
      </c>
      <c r="G4183" s="8">
        <v>0.2</v>
      </c>
      <c r="H4183" s="9" t="str">
        <f>INDEX(Products!$B$2:$B$37, MATCH(D4183, Products!$A$2:$A$37, 0))</f>
        <v>Sunscreen SPF50</v>
      </c>
      <c r="I4183" t="str">
        <f>INDEX(Products!$C$2:$C$37, MATCH(D4183, Products!$A$2:$A$37, 0))</f>
        <v>Beauty</v>
      </c>
      <c r="J4183">
        <f>INDEX(Products!$E$2:$E$37, MATCH(D4183, Products!$A$2:$A$37, 0))</f>
        <v>40</v>
      </c>
      <c r="K4183" s="9">
        <f t="shared" si="260"/>
        <v>71.2</v>
      </c>
      <c r="L4183">
        <f t="shared" si="261"/>
        <v>40</v>
      </c>
      <c r="M4183" s="9">
        <f t="shared" si="262"/>
        <v>31.200000000000003</v>
      </c>
      <c r="N4183" t="str">
        <f t="shared" si="263"/>
        <v>Dec</v>
      </c>
    </row>
    <row r="4184" spans="1:14" x14ac:dyDescent="0.3">
      <c r="A4184" s="2" t="s">
        <v>4250</v>
      </c>
      <c r="B4184" s="6">
        <v>46021</v>
      </c>
      <c r="C4184" s="2" t="s">
        <v>44</v>
      </c>
      <c r="D4184" s="2" t="s">
        <v>39</v>
      </c>
      <c r="E4184" s="2">
        <v>4</v>
      </c>
      <c r="F4184" s="7">
        <v>199</v>
      </c>
      <c r="G4184" s="8">
        <v>0.2</v>
      </c>
      <c r="H4184" s="9" t="str">
        <f>INDEX(Products!$B$2:$B$37, MATCH(D4184, Products!$A$2:$A$37, 0))</f>
        <v>Bakhoor Gift Set</v>
      </c>
      <c r="I4184" t="str">
        <f>INDEX(Products!$C$2:$C$37, MATCH(D4184, Products!$A$2:$A$37, 0))</f>
        <v>Beauty</v>
      </c>
      <c r="J4184">
        <f>INDEX(Products!$E$2:$E$37, MATCH(D4184, Products!$A$2:$A$37, 0))</f>
        <v>90</v>
      </c>
      <c r="K4184" s="9">
        <f t="shared" si="260"/>
        <v>636.80000000000007</v>
      </c>
      <c r="L4184">
        <f t="shared" si="261"/>
        <v>360</v>
      </c>
      <c r="M4184" s="9">
        <f t="shared" si="262"/>
        <v>276.80000000000007</v>
      </c>
      <c r="N4184" t="str">
        <f t="shared" si="263"/>
        <v>Dec</v>
      </c>
    </row>
    <row r="4185" spans="1:14" x14ac:dyDescent="0.3">
      <c r="A4185" s="2" t="s">
        <v>4251</v>
      </c>
      <c r="B4185" s="6">
        <v>46021</v>
      </c>
      <c r="C4185" s="2" t="s">
        <v>28</v>
      </c>
      <c r="D4185" s="2" t="s">
        <v>35</v>
      </c>
      <c r="E4185" s="2">
        <v>1</v>
      </c>
      <c r="F4185" s="7">
        <v>179</v>
      </c>
      <c r="G4185" s="8">
        <v>0.2</v>
      </c>
      <c r="H4185" s="9" t="str">
        <f>INDEX(Products!$B$2:$B$37, MATCH(D4185, Products!$A$2:$A$37, 0))</f>
        <v>Men's Linen Shirt</v>
      </c>
      <c r="I4185" t="str">
        <f>INDEX(Products!$C$2:$C$37, MATCH(D4185, Products!$A$2:$A$37, 0))</f>
        <v>Fashion</v>
      </c>
      <c r="J4185">
        <f>INDEX(Products!$E$2:$E$37, MATCH(D4185, Products!$A$2:$A$37, 0))</f>
        <v>70</v>
      </c>
      <c r="K4185" s="9">
        <f t="shared" si="260"/>
        <v>143.20000000000002</v>
      </c>
      <c r="L4185">
        <f t="shared" si="261"/>
        <v>70</v>
      </c>
      <c r="M4185" s="9">
        <f t="shared" si="262"/>
        <v>73.200000000000017</v>
      </c>
      <c r="N4185" t="str">
        <f t="shared" si="263"/>
        <v>Dec</v>
      </c>
    </row>
    <row r="4186" spans="1:14" x14ac:dyDescent="0.3">
      <c r="A4186" s="2" t="s">
        <v>4252</v>
      </c>
      <c r="B4186" s="6">
        <v>46021</v>
      </c>
      <c r="C4186" s="2" t="s">
        <v>41</v>
      </c>
      <c r="D4186" s="2" t="s">
        <v>56</v>
      </c>
      <c r="E4186" s="2">
        <v>2</v>
      </c>
      <c r="F4186" s="7">
        <v>289</v>
      </c>
      <c r="G4186" s="8">
        <v>0.2</v>
      </c>
      <c r="H4186" s="9" t="str">
        <f>INDEX(Products!$B$2:$B$37, MATCH(D4186, Products!$A$2:$A$37, 0))</f>
        <v>Ceramic Dinner Set</v>
      </c>
      <c r="I4186" t="str">
        <f>INDEX(Products!$C$2:$C$37, MATCH(D4186, Products!$A$2:$A$37, 0))</f>
        <v>Home &amp; Kitchen</v>
      </c>
      <c r="J4186">
        <f>INDEX(Products!$E$2:$E$37, MATCH(D4186, Products!$A$2:$A$37, 0))</f>
        <v>140</v>
      </c>
      <c r="K4186" s="9">
        <f t="shared" si="260"/>
        <v>462.40000000000003</v>
      </c>
      <c r="L4186">
        <f t="shared" si="261"/>
        <v>280</v>
      </c>
      <c r="M4186" s="9">
        <f t="shared" si="262"/>
        <v>182.40000000000003</v>
      </c>
      <c r="N4186" t="str">
        <f t="shared" si="263"/>
        <v>Dec</v>
      </c>
    </row>
    <row r="4187" spans="1:14" x14ac:dyDescent="0.3">
      <c r="A4187" s="2" t="s">
        <v>4253</v>
      </c>
      <c r="B4187" s="6">
        <v>46022</v>
      </c>
      <c r="C4187" s="2" t="s">
        <v>28</v>
      </c>
      <c r="D4187" s="2" t="s">
        <v>60</v>
      </c>
      <c r="E4187" s="2">
        <v>1</v>
      </c>
      <c r="F4187" s="7">
        <v>99</v>
      </c>
      <c r="G4187" s="8">
        <v>0</v>
      </c>
      <c r="H4187" s="9" t="str">
        <f>INDEX(Products!$B$2:$B$37, MATCH(D4187, Products!$A$2:$A$37, 0))</f>
        <v>Football Size 5</v>
      </c>
      <c r="I4187" t="str">
        <f>INDEX(Products!$C$2:$C$37, MATCH(D4187, Products!$A$2:$A$37, 0))</f>
        <v>Sports</v>
      </c>
      <c r="J4187">
        <f>INDEX(Products!$E$2:$E$37, MATCH(D4187, Products!$A$2:$A$37, 0))</f>
        <v>45</v>
      </c>
      <c r="K4187" s="9">
        <f t="shared" si="260"/>
        <v>99</v>
      </c>
      <c r="L4187">
        <f t="shared" si="261"/>
        <v>45</v>
      </c>
      <c r="M4187" s="9">
        <f t="shared" si="262"/>
        <v>54</v>
      </c>
      <c r="N4187" t="str">
        <f t="shared" si="263"/>
        <v>Dec</v>
      </c>
    </row>
    <row r="4188" spans="1:14" x14ac:dyDescent="0.3">
      <c r="A4188" s="2" t="s">
        <v>4254</v>
      </c>
      <c r="B4188" s="6">
        <v>46022</v>
      </c>
      <c r="C4188" s="2" t="s">
        <v>28</v>
      </c>
      <c r="D4188" s="2" t="s">
        <v>149</v>
      </c>
      <c r="E4188" s="2">
        <v>2</v>
      </c>
      <c r="F4188" s="7">
        <v>399</v>
      </c>
      <c r="G4188" s="8">
        <v>0</v>
      </c>
      <c r="H4188" s="9" t="str">
        <f>INDEX(Products!$B$2:$B$37, MATCH(D4188, Products!$A$2:$A$37, 0))</f>
        <v>Blender Pro 1200W</v>
      </c>
      <c r="I4188" t="str">
        <f>INDEX(Products!$C$2:$C$37, MATCH(D4188, Products!$A$2:$A$37, 0))</f>
        <v>Home &amp; Kitchen</v>
      </c>
      <c r="J4188">
        <f>INDEX(Products!$E$2:$E$37, MATCH(D4188, Products!$A$2:$A$37, 0))</f>
        <v>250</v>
      </c>
      <c r="K4188" s="9">
        <f t="shared" si="260"/>
        <v>798</v>
      </c>
      <c r="L4188">
        <f t="shared" si="261"/>
        <v>500</v>
      </c>
      <c r="M4188" s="9">
        <f t="shared" si="262"/>
        <v>298</v>
      </c>
      <c r="N4188" t="str">
        <f t="shared" si="263"/>
        <v>Dec</v>
      </c>
    </row>
    <row r="4189" spans="1:14" x14ac:dyDescent="0.3">
      <c r="A4189" s="2" t="s">
        <v>4255</v>
      </c>
      <c r="B4189" s="6">
        <v>46022</v>
      </c>
      <c r="C4189" s="2" t="s">
        <v>44</v>
      </c>
      <c r="D4189" s="2" t="s">
        <v>115</v>
      </c>
      <c r="E4189" s="2">
        <v>1</v>
      </c>
      <c r="F4189" s="7">
        <v>129</v>
      </c>
      <c r="G4189" s="8">
        <v>0.2</v>
      </c>
      <c r="H4189" s="9" t="str">
        <f>INDEX(Products!$B$2:$B$37, MATCH(D4189, Products!$A$2:$A$37, 0))</f>
        <v>Electric Kettle</v>
      </c>
      <c r="I4189" t="str">
        <f>INDEX(Products!$C$2:$C$37, MATCH(D4189, Products!$A$2:$A$37, 0))</f>
        <v>Home &amp; Kitchen</v>
      </c>
      <c r="J4189">
        <f>INDEX(Products!$E$2:$E$37, MATCH(D4189, Products!$A$2:$A$37, 0))</f>
        <v>60</v>
      </c>
      <c r="K4189" s="9">
        <f t="shared" si="260"/>
        <v>103.2</v>
      </c>
      <c r="L4189">
        <f t="shared" si="261"/>
        <v>60</v>
      </c>
      <c r="M4189" s="9">
        <f t="shared" si="262"/>
        <v>43.2</v>
      </c>
      <c r="N4189" t="str">
        <f t="shared" si="263"/>
        <v>Dec</v>
      </c>
    </row>
    <row r="4190" spans="1:14" x14ac:dyDescent="0.3">
      <c r="A4190" s="2" t="s">
        <v>4256</v>
      </c>
      <c r="B4190" s="6">
        <v>46022</v>
      </c>
      <c r="C4190" s="2" t="s">
        <v>41</v>
      </c>
      <c r="D4190" s="2" t="s">
        <v>39</v>
      </c>
      <c r="E4190" s="2">
        <v>2</v>
      </c>
      <c r="F4190" s="7">
        <v>199</v>
      </c>
      <c r="G4190" s="8">
        <v>0</v>
      </c>
      <c r="H4190" s="9" t="str">
        <f>INDEX(Products!$B$2:$B$37, MATCH(D4190, Products!$A$2:$A$37, 0))</f>
        <v>Bakhoor Gift Set</v>
      </c>
      <c r="I4190" t="str">
        <f>INDEX(Products!$C$2:$C$37, MATCH(D4190, Products!$A$2:$A$37, 0))</f>
        <v>Beauty</v>
      </c>
      <c r="J4190">
        <f>INDEX(Products!$E$2:$E$37, MATCH(D4190, Products!$A$2:$A$37, 0))</f>
        <v>90</v>
      </c>
      <c r="K4190" s="9">
        <f t="shared" si="260"/>
        <v>398</v>
      </c>
      <c r="L4190">
        <f t="shared" si="261"/>
        <v>180</v>
      </c>
      <c r="M4190" s="9">
        <f t="shared" si="262"/>
        <v>218</v>
      </c>
      <c r="N4190" t="str">
        <f t="shared" si="263"/>
        <v>Dec</v>
      </c>
    </row>
    <row r="4191" spans="1:14" x14ac:dyDescent="0.3">
      <c r="A4191" s="2" t="s">
        <v>4257</v>
      </c>
      <c r="B4191" s="6">
        <v>46022</v>
      </c>
      <c r="C4191" s="2" t="s">
        <v>41</v>
      </c>
      <c r="D4191" s="2" t="s">
        <v>129</v>
      </c>
      <c r="E4191" s="2">
        <v>1</v>
      </c>
      <c r="F4191" s="7">
        <v>149</v>
      </c>
      <c r="G4191" s="8">
        <v>0</v>
      </c>
      <c r="H4191" s="9" t="str">
        <f>INDEX(Products!$B$2:$B$37, MATCH(D4191, Products!$A$2:$A$37, 0))</f>
        <v>Power Bank 20000mAh</v>
      </c>
      <c r="I4191" t="str">
        <f>INDEX(Products!$C$2:$C$37, MATCH(D4191, Products!$A$2:$A$37, 0))</f>
        <v>Electronics</v>
      </c>
      <c r="J4191">
        <f>INDEX(Products!$E$2:$E$37, MATCH(D4191, Products!$A$2:$A$37, 0))</f>
        <v>70</v>
      </c>
      <c r="K4191" s="9">
        <f t="shared" si="260"/>
        <v>149</v>
      </c>
      <c r="L4191">
        <f t="shared" si="261"/>
        <v>70</v>
      </c>
      <c r="M4191" s="9">
        <f t="shared" si="262"/>
        <v>79</v>
      </c>
      <c r="N4191" t="str">
        <f t="shared" si="263"/>
        <v>Dec</v>
      </c>
    </row>
    <row r="4192" spans="1:14" x14ac:dyDescent="0.3">
      <c r="A4192" s="2" t="s">
        <v>4258</v>
      </c>
      <c r="B4192" s="6">
        <v>46022</v>
      </c>
      <c r="C4192" s="2" t="s">
        <v>28</v>
      </c>
      <c r="D4192" s="2" t="s">
        <v>37</v>
      </c>
      <c r="E4192" s="2">
        <v>2</v>
      </c>
      <c r="F4192" s="7">
        <v>249</v>
      </c>
      <c r="G4192" s="8">
        <v>0.1</v>
      </c>
      <c r="H4192" s="9" t="str">
        <f>INDEX(Products!$B$2:$B$37, MATCH(D4192, Products!$A$2:$A$37, 0))</f>
        <v>Sunglasses Polarised</v>
      </c>
      <c r="I4192" t="str">
        <f>INDEX(Products!$C$2:$C$37, MATCH(D4192, Products!$A$2:$A$37, 0))</f>
        <v>Fashion</v>
      </c>
      <c r="J4192">
        <f>INDEX(Products!$E$2:$E$37, MATCH(D4192, Products!$A$2:$A$37, 0))</f>
        <v>95</v>
      </c>
      <c r="K4192" s="9">
        <f t="shared" si="260"/>
        <v>448.2</v>
      </c>
      <c r="L4192">
        <f t="shared" si="261"/>
        <v>190</v>
      </c>
      <c r="M4192" s="9">
        <f t="shared" si="262"/>
        <v>258.2</v>
      </c>
      <c r="N4192" t="str">
        <f t="shared" si="263"/>
        <v>Dec</v>
      </c>
    </row>
    <row r="4193" spans="1:14" x14ac:dyDescent="0.3">
      <c r="A4193" s="2" t="s">
        <v>4259</v>
      </c>
      <c r="B4193" s="6">
        <v>46022</v>
      </c>
      <c r="C4193" s="2" t="s">
        <v>41</v>
      </c>
      <c r="D4193" s="2" t="s">
        <v>46</v>
      </c>
      <c r="E4193" s="2">
        <v>1</v>
      </c>
      <c r="F4193" s="7">
        <v>189</v>
      </c>
      <c r="G4193" s="8">
        <v>0.2</v>
      </c>
      <c r="H4193" s="9" t="str">
        <f>INDEX(Products!$B$2:$B$37, MATCH(D4193, Products!$A$2:$A$37, 0))</f>
        <v>Makeup Palette</v>
      </c>
      <c r="I4193" t="str">
        <f>INDEX(Products!$C$2:$C$37, MATCH(D4193, Products!$A$2:$A$37, 0))</f>
        <v>Beauty</v>
      </c>
      <c r="J4193">
        <f>INDEX(Products!$E$2:$E$37, MATCH(D4193, Products!$A$2:$A$37, 0))</f>
        <v>85</v>
      </c>
      <c r="K4193" s="9">
        <f t="shared" si="260"/>
        <v>151.20000000000002</v>
      </c>
      <c r="L4193">
        <f t="shared" si="261"/>
        <v>85</v>
      </c>
      <c r="M4193" s="9">
        <f t="shared" si="262"/>
        <v>66.200000000000017</v>
      </c>
      <c r="N4193" t="str">
        <f t="shared" si="263"/>
        <v>Dec</v>
      </c>
    </row>
    <row r="4194" spans="1:14" x14ac:dyDescent="0.3">
      <c r="A4194" s="2" t="s">
        <v>4260</v>
      </c>
      <c r="B4194" s="6">
        <v>46022</v>
      </c>
      <c r="C4194" s="2" t="s">
        <v>41</v>
      </c>
      <c r="D4194" s="2" t="s">
        <v>65</v>
      </c>
      <c r="E4194" s="2">
        <v>1</v>
      </c>
      <c r="F4194" s="7">
        <v>129</v>
      </c>
      <c r="G4194" s="8">
        <v>0.2</v>
      </c>
      <c r="H4194" s="9" t="str">
        <f>INDEX(Products!$B$2:$B$37, MATCH(D4194, Products!$A$2:$A$37, 0))</f>
        <v>Yoga Mat Premium</v>
      </c>
      <c r="I4194" t="str">
        <f>INDEX(Products!$C$2:$C$37, MATCH(D4194, Products!$A$2:$A$37, 0))</f>
        <v>Sports</v>
      </c>
      <c r="J4194">
        <f>INDEX(Products!$E$2:$E$37, MATCH(D4194, Products!$A$2:$A$37, 0))</f>
        <v>60</v>
      </c>
      <c r="K4194" s="9">
        <f t="shared" si="260"/>
        <v>103.2</v>
      </c>
      <c r="L4194">
        <f t="shared" si="261"/>
        <v>60</v>
      </c>
      <c r="M4194" s="9">
        <f t="shared" si="262"/>
        <v>43.2</v>
      </c>
      <c r="N4194" t="str">
        <f t="shared" si="263"/>
        <v>Dec</v>
      </c>
    </row>
    <row r="4195" spans="1:14" x14ac:dyDescent="0.3">
      <c r="A4195" s="2" t="s">
        <v>4261</v>
      </c>
      <c r="B4195" s="6">
        <v>46022</v>
      </c>
      <c r="C4195" s="2" t="s">
        <v>41</v>
      </c>
      <c r="D4195" s="2" t="s">
        <v>113</v>
      </c>
      <c r="E4195" s="2">
        <v>3</v>
      </c>
      <c r="F4195" s="7">
        <v>1199</v>
      </c>
      <c r="G4195" s="8">
        <v>0.25</v>
      </c>
      <c r="H4195" s="9" t="str">
        <f>INDEX(Products!$B$2:$B$37, MATCH(D4195, Products!$A$2:$A$37, 0))</f>
        <v>Robot Vacuum S3</v>
      </c>
      <c r="I4195" t="str">
        <f>INDEX(Products!$C$2:$C$37, MATCH(D4195, Products!$A$2:$A$37, 0))</f>
        <v>Home &amp; Kitchen</v>
      </c>
      <c r="J4195">
        <f>INDEX(Products!$E$2:$E$37, MATCH(D4195, Products!$A$2:$A$37, 0))</f>
        <v>1080</v>
      </c>
      <c r="K4195" s="9">
        <f t="shared" si="260"/>
        <v>2697.75</v>
      </c>
      <c r="L4195">
        <f t="shared" si="261"/>
        <v>3240</v>
      </c>
      <c r="M4195" s="9">
        <f t="shared" si="262"/>
        <v>-542.25</v>
      </c>
      <c r="N4195" t="str">
        <f t="shared" si="263"/>
        <v>Dec</v>
      </c>
    </row>
    <row r="4196" spans="1:14" x14ac:dyDescent="0.3">
      <c r="A4196" s="2" t="s">
        <v>4262</v>
      </c>
      <c r="B4196" s="6">
        <v>46022</v>
      </c>
      <c r="C4196" s="2" t="s">
        <v>28</v>
      </c>
      <c r="D4196" s="2" t="s">
        <v>37</v>
      </c>
      <c r="E4196" s="2">
        <v>1</v>
      </c>
      <c r="F4196" s="7">
        <v>249</v>
      </c>
      <c r="G4196" s="8">
        <v>0.05</v>
      </c>
      <c r="H4196" s="9" t="str">
        <f>INDEX(Products!$B$2:$B$37, MATCH(D4196, Products!$A$2:$A$37, 0))</f>
        <v>Sunglasses Polarised</v>
      </c>
      <c r="I4196" t="str">
        <f>INDEX(Products!$C$2:$C$37, MATCH(D4196, Products!$A$2:$A$37, 0))</f>
        <v>Fashion</v>
      </c>
      <c r="J4196">
        <f>INDEX(Products!$E$2:$E$37, MATCH(D4196, Products!$A$2:$A$37, 0))</f>
        <v>95</v>
      </c>
      <c r="K4196" s="9">
        <f t="shared" si="260"/>
        <v>236.54999999999998</v>
      </c>
      <c r="L4196">
        <f t="shared" si="261"/>
        <v>95</v>
      </c>
      <c r="M4196" s="9">
        <f t="shared" si="262"/>
        <v>141.54999999999998</v>
      </c>
      <c r="N4196" t="str">
        <f t="shared" si="263"/>
        <v>Dec</v>
      </c>
    </row>
    <row r="4197" spans="1:14" x14ac:dyDescent="0.3">
      <c r="A4197" s="2" t="s">
        <v>4263</v>
      </c>
      <c r="B4197" s="6">
        <v>46022</v>
      </c>
      <c r="C4197" s="2" t="s">
        <v>28</v>
      </c>
      <c r="D4197" s="2" t="s">
        <v>29</v>
      </c>
      <c r="E4197" s="2">
        <v>1</v>
      </c>
      <c r="F4197" s="7">
        <v>229</v>
      </c>
      <c r="G4197" s="8">
        <v>0.2</v>
      </c>
      <c r="H4197" s="9" t="str">
        <f>INDEX(Products!$B$2:$B$37, MATCH(D4197, Products!$A$2:$A$37, 0))</f>
        <v>Women's Summer Dress</v>
      </c>
      <c r="I4197" t="str">
        <f>INDEX(Products!$C$2:$C$37, MATCH(D4197, Products!$A$2:$A$37, 0))</f>
        <v>Fashion</v>
      </c>
      <c r="J4197">
        <f>INDEX(Products!$E$2:$E$37, MATCH(D4197, Products!$A$2:$A$37, 0))</f>
        <v>120</v>
      </c>
      <c r="K4197" s="9">
        <f t="shared" si="260"/>
        <v>183.20000000000002</v>
      </c>
      <c r="L4197">
        <f t="shared" si="261"/>
        <v>120</v>
      </c>
      <c r="M4197" s="9">
        <f t="shared" si="262"/>
        <v>63.200000000000017</v>
      </c>
      <c r="N4197" t="str">
        <f t="shared" si="263"/>
        <v>Dec</v>
      </c>
    </row>
    <row r="4198" spans="1:14" x14ac:dyDescent="0.3">
      <c r="A4198" s="2" t="s">
        <v>4264</v>
      </c>
      <c r="B4198" s="6">
        <v>46022</v>
      </c>
      <c r="C4198" s="2" t="s">
        <v>44</v>
      </c>
      <c r="D4198" s="2" t="s">
        <v>42</v>
      </c>
      <c r="E4198" s="2">
        <v>1</v>
      </c>
      <c r="F4198" s="7">
        <v>399</v>
      </c>
      <c r="G4198" s="8">
        <v>0.2</v>
      </c>
      <c r="H4198" s="9" t="str">
        <f>INDEX(Products!$B$2:$B$37, MATCH(D4198, Products!$A$2:$A$37, 0))</f>
        <v>Wireless Earbuds Pro</v>
      </c>
      <c r="I4198" t="str">
        <f>INDEX(Products!$C$2:$C$37, MATCH(D4198, Products!$A$2:$A$37, 0))</f>
        <v>Electronics</v>
      </c>
      <c r="J4198">
        <f>INDEX(Products!$E$2:$E$37, MATCH(D4198, Products!$A$2:$A$37, 0))</f>
        <v>230</v>
      </c>
      <c r="K4198" s="9">
        <f t="shared" si="260"/>
        <v>319.20000000000005</v>
      </c>
      <c r="L4198">
        <f t="shared" si="261"/>
        <v>230</v>
      </c>
      <c r="M4198" s="9">
        <f t="shared" si="262"/>
        <v>89.200000000000045</v>
      </c>
      <c r="N4198" t="str">
        <f t="shared" si="263"/>
        <v>Dec</v>
      </c>
    </row>
    <row r="4199" spans="1:14" x14ac:dyDescent="0.3">
      <c r="A4199" s="2" t="s">
        <v>4265</v>
      </c>
      <c r="B4199" s="6">
        <v>46022</v>
      </c>
      <c r="C4199" s="2" t="s">
        <v>28</v>
      </c>
      <c r="D4199" s="2" t="s">
        <v>58</v>
      </c>
      <c r="E4199" s="2">
        <v>3</v>
      </c>
      <c r="F4199" s="7">
        <v>459</v>
      </c>
      <c r="G4199" s="8">
        <v>0</v>
      </c>
      <c r="H4199" s="9" t="str">
        <f>INDEX(Products!$B$2:$B$37, MATCH(D4199, Products!$A$2:$A$37, 0))</f>
        <v>Women's Abaya Classic</v>
      </c>
      <c r="I4199" t="str">
        <f>INDEX(Products!$C$2:$C$37, MATCH(D4199, Products!$A$2:$A$37, 0))</f>
        <v>Fashion</v>
      </c>
      <c r="J4199">
        <f>INDEX(Products!$E$2:$E$37, MATCH(D4199, Products!$A$2:$A$37, 0))</f>
        <v>190</v>
      </c>
      <c r="K4199" s="9">
        <f t="shared" si="260"/>
        <v>1377</v>
      </c>
      <c r="L4199">
        <f t="shared" si="261"/>
        <v>570</v>
      </c>
      <c r="M4199" s="9">
        <f t="shared" si="262"/>
        <v>807</v>
      </c>
      <c r="N4199" t="str">
        <f t="shared" si="263"/>
        <v>Dec</v>
      </c>
    </row>
    <row r="4200" spans="1:14" x14ac:dyDescent="0.3">
      <c r="A4200" s="2" t="s">
        <v>4266</v>
      </c>
      <c r="B4200" s="6">
        <v>46022</v>
      </c>
      <c r="C4200" s="2" t="s">
        <v>44</v>
      </c>
      <c r="D4200" s="2" t="s">
        <v>35</v>
      </c>
      <c r="E4200" s="2">
        <v>2</v>
      </c>
      <c r="F4200" s="7">
        <v>179</v>
      </c>
      <c r="G4200" s="8">
        <v>0.2</v>
      </c>
      <c r="H4200" s="9" t="str">
        <f>INDEX(Products!$B$2:$B$37, MATCH(D4200, Products!$A$2:$A$37, 0))</f>
        <v>Men's Linen Shirt</v>
      </c>
      <c r="I4200" t="str">
        <f>INDEX(Products!$C$2:$C$37, MATCH(D4200, Products!$A$2:$A$37, 0))</f>
        <v>Fashion</v>
      </c>
      <c r="J4200">
        <f>INDEX(Products!$E$2:$E$37, MATCH(D4200, Products!$A$2:$A$37, 0))</f>
        <v>70</v>
      </c>
      <c r="K4200" s="9">
        <f t="shared" si="260"/>
        <v>286.40000000000003</v>
      </c>
      <c r="L4200">
        <f t="shared" si="261"/>
        <v>140</v>
      </c>
      <c r="M4200" s="9">
        <f t="shared" si="262"/>
        <v>146.40000000000003</v>
      </c>
      <c r="N4200" t="str">
        <f t="shared" si="263"/>
        <v>Dec</v>
      </c>
    </row>
    <row r="4201" spans="1:14" x14ac:dyDescent="0.3">
      <c r="A4201" s="2" t="s">
        <v>4267</v>
      </c>
      <c r="B4201" s="6">
        <v>46022</v>
      </c>
      <c r="C4201" s="2" t="s">
        <v>28</v>
      </c>
      <c r="D4201" s="2" t="s">
        <v>80</v>
      </c>
      <c r="E4201" s="2">
        <v>1</v>
      </c>
      <c r="F4201" s="7">
        <v>149</v>
      </c>
      <c r="G4201" s="8">
        <v>0.1</v>
      </c>
      <c r="H4201" s="9" t="str">
        <f>INDEX(Products!$B$2:$B$37, MATCH(D4201, Products!$A$2:$A$37, 0))</f>
        <v>Vitamin C Serum</v>
      </c>
      <c r="I4201" t="str">
        <f>INDEX(Products!$C$2:$C$37, MATCH(D4201, Products!$A$2:$A$37, 0))</f>
        <v>Beauty</v>
      </c>
      <c r="J4201">
        <f>INDEX(Products!$E$2:$E$37, MATCH(D4201, Products!$A$2:$A$37, 0))</f>
        <v>55</v>
      </c>
      <c r="K4201" s="9">
        <f t="shared" si="260"/>
        <v>134.1</v>
      </c>
      <c r="L4201">
        <f t="shared" si="261"/>
        <v>55</v>
      </c>
      <c r="M4201" s="9">
        <f t="shared" si="262"/>
        <v>79.099999999999994</v>
      </c>
      <c r="N4201" t="str">
        <f t="shared" si="263"/>
        <v>Dec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 activeCell="I20" sqref="I20"/>
    </sheetView>
  </sheetViews>
  <sheetFormatPr defaultRowHeight="14.4" x14ac:dyDescent="0.3"/>
  <cols>
    <col min="1" max="1" width="12.6640625" customWidth="1"/>
    <col min="2" max="2" width="24" customWidth="1"/>
    <col min="3" max="4" width="16" customWidth="1"/>
    <col min="5" max="5" width="16.33203125" customWidth="1"/>
  </cols>
  <sheetData>
    <row r="1" spans="1:5" x14ac:dyDescent="0.3">
      <c r="A1" s="4" t="s">
        <v>16</v>
      </c>
      <c r="B1" s="4" t="s">
        <v>20</v>
      </c>
      <c r="C1" s="4" t="s">
        <v>21</v>
      </c>
      <c r="D1" s="4" t="s">
        <v>4268</v>
      </c>
      <c r="E1" s="4" t="s">
        <v>22</v>
      </c>
    </row>
    <row r="2" spans="1:5" x14ac:dyDescent="0.3">
      <c r="A2" s="2" t="s">
        <v>42</v>
      </c>
      <c r="B2" s="2" t="s">
        <v>4269</v>
      </c>
      <c r="C2" s="2" t="s">
        <v>4270</v>
      </c>
      <c r="D2" s="2" t="s">
        <v>4271</v>
      </c>
      <c r="E2" s="7">
        <v>230</v>
      </c>
    </row>
    <row r="3" spans="1:5" x14ac:dyDescent="0.3">
      <c r="A3" s="2" t="s">
        <v>68</v>
      </c>
      <c r="B3" s="2" t="s">
        <v>4272</v>
      </c>
      <c r="C3" s="2" t="s">
        <v>4270</v>
      </c>
      <c r="D3" s="2" t="s">
        <v>4271</v>
      </c>
      <c r="E3" s="7">
        <v>150</v>
      </c>
    </row>
    <row r="4" spans="1:5" x14ac:dyDescent="0.3">
      <c r="A4" s="2" t="s">
        <v>106</v>
      </c>
      <c r="B4" s="2" t="s">
        <v>4273</v>
      </c>
      <c r="C4" s="2" t="s">
        <v>4270</v>
      </c>
      <c r="D4" s="2" t="s">
        <v>4274</v>
      </c>
      <c r="E4" s="7">
        <v>820</v>
      </c>
    </row>
    <row r="5" spans="1:5" x14ac:dyDescent="0.3">
      <c r="A5" s="2" t="s">
        <v>33</v>
      </c>
      <c r="B5" s="2" t="s">
        <v>4275</v>
      </c>
      <c r="C5" s="2" t="s">
        <v>4270</v>
      </c>
      <c r="D5" s="2" t="s">
        <v>4274</v>
      </c>
      <c r="E5" s="7">
        <v>175</v>
      </c>
    </row>
    <row r="6" spans="1:5" x14ac:dyDescent="0.3">
      <c r="A6" s="2" t="s">
        <v>131</v>
      </c>
      <c r="B6" s="2" t="s">
        <v>4276</v>
      </c>
      <c r="C6" s="2" t="s">
        <v>4270</v>
      </c>
      <c r="D6" s="2" t="s">
        <v>4277</v>
      </c>
      <c r="E6" s="7">
        <v>610</v>
      </c>
    </row>
    <row r="7" spans="1:5" x14ac:dyDescent="0.3">
      <c r="A7" s="2" t="s">
        <v>129</v>
      </c>
      <c r="B7" s="2" t="s">
        <v>4278</v>
      </c>
      <c r="C7" s="2" t="s">
        <v>4270</v>
      </c>
      <c r="D7" s="2" t="s">
        <v>4279</v>
      </c>
      <c r="E7" s="7">
        <v>70</v>
      </c>
    </row>
    <row r="8" spans="1:5" x14ac:dyDescent="0.3">
      <c r="A8" s="2" t="s">
        <v>126</v>
      </c>
      <c r="B8" s="2" t="s">
        <v>4280</v>
      </c>
      <c r="C8" s="2" t="s">
        <v>4270</v>
      </c>
      <c r="D8" s="2" t="s">
        <v>4279</v>
      </c>
      <c r="E8" s="7">
        <v>35</v>
      </c>
    </row>
    <row r="9" spans="1:5" x14ac:dyDescent="0.3">
      <c r="A9" s="2" t="s">
        <v>99</v>
      </c>
      <c r="B9" s="2" t="s">
        <v>4281</v>
      </c>
      <c r="C9" s="2" t="s">
        <v>4270</v>
      </c>
      <c r="D9" s="2" t="s">
        <v>4271</v>
      </c>
      <c r="E9" s="7">
        <v>300</v>
      </c>
    </row>
    <row r="10" spans="1:5" x14ac:dyDescent="0.3">
      <c r="A10" s="2" t="s">
        <v>78</v>
      </c>
      <c r="B10" s="2" t="s">
        <v>4282</v>
      </c>
      <c r="C10" s="2" t="s">
        <v>4283</v>
      </c>
      <c r="D10" s="2" t="s">
        <v>4284</v>
      </c>
      <c r="E10" s="7">
        <v>290</v>
      </c>
    </row>
    <row r="11" spans="1:5" x14ac:dyDescent="0.3">
      <c r="A11" s="2" t="s">
        <v>109</v>
      </c>
      <c r="B11" s="2" t="s">
        <v>4285</v>
      </c>
      <c r="C11" s="2" t="s">
        <v>4283</v>
      </c>
      <c r="D11" s="2" t="s">
        <v>4284</v>
      </c>
      <c r="E11" s="7">
        <v>1050</v>
      </c>
    </row>
    <row r="12" spans="1:5" x14ac:dyDescent="0.3">
      <c r="A12" s="2" t="s">
        <v>92</v>
      </c>
      <c r="B12" s="2" t="s">
        <v>4286</v>
      </c>
      <c r="C12" s="2" t="s">
        <v>4283</v>
      </c>
      <c r="D12" s="2" t="s">
        <v>4287</v>
      </c>
      <c r="E12" s="7">
        <v>170</v>
      </c>
    </row>
    <row r="13" spans="1:5" x14ac:dyDescent="0.3">
      <c r="A13" s="2" t="s">
        <v>113</v>
      </c>
      <c r="B13" s="2" t="s">
        <v>4288</v>
      </c>
      <c r="C13" s="2" t="s">
        <v>4283</v>
      </c>
      <c r="D13" s="2" t="s">
        <v>4284</v>
      </c>
      <c r="E13" s="7">
        <v>1080</v>
      </c>
    </row>
    <row r="14" spans="1:5" x14ac:dyDescent="0.3">
      <c r="A14" s="2" t="s">
        <v>56</v>
      </c>
      <c r="B14" s="2" t="s">
        <v>4289</v>
      </c>
      <c r="C14" s="2" t="s">
        <v>4283</v>
      </c>
      <c r="D14" s="2" t="s">
        <v>4290</v>
      </c>
      <c r="E14" s="7">
        <v>140</v>
      </c>
    </row>
    <row r="15" spans="1:5" x14ac:dyDescent="0.3">
      <c r="A15" s="2" t="s">
        <v>115</v>
      </c>
      <c r="B15" s="2" t="s">
        <v>4291</v>
      </c>
      <c r="C15" s="2" t="s">
        <v>4283</v>
      </c>
      <c r="D15" s="2" t="s">
        <v>4284</v>
      </c>
      <c r="E15" s="7">
        <v>60</v>
      </c>
    </row>
    <row r="16" spans="1:5" x14ac:dyDescent="0.3">
      <c r="A16" s="2" t="s">
        <v>149</v>
      </c>
      <c r="B16" s="2" t="s">
        <v>4292</v>
      </c>
      <c r="C16" s="2" t="s">
        <v>4283</v>
      </c>
      <c r="D16" s="2" t="s">
        <v>4284</v>
      </c>
      <c r="E16" s="7">
        <v>250</v>
      </c>
    </row>
    <row r="17" spans="1:5" x14ac:dyDescent="0.3">
      <c r="A17" s="2" t="s">
        <v>95</v>
      </c>
      <c r="B17" s="2" t="s">
        <v>4293</v>
      </c>
      <c r="C17" s="2" t="s">
        <v>4283</v>
      </c>
      <c r="D17" s="2" t="s">
        <v>4294</v>
      </c>
      <c r="E17" s="7">
        <v>115</v>
      </c>
    </row>
    <row r="18" spans="1:5" x14ac:dyDescent="0.3">
      <c r="A18" s="2" t="s">
        <v>35</v>
      </c>
      <c r="B18" s="2" t="s">
        <v>4295</v>
      </c>
      <c r="C18" s="2" t="s">
        <v>4296</v>
      </c>
      <c r="D18" s="2" t="s">
        <v>4297</v>
      </c>
      <c r="E18" s="7">
        <v>70</v>
      </c>
    </row>
    <row r="19" spans="1:5" x14ac:dyDescent="0.3">
      <c r="A19" s="2" t="s">
        <v>58</v>
      </c>
      <c r="B19" s="2" t="s">
        <v>4298</v>
      </c>
      <c r="C19" s="2" t="s">
        <v>4296</v>
      </c>
      <c r="D19" s="2" t="s">
        <v>4299</v>
      </c>
      <c r="E19" s="7">
        <v>190</v>
      </c>
    </row>
    <row r="20" spans="1:5" x14ac:dyDescent="0.3">
      <c r="A20" s="2" t="s">
        <v>49</v>
      </c>
      <c r="B20" s="2" t="s">
        <v>4300</v>
      </c>
      <c r="C20" s="2" t="s">
        <v>4296</v>
      </c>
      <c r="D20" s="2" t="s">
        <v>4301</v>
      </c>
      <c r="E20" s="7">
        <v>80</v>
      </c>
    </row>
    <row r="21" spans="1:5" x14ac:dyDescent="0.3">
      <c r="A21" s="2" t="s">
        <v>194</v>
      </c>
      <c r="B21" s="2" t="s">
        <v>4302</v>
      </c>
      <c r="C21" s="2" t="s">
        <v>4296</v>
      </c>
      <c r="D21" s="2" t="s">
        <v>4279</v>
      </c>
      <c r="E21" s="7">
        <v>380</v>
      </c>
    </row>
    <row r="22" spans="1:5" x14ac:dyDescent="0.3">
      <c r="A22" s="2" t="s">
        <v>70</v>
      </c>
      <c r="B22" s="2" t="s">
        <v>4303</v>
      </c>
      <c r="C22" s="2" t="s">
        <v>4296</v>
      </c>
      <c r="D22" s="2" t="s">
        <v>4301</v>
      </c>
      <c r="E22" s="7">
        <v>300</v>
      </c>
    </row>
    <row r="23" spans="1:5" x14ac:dyDescent="0.3">
      <c r="A23" s="2" t="s">
        <v>37</v>
      </c>
      <c r="B23" s="2" t="s">
        <v>4304</v>
      </c>
      <c r="C23" s="2" t="s">
        <v>4296</v>
      </c>
      <c r="D23" s="2" t="s">
        <v>4279</v>
      </c>
      <c r="E23" s="7">
        <v>95</v>
      </c>
    </row>
    <row r="24" spans="1:5" x14ac:dyDescent="0.3">
      <c r="A24" s="2" t="s">
        <v>89</v>
      </c>
      <c r="B24" s="2" t="s">
        <v>4305</v>
      </c>
      <c r="C24" s="2" t="s">
        <v>4296</v>
      </c>
      <c r="D24" s="2" t="s">
        <v>4297</v>
      </c>
      <c r="E24" s="7">
        <v>210</v>
      </c>
    </row>
    <row r="25" spans="1:5" x14ac:dyDescent="0.3">
      <c r="A25" s="2" t="s">
        <v>29</v>
      </c>
      <c r="B25" s="2" t="s">
        <v>4306</v>
      </c>
      <c r="C25" s="2" t="s">
        <v>4296</v>
      </c>
      <c r="D25" s="2" t="s">
        <v>4299</v>
      </c>
      <c r="E25" s="7">
        <v>120</v>
      </c>
    </row>
    <row r="26" spans="1:5" x14ac:dyDescent="0.3">
      <c r="A26" s="2" t="s">
        <v>75</v>
      </c>
      <c r="B26" s="2" t="s">
        <v>4307</v>
      </c>
      <c r="C26" s="2" t="s">
        <v>4308</v>
      </c>
      <c r="D26" s="2" t="s">
        <v>4309</v>
      </c>
      <c r="E26" s="7">
        <v>250</v>
      </c>
    </row>
    <row r="27" spans="1:5" x14ac:dyDescent="0.3">
      <c r="A27" s="2" t="s">
        <v>80</v>
      </c>
      <c r="B27" s="2" t="s">
        <v>4310</v>
      </c>
      <c r="C27" s="2" t="s">
        <v>4308</v>
      </c>
      <c r="D27" s="2" t="s">
        <v>4311</v>
      </c>
      <c r="E27" s="7">
        <v>55</v>
      </c>
    </row>
    <row r="28" spans="1:5" x14ac:dyDescent="0.3">
      <c r="A28" s="2" t="s">
        <v>52</v>
      </c>
      <c r="B28" s="2" t="s">
        <v>4312</v>
      </c>
      <c r="C28" s="2" t="s">
        <v>4308</v>
      </c>
      <c r="D28" s="2" t="s">
        <v>4313</v>
      </c>
      <c r="E28" s="7">
        <v>240</v>
      </c>
    </row>
    <row r="29" spans="1:5" x14ac:dyDescent="0.3">
      <c r="A29" s="2" t="s">
        <v>46</v>
      </c>
      <c r="B29" s="2" t="s">
        <v>4314</v>
      </c>
      <c r="C29" s="2" t="s">
        <v>4308</v>
      </c>
      <c r="D29" s="2" t="s">
        <v>4315</v>
      </c>
      <c r="E29" s="7">
        <v>85</v>
      </c>
    </row>
    <row r="30" spans="1:5" x14ac:dyDescent="0.3">
      <c r="A30" s="2" t="s">
        <v>103</v>
      </c>
      <c r="B30" s="2" t="s">
        <v>4316</v>
      </c>
      <c r="C30" s="2" t="s">
        <v>4308</v>
      </c>
      <c r="D30" s="2" t="s">
        <v>4311</v>
      </c>
      <c r="E30" s="7">
        <v>40</v>
      </c>
    </row>
    <row r="31" spans="1:5" x14ac:dyDescent="0.3">
      <c r="A31" s="2" t="s">
        <v>39</v>
      </c>
      <c r="B31" s="2" t="s">
        <v>4317</v>
      </c>
      <c r="C31" s="2" t="s">
        <v>4308</v>
      </c>
      <c r="D31" s="2" t="s">
        <v>4309</v>
      </c>
      <c r="E31" s="7">
        <v>90</v>
      </c>
    </row>
    <row r="32" spans="1:5" x14ac:dyDescent="0.3">
      <c r="A32" s="2" t="s">
        <v>65</v>
      </c>
      <c r="B32" s="2" t="s">
        <v>4318</v>
      </c>
      <c r="C32" s="2" t="s">
        <v>4319</v>
      </c>
      <c r="D32" s="2" t="s">
        <v>4320</v>
      </c>
      <c r="E32" s="7">
        <v>60</v>
      </c>
    </row>
    <row r="33" spans="1:5" x14ac:dyDescent="0.3">
      <c r="A33" s="2" t="s">
        <v>87</v>
      </c>
      <c r="B33" s="2" t="s">
        <v>4321</v>
      </c>
      <c r="C33" s="2" t="s">
        <v>4319</v>
      </c>
      <c r="D33" s="2" t="s">
        <v>4320</v>
      </c>
      <c r="E33" s="7">
        <v>700</v>
      </c>
    </row>
    <row r="34" spans="1:5" x14ac:dyDescent="0.3">
      <c r="A34" s="2" t="s">
        <v>83</v>
      </c>
      <c r="B34" s="2" t="s">
        <v>4322</v>
      </c>
      <c r="C34" s="2" t="s">
        <v>4319</v>
      </c>
      <c r="D34" s="2" t="s">
        <v>4323</v>
      </c>
      <c r="E34" s="7">
        <v>120</v>
      </c>
    </row>
    <row r="35" spans="1:5" x14ac:dyDescent="0.3">
      <c r="A35" s="2" t="s">
        <v>163</v>
      </c>
      <c r="B35" s="2" t="s">
        <v>4324</v>
      </c>
      <c r="C35" s="2" t="s">
        <v>4319</v>
      </c>
      <c r="D35" s="2" t="s">
        <v>4320</v>
      </c>
      <c r="E35" s="7">
        <v>2150</v>
      </c>
    </row>
    <row r="36" spans="1:5" x14ac:dyDescent="0.3">
      <c r="A36" s="2" t="s">
        <v>60</v>
      </c>
      <c r="B36" s="2" t="s">
        <v>4325</v>
      </c>
      <c r="C36" s="2" t="s">
        <v>4319</v>
      </c>
      <c r="D36" s="2" t="s">
        <v>4326</v>
      </c>
      <c r="E36" s="7">
        <v>45</v>
      </c>
    </row>
    <row r="37" spans="1:5" x14ac:dyDescent="0.3">
      <c r="A37" s="2" t="s">
        <v>165</v>
      </c>
      <c r="B37" s="2" t="s">
        <v>4327</v>
      </c>
      <c r="C37" s="2" t="s">
        <v>4319</v>
      </c>
      <c r="D37" s="2" t="s">
        <v>4328</v>
      </c>
      <c r="E37" s="7">
        <v>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C6"/>
    </sheetView>
  </sheetViews>
  <sheetFormatPr defaultRowHeight="14.4" x14ac:dyDescent="0.3"/>
  <cols>
    <col min="1" max="1" width="17.6640625" bestFit="1" customWidth="1"/>
    <col min="2" max="2" width="13.6640625" style="9" bestFit="1" customWidth="1"/>
    <col min="3" max="3" width="10.88671875" bestFit="1" customWidth="1"/>
  </cols>
  <sheetData>
    <row r="1" spans="1:4" s="10" customFormat="1" x14ac:dyDescent="0.3">
      <c r="A1" s="10" t="s">
        <v>21</v>
      </c>
      <c r="B1" s="12" t="s">
        <v>4329</v>
      </c>
      <c r="C1" s="10" t="s">
        <v>4330</v>
      </c>
      <c r="D1" s="10" t="s">
        <v>4331</v>
      </c>
    </row>
    <row r="2" spans="1:4" x14ac:dyDescent="0.3">
      <c r="A2" t="s">
        <v>4296</v>
      </c>
      <c r="B2" s="9">
        <f>SUMIFS(Sales!$K$2:$K$4201,Sales!$I$2:$I$4201,A2)</f>
        <v>542663.94999999984</v>
      </c>
      <c r="C2">
        <f>SUMIFS(Sales!$M$2:$M$4201, Sales!$I$2:$I$4201, A2)</f>
        <v>247053.9500000003</v>
      </c>
      <c r="D2" s="11">
        <f>C2/B2</f>
        <v>0.45526140072507187</v>
      </c>
    </row>
    <row r="3" spans="1:4" x14ac:dyDescent="0.3">
      <c r="A3" t="s">
        <v>4270</v>
      </c>
      <c r="B3" s="9">
        <f>SUMIFS(Sales!$K$2:$K$4201,Sales!$I$2:$I$4201,A3)</f>
        <v>540405.49999999977</v>
      </c>
      <c r="C3">
        <f>SUMIFS(Sales!$M$2:$M$4201, Sales!$I$2:$I$4201, A3)</f>
        <v>160285.50000000055</v>
      </c>
      <c r="D3" s="11">
        <f t="shared" ref="D3:D6" si="0">C3/B3</f>
        <v>0.296602273663019</v>
      </c>
    </row>
    <row r="4" spans="1:4" x14ac:dyDescent="0.3">
      <c r="A4" t="s">
        <v>4283</v>
      </c>
      <c r="B4" s="9">
        <f>SUMIFS(Sales!$K$2:$K$4201,Sales!$I$2:$I$4201,A4)</f>
        <v>438429.45000000019</v>
      </c>
      <c r="C4">
        <f>SUMIFS(Sales!$M$2:$M$4201, Sales!$I$2:$I$4201, A4)</f>
        <v>137104.45000000007</v>
      </c>
      <c r="D4" s="11">
        <f t="shared" si="0"/>
        <v>0.31271724561386105</v>
      </c>
    </row>
    <row r="5" spans="1:4" x14ac:dyDescent="0.3">
      <c r="A5" t="s">
        <v>4308</v>
      </c>
      <c r="B5" s="9">
        <f>SUMIFS(Sales!$K$2:$K$4201,Sales!$I$2:$I$4201,A5)</f>
        <v>250150.25000000052</v>
      </c>
      <c r="C5">
        <f>SUMIFS(Sales!$M$2:$M$4201, Sales!$I$2:$I$4201, A5)</f>
        <v>106585.24999999997</v>
      </c>
      <c r="D5" s="11">
        <f t="shared" si="0"/>
        <v>0.42608492296129924</v>
      </c>
    </row>
    <row r="6" spans="1:4" x14ac:dyDescent="0.3">
      <c r="A6" t="s">
        <v>4319</v>
      </c>
      <c r="B6" s="9">
        <f>SUMIFS(Sales!$K$2:$K$4201,Sales!$I$2:$I$4201,A6)</f>
        <v>221143.10000000018</v>
      </c>
      <c r="C6">
        <f>SUMIFS(Sales!$M$2:$M$4201, Sales!$I$2:$I$4201, A6)</f>
        <v>23743.100000000017</v>
      </c>
      <c r="D6" s="11">
        <f t="shared" si="0"/>
        <v>0.10736532136883312</v>
      </c>
    </row>
    <row r="7" spans="1:4" x14ac:dyDescent="0.3">
      <c r="A7" t="s">
        <v>4332</v>
      </c>
      <c r="B7" s="9">
        <f>SUM(B2:B6)</f>
        <v>1992792.2500000005</v>
      </c>
      <c r="C7">
        <f>SUM(C2:C6)</f>
        <v>674772.25000000093</v>
      </c>
      <c r="D7" s="11">
        <f>C7/B7</f>
        <v>0.33860642021264425</v>
      </c>
    </row>
    <row r="9" spans="1:4" s="10" customFormat="1" x14ac:dyDescent="0.3">
      <c r="A9" s="10" t="s">
        <v>15</v>
      </c>
      <c r="B9" s="12" t="s">
        <v>4329</v>
      </c>
      <c r="C9" s="10" t="s">
        <v>4333</v>
      </c>
      <c r="D9" s="10" t="s">
        <v>4331</v>
      </c>
    </row>
    <row r="10" spans="1:4" x14ac:dyDescent="0.3">
      <c r="A10" t="s">
        <v>44</v>
      </c>
      <c r="B10" s="9">
        <f>SUMIFS(Sales!$K$2:$K$4201, Sales!$C$2:$C$4201, A10)</f>
        <v>518646.94999999978</v>
      </c>
      <c r="C10">
        <f>SUMIFS(Sales!$M$2:$M$4201, Sales!$C$2:$C$4201, A10)</f>
        <v>175421.95000000077</v>
      </c>
      <c r="D10" s="11">
        <f>C10/B10</f>
        <v>0.33822998477095229</v>
      </c>
    </row>
    <row r="11" spans="1:4" x14ac:dyDescent="0.3">
      <c r="A11" t="s">
        <v>41</v>
      </c>
      <c r="B11" s="9">
        <f>SUMIFS(Sales!$K$2:$K$4201, Sales!$C$2:$C$4201, A11)</f>
        <v>497274.95000000048</v>
      </c>
      <c r="C11">
        <f>SUMIFS(Sales!$M$2:$M$4201, Sales!$C$2:$C$4201, A11)</f>
        <v>158104.95000000024</v>
      </c>
      <c r="D11" s="11">
        <f t="shared" ref="D11:D14" si="1">C11/B11</f>
        <v>0.31794271961618031</v>
      </c>
    </row>
    <row r="12" spans="1:4" x14ac:dyDescent="0.3">
      <c r="A12" t="s">
        <v>28</v>
      </c>
      <c r="B12" s="9">
        <f>SUMIFS(Sales!$K$2:$K$4201, Sales!$C$2:$C$4201, A12)</f>
        <v>443840.09999999992</v>
      </c>
      <c r="C12">
        <f>SUMIFS(Sales!$M$2:$M$4201, Sales!$C$2:$C$4201, A12)</f>
        <v>154500.10000000044</v>
      </c>
      <c r="D12" s="11">
        <f t="shared" si="1"/>
        <v>0.34809856072040463</v>
      </c>
    </row>
    <row r="13" spans="1:4" x14ac:dyDescent="0.3">
      <c r="A13" t="s">
        <v>31</v>
      </c>
      <c r="B13" s="9">
        <f>SUMIFS(Sales!$K$2:$K$4201, Sales!$C$2:$C$4201, A13)</f>
        <v>273697.75000000047</v>
      </c>
      <c r="C13">
        <f>SUMIFS(Sales!$M$2:$M$4201, Sales!$C$2:$C$4201, A13)</f>
        <v>94292.749999999942</v>
      </c>
      <c r="D13" s="11">
        <f t="shared" si="1"/>
        <v>0.34451415841014321</v>
      </c>
    </row>
    <row r="14" spans="1:4" x14ac:dyDescent="0.3">
      <c r="A14" t="s">
        <v>48</v>
      </c>
      <c r="B14" s="9">
        <f>SUMIFS(Sales!$K$2:$K$4201, Sales!$C$2:$C$4201, A14)</f>
        <v>259332.50000000009</v>
      </c>
      <c r="C14">
        <f>SUMIFS(Sales!$M$2:$M$4201, Sales!$C$2:$C$4201, A14)</f>
        <v>92452.499999999869</v>
      </c>
      <c r="D14" s="11">
        <f t="shared" si="1"/>
        <v>0.35650178824482021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O20" sqref="O20"/>
    </sheetView>
  </sheetViews>
  <sheetFormatPr defaultRowHeight="14.4" x14ac:dyDescent="0.3"/>
  <cols>
    <col min="1" max="1" width="12.5546875" bestFit="1" customWidth="1"/>
    <col min="2" max="4" width="13.5546875" bestFit="1" customWidth="1"/>
  </cols>
  <sheetData>
    <row r="3" spans="1:2" x14ac:dyDescent="0.3">
      <c r="A3" s="13" t="s">
        <v>4334</v>
      </c>
      <c r="B3" t="s">
        <v>4338</v>
      </c>
    </row>
    <row r="4" spans="1:2" x14ac:dyDescent="0.3">
      <c r="A4" s="17">
        <v>0</v>
      </c>
      <c r="B4" s="16">
        <v>0.4576855826601533</v>
      </c>
    </row>
    <row r="5" spans="1:2" x14ac:dyDescent="0.3">
      <c r="A5" s="17">
        <v>0.05</v>
      </c>
      <c r="B5" s="16">
        <v>0.44192537237456514</v>
      </c>
    </row>
    <row r="6" spans="1:2" x14ac:dyDescent="0.3">
      <c r="A6" s="17">
        <v>0.1</v>
      </c>
      <c r="B6" s="16">
        <v>0.33288394707579405</v>
      </c>
    </row>
    <row r="7" spans="1:2" x14ac:dyDescent="0.3">
      <c r="A7" s="17">
        <v>0.15</v>
      </c>
      <c r="B7" s="16">
        <v>0.23478327845493493</v>
      </c>
    </row>
    <row r="8" spans="1:2" x14ac:dyDescent="0.3">
      <c r="A8" s="17">
        <v>0.2</v>
      </c>
      <c r="B8" s="16">
        <v>0.20221348391078625</v>
      </c>
    </row>
    <row r="9" spans="1:2" x14ac:dyDescent="0.3">
      <c r="A9" s="17">
        <v>0.25</v>
      </c>
      <c r="B9" s="16">
        <v>-0.15113831089351284</v>
      </c>
    </row>
    <row r="10" spans="1:2" x14ac:dyDescent="0.3">
      <c r="A10" s="17">
        <v>0.3</v>
      </c>
      <c r="B10" s="16">
        <v>0.21126904480648218</v>
      </c>
    </row>
    <row r="11" spans="1:2" x14ac:dyDescent="0.3">
      <c r="A11" s="17" t="s">
        <v>4335</v>
      </c>
      <c r="B11" s="16">
        <v>0.33860642021263637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A4" sqref="A4:C15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6.6640625" bestFit="1" customWidth="1"/>
  </cols>
  <sheetData>
    <row r="3" spans="1:3" x14ac:dyDescent="0.3">
      <c r="A3" s="13" t="s">
        <v>4334</v>
      </c>
      <c r="B3" t="s">
        <v>4336</v>
      </c>
      <c r="C3" t="s">
        <v>4337</v>
      </c>
    </row>
    <row r="4" spans="1:3" x14ac:dyDescent="0.3">
      <c r="A4" s="14" t="s">
        <v>4339</v>
      </c>
      <c r="B4" s="15">
        <v>186525.74999999997</v>
      </c>
      <c r="C4" s="15">
        <v>64575.75</v>
      </c>
    </row>
    <row r="5" spans="1:3" x14ac:dyDescent="0.3">
      <c r="A5" s="14" t="s">
        <v>4340</v>
      </c>
      <c r="B5" s="15">
        <v>156992.34999999995</v>
      </c>
      <c r="C5" s="15">
        <v>55377.350000000013</v>
      </c>
    </row>
    <row r="6" spans="1:3" x14ac:dyDescent="0.3">
      <c r="A6" s="14" t="s">
        <v>4341</v>
      </c>
      <c r="B6" s="15">
        <v>163707.75</v>
      </c>
      <c r="C6" s="15">
        <v>55912.750000000029</v>
      </c>
    </row>
    <row r="7" spans="1:3" x14ac:dyDescent="0.3">
      <c r="A7" s="14" t="s">
        <v>4342</v>
      </c>
      <c r="B7" s="15">
        <v>199434.14999999997</v>
      </c>
      <c r="C7" s="15">
        <v>58009.15</v>
      </c>
    </row>
    <row r="8" spans="1:3" x14ac:dyDescent="0.3">
      <c r="A8" s="14" t="s">
        <v>4343</v>
      </c>
      <c r="B8" s="15">
        <v>186293.30000000008</v>
      </c>
      <c r="C8" s="15">
        <v>63898.3</v>
      </c>
    </row>
    <row r="9" spans="1:3" x14ac:dyDescent="0.3">
      <c r="A9" s="14" t="s">
        <v>4344</v>
      </c>
      <c r="B9" s="15">
        <v>154533.60000000003</v>
      </c>
      <c r="C9" s="15">
        <v>55118.599999999955</v>
      </c>
    </row>
    <row r="10" spans="1:3" x14ac:dyDescent="0.3">
      <c r="A10" s="14" t="s">
        <v>4345</v>
      </c>
      <c r="B10" s="15">
        <v>162833.85000000015</v>
      </c>
      <c r="C10" s="15">
        <v>60618.849999999977</v>
      </c>
    </row>
    <row r="11" spans="1:3" x14ac:dyDescent="0.3">
      <c r="A11" s="14" t="s">
        <v>4346</v>
      </c>
      <c r="B11" s="15">
        <v>160798.60000000006</v>
      </c>
      <c r="C11" s="15">
        <v>56633.599999999991</v>
      </c>
    </row>
    <row r="12" spans="1:3" x14ac:dyDescent="0.3">
      <c r="A12" s="14" t="s">
        <v>4347</v>
      </c>
      <c r="B12" s="15">
        <v>158335.5</v>
      </c>
      <c r="C12" s="15">
        <v>55445.499999999993</v>
      </c>
    </row>
    <row r="13" spans="1:3" x14ac:dyDescent="0.3">
      <c r="A13" s="14" t="s">
        <v>4348</v>
      </c>
      <c r="B13" s="15">
        <v>173814.79999999987</v>
      </c>
      <c r="C13" s="15">
        <v>57314.800000000017</v>
      </c>
    </row>
    <row r="14" spans="1:3" x14ac:dyDescent="0.3">
      <c r="A14" s="14" t="s">
        <v>4349</v>
      </c>
      <c r="B14" s="15">
        <v>134524.79999999984</v>
      </c>
      <c r="C14" s="15">
        <v>43534.799999999967</v>
      </c>
    </row>
    <row r="15" spans="1:3" x14ac:dyDescent="0.3">
      <c r="A15" s="14" t="s">
        <v>4350</v>
      </c>
      <c r="B15" s="15">
        <v>154997.80000000008</v>
      </c>
      <c r="C15" s="15">
        <v>48332.799999999988</v>
      </c>
    </row>
    <row r="16" spans="1:3" x14ac:dyDescent="0.3">
      <c r="A16" s="14" t="s">
        <v>4335</v>
      </c>
      <c r="B16" s="15">
        <v>1992792.2499999998</v>
      </c>
      <c r="C16" s="15">
        <v>674772.25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0"/>
  <sheetViews>
    <sheetView workbookViewId="0">
      <selection activeCell="D4" sqref="D4"/>
    </sheetView>
  </sheetViews>
  <sheetFormatPr defaultRowHeight="14.4" x14ac:dyDescent="0.3"/>
  <cols>
    <col min="1" max="1" width="20.88671875" bestFit="1" customWidth="1"/>
    <col min="2" max="2" width="19.44140625" bestFit="1" customWidth="1"/>
    <col min="3" max="3" width="16.6640625" bestFit="1" customWidth="1"/>
    <col min="4" max="4" width="13.5546875" bestFit="1" customWidth="1"/>
  </cols>
  <sheetData>
    <row r="3" spans="1:4" x14ac:dyDescent="0.3">
      <c r="A3" s="13" t="s">
        <v>4334</v>
      </c>
      <c r="B3" t="s">
        <v>4336</v>
      </c>
      <c r="C3" t="s">
        <v>4337</v>
      </c>
      <c r="D3" t="s">
        <v>4338</v>
      </c>
    </row>
    <row r="4" spans="1:4" x14ac:dyDescent="0.3">
      <c r="A4" s="14" t="s">
        <v>4288</v>
      </c>
      <c r="B4" s="15">
        <v>63666.9</v>
      </c>
      <c r="C4" s="15">
        <v>-6533.0999999999976</v>
      </c>
      <c r="D4" s="16">
        <v>-0.10261376005428248</v>
      </c>
    </row>
    <row r="5" spans="1:4" x14ac:dyDescent="0.3">
      <c r="A5" s="14" t="s">
        <v>4324</v>
      </c>
      <c r="B5" s="15">
        <v>83841.45</v>
      </c>
      <c r="C5" s="15">
        <v>-6458.55</v>
      </c>
      <c r="D5" s="16">
        <v>-7.7032899597991214E-2</v>
      </c>
    </row>
    <row r="6" spans="1:4" x14ac:dyDescent="0.3">
      <c r="A6" s="14" t="s">
        <v>4321</v>
      </c>
      <c r="B6" s="15">
        <v>66077.299999999988</v>
      </c>
      <c r="C6" s="15">
        <v>-3922.7</v>
      </c>
      <c r="D6" s="16">
        <v>-5.9365319103534805E-2</v>
      </c>
    </row>
    <row r="7" spans="1:4" x14ac:dyDescent="0.3">
      <c r="A7" s="14" t="s">
        <v>4275</v>
      </c>
      <c r="B7" s="15">
        <v>42725.299999999996</v>
      </c>
      <c r="C7" s="15">
        <v>-3299.6999999999994</v>
      </c>
      <c r="D7" s="16">
        <v>-7.7230587029230913E-2</v>
      </c>
    </row>
    <row r="8" spans="1:4" x14ac:dyDescent="0.3">
      <c r="A8" s="14" t="s">
        <v>4312</v>
      </c>
      <c r="B8" s="15">
        <v>46150.649999999972</v>
      </c>
      <c r="C8" s="15">
        <v>790.6500000000018</v>
      </c>
      <c r="D8" s="16">
        <v>1.7131936386594823E-2</v>
      </c>
    </row>
    <row r="9" spans="1:4" x14ac:dyDescent="0.3">
      <c r="A9" s="14" t="s">
        <v>4327</v>
      </c>
      <c r="B9" s="15">
        <v>8521.5000000000018</v>
      </c>
      <c r="C9" s="15">
        <v>5171.5</v>
      </c>
      <c r="D9" s="16">
        <v>0.606876723581529</v>
      </c>
    </row>
    <row r="10" spans="1:4" x14ac:dyDescent="0.3">
      <c r="A10" s="14" t="s">
        <v>4325</v>
      </c>
      <c r="B10" s="15">
        <v>11681.999999999998</v>
      </c>
      <c r="C10" s="15">
        <v>5831.9999999999982</v>
      </c>
      <c r="D10" s="16">
        <v>0.49922958397534661</v>
      </c>
    </row>
    <row r="11" spans="1:4" x14ac:dyDescent="0.3">
      <c r="A11" s="14" t="s">
        <v>4318</v>
      </c>
      <c r="B11" s="15">
        <v>17976.150000000001</v>
      </c>
      <c r="C11" s="15">
        <v>8916.1500000000051</v>
      </c>
      <c r="D11" s="16">
        <v>0.4959988651630079</v>
      </c>
    </row>
    <row r="12" spans="1:4" x14ac:dyDescent="0.3">
      <c r="A12" s="14" t="s">
        <v>4316</v>
      </c>
      <c r="B12" s="15">
        <v>19179.500000000004</v>
      </c>
      <c r="C12" s="15">
        <v>9819.5</v>
      </c>
      <c r="D12" s="16">
        <v>0.51197893584295717</v>
      </c>
    </row>
    <row r="13" spans="1:4" x14ac:dyDescent="0.3">
      <c r="A13" s="14" t="s">
        <v>4291</v>
      </c>
      <c r="B13" s="15">
        <v>22987.8</v>
      </c>
      <c r="C13" s="15">
        <v>11347.800000000007</v>
      </c>
      <c r="D13" s="16">
        <v>0.49364445488476527</v>
      </c>
    </row>
    <row r="14" spans="1:4" x14ac:dyDescent="0.3">
      <c r="A14" s="14" t="s">
        <v>4280</v>
      </c>
      <c r="B14" s="15">
        <v>22472.5</v>
      </c>
      <c r="C14" s="15">
        <v>12777.500000000004</v>
      </c>
      <c r="D14" s="16">
        <v>0.56858382467460244</v>
      </c>
    </row>
    <row r="15" spans="1:4" x14ac:dyDescent="0.3">
      <c r="A15" s="14" t="s">
        <v>4322</v>
      </c>
      <c r="B15" s="15">
        <v>33044.699999999997</v>
      </c>
      <c r="C15" s="15">
        <v>14204.700000000003</v>
      </c>
      <c r="D15" s="16">
        <v>0.4298631853217007</v>
      </c>
    </row>
    <row r="16" spans="1:4" x14ac:dyDescent="0.3">
      <c r="A16" s="14" t="s">
        <v>4300</v>
      </c>
      <c r="B16" s="15">
        <v>36870.050000000003</v>
      </c>
      <c r="C16" s="15">
        <v>14950.050000000001</v>
      </c>
      <c r="D16" s="16">
        <v>0.4054795152162799</v>
      </c>
    </row>
    <row r="17" spans="1:4" x14ac:dyDescent="0.3">
      <c r="A17" s="14" t="s">
        <v>4303</v>
      </c>
      <c r="B17" s="15">
        <v>68640.000000000029</v>
      </c>
      <c r="C17" s="15">
        <v>16739.999999999996</v>
      </c>
      <c r="D17" s="16">
        <v>0.24388111888111871</v>
      </c>
    </row>
    <row r="18" spans="1:4" x14ac:dyDescent="0.3">
      <c r="A18" s="14" t="s">
        <v>4292</v>
      </c>
      <c r="B18" s="15">
        <v>53685.450000000004</v>
      </c>
      <c r="C18" s="15">
        <v>16935.449999999997</v>
      </c>
      <c r="D18" s="16">
        <v>0.31545698136087141</v>
      </c>
    </row>
    <row r="19" spans="1:4" x14ac:dyDescent="0.3">
      <c r="A19" s="14" t="s">
        <v>4310</v>
      </c>
      <c r="B19" s="15">
        <v>30463.050000000007</v>
      </c>
      <c r="C19" s="15">
        <v>17923.050000000007</v>
      </c>
      <c r="D19" s="16">
        <v>0.58835375971874126</v>
      </c>
    </row>
    <row r="20" spans="1:4" x14ac:dyDescent="0.3">
      <c r="A20" s="14" t="s">
        <v>4278</v>
      </c>
      <c r="B20" s="15">
        <v>36840.249999999971</v>
      </c>
      <c r="C20" s="15">
        <v>18220.250000000007</v>
      </c>
      <c r="D20" s="16">
        <v>0.49457454821832159</v>
      </c>
    </row>
    <row r="21" spans="1:4" x14ac:dyDescent="0.3">
      <c r="A21" s="14" t="s">
        <v>4285</v>
      </c>
      <c r="B21" s="15">
        <v>85068.249999999971</v>
      </c>
      <c r="C21" s="15">
        <v>19968.25</v>
      </c>
      <c r="D21" s="16">
        <v>0.23473211215700343</v>
      </c>
    </row>
    <row r="22" spans="1:4" x14ac:dyDescent="0.3">
      <c r="A22" s="14" t="s">
        <v>4272</v>
      </c>
      <c r="B22" s="15">
        <v>60419.850000000006</v>
      </c>
      <c r="C22" s="15">
        <v>20369.850000000002</v>
      </c>
      <c r="D22" s="16">
        <v>0.33713837422635112</v>
      </c>
    </row>
    <row r="23" spans="1:4" x14ac:dyDescent="0.3">
      <c r="A23" s="14" t="s">
        <v>4281</v>
      </c>
      <c r="B23" s="15">
        <v>72017.099999999977</v>
      </c>
      <c r="C23" s="15">
        <v>20717.099999999999</v>
      </c>
      <c r="D23" s="16">
        <v>0.28766917857008967</v>
      </c>
    </row>
    <row r="24" spans="1:4" x14ac:dyDescent="0.3">
      <c r="A24" s="14" t="s">
        <v>4293</v>
      </c>
      <c r="B24" s="15">
        <v>41970.949999999983</v>
      </c>
      <c r="C24" s="15">
        <v>21845.950000000004</v>
      </c>
      <c r="D24" s="16">
        <v>0.52050168032889443</v>
      </c>
    </row>
    <row r="25" spans="1:4" x14ac:dyDescent="0.3">
      <c r="A25" s="14" t="s">
        <v>4269</v>
      </c>
      <c r="B25" s="15">
        <v>58393.649999999972</v>
      </c>
      <c r="C25" s="15">
        <v>22283.649999999998</v>
      </c>
      <c r="D25" s="16">
        <v>0.38161084295980829</v>
      </c>
    </row>
    <row r="26" spans="1:4" x14ac:dyDescent="0.3">
      <c r="A26" s="14" t="s">
        <v>4314</v>
      </c>
      <c r="B26" s="15">
        <v>44292.149999999987</v>
      </c>
      <c r="C26" s="15">
        <v>22447.149999999998</v>
      </c>
      <c r="D26" s="16">
        <v>0.50679747991461255</v>
      </c>
    </row>
    <row r="27" spans="1:4" x14ac:dyDescent="0.3">
      <c r="A27" s="14" t="s">
        <v>4286</v>
      </c>
      <c r="B27" s="15">
        <v>47341.850000000006</v>
      </c>
      <c r="C27" s="15">
        <v>22861.85</v>
      </c>
      <c r="D27" s="16">
        <v>0.48290994120424097</v>
      </c>
    </row>
    <row r="28" spans="1:4" x14ac:dyDescent="0.3">
      <c r="A28" s="14" t="s">
        <v>4282</v>
      </c>
      <c r="B28" s="15">
        <v>67165.400000000009</v>
      </c>
      <c r="C28" s="15">
        <v>23955.4</v>
      </c>
      <c r="D28" s="16">
        <v>0.35666280555166796</v>
      </c>
    </row>
    <row r="29" spans="1:4" x14ac:dyDescent="0.3">
      <c r="A29" s="14" t="s">
        <v>4317</v>
      </c>
      <c r="B29" s="15">
        <v>49043.549999999967</v>
      </c>
      <c r="C29" s="15">
        <v>24833.550000000003</v>
      </c>
      <c r="D29" s="16">
        <v>0.50635710506274567</v>
      </c>
    </row>
    <row r="30" spans="1:4" x14ac:dyDescent="0.3">
      <c r="A30" s="14" t="s">
        <v>4306</v>
      </c>
      <c r="B30" s="15">
        <v>60570.499999999949</v>
      </c>
      <c r="C30" s="15">
        <v>26130.500000000004</v>
      </c>
      <c r="D30" s="16">
        <v>0.43140637769211126</v>
      </c>
    </row>
    <row r="31" spans="1:4" x14ac:dyDescent="0.3">
      <c r="A31" s="14" t="s">
        <v>4305</v>
      </c>
      <c r="B31" s="15">
        <v>62563.19999999999</v>
      </c>
      <c r="C31" s="15">
        <v>26653.200000000008</v>
      </c>
      <c r="D31" s="16">
        <v>0.42602040816326553</v>
      </c>
    </row>
    <row r="32" spans="1:4" x14ac:dyDescent="0.3">
      <c r="A32" s="14" t="s">
        <v>4289</v>
      </c>
      <c r="B32" s="15">
        <v>56542.849999999977</v>
      </c>
      <c r="C32" s="15">
        <v>26722.850000000009</v>
      </c>
      <c r="D32" s="16">
        <v>0.47261236389746925</v>
      </c>
    </row>
    <row r="33" spans="1:4" x14ac:dyDescent="0.3">
      <c r="A33" s="14" t="s">
        <v>4295</v>
      </c>
      <c r="B33" s="15">
        <v>52169.549999999988</v>
      </c>
      <c r="C33" s="15">
        <v>30119.549999999988</v>
      </c>
      <c r="D33" s="16">
        <v>0.5773396550286517</v>
      </c>
    </row>
    <row r="34" spans="1:4" x14ac:dyDescent="0.3">
      <c r="A34" s="14" t="s">
        <v>4307</v>
      </c>
      <c r="B34" s="15">
        <v>61021.349999999977</v>
      </c>
      <c r="C34" s="15">
        <v>30771.35</v>
      </c>
      <c r="D34" s="16">
        <v>0.50427186550281189</v>
      </c>
    </row>
    <row r="35" spans="1:4" x14ac:dyDescent="0.3">
      <c r="A35" s="14" t="s">
        <v>4273</v>
      </c>
      <c r="B35" s="15">
        <v>108596.4</v>
      </c>
      <c r="C35" s="15">
        <v>33976.400000000001</v>
      </c>
      <c r="D35" s="16">
        <v>0.31286856654548406</v>
      </c>
    </row>
    <row r="36" spans="1:4" x14ac:dyDescent="0.3">
      <c r="A36" s="14" t="s">
        <v>4276</v>
      </c>
      <c r="B36" s="15">
        <v>138940.45000000001</v>
      </c>
      <c r="C36" s="15">
        <v>35240.44999999999</v>
      </c>
      <c r="D36" s="16">
        <v>0.25363707977050592</v>
      </c>
    </row>
    <row r="37" spans="1:4" x14ac:dyDescent="0.3">
      <c r="A37" s="14" t="s">
        <v>4302</v>
      </c>
      <c r="B37" s="15">
        <v>99817.199999999983</v>
      </c>
      <c r="C37" s="15">
        <v>40537.19999999999</v>
      </c>
      <c r="D37" s="16">
        <v>0.4061143770813046</v>
      </c>
    </row>
    <row r="38" spans="1:4" x14ac:dyDescent="0.3">
      <c r="A38" s="14" t="s">
        <v>4304</v>
      </c>
      <c r="B38" s="15">
        <v>71587.499999999985</v>
      </c>
      <c r="C38" s="15">
        <v>41757.499999999978</v>
      </c>
      <c r="D38" s="16">
        <v>0.5833071416099177</v>
      </c>
    </row>
    <row r="39" spans="1:4" x14ac:dyDescent="0.3">
      <c r="A39" s="14" t="s">
        <v>4298</v>
      </c>
      <c r="B39" s="15">
        <v>90445.949999999968</v>
      </c>
      <c r="C39" s="15">
        <v>50165.95</v>
      </c>
      <c r="D39" s="16">
        <v>0.55465114800607451</v>
      </c>
    </row>
    <row r="40" spans="1:4" x14ac:dyDescent="0.3">
      <c r="A40" s="14" t="s">
        <v>4335</v>
      </c>
      <c r="B40" s="15">
        <v>1992792.2499999998</v>
      </c>
      <c r="C40" s="15">
        <v>674772.25</v>
      </c>
      <c r="D40" s="16">
        <v>0.33860642021264242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showGridLines="0" tabSelected="1" topLeftCell="A2" zoomScale="69" zoomScaleNormal="69" workbookViewId="0">
      <selection activeCell="D40" sqref="D40"/>
    </sheetView>
  </sheetViews>
  <sheetFormatPr defaultRowHeight="14.4" x14ac:dyDescent="0.3"/>
  <cols>
    <col min="1" max="1" width="4.77734375" customWidth="1"/>
    <col min="2" max="2" width="45.77734375" customWidth="1"/>
    <col min="3" max="3" width="4.77734375" customWidth="1"/>
    <col min="4" max="4" width="45.77734375" customWidth="1"/>
    <col min="5" max="5" width="4.77734375" customWidth="1"/>
    <col min="6" max="6" width="45.77734375" customWidth="1"/>
    <col min="7" max="7" width="4.77734375" customWidth="1"/>
    <col min="8" max="8" width="45.77734375" customWidth="1"/>
  </cols>
  <sheetData>
    <row r="1" spans="2:8" x14ac:dyDescent="0.3">
      <c r="B1" s="18"/>
      <c r="C1" s="18"/>
      <c r="D1" s="18"/>
      <c r="E1" s="18"/>
      <c r="F1" s="18"/>
      <c r="G1" s="18"/>
      <c r="H1" s="18"/>
    </row>
    <row r="2" spans="2:8" ht="25.8" x14ac:dyDescent="0.5">
      <c r="B2" s="19" t="s">
        <v>4355</v>
      </c>
      <c r="C2" s="19"/>
      <c r="D2" s="19"/>
      <c r="E2" s="19"/>
      <c r="F2" s="19"/>
      <c r="G2" s="19"/>
      <c r="H2" s="19"/>
    </row>
    <row r="3" spans="2:8" ht="14.4" customHeight="1" x14ac:dyDescent="0.3"/>
    <row r="4" spans="2:8" x14ac:dyDescent="0.3">
      <c r="B4" s="22" t="s">
        <v>4351</v>
      </c>
      <c r="D4" s="22" t="s">
        <v>4352</v>
      </c>
      <c r="F4" s="22" t="s">
        <v>4353</v>
      </c>
      <c r="H4" s="22" t="s">
        <v>4354</v>
      </c>
    </row>
    <row r="5" spans="2:8" ht="25.8" x14ac:dyDescent="0.3">
      <c r="B5" s="25">
        <f>Summary!B7</f>
        <v>1992792.2500000005</v>
      </c>
      <c r="D5" s="25">
        <f>Summary!C7</f>
        <v>674772.25000000093</v>
      </c>
      <c r="F5" s="24">
        <f>Summary!D7</f>
        <v>0.33860642021264425</v>
      </c>
      <c r="H5" s="25">
        <f>COUNTA(Sales!A2:A4201)</f>
        <v>4200</v>
      </c>
    </row>
    <row r="9" spans="2:8" ht="25.8" x14ac:dyDescent="0.5">
      <c r="B9" s="23"/>
    </row>
    <row r="13" spans="2:8" x14ac:dyDescent="0.3">
      <c r="D13" s="21"/>
    </row>
    <row r="25" spans="6:8" ht="18" x14ac:dyDescent="0.35">
      <c r="F25" s="26" t="s">
        <v>4356</v>
      </c>
    </row>
    <row r="26" spans="6:8" x14ac:dyDescent="0.3">
      <c r="F26" s="27" t="s">
        <v>4357</v>
      </c>
      <c r="G26" s="20"/>
      <c r="H26" s="28" t="s">
        <v>4330</v>
      </c>
    </row>
    <row r="27" spans="6:8" x14ac:dyDescent="0.3">
      <c r="F27" t="str">
        <f>'Product Profit'!A4</f>
        <v>Robot Vacuum S3</v>
      </c>
      <c r="H27" s="29">
        <f>GETPIVOTDATA("Sum of Profit_AED",'Product Profit'!$A$3,"Product_Name","Robot Vacuum S3")</f>
        <v>-6533.0999999999976</v>
      </c>
    </row>
    <row r="28" spans="6:8" x14ac:dyDescent="0.3">
      <c r="F28" t="str">
        <f>'Product Profit'!A5</f>
        <v>Treadmill Compact</v>
      </c>
      <c r="H28" s="29">
        <f>GETPIVOTDATA("Sum of Profit_AED",'Product Profit'!$A$3,"Product_Name","Treadmill Compact")</f>
        <v>-6458.55</v>
      </c>
    </row>
    <row r="29" spans="6:8" x14ac:dyDescent="0.3">
      <c r="F29" t="str">
        <f>'Product Profit'!A6</f>
        <v>Adjustable Dumbbells</v>
      </c>
      <c r="H29" s="29">
        <f>GETPIVOTDATA("Sum of Profit_AED",'Product Profit'!$A$3,"Product_Name","Adjustable Dumbbells")</f>
        <v>-3922.7</v>
      </c>
    </row>
    <row r="30" spans="6:8" x14ac:dyDescent="0.3">
      <c r="F30" t="str">
        <f>'Product Profit'!A7</f>
        <v>Fitness Band Lite</v>
      </c>
      <c r="H30" s="29">
        <f>GETPIVOTDATA("Sum of Profit_AED",'Product Profit'!$A$3,"Product_Name","Fitness Band Lite")</f>
        <v>-3299.6999999999994</v>
      </c>
    </row>
    <row r="31" spans="6:8" x14ac:dyDescent="0.3">
      <c r="F31" t="str">
        <f>'Product Profit'!A8</f>
        <v>Hair Dryer Ionic</v>
      </c>
      <c r="H31" s="29">
        <f>GETPIVOTDATA("Sum of Profit_AED",'Product Profit'!$A$3,"Product_Name","Hair Dryer Ionic")</f>
        <v>790.6500000000018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Sales</vt:lpstr>
      <vt:lpstr>Products</vt:lpstr>
      <vt:lpstr>Summary</vt:lpstr>
      <vt:lpstr>Discount Impact</vt:lpstr>
      <vt:lpstr>Monthly</vt:lpstr>
      <vt:lpstr>Product Profit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2026-10-14T06:43:13Z</dcterms:created>
  <dcterms:modified xsi:type="dcterms:W3CDTF">2026-10-15T13:35:38Z</dcterms:modified>
</cp:coreProperties>
</file>